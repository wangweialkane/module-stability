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5" r:id="rId1"/>
    <sheet name="20221231T210000" sheetId="64" r:id="rId2"/>
    <sheet name="20230101T090000" sheetId="66" r:id="rId3"/>
    <sheet name="20230102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 s="1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 s="1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 s="1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 s="1"/>
  <c r="AL105" i="67"/>
  <c r="AM105" i="67"/>
  <c r="AL106" i="67"/>
  <c r="AM106" i="67"/>
  <c r="AL107" i="67"/>
  <c r="AM107" i="67"/>
  <c r="AL108" i="67"/>
  <c r="AM108" i="67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/>
  <c r="AL382" i="67"/>
  <c r="AM382" i="67"/>
  <c r="AL383" i="67"/>
  <c r="AM383" i="67"/>
  <c r="AL384" i="67"/>
  <c r="AM384" i="67"/>
  <c r="AL385" i="67"/>
  <c r="AM385" i="67"/>
  <c r="AL386" i="67"/>
  <c r="AM386" i="67"/>
  <c r="AL387" i="67"/>
  <c r="AM387" i="67"/>
  <c r="AL388" i="67"/>
  <c r="AM388" i="67"/>
  <c r="AL389" i="67"/>
  <c r="AM389" i="67"/>
  <c r="AL390" i="67"/>
  <c r="AM390" i="67"/>
  <c r="AL391" i="67"/>
  <c r="AM391" i="67"/>
  <c r="AL392" i="67"/>
  <c r="AM392" i="67"/>
  <c r="AL393" i="67"/>
  <c r="AM393" i="67"/>
  <c r="AL394" i="67"/>
  <c r="AM394" i="67"/>
  <c r="AL395" i="67"/>
  <c r="AM395" i="67"/>
  <c r="AL396" i="67"/>
  <c r="AM396" i="67"/>
  <c r="AL397" i="67"/>
  <c r="AM397" i="67"/>
  <c r="AL398" i="67"/>
  <c r="AM398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 s="1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/>
  <c r="AD381" i="67"/>
  <c r="AE381" i="67"/>
  <c r="AD382" i="67"/>
  <c r="AE382" i="67"/>
  <c r="AD383" i="67"/>
  <c r="AE383" i="67"/>
  <c r="AD384" i="67"/>
  <c r="AE384" i="67"/>
  <c r="AD385" i="67"/>
  <c r="AE385" i="67"/>
  <c r="AD386" i="67"/>
  <c r="AE386" i="67"/>
  <c r="AD387" i="67"/>
  <c r="AE387" i="67"/>
  <c r="AD388" i="67"/>
  <c r="AE388" i="67"/>
  <c r="AD389" i="67"/>
  <c r="AE389" i="67"/>
  <c r="AD390" i="67"/>
  <c r="AE390" i="67"/>
  <c r="AD391" i="67"/>
  <c r="AE391" i="67"/>
  <c r="AD392" i="67"/>
  <c r="AE392" i="67"/>
  <c r="AD393" i="67"/>
  <c r="AE393" i="67"/>
  <c r="AD394" i="67"/>
  <c r="AE394" i="67"/>
  <c r="AD395" i="67"/>
  <c r="AE395" i="67"/>
  <c r="AD396" i="67"/>
  <c r="AE396" i="67" s="1"/>
  <c r="AD397" i="67"/>
  <c r="AE397" i="67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 s="1"/>
  <c r="T280" i="67"/>
  <c r="U280" i="67"/>
  <c r="T281" i="67"/>
  <c r="U281" i="67"/>
  <c r="T282" i="67"/>
  <c r="U282" i="67"/>
  <c r="T283" i="67"/>
  <c r="U283" i="67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 s="1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DA2" i="67" s="1"/>
  <c r="CX6" i="67"/>
  <c r="CW6" i="67"/>
  <c r="CN6" i="67"/>
  <c r="CM6" i="67" s="1"/>
  <c r="CI2" i="67" s="1"/>
  <c r="CF6" i="67"/>
  <c r="CE6" i="67"/>
  <c r="BV6" i="67"/>
  <c r="BU6" i="67" s="1"/>
  <c r="BQ2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U4" i="67"/>
  <c r="CW4" i="67" s="1"/>
  <c r="CK4" i="67"/>
  <c r="CM4" i="67" s="1"/>
  <c r="CC4" i="67"/>
  <c r="CE4" i="67" s="1"/>
  <c r="BS4" i="67"/>
  <c r="BU4" i="67" s="1"/>
  <c r="BK4" i="67"/>
  <c r="BM4" i="67" s="1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CO3" i="67"/>
  <c r="CK3" i="67"/>
  <c r="CG3" i="67"/>
  <c r="CE3" i="67"/>
  <c r="CC3" i="67"/>
  <c r="CC6" i="67" s="1"/>
  <c r="BW3" i="67"/>
  <c r="BS3" i="67"/>
  <c r="BO3" i="67"/>
  <c r="BM3" i="67"/>
  <c r="BK3" i="67"/>
  <c r="BK6" i="67" s="1"/>
  <c r="BE3" i="67"/>
  <c r="BA3" i="67"/>
  <c r="AS3" i="67"/>
  <c r="AU3" i="67" s="1"/>
  <c r="AM3" i="67"/>
  <c r="AI3" i="67"/>
  <c r="AA3" i="67"/>
  <c r="AC3" i="67" s="1"/>
  <c r="Q3" i="67"/>
  <c r="I3" i="67"/>
  <c r="K3" i="67" s="1"/>
  <c r="CS2" i="67"/>
  <c r="CA2" i="67"/>
  <c r="BI2" i="67"/>
  <c r="A5" i="63" a="1"/>
  <c r="A5" i="63" l="1"/>
  <c r="AW9" i="67"/>
  <c r="AS6" i="67"/>
  <c r="AM5" i="67"/>
  <c r="AE9" i="67"/>
  <c r="AA6" i="67"/>
  <c r="U9" i="67"/>
  <c r="M9" i="67"/>
  <c r="G2" i="67"/>
  <c r="A13" i="67"/>
  <c r="A17" i="67"/>
  <c r="A21" i="67"/>
  <c r="I6" i="67"/>
  <c r="A15" i="67"/>
  <c r="A19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G4" i="67"/>
  <c r="AQ4" i="67"/>
  <c r="AY4" i="67"/>
  <c r="BI4" i="67"/>
  <c r="BQ4" i="67"/>
  <c r="CA4" i="67"/>
  <c r="CI4" i="67"/>
  <c r="CS4" i="67"/>
  <c r="DA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/>
  <c r="BD398" i="66"/>
  <c r="BE398" i="66"/>
  <c r="BD399" i="66"/>
  <c r="BE399" i="66"/>
  <c r="BD400" i="66"/>
  <c r="BE400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 s="1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/>
  <c r="AV243" i="66"/>
  <c r="AW243" i="66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 s="1"/>
  <c r="AL202" i="66"/>
  <c r="AM202" i="66"/>
  <c r="AL203" i="66"/>
  <c r="AM203" i="66"/>
  <c r="AL204" i="66"/>
  <c r="AM204" i="66"/>
  <c r="AL205" i="66"/>
  <c r="AM205" i="66" s="1"/>
  <c r="AL206" i="66"/>
  <c r="AM206" i="66"/>
  <c r="AL207" i="66"/>
  <c r="AM207" i="66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L399" i="66"/>
  <c r="AM399" i="66"/>
  <c r="AL400" i="66"/>
  <c r="AM400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 s="1"/>
  <c r="AD241" i="66"/>
  <c r="AE241" i="66"/>
  <c r="AD242" i="66"/>
  <c r="AE242" i="66"/>
  <c r="AD243" i="66"/>
  <c r="AE243" i="66"/>
  <c r="AD244" i="66"/>
  <c r="AE244" i="66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 s="1"/>
  <c r="T227" i="66"/>
  <c r="U227" i="66"/>
  <c r="T228" i="66"/>
  <c r="U228" i="66"/>
  <c r="T229" i="66"/>
  <c r="U229" i="66"/>
  <c r="T230" i="66"/>
  <c r="U230" i="66"/>
  <c r="T231" i="66"/>
  <c r="U231" i="66" s="1"/>
  <c r="T232" i="66"/>
  <c r="U232" i="66"/>
  <c r="T233" i="66"/>
  <c r="U233" i="66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T399" i="66"/>
  <c r="U399" i="66" s="1"/>
  <c r="T400" i="66"/>
  <c r="U40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 s="1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/>
  <c r="CX6" i="66"/>
  <c r="CN6" i="66"/>
  <c r="CM6" i="66"/>
  <c r="CF6" i="66"/>
  <c r="BV6" i="66"/>
  <c r="BU6" i="66"/>
  <c r="BN6" i="66"/>
  <c r="BD6" i="66"/>
  <c r="BC6" i="66"/>
  <c r="AV6" i="66"/>
  <c r="AL6" i="66"/>
  <c r="AK6" i="66" s="1"/>
  <c r="AG2" i="66" s="1"/>
  <c r="AD6" i="66"/>
  <c r="T6" i="66"/>
  <c r="S6" i="66" s="1"/>
  <c r="L6" i="66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W4" i="66"/>
  <c r="CU4" i="66"/>
  <c r="CM4" i="66"/>
  <c r="CK4" i="66"/>
  <c r="CE4" i="66"/>
  <c r="CC4" i="66"/>
  <c r="BU4" i="66"/>
  <c r="BS4" i="66"/>
  <c r="BM4" i="66"/>
  <c r="BK4" i="66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X3" i="66" s="1"/>
  <c r="EQ3" i="66"/>
  <c r="EO3" i="66"/>
  <c r="EM3" i="66"/>
  <c r="EM6" i="66" s="1"/>
  <c r="EI3" i="66"/>
  <c r="EE3" i="66"/>
  <c r="EG3" i="66" s="1"/>
  <c r="DY3" i="66"/>
  <c r="DW3" i="66"/>
  <c r="DU3" i="66"/>
  <c r="DU6" i="66" s="1"/>
  <c r="DQ3" i="66"/>
  <c r="DM3" i="66"/>
  <c r="DO3" i="66" s="1"/>
  <c r="DG3" i="66"/>
  <c r="DE3" i="66"/>
  <c r="DA4" i="66" s="1"/>
  <c r="DC3" i="66"/>
  <c r="DC6" i="66" s="1"/>
  <c r="A22" i="66" s="1"/>
  <c r="CY3" i="66"/>
  <c r="CU3" i="66"/>
  <c r="CW3" i="66" s="1"/>
  <c r="CO3" i="66"/>
  <c r="CM3" i="66"/>
  <c r="CI4" i="66" s="1"/>
  <c r="CK3" i="66"/>
  <c r="CK6" i="66" s="1"/>
  <c r="A20" i="66" s="1"/>
  <c r="CG3" i="66"/>
  <c r="CC3" i="66"/>
  <c r="CE3" i="66" s="1"/>
  <c r="BW3" i="66"/>
  <c r="BU3" i="66"/>
  <c r="BQ4" i="66" s="1"/>
  <c r="BS3" i="66"/>
  <c r="BS6" i="66" s="1"/>
  <c r="A18" i="66" s="1"/>
  <c r="BO3" i="66"/>
  <c r="BK3" i="66"/>
  <c r="BM3" i="66" s="1"/>
  <c r="AS3" i="66"/>
  <c r="AU3" i="66" s="1"/>
  <c r="AI3" i="66"/>
  <c r="AA3" i="66"/>
  <c r="AC3" i="66" s="1"/>
  <c r="Q3" i="66"/>
  <c r="I3" i="66"/>
  <c r="K3" i="66" s="1"/>
  <c r="DA2" i="66"/>
  <c r="CI2" i="66"/>
  <c r="BQ2" i="66"/>
  <c r="A4" i="63" a="1"/>
  <c r="AW7" i="67" l="1"/>
  <c r="AW5" i="67"/>
  <c r="AW3" i="67"/>
  <c r="AE7" i="67"/>
  <c r="AE3" i="67"/>
  <c r="AE5" i="67"/>
  <c r="U7" i="67"/>
  <c r="U5" i="67"/>
  <c r="U3" i="67"/>
  <c r="T4" i="67" s="1"/>
  <c r="M5" i="67"/>
  <c r="M3" i="67"/>
  <c r="M7" i="67"/>
  <c r="A22" i="67"/>
  <c r="DF4" i="67"/>
  <c r="A18" i="67"/>
  <c r="BV4" i="67"/>
  <c r="A14" i="67"/>
  <c r="AL4" i="67"/>
  <c r="A20" i="67"/>
  <c r="CN4" i="67"/>
  <c r="A16" i="67"/>
  <c r="BD4" i="67"/>
  <c r="A12" i="67"/>
  <c r="AD4" i="67"/>
  <c r="CF4" i="67"/>
  <c r="CF2" i="67" s="1"/>
  <c r="AV4" i="67"/>
  <c r="A11" i="67"/>
  <c r="L4" i="67"/>
  <c r="CX4" i="67"/>
  <c r="BN4" i="67"/>
  <c r="A4" i="63"/>
  <c r="BA3" i="66"/>
  <c r="BE3" i="66"/>
  <c r="BA4" i="66"/>
  <c r="BC4" i="66" s="1"/>
  <c r="BC7" i="66"/>
  <c r="AY2" i="66" s="1"/>
  <c r="AW9" i="66"/>
  <c r="AM3" i="66"/>
  <c r="AM5" i="66"/>
  <c r="AK3" i="66"/>
  <c r="AG4" i="66" s="1"/>
  <c r="AE9" i="66"/>
  <c r="U9" i="66"/>
  <c r="O2" i="66"/>
  <c r="S3" i="66"/>
  <c r="O4" i="66" s="1"/>
  <c r="M9" i="66"/>
  <c r="CA4" i="66"/>
  <c r="CS4" i="66"/>
  <c r="I6" i="66"/>
  <c r="A11" i="66" s="1"/>
  <c r="AA6" i="66"/>
  <c r="A13" i="66" s="1"/>
  <c r="AS6" i="66"/>
  <c r="A15" i="66" s="1"/>
  <c r="BK6" i="66"/>
  <c r="A17" i="66" s="1"/>
  <c r="CC6" i="66"/>
  <c r="A19" i="66" s="1"/>
  <c r="CU6" i="66"/>
  <c r="A21" i="66" s="1"/>
  <c r="DM6" i="66"/>
  <c r="EE6" i="66"/>
  <c r="EV6" i="66"/>
  <c r="G4" i="66"/>
  <c r="Y4" i="66"/>
  <c r="AQ4" i="66"/>
  <c r="BI4" i="66"/>
  <c r="K6" i="66"/>
  <c r="G2" i="66" s="1"/>
  <c r="T9" i="66"/>
  <c r="B12" i="66" s="1"/>
  <c r="AC6" i="66"/>
  <c r="Y2" i="66" s="1"/>
  <c r="AL9" i="66"/>
  <c r="B14" i="66" s="1"/>
  <c r="AU6" i="66"/>
  <c r="AQ2" i="66" s="1"/>
  <c r="BD9" i="66"/>
  <c r="B16" i="66" s="1"/>
  <c r="BM6" i="66"/>
  <c r="BI2" i="66" s="1"/>
  <c r="BV9" i="66"/>
  <c r="B18" i="66" s="1"/>
  <c r="CE6" i="66"/>
  <c r="CA2" i="66" s="1"/>
  <c r="CN9" i="66"/>
  <c r="B20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P4" i="66" s="1"/>
  <c r="EP2" i="66" s="1"/>
  <c r="EX6" i="66"/>
  <c r="EY9" i="66" s="1"/>
  <c r="FG9" i="66"/>
  <c r="FG4" i="66" s="1"/>
  <c r="FG2" i="66" s="1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/>
  <c r="BD183" i="64"/>
  <c r="BE183" i="64"/>
  <c r="BD184" i="64"/>
  <c r="BE184" i="64"/>
  <c r="BD185" i="64"/>
  <c r="BE185" i="64"/>
  <c r="BD186" i="64"/>
  <c r="BE186" i="64"/>
  <c r="BD187" i="64"/>
  <c r="BE187" i="64"/>
  <c r="BD188" i="64"/>
  <c r="BE188" i="64"/>
  <c r="BD189" i="64"/>
  <c r="BE189" i="64"/>
  <c r="BD190" i="64"/>
  <c r="BE190" i="64"/>
  <c r="BD191" i="64"/>
  <c r="BE191" i="64"/>
  <c r="BD192" i="64"/>
  <c r="BE192" i="64"/>
  <c r="BD193" i="64"/>
  <c r="BE193" i="64"/>
  <c r="BD194" i="64"/>
  <c r="BE194" i="64"/>
  <c r="BD195" i="64"/>
  <c r="BE195" i="64"/>
  <c r="BD196" i="64"/>
  <c r="BE196" i="64"/>
  <c r="BD197" i="64"/>
  <c r="BE197" i="64"/>
  <c r="BD198" i="64"/>
  <c r="BE198" i="64"/>
  <c r="BD199" i="64"/>
  <c r="BE199" i="64"/>
  <c r="BD200" i="64"/>
  <c r="BE200" i="64"/>
  <c r="BD201" i="64"/>
  <c r="BE201" i="64"/>
  <c r="BD202" i="64"/>
  <c r="BE202" i="64"/>
  <c r="BD203" i="64"/>
  <c r="BE203" i="64"/>
  <c r="BD204" i="64"/>
  <c r="BE204" i="64"/>
  <c r="BD205" i="64"/>
  <c r="BE205" i="64"/>
  <c r="BD206" i="64"/>
  <c r="BE206" i="64"/>
  <c r="BD207" i="64"/>
  <c r="BE207" i="64"/>
  <c r="BD208" i="64"/>
  <c r="BE208" i="64"/>
  <c r="BD209" i="64"/>
  <c r="BE209" i="64"/>
  <c r="BD210" i="64"/>
  <c r="BE210" i="64"/>
  <c r="BD211" i="64"/>
  <c r="BE211" i="64"/>
  <c r="BD212" i="64"/>
  <c r="BE212" i="64"/>
  <c r="BD213" i="64"/>
  <c r="BE213" i="64"/>
  <c r="BD214" i="64"/>
  <c r="BE214" i="64"/>
  <c r="BD215" i="64"/>
  <c r="BE215" i="64"/>
  <c r="BD216" i="64"/>
  <c r="BE216" i="64"/>
  <c r="BD217" i="64"/>
  <c r="BE217" i="64"/>
  <c r="BD218" i="64"/>
  <c r="BE218" i="64"/>
  <c r="BD219" i="64"/>
  <c r="BE219" i="64"/>
  <c r="BD220" i="64"/>
  <c r="BE220" i="64"/>
  <c r="BD221" i="64"/>
  <c r="BE221" i="64"/>
  <c r="BD222" i="64"/>
  <c r="BE222" i="64"/>
  <c r="BD223" i="64"/>
  <c r="BE223" i="64"/>
  <c r="BD224" i="64"/>
  <c r="BE224" i="64"/>
  <c r="BD225" i="64"/>
  <c r="BE225" i="64"/>
  <c r="BD226" i="64"/>
  <c r="BE226" i="64"/>
  <c r="BD227" i="64"/>
  <c r="BE227" i="64"/>
  <c r="BD228" i="64"/>
  <c r="BE228" i="64"/>
  <c r="BD229" i="64"/>
  <c r="BE229" i="64"/>
  <c r="BD230" i="64"/>
  <c r="BE230" i="64"/>
  <c r="BD231" i="64"/>
  <c r="BE231" i="64"/>
  <c r="BD232" i="64"/>
  <c r="BE232" i="64"/>
  <c r="BD233" i="64"/>
  <c r="BE233" i="64"/>
  <c r="BD234" i="64"/>
  <c r="BE234" i="64"/>
  <c r="BD235" i="64"/>
  <c r="BE235" i="64"/>
  <c r="BD236" i="64"/>
  <c r="BE236" i="64"/>
  <c r="BD237" i="64"/>
  <c r="BE237" i="64"/>
  <c r="BD238" i="64"/>
  <c r="BE238" i="64"/>
  <c r="BD239" i="64"/>
  <c r="BE239" i="64"/>
  <c r="BD240" i="64"/>
  <c r="BE240" i="64"/>
  <c r="BD241" i="64"/>
  <c r="BE241" i="64"/>
  <c r="BD242" i="64"/>
  <c r="BE242" i="64"/>
  <c r="BD243" i="64"/>
  <c r="BE243" i="64"/>
  <c r="BD244" i="64"/>
  <c r="BE244" i="64"/>
  <c r="BD245" i="64"/>
  <c r="BE245" i="64"/>
  <c r="BD246" i="64"/>
  <c r="BE246" i="64"/>
  <c r="BD247" i="64"/>
  <c r="BE247" i="64"/>
  <c r="BD248" i="64"/>
  <c r="BE248" i="64"/>
  <c r="BD249" i="64"/>
  <c r="BE249" i="64"/>
  <c r="BD250" i="64"/>
  <c r="BE250" i="64"/>
  <c r="BD251" i="64"/>
  <c r="BE251" i="64"/>
  <c r="BD252" i="64"/>
  <c r="BE252" i="64"/>
  <c r="BD253" i="64"/>
  <c r="BE253" i="64"/>
  <c r="BD254" i="64"/>
  <c r="BE254" i="64"/>
  <c r="BD255" i="64"/>
  <c r="BE255" i="64"/>
  <c r="BD256" i="64"/>
  <c r="BE256" i="64"/>
  <c r="BD257" i="64"/>
  <c r="BE257" i="64"/>
  <c r="BD258" i="64"/>
  <c r="BE258" i="64"/>
  <c r="BD259" i="64"/>
  <c r="BE259" i="64"/>
  <c r="BD260" i="64"/>
  <c r="BE260" i="64"/>
  <c r="BD261" i="64"/>
  <c r="BE261" i="64"/>
  <c r="BD262" i="64"/>
  <c r="BE262" i="64"/>
  <c r="BD263" i="64"/>
  <c r="BE263" i="64"/>
  <c r="BD264" i="64"/>
  <c r="BE264" i="64"/>
  <c r="BD265" i="64"/>
  <c r="BE265" i="64"/>
  <c r="BD266" i="64"/>
  <c r="BE266" i="64"/>
  <c r="BD267" i="64"/>
  <c r="BE267" i="64"/>
  <c r="BD268" i="64"/>
  <c r="BE268" i="64"/>
  <c r="BD269" i="64"/>
  <c r="BE269" i="64"/>
  <c r="BD270" i="64"/>
  <c r="BE270" i="64"/>
  <c r="BD271" i="64"/>
  <c r="BE271" i="64"/>
  <c r="BD272" i="64"/>
  <c r="BE272" i="64"/>
  <c r="BD273" i="64"/>
  <c r="BE273" i="64"/>
  <c r="BD274" i="64"/>
  <c r="BE274" i="64"/>
  <c r="BD275" i="64"/>
  <c r="BE275" i="64"/>
  <c r="BD276" i="64"/>
  <c r="BE276" i="64"/>
  <c r="BD277" i="64"/>
  <c r="BE277" i="64"/>
  <c r="BD278" i="64"/>
  <c r="BE278" i="64"/>
  <c r="BD279" i="64"/>
  <c r="BE279" i="64"/>
  <c r="BD280" i="64"/>
  <c r="BE280" i="64"/>
  <c r="BD281" i="64"/>
  <c r="BE281" i="64"/>
  <c r="BD282" i="64"/>
  <c r="BE282" i="64"/>
  <c r="BD283" i="64"/>
  <c r="BE283" i="64"/>
  <c r="BD284" i="64"/>
  <c r="BE284" i="64"/>
  <c r="BD285" i="64"/>
  <c r="BE285" i="64"/>
  <c r="BD286" i="64"/>
  <c r="BE286" i="64"/>
  <c r="BD287" i="64"/>
  <c r="BE287" i="64"/>
  <c r="BD288" i="64"/>
  <c r="BE288" i="64"/>
  <c r="BD289" i="64"/>
  <c r="BE289" i="64"/>
  <c r="BD290" i="64"/>
  <c r="BE290" i="64"/>
  <c r="BD291" i="64"/>
  <c r="BE291" i="64"/>
  <c r="BD292" i="64"/>
  <c r="BE292" i="64"/>
  <c r="BD293" i="64"/>
  <c r="BE293" i="64"/>
  <c r="BD294" i="64"/>
  <c r="BE294" i="64"/>
  <c r="BD295" i="64"/>
  <c r="BE295" i="64"/>
  <c r="BD296" i="64"/>
  <c r="BE296" i="64"/>
  <c r="BD297" i="64"/>
  <c r="BE297" i="64"/>
  <c r="BD298" i="64"/>
  <c r="BE298" i="64"/>
  <c r="BD299" i="64"/>
  <c r="BE299" i="64"/>
  <c r="BD300" i="64"/>
  <c r="BE300" i="64"/>
  <c r="BD301" i="64"/>
  <c r="BE301" i="64"/>
  <c r="BD302" i="64"/>
  <c r="BE302" i="64"/>
  <c r="BD303" i="64"/>
  <c r="BE303" i="64"/>
  <c r="BD304" i="64"/>
  <c r="BE304" i="64"/>
  <c r="BD305" i="64"/>
  <c r="BE305" i="64"/>
  <c r="BD306" i="64"/>
  <c r="BE306" i="64"/>
  <c r="BD307" i="64"/>
  <c r="BE307" i="64"/>
  <c r="BD308" i="64"/>
  <c r="BE308" i="64"/>
  <c r="BD309" i="64"/>
  <c r="BE309" i="64"/>
  <c r="BD310" i="64"/>
  <c r="BE310" i="64"/>
  <c r="BD311" i="64"/>
  <c r="BE311" i="64"/>
  <c r="BD312" i="64"/>
  <c r="BE312" i="64"/>
  <c r="BD313" i="64"/>
  <c r="BE313" i="64"/>
  <c r="BD314" i="64"/>
  <c r="BE314" i="64"/>
  <c r="BD315" i="64"/>
  <c r="BE315" i="64"/>
  <c r="BD316" i="64"/>
  <c r="BE316" i="64"/>
  <c r="BD317" i="64"/>
  <c r="BE317" i="64"/>
  <c r="BD318" i="64"/>
  <c r="BE318" i="64"/>
  <c r="BD319" i="64"/>
  <c r="BE319" i="64"/>
  <c r="BD320" i="64"/>
  <c r="BE320" i="64"/>
  <c r="BD321" i="64"/>
  <c r="BE321" i="64"/>
  <c r="BD322" i="64"/>
  <c r="BE322" i="64"/>
  <c r="BD323" i="64"/>
  <c r="BE323" i="64"/>
  <c r="BD324" i="64"/>
  <c r="BE324" i="64"/>
  <c r="BD325" i="64"/>
  <c r="BE325" i="64"/>
  <c r="BD326" i="64"/>
  <c r="BE326" i="64"/>
  <c r="BD327" i="64"/>
  <c r="BE327" i="64"/>
  <c r="BD328" i="64"/>
  <c r="BE328" i="64"/>
  <c r="BD329" i="64"/>
  <c r="BE329" i="64"/>
  <c r="BD330" i="64"/>
  <c r="BE330" i="64"/>
  <c r="BD331" i="64"/>
  <c r="BE331" i="64"/>
  <c r="BD332" i="64"/>
  <c r="BE332" i="64"/>
  <c r="BD333" i="64"/>
  <c r="BE333" i="64"/>
  <c r="BD334" i="64"/>
  <c r="BE334" i="64"/>
  <c r="BD335" i="64"/>
  <c r="BE335" i="64"/>
  <c r="BD336" i="64"/>
  <c r="BE336" i="64"/>
  <c r="BD337" i="64"/>
  <c r="BE337" i="64"/>
  <c r="BD338" i="64"/>
  <c r="BE338" i="64"/>
  <c r="BD339" i="64"/>
  <c r="BE339" i="64"/>
  <c r="BD340" i="64"/>
  <c r="BE340" i="64"/>
  <c r="BD341" i="64"/>
  <c r="BE341" i="64"/>
  <c r="BD342" i="64"/>
  <c r="BE342" i="64"/>
  <c r="BD343" i="64"/>
  <c r="BE343" i="64"/>
  <c r="BD344" i="64"/>
  <c r="BE344" i="64"/>
  <c r="BD345" i="64"/>
  <c r="BE345" i="64"/>
  <c r="BD346" i="64"/>
  <c r="BE346" i="64"/>
  <c r="BD347" i="64"/>
  <c r="BE347" i="64"/>
  <c r="BD348" i="64"/>
  <c r="BE348" i="64"/>
  <c r="BD349" i="64"/>
  <c r="BE349" i="64"/>
  <c r="BD350" i="64"/>
  <c r="BE350" i="64"/>
  <c r="BD351" i="64"/>
  <c r="BE351" i="64"/>
  <c r="BD352" i="64"/>
  <c r="BE352" i="64"/>
  <c r="BD353" i="64"/>
  <c r="BE353" i="64"/>
  <c r="BD354" i="64"/>
  <c r="BE354" i="64"/>
  <c r="BD355" i="64"/>
  <c r="BE355" i="64"/>
  <c r="BD356" i="64"/>
  <c r="BE356" i="64"/>
  <c r="BD357" i="64"/>
  <c r="BE357" i="64"/>
  <c r="BD358" i="64"/>
  <c r="BE358" i="64"/>
  <c r="BD359" i="64"/>
  <c r="BE359" i="64"/>
  <c r="BD360" i="64"/>
  <c r="BE360" i="64"/>
  <c r="BD361" i="64"/>
  <c r="BE361" i="64"/>
  <c r="BD362" i="64"/>
  <c r="BE362" i="64"/>
  <c r="BD363" i="64"/>
  <c r="BE363" i="64"/>
  <c r="BD364" i="64"/>
  <c r="BE364" i="64"/>
  <c r="BD365" i="64"/>
  <c r="BE365" i="64"/>
  <c r="BD366" i="64"/>
  <c r="BE366" i="64"/>
  <c r="BD367" i="64"/>
  <c r="BE367" i="64"/>
  <c r="BD368" i="64"/>
  <c r="BE368" i="64"/>
  <c r="BD369" i="64"/>
  <c r="BE369" i="64"/>
  <c r="BD370" i="64"/>
  <c r="BE370" i="64" s="1"/>
  <c r="BD371" i="64"/>
  <c r="BE371" i="64"/>
  <c r="BD372" i="64"/>
  <c r="BE372" i="64"/>
  <c r="BD373" i="64"/>
  <c r="BE373" i="64"/>
  <c r="BD374" i="64"/>
  <c r="BE374" i="64" s="1"/>
  <c r="BD375" i="64"/>
  <c r="BE375" i="64" s="1"/>
  <c r="BD376" i="64"/>
  <c r="BE376" i="64" s="1"/>
  <c r="BD377" i="64"/>
  <c r="BE377" i="64" s="1"/>
  <c r="BD378" i="64"/>
  <c r="BE378" i="64" s="1"/>
  <c r="BD379" i="64"/>
  <c r="BE379" i="64" s="1"/>
  <c r="BD380" i="64"/>
  <c r="BE380" i="64" s="1"/>
  <c r="BD381" i="64"/>
  <c r="BE381" i="64" s="1"/>
  <c r="BD382" i="64"/>
  <c r="BE382" i="64" s="1"/>
  <c r="BD383" i="64"/>
  <c r="BE383" i="64" s="1"/>
  <c r="BD384" i="64"/>
  <c r="BE384" i="64" s="1"/>
  <c r="BD385" i="64"/>
  <c r="BE385" i="64" s="1"/>
  <c r="BD386" i="64"/>
  <c r="BE386" i="64" s="1"/>
  <c r="BD387" i="64"/>
  <c r="BE387" i="64" s="1"/>
  <c r="BD388" i="64"/>
  <c r="BE388" i="64" s="1"/>
  <c r="BD389" i="64"/>
  <c r="BE389" i="64" s="1"/>
  <c r="BD390" i="64"/>
  <c r="BE390" i="64" s="1"/>
  <c r="BD391" i="64"/>
  <c r="BE391" i="64" s="1"/>
  <c r="BD392" i="64"/>
  <c r="BE392" i="64" s="1"/>
  <c r="BD393" i="64"/>
  <c r="BE393" i="64" s="1"/>
  <c r="BD394" i="64"/>
  <c r="BE394" i="64" s="1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/>
  <c r="AV98" i="64"/>
  <c r="AW98" i="64"/>
  <c r="AV99" i="64"/>
  <c r="AW99" i="64"/>
  <c r="AV100" i="64"/>
  <c r="AW100" i="64"/>
  <c r="AV101" i="64"/>
  <c r="AW101" i="64"/>
  <c r="AV102" i="64"/>
  <c r="AW102" i="64"/>
  <c r="AV103" i="64"/>
  <c r="AW103" i="64"/>
  <c r="AV104" i="64"/>
  <c r="AW104" i="64"/>
  <c r="AV105" i="64"/>
  <c r="AW105" i="64"/>
  <c r="AV106" i="64"/>
  <c r="AW106" i="64"/>
  <c r="AV107" i="64"/>
  <c r="AW107" i="64"/>
  <c r="AV108" i="64"/>
  <c r="AW108" i="64"/>
  <c r="AV109" i="64"/>
  <c r="AW109" i="64"/>
  <c r="AV110" i="64"/>
  <c r="AW110" i="64"/>
  <c r="AV111" i="64"/>
  <c r="AW111" i="64"/>
  <c r="AV112" i="64"/>
  <c r="AW112" i="64"/>
  <c r="AV113" i="64"/>
  <c r="AW113" i="64"/>
  <c r="AV114" i="64"/>
  <c r="AW114" i="64"/>
  <c r="AV115" i="64"/>
  <c r="AW115" i="64" s="1"/>
  <c r="AV116" i="64"/>
  <c r="AW116" i="64"/>
  <c r="AV117" i="64"/>
  <c r="AW117" i="64"/>
  <c r="AV118" i="64"/>
  <c r="AW118" i="64"/>
  <c r="AV119" i="64"/>
  <c r="AW119" i="64"/>
  <c r="AV120" i="64"/>
  <c r="AW120" i="64"/>
  <c r="AV121" i="64"/>
  <c r="AW121" i="64"/>
  <c r="AV122" i="64"/>
  <c r="AW122" i="64"/>
  <c r="AV123" i="64"/>
  <c r="AW123" i="64"/>
  <c r="AV124" i="64"/>
  <c r="AW124" i="64"/>
  <c r="AV125" i="64"/>
  <c r="AW125" i="64"/>
  <c r="AV126" i="64"/>
  <c r="AW126" i="64"/>
  <c r="AV127" i="64"/>
  <c r="AW127" i="64"/>
  <c r="AV128" i="64"/>
  <c r="AW128" i="64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 s="1"/>
  <c r="AV183" i="64"/>
  <c r="AW183" i="64" s="1"/>
  <c r="AV184" i="64"/>
  <c r="AW184" i="64" s="1"/>
  <c r="AV185" i="64"/>
  <c r="AW185" i="64" s="1"/>
  <c r="AV186" i="64"/>
  <c r="AW186" i="64" s="1"/>
  <c r="AV187" i="64"/>
  <c r="AW187" i="64" s="1"/>
  <c r="AV188" i="64"/>
  <c r="AW188" i="64" s="1"/>
  <c r="AV189" i="64"/>
  <c r="AW189" i="64" s="1"/>
  <c r="AV190" i="64"/>
  <c r="AW190" i="64" s="1"/>
  <c r="AV191" i="64"/>
  <c r="AW191" i="64" s="1"/>
  <c r="AV192" i="64"/>
  <c r="AW192" i="64" s="1"/>
  <c r="AV193" i="64"/>
  <c r="AW193" i="64" s="1"/>
  <c r="AV194" i="64"/>
  <c r="AW194" i="64" s="1"/>
  <c r="AV195" i="64"/>
  <c r="AW195" i="64" s="1"/>
  <c r="AV196" i="64"/>
  <c r="AW196" i="64" s="1"/>
  <c r="AV197" i="64"/>
  <c r="AW197" i="64" s="1"/>
  <c r="AV198" i="64"/>
  <c r="AW198" i="64" s="1"/>
  <c r="AV199" i="64"/>
  <c r="AW199" i="64" s="1"/>
  <c r="AV200" i="64"/>
  <c r="AW200" i="64" s="1"/>
  <c r="AV201" i="64"/>
  <c r="AW201" i="64" s="1"/>
  <c r="AV202" i="64"/>
  <c r="AW202" i="64" s="1"/>
  <c r="AV203" i="64"/>
  <c r="AW203" i="64" s="1"/>
  <c r="AV204" i="64"/>
  <c r="AW204" i="64" s="1"/>
  <c r="AV205" i="64"/>
  <c r="AW205" i="64" s="1"/>
  <c r="AV206" i="64"/>
  <c r="AW206" i="64" s="1"/>
  <c r="AV207" i="64"/>
  <c r="AW207" i="64" s="1"/>
  <c r="AV208" i="64"/>
  <c r="AW208" i="64" s="1"/>
  <c r="AV209" i="64"/>
  <c r="AW209" i="64" s="1"/>
  <c r="AV210" i="64"/>
  <c r="AW210" i="64" s="1"/>
  <c r="AV211" i="64"/>
  <c r="AW211" i="64" s="1"/>
  <c r="AV212" i="64"/>
  <c r="AW212" i="64" s="1"/>
  <c r="AV213" i="64"/>
  <c r="AW213" i="64"/>
  <c r="AV214" i="64"/>
  <c r="AW214" i="64"/>
  <c r="AV215" i="64"/>
  <c r="AW215" i="64"/>
  <c r="AV216" i="64"/>
  <c r="AW216" i="64"/>
  <c r="AV217" i="64"/>
  <c r="AW217" i="64"/>
  <c r="AV218" i="64"/>
  <c r="AW218" i="64"/>
  <c r="AV219" i="64"/>
  <c r="AW219" i="64"/>
  <c r="AV220" i="64"/>
  <c r="AW220" i="64"/>
  <c r="AV221" i="64"/>
  <c r="AW221" i="64"/>
  <c r="AV222" i="64"/>
  <c r="AW222" i="64"/>
  <c r="AV223" i="64"/>
  <c r="AW223" i="64"/>
  <c r="AV224" i="64"/>
  <c r="AW224" i="64"/>
  <c r="AV225" i="64"/>
  <c r="AW225" i="64"/>
  <c r="AV226" i="64"/>
  <c r="AW226" i="64"/>
  <c r="AV227" i="64"/>
  <c r="AW227" i="64"/>
  <c r="AV228" i="64"/>
  <c r="AW228" i="64"/>
  <c r="AV229" i="64"/>
  <c r="AW229" i="64"/>
  <c r="AV230" i="64"/>
  <c r="AW230" i="64"/>
  <c r="AV231" i="64"/>
  <c r="AW231" i="64"/>
  <c r="AV232" i="64"/>
  <c r="AW232" i="64"/>
  <c r="AV233" i="64"/>
  <c r="AW233" i="64"/>
  <c r="AV234" i="64"/>
  <c r="AW234" i="64"/>
  <c r="AV235" i="64"/>
  <c r="AW235" i="64"/>
  <c r="AV236" i="64"/>
  <c r="AW236" i="64" s="1"/>
  <c r="AV237" i="64"/>
  <c r="AW237" i="64" s="1"/>
  <c r="AV238" i="64"/>
  <c r="AW238" i="64" s="1"/>
  <c r="AV239" i="64"/>
  <c r="AW239" i="64" s="1"/>
  <c r="AV240" i="64"/>
  <c r="AW240" i="64" s="1"/>
  <c r="AV241" i="64"/>
  <c r="AW241" i="64" s="1"/>
  <c r="AV242" i="64"/>
  <c r="AW242" i="64" s="1"/>
  <c r="AV243" i="64"/>
  <c r="AW243" i="64" s="1"/>
  <c r="AV244" i="64"/>
  <c r="AW244" i="64" s="1"/>
  <c r="AV245" i="64"/>
  <c r="AW245" i="64" s="1"/>
  <c r="AV246" i="64"/>
  <c r="AW246" i="64" s="1"/>
  <c r="AV247" i="64"/>
  <c r="AW247" i="64" s="1"/>
  <c r="AV248" i="64"/>
  <c r="AW248" i="64" s="1"/>
  <c r="AV249" i="64"/>
  <c r="AW249" i="64" s="1"/>
  <c r="AV250" i="64"/>
  <c r="AW250" i="64" s="1"/>
  <c r="AV251" i="64"/>
  <c r="AW251" i="64" s="1"/>
  <c r="AV252" i="64"/>
  <c r="AW252" i="64" s="1"/>
  <c r="AV253" i="64"/>
  <c r="AW253" i="64" s="1"/>
  <c r="AV254" i="64"/>
  <c r="AW254" i="64" s="1"/>
  <c r="AV255" i="64"/>
  <c r="AW255" i="64" s="1"/>
  <c r="AV256" i="64"/>
  <c r="AW256" i="64" s="1"/>
  <c r="AV257" i="64"/>
  <c r="AW257" i="64" s="1"/>
  <c r="AV258" i="64"/>
  <c r="AW258" i="64" s="1"/>
  <c r="AV259" i="64"/>
  <c r="AW259" i="64" s="1"/>
  <c r="AV260" i="64"/>
  <c r="AW260" i="64" s="1"/>
  <c r="AV261" i="64"/>
  <c r="AW261" i="64" s="1"/>
  <c r="AV262" i="64"/>
  <c r="AW262" i="64" s="1"/>
  <c r="AV263" i="64"/>
  <c r="AW263" i="64" s="1"/>
  <c r="AV264" i="64"/>
  <c r="AW264" i="64" s="1"/>
  <c r="AV265" i="64"/>
  <c r="AW265" i="64" s="1"/>
  <c r="AV266" i="64"/>
  <c r="AW266" i="64" s="1"/>
  <c r="AV267" i="64"/>
  <c r="AW267" i="64" s="1"/>
  <c r="AV268" i="64"/>
  <c r="AW268" i="64" s="1"/>
  <c r="AV269" i="64"/>
  <c r="AW269" i="64" s="1"/>
  <c r="AV270" i="64"/>
  <c r="AW270" i="64" s="1"/>
  <c r="AV271" i="64"/>
  <c r="AW271" i="64" s="1"/>
  <c r="AV272" i="64"/>
  <c r="AW272" i="64" s="1"/>
  <c r="AV273" i="64"/>
  <c r="AW273" i="64" s="1"/>
  <c r="AV274" i="64"/>
  <c r="AW274" i="64" s="1"/>
  <c r="AV275" i="64"/>
  <c r="AW275" i="64" s="1"/>
  <c r="AV276" i="64"/>
  <c r="AW276" i="64" s="1"/>
  <c r="AV277" i="64"/>
  <c r="AW277" i="64" s="1"/>
  <c r="AV278" i="64"/>
  <c r="AW278" i="64" s="1"/>
  <c r="AV279" i="64"/>
  <c r="AW279" i="64" s="1"/>
  <c r="AV280" i="64"/>
  <c r="AW280" i="64" s="1"/>
  <c r="AV281" i="64"/>
  <c r="AW281" i="64" s="1"/>
  <c r="AV282" i="64"/>
  <c r="AW282" i="64" s="1"/>
  <c r="AV283" i="64"/>
  <c r="AW283" i="64" s="1"/>
  <c r="AV284" i="64"/>
  <c r="AW284" i="64" s="1"/>
  <c r="AV285" i="64"/>
  <c r="AW285" i="64" s="1"/>
  <c r="AV286" i="64"/>
  <c r="AW286" i="64" s="1"/>
  <c r="AV287" i="64"/>
  <c r="AW287" i="64" s="1"/>
  <c r="AV288" i="64"/>
  <c r="AW288" i="64" s="1"/>
  <c r="AV289" i="64"/>
  <c r="AW289" i="64" s="1"/>
  <c r="AV290" i="64"/>
  <c r="AW290" i="64" s="1"/>
  <c r="AV291" i="64"/>
  <c r="AW291" i="64" s="1"/>
  <c r="AV292" i="64"/>
  <c r="AW292" i="64" s="1"/>
  <c r="AV293" i="64"/>
  <c r="AW293" i="64" s="1"/>
  <c r="AV294" i="64"/>
  <c r="AW294" i="64" s="1"/>
  <c r="AV295" i="64"/>
  <c r="AW295" i="64" s="1"/>
  <c r="AV296" i="64"/>
  <c r="AW296" i="64" s="1"/>
  <c r="AV297" i="64"/>
  <c r="AW297" i="64" s="1"/>
  <c r="AV298" i="64"/>
  <c r="AW298" i="64" s="1"/>
  <c r="AV299" i="64"/>
  <c r="AW299" i="64" s="1"/>
  <c r="AV300" i="64"/>
  <c r="AW300" i="64" s="1"/>
  <c r="AV301" i="64"/>
  <c r="AW301" i="64" s="1"/>
  <c r="AV302" i="64"/>
  <c r="AW302" i="64" s="1"/>
  <c r="AV303" i="64"/>
  <c r="AW303" i="64" s="1"/>
  <c r="AV304" i="64"/>
  <c r="AW304" i="64" s="1"/>
  <c r="AV305" i="64"/>
  <c r="AW305" i="64" s="1"/>
  <c r="AV306" i="64"/>
  <c r="AW306" i="64" s="1"/>
  <c r="AV307" i="64"/>
  <c r="AW307" i="64" s="1"/>
  <c r="AV308" i="64"/>
  <c r="AW308" i="64" s="1"/>
  <c r="AV309" i="64"/>
  <c r="AW309" i="64" s="1"/>
  <c r="AV310" i="64"/>
  <c r="AW310" i="64" s="1"/>
  <c r="AV311" i="64"/>
  <c r="AW311" i="64" s="1"/>
  <c r="AV312" i="64"/>
  <c r="AW312" i="64" s="1"/>
  <c r="AV313" i="64"/>
  <c r="AW313" i="64" s="1"/>
  <c r="AV314" i="64"/>
  <c r="AW314" i="64" s="1"/>
  <c r="AV315" i="64"/>
  <c r="AW315" i="64" s="1"/>
  <c r="AV316" i="64"/>
  <c r="AW316" i="64" s="1"/>
  <c r="AV317" i="64"/>
  <c r="AW317" i="64" s="1"/>
  <c r="AV318" i="64"/>
  <c r="AW318" i="64" s="1"/>
  <c r="AV319" i="64"/>
  <c r="AW319" i="64" s="1"/>
  <c r="AV320" i="64"/>
  <c r="AW320" i="64" s="1"/>
  <c r="AV321" i="64"/>
  <c r="AW321" i="64" s="1"/>
  <c r="AV322" i="64"/>
  <c r="AW322" i="64" s="1"/>
  <c r="AV323" i="64"/>
  <c r="AW323" i="64" s="1"/>
  <c r="AV324" i="64"/>
  <c r="AW324" i="64" s="1"/>
  <c r="AV325" i="64"/>
  <c r="AW325" i="64" s="1"/>
  <c r="AV326" i="64"/>
  <c r="AW326" i="64" s="1"/>
  <c r="AV327" i="64"/>
  <c r="AW327" i="64" s="1"/>
  <c r="AV328" i="64"/>
  <c r="AW328" i="64" s="1"/>
  <c r="AV329" i="64"/>
  <c r="AW329" i="64" s="1"/>
  <c r="AV330" i="64"/>
  <c r="AW330" i="64" s="1"/>
  <c r="AV331" i="64"/>
  <c r="AW331" i="64" s="1"/>
  <c r="AV332" i="64"/>
  <c r="AW332" i="64" s="1"/>
  <c r="AV333" i="64"/>
  <c r="AW333" i="64" s="1"/>
  <c r="AV334" i="64"/>
  <c r="AW334" i="64" s="1"/>
  <c r="AV335" i="64"/>
  <c r="AW335" i="64" s="1"/>
  <c r="AV336" i="64"/>
  <c r="AW336" i="64" s="1"/>
  <c r="AV337" i="64"/>
  <c r="AW337" i="64" s="1"/>
  <c r="AV338" i="64"/>
  <c r="AW338" i="64" s="1"/>
  <c r="AV339" i="64"/>
  <c r="AW339" i="64" s="1"/>
  <c r="AV340" i="64"/>
  <c r="AW340" i="64" s="1"/>
  <c r="AV341" i="64"/>
  <c r="AW341" i="64" s="1"/>
  <c r="AV342" i="64"/>
  <c r="AW342" i="64" s="1"/>
  <c r="AV343" i="64"/>
  <c r="AW343" i="64" s="1"/>
  <c r="AV344" i="64"/>
  <c r="AW344" i="64" s="1"/>
  <c r="AV345" i="64"/>
  <c r="AW345" i="64" s="1"/>
  <c r="AV346" i="64"/>
  <c r="AW346" i="64" s="1"/>
  <c r="AV347" i="64"/>
  <c r="AW347" i="64" s="1"/>
  <c r="AV348" i="64"/>
  <c r="AW348" i="64" s="1"/>
  <c r="AV349" i="64"/>
  <c r="AW349" i="64" s="1"/>
  <c r="AV350" i="64"/>
  <c r="AW350" i="64" s="1"/>
  <c r="AV351" i="64"/>
  <c r="AW351" i="64" s="1"/>
  <c r="AV352" i="64"/>
  <c r="AW352" i="64" s="1"/>
  <c r="AV353" i="64"/>
  <c r="AW353" i="64" s="1"/>
  <c r="AV354" i="64"/>
  <c r="AW354" i="64" s="1"/>
  <c r="AV355" i="64"/>
  <c r="AW355" i="64" s="1"/>
  <c r="AV356" i="64"/>
  <c r="AW356" i="64" s="1"/>
  <c r="AV357" i="64"/>
  <c r="AW357" i="64" s="1"/>
  <c r="AV358" i="64"/>
  <c r="AW358" i="64" s="1"/>
  <c r="AV359" i="64"/>
  <c r="AW359" i="64" s="1"/>
  <c r="AV360" i="64"/>
  <c r="AW360" i="64" s="1"/>
  <c r="AV361" i="64"/>
  <c r="AW361" i="64" s="1"/>
  <c r="AV362" i="64"/>
  <c r="AW362" i="64" s="1"/>
  <c r="AV363" i="64"/>
  <c r="AW363" i="64" s="1"/>
  <c r="AV364" i="64"/>
  <c r="AW364" i="64" s="1"/>
  <c r="AV365" i="64"/>
  <c r="AW365" i="64" s="1"/>
  <c r="AV366" i="64"/>
  <c r="AW366" i="64" s="1"/>
  <c r="AV367" i="64"/>
  <c r="AW367" i="64" s="1"/>
  <c r="AV368" i="64"/>
  <c r="AW368" i="64" s="1"/>
  <c r="AV369" i="64"/>
  <c r="AW369" i="64" s="1"/>
  <c r="AV370" i="64"/>
  <c r="AW370" i="64" s="1"/>
  <c r="AV371" i="64"/>
  <c r="AW371" i="64" s="1"/>
  <c r="AV372" i="64"/>
  <c r="AW372" i="64" s="1"/>
  <c r="AV373" i="64"/>
  <c r="AW373" i="64" s="1"/>
  <c r="AV374" i="64"/>
  <c r="AW374" i="64" s="1"/>
  <c r="AV375" i="64"/>
  <c r="AW375" i="64" s="1"/>
  <c r="AV376" i="64"/>
  <c r="AW376" i="64" s="1"/>
  <c r="AV377" i="64"/>
  <c r="AW377" i="64" s="1"/>
  <c r="AV378" i="64"/>
  <c r="AW378" i="64" s="1"/>
  <c r="AV379" i="64"/>
  <c r="AW379" i="64" s="1"/>
  <c r="AV380" i="64"/>
  <c r="AW380" i="64" s="1"/>
  <c r="AV381" i="64"/>
  <c r="AW381" i="64" s="1"/>
  <c r="AV382" i="64"/>
  <c r="AW382" i="64" s="1"/>
  <c r="AV383" i="64"/>
  <c r="AW383" i="64" s="1"/>
  <c r="AV384" i="64"/>
  <c r="AW384" i="64" s="1"/>
  <c r="AV385" i="64"/>
  <c r="AW385" i="64" s="1"/>
  <c r="AV386" i="64"/>
  <c r="AW386" i="64" s="1"/>
  <c r="AV387" i="64"/>
  <c r="AW387" i="64" s="1"/>
  <c r="AV388" i="64"/>
  <c r="AW388" i="64" s="1"/>
  <c r="AV389" i="64"/>
  <c r="AW389" i="64" s="1"/>
  <c r="AV390" i="64"/>
  <c r="AW390" i="64" s="1"/>
  <c r="AV391" i="64"/>
  <c r="AW391" i="64" s="1"/>
  <c r="AV392" i="64"/>
  <c r="AW392" i="64" s="1"/>
  <c r="AV393" i="64"/>
  <c r="AW393" i="64" s="1"/>
  <c r="AV394" i="64"/>
  <c r="AW394" i="64" s="1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/>
  <c r="AL100" i="64"/>
  <c r="AM100" i="64"/>
  <c r="AL101" i="64"/>
  <c r="AM101" i="64"/>
  <c r="AL102" i="64"/>
  <c r="AM102" i="64"/>
  <c r="AL103" i="64"/>
  <c r="AM103" i="64"/>
  <c r="AL104" i="64"/>
  <c r="AM104" i="64"/>
  <c r="AL105" i="64"/>
  <c r="AM105" i="64"/>
  <c r="AL106" i="64"/>
  <c r="AM106" i="64"/>
  <c r="AL107" i="64"/>
  <c r="AM107" i="64"/>
  <c r="AL108" i="64"/>
  <c r="AM108" i="64"/>
  <c r="AL109" i="64"/>
  <c r="AM109" i="64"/>
  <c r="AL110" i="64"/>
  <c r="AM110" i="64"/>
  <c r="AL111" i="64"/>
  <c r="AM111" i="64"/>
  <c r="AL112" i="64"/>
  <c r="AM112" i="64"/>
  <c r="AL113" i="64"/>
  <c r="AM113" i="64"/>
  <c r="AL114" i="64"/>
  <c r="AM114" i="64"/>
  <c r="AL115" i="64"/>
  <c r="AM115" i="64"/>
  <c r="AL116" i="64"/>
  <c r="AM116" i="64"/>
  <c r="AL117" i="64"/>
  <c r="AM117" i="64"/>
  <c r="AL118" i="64"/>
  <c r="AM118" i="64"/>
  <c r="AL119" i="64"/>
  <c r="AM119" i="64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/>
  <c r="AL181" i="64"/>
  <c r="AM181" i="64"/>
  <c r="AL182" i="64"/>
  <c r="AM182" i="64"/>
  <c r="AL183" i="64"/>
  <c r="AM183" i="64"/>
  <c r="AL184" i="64"/>
  <c r="AM184" i="64"/>
  <c r="AL185" i="64"/>
  <c r="AM185" i="64"/>
  <c r="AL186" i="64"/>
  <c r="AM186" i="64"/>
  <c r="AL187" i="64"/>
  <c r="AM187" i="64"/>
  <c r="AL188" i="64"/>
  <c r="AM188" i="64"/>
  <c r="AL189" i="64"/>
  <c r="AM189" i="64"/>
  <c r="AL190" i="64"/>
  <c r="AM190" i="64"/>
  <c r="AL191" i="64"/>
  <c r="AM191" i="64"/>
  <c r="AL192" i="64"/>
  <c r="AM192" i="64"/>
  <c r="AL193" i="64"/>
  <c r="AM193" i="64"/>
  <c r="AL194" i="64"/>
  <c r="AM194" i="64"/>
  <c r="AL195" i="64"/>
  <c r="AM195" i="64"/>
  <c r="AL196" i="64"/>
  <c r="AM196" i="64"/>
  <c r="AL197" i="64"/>
  <c r="AM197" i="64"/>
  <c r="AL198" i="64"/>
  <c r="AM198" i="64"/>
  <c r="AL199" i="64"/>
  <c r="AM199" i="64"/>
  <c r="AL200" i="64"/>
  <c r="AM200" i="64"/>
  <c r="AL201" i="64"/>
  <c r="AM201" i="64"/>
  <c r="AL202" i="64"/>
  <c r="AM202" i="64"/>
  <c r="AL203" i="64"/>
  <c r="AM203" i="64"/>
  <c r="AL204" i="64"/>
  <c r="AM204" i="64"/>
  <c r="AL205" i="64"/>
  <c r="AM205" i="64"/>
  <c r="AL206" i="64"/>
  <c r="AM206" i="64"/>
  <c r="AL207" i="64"/>
  <c r="AM207" i="64"/>
  <c r="AL208" i="64"/>
  <c r="AM208" i="64"/>
  <c r="AL209" i="64"/>
  <c r="AM209" i="64"/>
  <c r="AL210" i="64"/>
  <c r="AM210" i="64"/>
  <c r="AL211" i="64"/>
  <c r="AM211" i="64"/>
  <c r="AL212" i="64"/>
  <c r="AM212" i="64"/>
  <c r="AL213" i="64"/>
  <c r="AM213" i="64"/>
  <c r="AL214" i="64"/>
  <c r="AM214" i="64"/>
  <c r="AL215" i="64"/>
  <c r="AM215" i="64"/>
  <c r="AL216" i="64"/>
  <c r="AM216" i="64"/>
  <c r="AL217" i="64"/>
  <c r="AM217" i="64"/>
  <c r="AL218" i="64"/>
  <c r="AM218" i="64"/>
  <c r="AL219" i="64"/>
  <c r="AM219" i="64"/>
  <c r="AL220" i="64"/>
  <c r="AM220" i="64"/>
  <c r="AL221" i="64"/>
  <c r="AM221" i="64"/>
  <c r="AL222" i="64"/>
  <c r="AM222" i="64"/>
  <c r="AL223" i="64"/>
  <c r="AM223" i="64"/>
  <c r="AL224" i="64"/>
  <c r="AM224" i="64"/>
  <c r="AL225" i="64"/>
  <c r="AM225" i="64"/>
  <c r="AL226" i="64"/>
  <c r="AM226" i="64"/>
  <c r="AL227" i="64"/>
  <c r="AM227" i="64"/>
  <c r="AL228" i="64"/>
  <c r="AM228" i="64"/>
  <c r="AL229" i="64"/>
  <c r="AM229" i="64"/>
  <c r="AL230" i="64"/>
  <c r="AM230" i="64"/>
  <c r="AL231" i="64"/>
  <c r="AM231" i="64"/>
  <c r="AL232" i="64"/>
  <c r="AM232" i="64"/>
  <c r="AL233" i="64"/>
  <c r="AM233" i="64"/>
  <c r="AL234" i="64"/>
  <c r="AM234" i="64"/>
  <c r="AL235" i="64"/>
  <c r="AM235" i="64"/>
  <c r="AL236" i="64"/>
  <c r="AM236" i="64"/>
  <c r="AL237" i="64"/>
  <c r="AM237" i="64"/>
  <c r="AL238" i="64"/>
  <c r="AM238" i="64"/>
  <c r="AL239" i="64"/>
  <c r="AM239" i="64"/>
  <c r="AL240" i="64"/>
  <c r="AM240" i="64"/>
  <c r="AL241" i="64"/>
  <c r="AM241" i="64"/>
  <c r="AL242" i="64"/>
  <c r="AM242" i="64"/>
  <c r="AL243" i="64"/>
  <c r="AM243" i="64"/>
  <c r="AL244" i="64"/>
  <c r="AM244" i="64"/>
  <c r="AL245" i="64"/>
  <c r="AM245" i="64"/>
  <c r="AL246" i="64"/>
  <c r="AM246" i="64"/>
  <c r="AL247" i="64"/>
  <c r="AM247" i="64"/>
  <c r="AL248" i="64"/>
  <c r="AM248" i="64"/>
  <c r="AL249" i="64"/>
  <c r="AM249" i="64"/>
  <c r="AL250" i="64"/>
  <c r="AM250" i="64"/>
  <c r="AL251" i="64"/>
  <c r="AM251" i="64"/>
  <c r="AL252" i="64"/>
  <c r="AM252" i="64"/>
  <c r="AL253" i="64"/>
  <c r="AM253" i="64"/>
  <c r="AL254" i="64"/>
  <c r="AM254" i="64"/>
  <c r="AL255" i="64"/>
  <c r="AM255" i="64"/>
  <c r="AL256" i="64"/>
  <c r="AM256" i="64"/>
  <c r="AL257" i="64"/>
  <c r="AM257" i="64"/>
  <c r="AL258" i="64"/>
  <c r="AM258" i="64"/>
  <c r="AL259" i="64"/>
  <c r="AM259" i="64"/>
  <c r="AL260" i="64"/>
  <c r="AM260" i="64"/>
  <c r="AL261" i="64"/>
  <c r="AM261" i="64"/>
  <c r="AL262" i="64"/>
  <c r="AM262" i="64"/>
  <c r="AL263" i="64"/>
  <c r="AM263" i="64"/>
  <c r="AL264" i="64"/>
  <c r="AM264" i="64"/>
  <c r="AL265" i="64"/>
  <c r="AM265" i="64"/>
  <c r="AL266" i="64"/>
  <c r="AM266" i="64"/>
  <c r="AL267" i="64"/>
  <c r="AM267" i="64"/>
  <c r="AL268" i="64"/>
  <c r="AM268" i="64"/>
  <c r="AL269" i="64"/>
  <c r="AM269" i="64"/>
  <c r="AL270" i="64"/>
  <c r="AM270" i="64"/>
  <c r="AL271" i="64"/>
  <c r="AM271" i="64"/>
  <c r="AL272" i="64"/>
  <c r="AM272" i="64"/>
  <c r="AL273" i="64"/>
  <c r="AM273" i="64"/>
  <c r="AL274" i="64"/>
  <c r="AM274" i="64"/>
  <c r="AL275" i="64"/>
  <c r="AM275" i="64"/>
  <c r="AL276" i="64"/>
  <c r="AM276" i="64"/>
  <c r="AL277" i="64"/>
  <c r="AM277" i="64"/>
  <c r="AL278" i="64"/>
  <c r="AM278" i="64"/>
  <c r="AL279" i="64"/>
  <c r="AM279" i="64"/>
  <c r="AL280" i="64"/>
  <c r="AM280" i="64"/>
  <c r="AL281" i="64"/>
  <c r="AM281" i="64"/>
  <c r="AL282" i="64"/>
  <c r="AM282" i="64"/>
  <c r="AL283" i="64"/>
  <c r="AM283" i="64"/>
  <c r="AL284" i="64"/>
  <c r="AM284" i="64"/>
  <c r="AL285" i="64"/>
  <c r="AM285" i="64"/>
  <c r="AL286" i="64"/>
  <c r="AM286" i="64"/>
  <c r="AL287" i="64"/>
  <c r="AM287" i="64"/>
  <c r="AL288" i="64"/>
  <c r="AM288" i="64"/>
  <c r="AL289" i="64"/>
  <c r="AM289" i="64"/>
  <c r="AL290" i="64"/>
  <c r="AM290" i="64"/>
  <c r="AL291" i="64"/>
  <c r="AM291" i="64"/>
  <c r="AL292" i="64"/>
  <c r="AM292" i="64"/>
  <c r="AL293" i="64"/>
  <c r="AM293" i="64"/>
  <c r="AL294" i="64"/>
  <c r="AM294" i="64"/>
  <c r="AL295" i="64"/>
  <c r="AM295" i="64"/>
  <c r="AL296" i="64"/>
  <c r="AM296" i="64"/>
  <c r="AL297" i="64"/>
  <c r="AM297" i="64"/>
  <c r="AL298" i="64"/>
  <c r="AM298" i="64"/>
  <c r="AL299" i="64"/>
  <c r="AM299" i="64"/>
  <c r="AL300" i="64"/>
  <c r="AM300" i="64"/>
  <c r="AL301" i="64"/>
  <c r="AM301" i="64"/>
  <c r="AL302" i="64"/>
  <c r="AM302" i="64"/>
  <c r="AL303" i="64"/>
  <c r="AM303" i="64"/>
  <c r="AL304" i="64"/>
  <c r="AM304" i="64"/>
  <c r="AL305" i="64"/>
  <c r="AM305" i="64"/>
  <c r="AL306" i="64"/>
  <c r="AM306" i="64"/>
  <c r="AL307" i="64"/>
  <c r="AM307" i="64"/>
  <c r="AL308" i="64"/>
  <c r="AM308" i="64"/>
  <c r="AL309" i="64"/>
  <c r="AM309" i="64"/>
  <c r="AL310" i="64"/>
  <c r="AM310" i="64"/>
  <c r="AL311" i="64"/>
  <c r="AM311" i="64"/>
  <c r="AL312" i="64"/>
  <c r="AM312" i="64"/>
  <c r="AL313" i="64"/>
  <c r="AM313" i="64"/>
  <c r="AL314" i="64"/>
  <c r="AM314" i="64"/>
  <c r="AL315" i="64"/>
  <c r="AM315" i="64"/>
  <c r="AL316" i="64"/>
  <c r="AM316" i="64"/>
  <c r="AL317" i="64"/>
  <c r="AM317" i="64"/>
  <c r="AL318" i="64"/>
  <c r="AM318" i="64"/>
  <c r="AL319" i="64"/>
  <c r="AM319" i="64"/>
  <c r="AL320" i="64"/>
  <c r="AM320" i="64"/>
  <c r="AL321" i="64"/>
  <c r="AM321" i="64"/>
  <c r="AL322" i="64"/>
  <c r="AM322" i="64"/>
  <c r="AL323" i="64"/>
  <c r="AM323" i="64"/>
  <c r="AL324" i="64"/>
  <c r="AM324" i="64"/>
  <c r="AL325" i="64"/>
  <c r="AM325" i="64"/>
  <c r="AL326" i="64"/>
  <c r="AM326" i="64"/>
  <c r="AL327" i="64"/>
  <c r="AM327" i="64"/>
  <c r="AL328" i="64"/>
  <c r="AM328" i="64"/>
  <c r="AL329" i="64"/>
  <c r="AM329" i="64"/>
  <c r="AL330" i="64"/>
  <c r="AM330" i="64"/>
  <c r="AL331" i="64"/>
  <c r="AM331" i="64"/>
  <c r="AL332" i="64"/>
  <c r="AM332" i="64"/>
  <c r="AL333" i="64"/>
  <c r="AM333" i="64"/>
  <c r="AL334" i="64"/>
  <c r="AM334" i="64"/>
  <c r="AL335" i="64"/>
  <c r="AM335" i="64"/>
  <c r="AL336" i="64"/>
  <c r="AM336" i="64"/>
  <c r="AL337" i="64"/>
  <c r="AM337" i="64"/>
  <c r="AL338" i="64"/>
  <c r="AM338" i="64"/>
  <c r="AL339" i="64"/>
  <c r="AM339" i="64"/>
  <c r="AL340" i="64"/>
  <c r="AM340" i="64"/>
  <c r="AL341" i="64"/>
  <c r="AM341" i="64"/>
  <c r="AL342" i="64"/>
  <c r="AM342" i="64"/>
  <c r="AL343" i="64"/>
  <c r="AM343" i="64"/>
  <c r="AL344" i="64"/>
  <c r="AM344" i="64"/>
  <c r="AL345" i="64"/>
  <c r="AM345" i="64"/>
  <c r="AL346" i="64"/>
  <c r="AM346" i="64"/>
  <c r="AL347" i="64"/>
  <c r="AM347" i="64"/>
  <c r="AL348" i="64"/>
  <c r="AM348" i="64"/>
  <c r="AL349" i="64"/>
  <c r="AM349" i="64"/>
  <c r="AL350" i="64"/>
  <c r="AM350" i="64"/>
  <c r="AL351" i="64"/>
  <c r="AM351" i="64"/>
  <c r="AL352" i="64"/>
  <c r="AM352" i="64"/>
  <c r="AL353" i="64"/>
  <c r="AM353" i="64"/>
  <c r="AL354" i="64"/>
  <c r="AM354" i="64"/>
  <c r="AL355" i="64"/>
  <c r="AM355" i="64"/>
  <c r="AL356" i="64"/>
  <c r="AM356" i="64"/>
  <c r="AL357" i="64"/>
  <c r="AM357" i="64"/>
  <c r="AL358" i="64"/>
  <c r="AM358" i="64"/>
  <c r="AL359" i="64"/>
  <c r="AM359" i="64"/>
  <c r="AL360" i="64"/>
  <c r="AM360" i="64"/>
  <c r="AL361" i="64"/>
  <c r="AM361" i="64"/>
  <c r="AL362" i="64"/>
  <c r="AM362" i="64"/>
  <c r="AL363" i="64"/>
  <c r="AM363" i="64"/>
  <c r="AL364" i="64"/>
  <c r="AM364" i="64"/>
  <c r="AL365" i="64"/>
  <c r="AM365" i="64"/>
  <c r="AL366" i="64"/>
  <c r="AM366" i="64"/>
  <c r="AL367" i="64"/>
  <c r="AM367" i="64"/>
  <c r="AL368" i="64"/>
  <c r="AM368" i="64"/>
  <c r="AL369" i="64"/>
  <c r="AM369" i="64"/>
  <c r="AL370" i="64"/>
  <c r="AM370" i="64"/>
  <c r="AL371" i="64"/>
  <c r="AM371" i="64"/>
  <c r="AL372" i="64"/>
  <c r="AM372" i="64"/>
  <c r="AL373" i="64"/>
  <c r="AM373" i="64"/>
  <c r="AL374" i="64"/>
  <c r="AM374" i="64"/>
  <c r="AL375" i="64"/>
  <c r="AM375" i="64"/>
  <c r="AL376" i="64"/>
  <c r="AM376" i="64"/>
  <c r="AL377" i="64"/>
  <c r="AM377" i="64"/>
  <c r="AL378" i="64"/>
  <c r="AM378" i="64"/>
  <c r="AL379" i="64"/>
  <c r="AM379" i="64"/>
  <c r="AL380" i="64"/>
  <c r="AM380" i="64"/>
  <c r="AL381" i="64"/>
  <c r="AM381" i="64"/>
  <c r="AL382" i="64"/>
  <c r="AM382" i="64"/>
  <c r="AL383" i="64"/>
  <c r="AM383" i="64"/>
  <c r="AL384" i="64"/>
  <c r="AM384" i="64"/>
  <c r="AL385" i="64"/>
  <c r="AM385" i="64"/>
  <c r="AL386" i="64"/>
  <c r="AM386" i="64"/>
  <c r="AL387" i="64"/>
  <c r="AM387" i="64"/>
  <c r="AL388" i="64"/>
  <c r="AM388" i="64"/>
  <c r="AL389" i="64"/>
  <c r="AM389" i="64"/>
  <c r="AL390" i="64"/>
  <c r="AM390" i="64"/>
  <c r="AL391" i="64"/>
  <c r="AM391" i="64"/>
  <c r="AL392" i="64"/>
  <c r="AM392" i="64"/>
  <c r="AL393" i="64"/>
  <c r="AM393" i="64"/>
  <c r="AL394" i="64"/>
  <c r="AM394" i="64"/>
  <c r="AD12" i="64"/>
  <c r="AE12" i="64"/>
  <c r="AD13" i="64"/>
  <c r="AE13" i="64"/>
  <c r="AD14" i="64"/>
  <c r="AE14" i="64"/>
  <c r="AD15" i="64"/>
  <c r="AE15" i="64"/>
  <c r="AD16" i="64"/>
  <c r="AE16" i="64"/>
  <c r="AD17" i="64"/>
  <c r="AE17" i="64"/>
  <c r="AD18" i="64"/>
  <c r="AE18" i="64"/>
  <c r="AD19" i="64"/>
  <c r="AE19" i="64"/>
  <c r="AD20" i="64"/>
  <c r="AE20" i="64"/>
  <c r="AD21" i="64"/>
  <c r="AE21" i="64"/>
  <c r="AD22" i="64"/>
  <c r="AE22" i="64"/>
  <c r="AD23" i="64"/>
  <c r="AE23" i="64"/>
  <c r="AD24" i="64"/>
  <c r="AE24" i="64"/>
  <c r="AD25" i="64"/>
  <c r="AE25" i="64"/>
  <c r="AD26" i="64"/>
  <c r="AE26" i="64"/>
  <c r="AD27" i="64"/>
  <c r="AE27" i="64"/>
  <c r="AD28" i="64"/>
  <c r="AE28" i="64"/>
  <c r="AD29" i="64"/>
  <c r="AE29" i="64"/>
  <c r="AD30" i="64"/>
  <c r="AE30" i="64"/>
  <c r="AD31" i="64"/>
  <c r="AE31" i="64"/>
  <c r="AD32" i="64"/>
  <c r="AE32" i="64"/>
  <c r="AD33" i="64"/>
  <c r="AE33" i="64"/>
  <c r="AD34" i="64"/>
  <c r="AE34" i="64"/>
  <c r="AD35" i="64"/>
  <c r="AE35" i="64"/>
  <c r="AD36" i="64"/>
  <c r="AE36" i="64"/>
  <c r="AD37" i="64"/>
  <c r="AE37" i="64"/>
  <c r="AD38" i="64"/>
  <c r="AE38" i="64"/>
  <c r="AD39" i="64"/>
  <c r="AE39" i="64"/>
  <c r="AD40" i="64"/>
  <c r="AE40" i="64"/>
  <c r="AD41" i="64"/>
  <c r="AE41" i="64"/>
  <c r="AD42" i="64"/>
  <c r="AE42" i="64"/>
  <c r="AD43" i="64"/>
  <c r="AE43" i="64"/>
  <c r="AD44" i="64"/>
  <c r="AE44" i="64"/>
  <c r="AD45" i="64"/>
  <c r="AE45" i="64"/>
  <c r="AD46" i="64"/>
  <c r="AE46" i="64"/>
  <c r="AD47" i="64"/>
  <c r="AE47" i="64"/>
  <c r="AD48" i="64"/>
  <c r="AE48" i="64"/>
  <c r="AD49" i="64"/>
  <c r="AE49" i="64"/>
  <c r="AD50" i="64"/>
  <c r="AE50" i="64"/>
  <c r="AD51" i="64"/>
  <c r="AE51" i="64"/>
  <c r="AD52" i="64"/>
  <c r="AE52" i="64"/>
  <c r="AD53" i="64"/>
  <c r="AE53" i="64"/>
  <c r="AD54" i="64"/>
  <c r="AE54" i="64"/>
  <c r="AD55" i="64"/>
  <c r="AE55" i="64"/>
  <c r="AD56" i="64"/>
  <c r="AE56" i="64"/>
  <c r="AD57" i="64"/>
  <c r="AE57" i="64"/>
  <c r="AD58" i="64"/>
  <c r="AE58" i="64"/>
  <c r="AD59" i="64"/>
  <c r="AE59" i="64"/>
  <c r="AD60" i="64"/>
  <c r="AE60" i="64"/>
  <c r="AD61" i="64"/>
  <c r="AE61" i="64"/>
  <c r="AD62" i="64"/>
  <c r="AE62" i="64"/>
  <c r="AD63" i="64"/>
  <c r="AE63" i="64"/>
  <c r="AD64" i="64"/>
  <c r="AE64" i="64"/>
  <c r="AD65" i="64"/>
  <c r="AE65" i="64"/>
  <c r="AD66" i="64"/>
  <c r="AE66" i="64"/>
  <c r="AD67" i="64"/>
  <c r="AE67" i="64"/>
  <c r="AD68" i="64"/>
  <c r="AE68" i="64"/>
  <c r="AD69" i="64"/>
  <c r="AE69" i="64"/>
  <c r="AD70" i="64"/>
  <c r="AE70" i="64"/>
  <c r="AD71" i="64"/>
  <c r="AE71" i="64"/>
  <c r="AD72" i="64"/>
  <c r="AE72" i="64"/>
  <c r="AD73" i="64"/>
  <c r="AE73" i="64"/>
  <c r="AD74" i="64"/>
  <c r="AE74" i="64"/>
  <c r="AD75" i="64"/>
  <c r="AE75" i="64"/>
  <c r="AD76" i="64"/>
  <c r="AE76" i="64"/>
  <c r="AD77" i="64"/>
  <c r="AE77" i="64"/>
  <c r="AD78" i="64"/>
  <c r="AE78" i="64"/>
  <c r="AD79" i="64"/>
  <c r="AE79" i="64"/>
  <c r="AD80" i="64"/>
  <c r="AE80" i="64"/>
  <c r="AD81" i="64"/>
  <c r="AE81" i="64"/>
  <c r="AD82" i="64"/>
  <c r="AE82" i="64"/>
  <c r="AD83" i="64"/>
  <c r="AE83" i="64"/>
  <c r="AD84" i="64"/>
  <c r="AE84" i="64"/>
  <c r="AD85" i="64"/>
  <c r="AE85" i="64"/>
  <c r="AD86" i="64"/>
  <c r="AE86" i="64"/>
  <c r="AD87" i="64"/>
  <c r="AE87" i="64"/>
  <c r="AD88" i="64"/>
  <c r="AE88" i="64"/>
  <c r="AD89" i="64"/>
  <c r="AE89" i="64"/>
  <c r="AD90" i="64"/>
  <c r="AE90" i="64"/>
  <c r="AD91" i="64"/>
  <c r="AE91" i="64"/>
  <c r="AD92" i="64"/>
  <c r="AE92" i="64"/>
  <c r="AD93" i="64"/>
  <c r="AE93" i="64"/>
  <c r="AD94" i="64"/>
  <c r="AE94" i="64"/>
  <c r="AD95" i="64"/>
  <c r="AE95" i="64"/>
  <c r="AD96" i="64"/>
  <c r="AE96" i="64"/>
  <c r="AD97" i="64"/>
  <c r="AE97" i="64"/>
  <c r="AD98" i="64"/>
  <c r="AE98" i="64"/>
  <c r="AD99" i="64"/>
  <c r="AE99" i="64"/>
  <c r="AD100" i="64"/>
  <c r="AE100" i="64"/>
  <c r="AD101" i="64"/>
  <c r="AE101" i="64"/>
  <c r="AD102" i="64"/>
  <c r="AE102" i="64"/>
  <c r="AD103" i="64"/>
  <c r="AE103" i="64"/>
  <c r="AD104" i="64"/>
  <c r="AE104" i="64"/>
  <c r="AD105" i="64"/>
  <c r="AE105" i="64"/>
  <c r="AD106" i="64"/>
  <c r="AE106" i="64"/>
  <c r="AD107" i="64"/>
  <c r="AE107" i="64"/>
  <c r="AD108" i="64"/>
  <c r="AE108" i="64"/>
  <c r="AD109" i="64"/>
  <c r="AE109" i="64"/>
  <c r="AD110" i="64"/>
  <c r="AE110" i="64"/>
  <c r="AD111" i="64"/>
  <c r="AE111" i="64"/>
  <c r="AD112" i="64"/>
  <c r="AE112" i="64"/>
  <c r="AD113" i="64"/>
  <c r="AE113" i="64"/>
  <c r="AD114" i="64"/>
  <c r="AE114" i="64"/>
  <c r="AD115" i="64"/>
  <c r="AE115" i="64"/>
  <c r="AD116" i="64"/>
  <c r="AE116" i="64"/>
  <c r="AD117" i="64"/>
  <c r="AE117" i="64"/>
  <c r="AD118" i="64"/>
  <c r="AE118" i="64"/>
  <c r="AD119" i="64"/>
  <c r="AE119" i="64"/>
  <c r="AD120" i="64"/>
  <c r="AE120" i="64"/>
  <c r="AD121" i="64"/>
  <c r="AE121" i="64"/>
  <c r="AD122" i="64"/>
  <c r="AE122" i="64"/>
  <c r="AD123" i="64"/>
  <c r="AE123" i="64"/>
  <c r="AD124" i="64"/>
  <c r="AE124" i="64"/>
  <c r="AD125" i="64"/>
  <c r="AE125" i="64"/>
  <c r="AD126" i="64"/>
  <c r="AE126" i="64"/>
  <c r="AD127" i="64"/>
  <c r="AE127" i="64"/>
  <c r="AD128" i="64"/>
  <c r="AE128" i="64"/>
  <c r="AD129" i="64"/>
  <c r="AE129" i="64"/>
  <c r="AD130" i="64"/>
  <c r="AE130" i="64"/>
  <c r="AD131" i="64"/>
  <c r="AE131" i="64"/>
  <c r="AD132" i="64"/>
  <c r="AE132" i="64"/>
  <c r="AD133" i="64"/>
  <c r="AE133" i="64"/>
  <c r="AD134" i="64"/>
  <c r="AE134" i="64"/>
  <c r="AD135" i="64"/>
  <c r="AE135" i="64"/>
  <c r="AD136" i="64"/>
  <c r="AE136" i="64"/>
  <c r="AD137" i="64"/>
  <c r="AE137" i="64"/>
  <c r="AD138" i="64"/>
  <c r="AE138" i="64"/>
  <c r="AD139" i="64"/>
  <c r="AE139" i="64"/>
  <c r="AD140" i="64"/>
  <c r="AE140" i="64"/>
  <c r="AD141" i="64"/>
  <c r="AE141" i="64"/>
  <c r="AD142" i="64"/>
  <c r="AE142" i="64"/>
  <c r="AD143" i="64"/>
  <c r="AE143" i="64"/>
  <c r="AD144" i="64"/>
  <c r="AE144" i="64"/>
  <c r="AD145" i="64"/>
  <c r="AE145" i="64"/>
  <c r="AD146" i="64"/>
  <c r="AE146" i="64"/>
  <c r="AD147" i="64"/>
  <c r="AE147" i="64"/>
  <c r="AD148" i="64"/>
  <c r="AE148" i="64"/>
  <c r="AD149" i="64"/>
  <c r="AE149" i="64"/>
  <c r="AD150" i="64"/>
  <c r="AE150" i="64"/>
  <c r="AD151" i="64"/>
  <c r="AE151" i="64"/>
  <c r="AD152" i="64"/>
  <c r="AE152" i="64"/>
  <c r="AD153" i="64"/>
  <c r="AE153" i="64"/>
  <c r="AD154" i="64"/>
  <c r="AE154" i="64"/>
  <c r="AD155" i="64"/>
  <c r="AE155" i="64"/>
  <c r="AD156" i="64"/>
  <c r="AE156" i="64"/>
  <c r="AD157" i="64"/>
  <c r="AE157" i="64"/>
  <c r="AD158" i="64"/>
  <c r="AE158" i="64"/>
  <c r="AD159" i="64"/>
  <c r="AE159" i="64"/>
  <c r="AD160" i="64"/>
  <c r="AE160" i="64"/>
  <c r="AD161" i="64"/>
  <c r="AE161" i="64"/>
  <c r="AD162" i="64"/>
  <c r="AE162" i="64"/>
  <c r="AD163" i="64"/>
  <c r="AE163" i="64"/>
  <c r="AD164" i="64"/>
  <c r="AE164" i="64"/>
  <c r="AD165" i="64"/>
  <c r="AE165" i="64"/>
  <c r="AD166" i="64"/>
  <c r="AE166" i="64"/>
  <c r="AD167" i="64"/>
  <c r="AE167" i="64"/>
  <c r="AD168" i="64"/>
  <c r="AE168" i="64"/>
  <c r="AD169" i="64"/>
  <c r="AE169" i="64"/>
  <c r="AD170" i="64"/>
  <c r="AE170" i="64"/>
  <c r="AD171" i="64"/>
  <c r="AE171" i="64"/>
  <c r="AD172" i="64"/>
  <c r="AE172" i="64"/>
  <c r="AD173" i="64"/>
  <c r="AE173" i="64"/>
  <c r="AD174" i="64"/>
  <c r="AE174" i="64"/>
  <c r="AD175" i="64"/>
  <c r="AE175" i="64"/>
  <c r="AD176" i="64"/>
  <c r="AE176" i="64"/>
  <c r="AD177" i="64"/>
  <c r="AE177" i="64"/>
  <c r="AD178" i="64"/>
  <c r="AE178" i="64"/>
  <c r="AD179" i="64"/>
  <c r="AE179" i="64"/>
  <c r="AD180" i="64"/>
  <c r="AE180" i="64"/>
  <c r="AD181" i="64"/>
  <c r="AE181" i="64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/>
  <c r="AD239" i="64"/>
  <c r="AE239" i="64"/>
  <c r="AD240" i="64"/>
  <c r="AE240" i="64"/>
  <c r="AD241" i="64"/>
  <c r="AE241" i="64"/>
  <c r="AD242" i="64"/>
  <c r="AE242" i="64"/>
  <c r="AD243" i="64"/>
  <c r="AE243" i="64"/>
  <c r="AD244" i="64"/>
  <c r="AE244" i="64"/>
  <c r="AD245" i="64"/>
  <c r="AE245" i="64"/>
  <c r="AD246" i="64"/>
  <c r="AE246" i="64"/>
  <c r="AD247" i="64"/>
  <c r="AE247" i="64"/>
  <c r="AD248" i="64"/>
  <c r="AE248" i="64"/>
  <c r="AD249" i="64"/>
  <c r="AE249" i="64"/>
  <c r="AD250" i="64"/>
  <c r="AE250" i="64"/>
  <c r="AD251" i="64"/>
  <c r="AE251" i="64"/>
  <c r="AD252" i="64"/>
  <c r="AE252" i="64"/>
  <c r="AD253" i="64"/>
  <c r="AE253" i="64"/>
  <c r="AD254" i="64"/>
  <c r="AE254" i="64"/>
  <c r="AD255" i="64"/>
  <c r="AE255" i="64"/>
  <c r="AD256" i="64"/>
  <c r="AE256" i="64"/>
  <c r="AD257" i="64"/>
  <c r="AE257" i="64"/>
  <c r="AD258" i="64"/>
  <c r="AE258" i="64"/>
  <c r="AD259" i="64"/>
  <c r="AE259" i="64"/>
  <c r="AD260" i="64"/>
  <c r="AE260" i="64"/>
  <c r="AD261" i="64"/>
  <c r="AE261" i="64"/>
  <c r="AD262" i="64"/>
  <c r="AE262" i="64"/>
  <c r="AD263" i="64"/>
  <c r="AE263" i="64"/>
  <c r="AD264" i="64"/>
  <c r="AE264" i="64"/>
  <c r="AD265" i="64"/>
  <c r="AE265" i="64"/>
  <c r="AD266" i="64"/>
  <c r="AE266" i="64"/>
  <c r="AD267" i="64"/>
  <c r="AE267" i="64"/>
  <c r="AD268" i="64"/>
  <c r="AE268" i="64"/>
  <c r="AD269" i="64"/>
  <c r="AE269" i="64"/>
  <c r="AD270" i="64"/>
  <c r="AE270" i="64"/>
  <c r="AD271" i="64"/>
  <c r="AE271" i="64"/>
  <c r="AD272" i="64"/>
  <c r="AE272" i="64"/>
  <c r="AD273" i="64"/>
  <c r="AE273" i="64"/>
  <c r="AD274" i="64"/>
  <c r="AE274" i="64"/>
  <c r="AD275" i="64"/>
  <c r="AE275" i="64"/>
  <c r="AD276" i="64"/>
  <c r="AE276" i="64"/>
  <c r="AD277" i="64"/>
  <c r="AE277" i="64"/>
  <c r="AD278" i="64"/>
  <c r="AE278" i="64"/>
  <c r="AD279" i="64"/>
  <c r="AE279" i="64"/>
  <c r="AD280" i="64"/>
  <c r="AE280" i="64"/>
  <c r="AD281" i="64"/>
  <c r="AE281" i="64"/>
  <c r="AD282" i="64"/>
  <c r="AE282" i="64"/>
  <c r="AD283" i="64"/>
  <c r="AE283" i="64"/>
  <c r="AD284" i="64"/>
  <c r="AE284" i="64"/>
  <c r="AD285" i="64"/>
  <c r="AE285" i="64"/>
  <c r="AD286" i="64"/>
  <c r="AE286" i="64"/>
  <c r="AD287" i="64"/>
  <c r="AE287" i="64"/>
  <c r="AD288" i="64"/>
  <c r="AE288" i="64"/>
  <c r="AD289" i="64"/>
  <c r="AE289" i="64"/>
  <c r="AD290" i="64"/>
  <c r="AE290" i="64"/>
  <c r="AD291" i="64"/>
  <c r="AE291" i="64"/>
  <c r="AD292" i="64"/>
  <c r="AE292" i="64"/>
  <c r="AD293" i="64"/>
  <c r="AE293" i="64"/>
  <c r="AD294" i="64"/>
  <c r="AE294" i="64"/>
  <c r="AD295" i="64"/>
  <c r="AE295" i="64"/>
  <c r="AD296" i="64"/>
  <c r="AE296" i="64"/>
  <c r="AD297" i="64"/>
  <c r="AE297" i="64"/>
  <c r="AD298" i="64"/>
  <c r="AE298" i="64"/>
  <c r="AD299" i="64"/>
  <c r="AE299" i="64"/>
  <c r="AD300" i="64"/>
  <c r="AE300" i="64"/>
  <c r="AD301" i="64"/>
  <c r="AE301" i="64"/>
  <c r="AD302" i="64"/>
  <c r="AE302" i="64"/>
  <c r="AD303" i="64"/>
  <c r="AE303" i="64"/>
  <c r="AD304" i="64"/>
  <c r="AE304" i="64"/>
  <c r="AD305" i="64"/>
  <c r="AE305" i="64"/>
  <c r="AD306" i="64"/>
  <c r="AE306" i="64"/>
  <c r="AD307" i="64"/>
  <c r="AE307" i="64"/>
  <c r="AD308" i="64"/>
  <c r="AE308" i="64"/>
  <c r="AD309" i="64"/>
  <c r="AE309" i="64"/>
  <c r="AD310" i="64"/>
  <c r="AE310" i="64"/>
  <c r="AD311" i="64"/>
  <c r="AE311" i="64"/>
  <c r="AD312" i="64"/>
  <c r="AE312" i="64"/>
  <c r="AD313" i="64"/>
  <c r="AE313" i="64"/>
  <c r="AD314" i="64"/>
  <c r="AE314" i="64"/>
  <c r="AD315" i="64"/>
  <c r="AE315" i="64"/>
  <c r="AD316" i="64"/>
  <c r="AE316" i="64"/>
  <c r="AD317" i="64"/>
  <c r="AE317" i="64"/>
  <c r="AD318" i="64"/>
  <c r="AE318" i="64"/>
  <c r="AD319" i="64"/>
  <c r="AE319" i="64"/>
  <c r="AD320" i="64"/>
  <c r="AE320" i="64"/>
  <c r="AD321" i="64"/>
  <c r="AE321" i="64"/>
  <c r="AD322" i="64"/>
  <c r="AE322" i="64"/>
  <c r="AD323" i="64"/>
  <c r="AE323" i="64"/>
  <c r="AD324" i="64"/>
  <c r="AE324" i="64"/>
  <c r="AD325" i="64"/>
  <c r="AE325" i="64"/>
  <c r="AD326" i="64"/>
  <c r="AE326" i="64"/>
  <c r="AD327" i="64"/>
  <c r="AE327" i="64"/>
  <c r="AD328" i="64"/>
  <c r="AE328" i="64"/>
  <c r="AD329" i="64"/>
  <c r="AE329" i="64"/>
  <c r="AD330" i="64"/>
  <c r="AE330" i="64"/>
  <c r="AD331" i="64"/>
  <c r="AE331" i="64"/>
  <c r="AD332" i="64"/>
  <c r="AE332" i="64"/>
  <c r="AD333" i="64"/>
  <c r="AE333" i="64"/>
  <c r="AD334" i="64"/>
  <c r="AE334" i="64"/>
  <c r="AD335" i="64"/>
  <c r="AE335" i="64"/>
  <c r="AD336" i="64"/>
  <c r="AE336" i="64"/>
  <c r="AD337" i="64"/>
  <c r="AE337" i="64"/>
  <c r="AD338" i="64"/>
  <c r="AE338" i="64"/>
  <c r="AD339" i="64"/>
  <c r="AE339" i="64"/>
  <c r="AD340" i="64"/>
  <c r="AE340" i="64"/>
  <c r="AD341" i="64"/>
  <c r="AE341" i="64"/>
  <c r="AD342" i="64"/>
  <c r="AE342" i="64"/>
  <c r="AD343" i="64"/>
  <c r="AE343" i="64"/>
  <c r="AD344" i="64"/>
  <c r="AE344" i="64"/>
  <c r="AD345" i="64"/>
  <c r="AE345" i="64"/>
  <c r="AD346" i="64"/>
  <c r="AE346" i="64"/>
  <c r="AD347" i="64"/>
  <c r="AE347" i="64"/>
  <c r="AD348" i="64"/>
  <c r="AE348" i="64"/>
  <c r="AD349" i="64"/>
  <c r="AE349" i="64"/>
  <c r="AD350" i="64"/>
  <c r="AE350" i="64"/>
  <c r="AD351" i="64"/>
  <c r="AE351" i="64"/>
  <c r="AD352" i="64"/>
  <c r="AE352" i="64"/>
  <c r="AD353" i="64"/>
  <c r="AE353" i="64"/>
  <c r="AD354" i="64"/>
  <c r="AE354" i="64"/>
  <c r="AD355" i="64"/>
  <c r="AE355" i="64"/>
  <c r="AD356" i="64"/>
  <c r="AE356" i="64"/>
  <c r="AD357" i="64"/>
  <c r="AE357" i="64"/>
  <c r="AD358" i="64"/>
  <c r="AE358" i="64"/>
  <c r="AD359" i="64"/>
  <c r="AE359" i="64"/>
  <c r="AD360" i="64"/>
  <c r="AE360" i="64"/>
  <c r="AD361" i="64"/>
  <c r="AE361" i="64"/>
  <c r="AD362" i="64"/>
  <c r="AE362" i="64"/>
  <c r="AD363" i="64"/>
  <c r="AE363" i="64"/>
  <c r="AD364" i="64"/>
  <c r="AE364" i="64"/>
  <c r="AD365" i="64"/>
  <c r="AE365" i="64"/>
  <c r="AD366" i="64"/>
  <c r="AE366" i="64"/>
  <c r="AD367" i="64"/>
  <c r="AE367" i="64"/>
  <c r="AD368" i="64"/>
  <c r="AE368" i="64"/>
  <c r="AD369" i="64"/>
  <c r="AE369" i="64"/>
  <c r="AD370" i="64"/>
  <c r="AE370" i="64"/>
  <c r="AD371" i="64"/>
  <c r="AE371" i="64"/>
  <c r="AD372" i="64"/>
  <c r="AE372" i="64"/>
  <c r="AD373" i="64"/>
  <c r="AE373" i="64"/>
  <c r="AD374" i="64"/>
  <c r="AE374" i="64"/>
  <c r="AD375" i="64"/>
  <c r="AE375" i="64"/>
  <c r="AD376" i="64"/>
  <c r="AE376" i="64"/>
  <c r="AD377" i="64"/>
  <c r="AE377" i="64"/>
  <c r="AD378" i="64"/>
  <c r="AE378" i="64"/>
  <c r="AD379" i="64"/>
  <c r="AE379" i="64"/>
  <c r="AD380" i="64"/>
  <c r="AE380" i="64"/>
  <c r="AD381" i="64"/>
  <c r="AE381" i="64"/>
  <c r="AD382" i="64"/>
  <c r="AE382" i="64"/>
  <c r="AD383" i="64"/>
  <c r="AE383" i="64"/>
  <c r="AD384" i="64"/>
  <c r="AE384" i="64"/>
  <c r="AD385" i="64"/>
  <c r="AE385" i="64"/>
  <c r="AD386" i="64"/>
  <c r="AE386" i="64"/>
  <c r="AD387" i="64"/>
  <c r="AE387" i="64"/>
  <c r="AD388" i="64"/>
  <c r="AE388" i="64"/>
  <c r="AD389" i="64"/>
  <c r="AE389" i="64"/>
  <c r="AD390" i="64"/>
  <c r="AE390" i="64"/>
  <c r="AD391" i="64"/>
  <c r="AE391" i="64"/>
  <c r="AD392" i="64"/>
  <c r="AE392" i="64"/>
  <c r="AD393" i="64"/>
  <c r="AE393" i="64"/>
  <c r="AD394" i="64"/>
  <c r="AE394" i="64"/>
  <c r="T12" i="64"/>
  <c r="U12" i="64" s="1"/>
  <c r="T13" i="64"/>
  <c r="U13" i="64" s="1"/>
  <c r="T14" i="64"/>
  <c r="U14" i="64" s="1"/>
  <c r="T15" i="64"/>
  <c r="U15" i="64" s="1"/>
  <c r="T16" i="64"/>
  <c r="U16" i="64" s="1"/>
  <c r="T17" i="64"/>
  <c r="U17" i="64" s="1"/>
  <c r="T18" i="64"/>
  <c r="U18" i="64" s="1"/>
  <c r="T19" i="64"/>
  <c r="U19" i="64" s="1"/>
  <c r="T20" i="64"/>
  <c r="U20" i="64" s="1"/>
  <c r="T21" i="64"/>
  <c r="U21" i="64" s="1"/>
  <c r="T22" i="64"/>
  <c r="U22" i="64" s="1"/>
  <c r="T23" i="64"/>
  <c r="U23" i="64" s="1"/>
  <c r="T24" i="64"/>
  <c r="U24" i="64" s="1"/>
  <c r="T25" i="64"/>
  <c r="U25" i="64" s="1"/>
  <c r="T26" i="64"/>
  <c r="U26" i="64" s="1"/>
  <c r="T27" i="64"/>
  <c r="U27" i="64" s="1"/>
  <c r="T28" i="64"/>
  <c r="U28" i="64" s="1"/>
  <c r="T29" i="64"/>
  <c r="U29" i="64" s="1"/>
  <c r="T30" i="64"/>
  <c r="U30" i="64" s="1"/>
  <c r="T31" i="64"/>
  <c r="U31" i="64" s="1"/>
  <c r="T32" i="64"/>
  <c r="U32" i="64" s="1"/>
  <c r="T33" i="64"/>
  <c r="U33" i="64" s="1"/>
  <c r="T34" i="64"/>
  <c r="U34" i="64" s="1"/>
  <c r="T35" i="64"/>
  <c r="U35" i="64" s="1"/>
  <c r="T36" i="64"/>
  <c r="U36" i="64" s="1"/>
  <c r="T37" i="64"/>
  <c r="U37" i="64" s="1"/>
  <c r="T38" i="64"/>
  <c r="U38" i="64" s="1"/>
  <c r="T39" i="64"/>
  <c r="U39" i="64" s="1"/>
  <c r="T40" i="64"/>
  <c r="U40" i="64" s="1"/>
  <c r="T41" i="64"/>
  <c r="U41" i="64" s="1"/>
  <c r="T42" i="64"/>
  <c r="U42" i="64" s="1"/>
  <c r="T43" i="64"/>
  <c r="U43" i="64" s="1"/>
  <c r="T44" i="64"/>
  <c r="U44" i="64" s="1"/>
  <c r="T45" i="64"/>
  <c r="U45" i="64" s="1"/>
  <c r="T46" i="64"/>
  <c r="U46" i="64" s="1"/>
  <c r="T47" i="64"/>
  <c r="U47" i="64" s="1"/>
  <c r="T48" i="64"/>
  <c r="U48" i="64" s="1"/>
  <c r="T49" i="64"/>
  <c r="U49" i="64" s="1"/>
  <c r="T50" i="64"/>
  <c r="U50" i="64" s="1"/>
  <c r="T51" i="64"/>
  <c r="U51" i="64" s="1"/>
  <c r="T52" i="64"/>
  <c r="U52" i="64" s="1"/>
  <c r="T53" i="64"/>
  <c r="U53" i="64" s="1"/>
  <c r="T54" i="64"/>
  <c r="U54" i="64" s="1"/>
  <c r="T55" i="64"/>
  <c r="U55" i="64" s="1"/>
  <c r="T56" i="64"/>
  <c r="U56" i="64" s="1"/>
  <c r="T57" i="64"/>
  <c r="U57" i="64" s="1"/>
  <c r="T58" i="64"/>
  <c r="U58" i="64" s="1"/>
  <c r="T59" i="64"/>
  <c r="U59" i="64" s="1"/>
  <c r="T60" i="64"/>
  <c r="U60" i="64" s="1"/>
  <c r="T61" i="64"/>
  <c r="U61" i="64" s="1"/>
  <c r="T62" i="64"/>
  <c r="U62" i="64" s="1"/>
  <c r="T63" i="64"/>
  <c r="U63" i="64" s="1"/>
  <c r="T64" i="64"/>
  <c r="U64" i="64" s="1"/>
  <c r="T65" i="64"/>
  <c r="U65" i="64" s="1"/>
  <c r="T66" i="64"/>
  <c r="U66" i="64" s="1"/>
  <c r="T67" i="64"/>
  <c r="U67" i="64" s="1"/>
  <c r="T68" i="64"/>
  <c r="U68" i="64" s="1"/>
  <c r="T69" i="64"/>
  <c r="U69" i="64" s="1"/>
  <c r="T70" i="64"/>
  <c r="U70" i="64" s="1"/>
  <c r="T71" i="64"/>
  <c r="U71" i="64" s="1"/>
  <c r="T72" i="64"/>
  <c r="U72" i="64" s="1"/>
  <c r="T73" i="64"/>
  <c r="U73" i="64" s="1"/>
  <c r="T74" i="64"/>
  <c r="U74" i="64" s="1"/>
  <c r="T75" i="64"/>
  <c r="U75" i="64" s="1"/>
  <c r="T76" i="64"/>
  <c r="U76" i="64" s="1"/>
  <c r="T77" i="64"/>
  <c r="U77" i="64" s="1"/>
  <c r="T78" i="64"/>
  <c r="U78" i="64" s="1"/>
  <c r="T79" i="64"/>
  <c r="U79" i="64" s="1"/>
  <c r="T80" i="64"/>
  <c r="U80" i="64" s="1"/>
  <c r="T81" i="64"/>
  <c r="U81" i="64" s="1"/>
  <c r="T82" i="64"/>
  <c r="U82" i="64" s="1"/>
  <c r="T83" i="64"/>
  <c r="U83" i="64" s="1"/>
  <c r="T84" i="64"/>
  <c r="U84" i="64" s="1"/>
  <c r="T85" i="64"/>
  <c r="U85" i="64" s="1"/>
  <c r="T86" i="64"/>
  <c r="U86" i="64" s="1"/>
  <c r="T87" i="64"/>
  <c r="U87" i="64" s="1"/>
  <c r="T88" i="64"/>
  <c r="U88" i="64" s="1"/>
  <c r="T89" i="64"/>
  <c r="U89" i="64" s="1"/>
  <c r="T90" i="64"/>
  <c r="U90" i="64" s="1"/>
  <c r="T91" i="64"/>
  <c r="U91" i="64" s="1"/>
  <c r="T92" i="64"/>
  <c r="U92" i="64" s="1"/>
  <c r="T93" i="64"/>
  <c r="U93" i="64" s="1"/>
  <c r="T94" i="64"/>
  <c r="U94" i="64" s="1"/>
  <c r="T95" i="64"/>
  <c r="U95" i="64" s="1"/>
  <c r="T96" i="64"/>
  <c r="U96" i="64" s="1"/>
  <c r="T97" i="64"/>
  <c r="U97" i="64" s="1"/>
  <c r="T98" i="64"/>
  <c r="U98" i="64" s="1"/>
  <c r="T99" i="64"/>
  <c r="U99" i="64" s="1"/>
  <c r="T100" i="64"/>
  <c r="U100" i="64" s="1"/>
  <c r="T101" i="64"/>
  <c r="U101" i="64" s="1"/>
  <c r="T102" i="64"/>
  <c r="U102" i="64" s="1"/>
  <c r="T103" i="64"/>
  <c r="U103" i="64" s="1"/>
  <c r="T104" i="64"/>
  <c r="U104" i="64" s="1"/>
  <c r="T105" i="64"/>
  <c r="U105" i="64" s="1"/>
  <c r="T106" i="64"/>
  <c r="U106" i="64" s="1"/>
  <c r="T107" i="64"/>
  <c r="U107" i="64" s="1"/>
  <c r="T108" i="64"/>
  <c r="U108" i="64" s="1"/>
  <c r="T109" i="64"/>
  <c r="U109" i="64" s="1"/>
  <c r="T110" i="64"/>
  <c r="U110" i="64" s="1"/>
  <c r="T111" i="64"/>
  <c r="U111" i="64" s="1"/>
  <c r="T112" i="64"/>
  <c r="U112" i="64" s="1"/>
  <c r="T113" i="64"/>
  <c r="U113" i="64" s="1"/>
  <c r="T114" i="64"/>
  <c r="U114" i="64" s="1"/>
  <c r="T115" i="64"/>
  <c r="U115" i="64" s="1"/>
  <c r="T116" i="64"/>
  <c r="U116" i="64" s="1"/>
  <c r="T117" i="64"/>
  <c r="U117" i="64" s="1"/>
  <c r="T118" i="64"/>
  <c r="U118" i="64" s="1"/>
  <c r="T119" i="64"/>
  <c r="U119" i="64" s="1"/>
  <c r="T120" i="64"/>
  <c r="U120" i="64" s="1"/>
  <c r="T121" i="64"/>
  <c r="U121" i="64" s="1"/>
  <c r="T122" i="64"/>
  <c r="U122" i="64" s="1"/>
  <c r="T123" i="64"/>
  <c r="U123" i="64" s="1"/>
  <c r="T124" i="64"/>
  <c r="U124" i="64" s="1"/>
  <c r="T125" i="64"/>
  <c r="U125" i="64" s="1"/>
  <c r="T126" i="64"/>
  <c r="U126" i="64" s="1"/>
  <c r="T127" i="64"/>
  <c r="U127" i="64" s="1"/>
  <c r="T128" i="64"/>
  <c r="U128" i="64" s="1"/>
  <c r="T129" i="64"/>
  <c r="U129" i="64" s="1"/>
  <c r="T130" i="64"/>
  <c r="U130" i="64" s="1"/>
  <c r="T131" i="64"/>
  <c r="U131" i="64" s="1"/>
  <c r="T132" i="64"/>
  <c r="U132" i="64" s="1"/>
  <c r="T133" i="64"/>
  <c r="U133" i="64" s="1"/>
  <c r="T134" i="64"/>
  <c r="U134" i="64" s="1"/>
  <c r="T135" i="64"/>
  <c r="U135" i="64" s="1"/>
  <c r="T136" i="64"/>
  <c r="U136" i="64" s="1"/>
  <c r="T137" i="64"/>
  <c r="U137" i="64" s="1"/>
  <c r="T138" i="64"/>
  <c r="U138" i="64" s="1"/>
  <c r="T139" i="64"/>
  <c r="U139" i="64" s="1"/>
  <c r="T140" i="64"/>
  <c r="U140" i="64" s="1"/>
  <c r="T141" i="64"/>
  <c r="U141" i="64" s="1"/>
  <c r="T142" i="64"/>
  <c r="U142" i="64" s="1"/>
  <c r="T143" i="64"/>
  <c r="U143" i="64" s="1"/>
  <c r="T144" i="64"/>
  <c r="U144" i="64" s="1"/>
  <c r="T145" i="64"/>
  <c r="U145" i="64" s="1"/>
  <c r="T146" i="64"/>
  <c r="U146" i="64" s="1"/>
  <c r="T147" i="64"/>
  <c r="U147" i="64" s="1"/>
  <c r="T148" i="64"/>
  <c r="U148" i="64" s="1"/>
  <c r="T149" i="64"/>
  <c r="U149" i="64" s="1"/>
  <c r="T150" i="64"/>
  <c r="U150" i="64" s="1"/>
  <c r="T151" i="64"/>
  <c r="U151" i="64" s="1"/>
  <c r="T152" i="64"/>
  <c r="U152" i="64" s="1"/>
  <c r="T153" i="64"/>
  <c r="U153" i="64" s="1"/>
  <c r="T154" i="64"/>
  <c r="U154" i="64" s="1"/>
  <c r="T155" i="64"/>
  <c r="U155" i="64" s="1"/>
  <c r="T156" i="64"/>
  <c r="U156" i="64" s="1"/>
  <c r="T157" i="64"/>
  <c r="U157" i="64" s="1"/>
  <c r="T158" i="64"/>
  <c r="U158" i="64" s="1"/>
  <c r="T159" i="64"/>
  <c r="U159" i="64" s="1"/>
  <c r="T160" i="64"/>
  <c r="U160" i="64" s="1"/>
  <c r="T161" i="64"/>
  <c r="U161" i="64" s="1"/>
  <c r="T162" i="64"/>
  <c r="U162" i="64" s="1"/>
  <c r="T163" i="64"/>
  <c r="U163" i="64" s="1"/>
  <c r="T164" i="64"/>
  <c r="U164" i="64" s="1"/>
  <c r="T165" i="64"/>
  <c r="U165" i="64" s="1"/>
  <c r="T166" i="64"/>
  <c r="U166" i="64" s="1"/>
  <c r="T167" i="64"/>
  <c r="U167" i="64" s="1"/>
  <c r="T168" i="64"/>
  <c r="U168" i="64" s="1"/>
  <c r="T169" i="64"/>
  <c r="U169" i="64" s="1"/>
  <c r="T170" i="64"/>
  <c r="U170" i="64" s="1"/>
  <c r="T171" i="64"/>
  <c r="U171" i="64" s="1"/>
  <c r="T172" i="64"/>
  <c r="U172" i="64" s="1"/>
  <c r="T173" i="64"/>
  <c r="U173" i="64" s="1"/>
  <c r="T174" i="64"/>
  <c r="U174" i="64" s="1"/>
  <c r="T175" i="64"/>
  <c r="U175" i="64" s="1"/>
  <c r="T176" i="64"/>
  <c r="U176" i="64" s="1"/>
  <c r="T177" i="64"/>
  <c r="U177" i="64" s="1"/>
  <c r="T178" i="64"/>
  <c r="U178" i="64" s="1"/>
  <c r="T179" i="64"/>
  <c r="U179" i="64" s="1"/>
  <c r="T180" i="64"/>
  <c r="U180" i="64" s="1"/>
  <c r="T181" i="64"/>
  <c r="U181" i="64" s="1"/>
  <c r="T182" i="64"/>
  <c r="U182" i="64"/>
  <c r="T183" i="64"/>
  <c r="U183" i="64"/>
  <c r="T184" i="64"/>
  <c r="U184" i="64"/>
  <c r="T185" i="64"/>
  <c r="U185" i="64"/>
  <c r="T186" i="64"/>
  <c r="U186" i="64"/>
  <c r="T187" i="64"/>
  <c r="U187" i="64"/>
  <c r="T188" i="64"/>
  <c r="U188" i="64"/>
  <c r="T189" i="64"/>
  <c r="U189" i="64"/>
  <c r="T190" i="64"/>
  <c r="U190" i="64"/>
  <c r="T191" i="64"/>
  <c r="U191" i="64"/>
  <c r="T192" i="64"/>
  <c r="U192" i="64"/>
  <c r="T193" i="64"/>
  <c r="U193" i="64"/>
  <c r="T194" i="64"/>
  <c r="U194" i="64"/>
  <c r="T195" i="64"/>
  <c r="U195" i="64"/>
  <c r="T196" i="64"/>
  <c r="U196" i="64"/>
  <c r="T197" i="64"/>
  <c r="U197" i="64"/>
  <c r="T198" i="64"/>
  <c r="U198" i="64"/>
  <c r="T199" i="64"/>
  <c r="U199" i="64"/>
  <c r="T200" i="64"/>
  <c r="U200" i="64"/>
  <c r="T201" i="64"/>
  <c r="U201" i="64"/>
  <c r="T202" i="64"/>
  <c r="U202" i="64"/>
  <c r="T203" i="64"/>
  <c r="U203" i="64"/>
  <c r="T204" i="64"/>
  <c r="U204" i="64"/>
  <c r="T205" i="64"/>
  <c r="U205" i="64"/>
  <c r="T206" i="64"/>
  <c r="U206" i="64"/>
  <c r="T207" i="64"/>
  <c r="U207" i="64"/>
  <c r="T208" i="64"/>
  <c r="U208" i="64"/>
  <c r="T209" i="64"/>
  <c r="U209" i="64"/>
  <c r="T210" i="64"/>
  <c r="U210" i="64"/>
  <c r="T211" i="64"/>
  <c r="U211" i="64"/>
  <c r="T212" i="64"/>
  <c r="U212" i="64"/>
  <c r="T213" i="64"/>
  <c r="U213" i="64"/>
  <c r="T214" i="64"/>
  <c r="U214" i="64"/>
  <c r="T215" i="64"/>
  <c r="U215" i="64"/>
  <c r="T216" i="64"/>
  <c r="U216" i="64"/>
  <c r="T217" i="64"/>
  <c r="U217" i="64"/>
  <c r="T218" i="64"/>
  <c r="U218" i="64"/>
  <c r="T219" i="64"/>
  <c r="U219" i="64"/>
  <c r="T220" i="64"/>
  <c r="U220" i="64"/>
  <c r="T221" i="64"/>
  <c r="U221" i="64" s="1"/>
  <c r="T222" i="64"/>
  <c r="U222" i="64"/>
  <c r="T223" i="64"/>
  <c r="U223" i="64"/>
  <c r="T224" i="64"/>
  <c r="U224" i="64" s="1"/>
  <c r="T225" i="64"/>
  <c r="U225" i="64" s="1"/>
  <c r="T226" i="64"/>
  <c r="U226" i="64" s="1"/>
  <c r="T227" i="64"/>
  <c r="U227" i="64" s="1"/>
  <c r="T228" i="64"/>
  <c r="U228" i="64" s="1"/>
  <c r="T229" i="64"/>
  <c r="U229" i="64" s="1"/>
  <c r="T230" i="64"/>
  <c r="U230" i="64" s="1"/>
  <c r="T231" i="64"/>
  <c r="U231" i="64" s="1"/>
  <c r="T232" i="64"/>
  <c r="U232" i="64" s="1"/>
  <c r="T233" i="64"/>
  <c r="U233" i="64" s="1"/>
  <c r="T234" i="64"/>
  <c r="U234" i="64" s="1"/>
  <c r="T235" i="64"/>
  <c r="U235" i="64" s="1"/>
  <c r="T236" i="64"/>
  <c r="U236" i="64" s="1"/>
  <c r="T237" i="64"/>
  <c r="U237" i="64" s="1"/>
  <c r="T238" i="64"/>
  <c r="U238" i="64" s="1"/>
  <c r="T239" i="64"/>
  <c r="U239" i="64" s="1"/>
  <c r="T240" i="64"/>
  <c r="U240" i="64" s="1"/>
  <c r="T241" i="64"/>
  <c r="U241" i="64" s="1"/>
  <c r="T242" i="64"/>
  <c r="U242" i="64" s="1"/>
  <c r="T243" i="64"/>
  <c r="U243" i="64" s="1"/>
  <c r="T244" i="64"/>
  <c r="U244" i="64" s="1"/>
  <c r="T245" i="64"/>
  <c r="U245" i="64" s="1"/>
  <c r="T246" i="64"/>
  <c r="U246" i="64" s="1"/>
  <c r="T247" i="64"/>
  <c r="U247" i="64" s="1"/>
  <c r="T248" i="64"/>
  <c r="U248" i="64" s="1"/>
  <c r="T249" i="64"/>
  <c r="U249" i="64" s="1"/>
  <c r="T250" i="64"/>
  <c r="U250" i="64" s="1"/>
  <c r="T251" i="64"/>
  <c r="U251" i="64" s="1"/>
  <c r="T252" i="64"/>
  <c r="U252" i="64" s="1"/>
  <c r="T253" i="64"/>
  <c r="U253" i="64" s="1"/>
  <c r="T254" i="64"/>
  <c r="U254" i="64" s="1"/>
  <c r="T255" i="64"/>
  <c r="U255" i="64" s="1"/>
  <c r="T256" i="64"/>
  <c r="U256" i="64" s="1"/>
  <c r="T257" i="64"/>
  <c r="U257" i="64" s="1"/>
  <c r="T258" i="64"/>
  <c r="U258" i="64" s="1"/>
  <c r="T259" i="64"/>
  <c r="U259" i="64" s="1"/>
  <c r="T260" i="64"/>
  <c r="U260" i="64" s="1"/>
  <c r="T261" i="64"/>
  <c r="U261" i="64" s="1"/>
  <c r="T262" i="64"/>
  <c r="U262" i="64" s="1"/>
  <c r="T263" i="64"/>
  <c r="U263" i="64" s="1"/>
  <c r="T264" i="64"/>
  <c r="U264" i="64" s="1"/>
  <c r="T265" i="64"/>
  <c r="U265" i="64" s="1"/>
  <c r="T266" i="64"/>
  <c r="U266" i="64" s="1"/>
  <c r="T267" i="64"/>
  <c r="U267" i="64" s="1"/>
  <c r="T268" i="64"/>
  <c r="U268" i="64" s="1"/>
  <c r="T269" i="64"/>
  <c r="U269" i="64" s="1"/>
  <c r="T270" i="64"/>
  <c r="U270" i="64" s="1"/>
  <c r="T271" i="64"/>
  <c r="U271" i="64" s="1"/>
  <c r="T272" i="64"/>
  <c r="U272" i="64" s="1"/>
  <c r="T273" i="64"/>
  <c r="U273" i="64" s="1"/>
  <c r="T274" i="64"/>
  <c r="U274" i="64" s="1"/>
  <c r="T275" i="64"/>
  <c r="U275" i="64" s="1"/>
  <c r="T276" i="64"/>
  <c r="U276" i="64" s="1"/>
  <c r="T277" i="64"/>
  <c r="U277" i="64" s="1"/>
  <c r="T278" i="64"/>
  <c r="U278" i="64" s="1"/>
  <c r="T279" i="64"/>
  <c r="U279" i="64" s="1"/>
  <c r="T280" i="64"/>
  <c r="U280" i="64" s="1"/>
  <c r="T281" i="64"/>
  <c r="U281" i="64" s="1"/>
  <c r="T282" i="64"/>
  <c r="U282" i="64" s="1"/>
  <c r="T283" i="64"/>
  <c r="U283" i="64" s="1"/>
  <c r="T284" i="64"/>
  <c r="U284" i="64" s="1"/>
  <c r="T285" i="64"/>
  <c r="U285" i="64" s="1"/>
  <c r="T286" i="64"/>
  <c r="U286" i="64" s="1"/>
  <c r="T287" i="64"/>
  <c r="U287" i="64" s="1"/>
  <c r="T288" i="64"/>
  <c r="U288" i="64" s="1"/>
  <c r="T289" i="64"/>
  <c r="U289" i="64" s="1"/>
  <c r="T290" i="64"/>
  <c r="U290" i="64" s="1"/>
  <c r="T291" i="64"/>
  <c r="U291" i="64" s="1"/>
  <c r="T292" i="64"/>
  <c r="U292" i="64" s="1"/>
  <c r="T293" i="64"/>
  <c r="U293" i="64" s="1"/>
  <c r="T294" i="64"/>
  <c r="U294" i="64" s="1"/>
  <c r="T295" i="64"/>
  <c r="U295" i="64" s="1"/>
  <c r="T296" i="64"/>
  <c r="U296" i="64" s="1"/>
  <c r="T297" i="64"/>
  <c r="U297" i="64" s="1"/>
  <c r="T298" i="64"/>
  <c r="U298" i="64" s="1"/>
  <c r="T299" i="64"/>
  <c r="U299" i="64" s="1"/>
  <c r="T300" i="64"/>
  <c r="U300" i="64" s="1"/>
  <c r="T301" i="64"/>
  <c r="U301" i="64" s="1"/>
  <c r="T302" i="64"/>
  <c r="U302" i="64" s="1"/>
  <c r="T303" i="64"/>
  <c r="U303" i="64" s="1"/>
  <c r="T304" i="64"/>
  <c r="U304" i="64" s="1"/>
  <c r="T305" i="64"/>
  <c r="U305" i="64" s="1"/>
  <c r="T306" i="64"/>
  <c r="U306" i="64" s="1"/>
  <c r="T307" i="64"/>
  <c r="U307" i="64" s="1"/>
  <c r="T308" i="64"/>
  <c r="U308" i="64" s="1"/>
  <c r="T309" i="64"/>
  <c r="U309" i="64" s="1"/>
  <c r="T310" i="64"/>
  <c r="U310" i="64" s="1"/>
  <c r="T311" i="64"/>
  <c r="U311" i="64" s="1"/>
  <c r="T312" i="64"/>
  <c r="U312" i="64" s="1"/>
  <c r="T313" i="64"/>
  <c r="U313" i="64" s="1"/>
  <c r="T314" i="64"/>
  <c r="U314" i="64" s="1"/>
  <c r="T315" i="64"/>
  <c r="U315" i="64" s="1"/>
  <c r="T316" i="64"/>
  <c r="U316" i="64" s="1"/>
  <c r="T317" i="64"/>
  <c r="U317" i="64" s="1"/>
  <c r="T318" i="64"/>
  <c r="U318" i="64" s="1"/>
  <c r="T319" i="64"/>
  <c r="U319" i="64" s="1"/>
  <c r="T320" i="64"/>
  <c r="U320" i="64" s="1"/>
  <c r="T321" i="64"/>
  <c r="U321" i="64" s="1"/>
  <c r="T322" i="64"/>
  <c r="U322" i="64" s="1"/>
  <c r="T323" i="64"/>
  <c r="U323" i="64" s="1"/>
  <c r="T324" i="64"/>
  <c r="U324" i="64" s="1"/>
  <c r="T325" i="64"/>
  <c r="U325" i="64" s="1"/>
  <c r="T326" i="64"/>
  <c r="U326" i="64" s="1"/>
  <c r="T327" i="64"/>
  <c r="U327" i="64" s="1"/>
  <c r="T328" i="64"/>
  <c r="U328" i="64" s="1"/>
  <c r="T329" i="64"/>
  <c r="U329" i="64" s="1"/>
  <c r="T330" i="64"/>
  <c r="U330" i="64" s="1"/>
  <c r="T331" i="64"/>
  <c r="U331" i="64" s="1"/>
  <c r="T332" i="64"/>
  <c r="U332" i="64" s="1"/>
  <c r="T333" i="64"/>
  <c r="U333" i="64" s="1"/>
  <c r="T334" i="64"/>
  <c r="U334" i="64" s="1"/>
  <c r="T335" i="64"/>
  <c r="U335" i="64" s="1"/>
  <c r="T336" i="64"/>
  <c r="U336" i="64" s="1"/>
  <c r="T337" i="64"/>
  <c r="U337" i="64" s="1"/>
  <c r="T338" i="64"/>
  <c r="U338" i="64" s="1"/>
  <c r="T339" i="64"/>
  <c r="U339" i="64" s="1"/>
  <c r="T340" i="64"/>
  <c r="U340" i="64" s="1"/>
  <c r="T341" i="64"/>
  <c r="U341" i="64" s="1"/>
  <c r="T342" i="64"/>
  <c r="U342" i="64" s="1"/>
  <c r="T343" i="64"/>
  <c r="U343" i="64" s="1"/>
  <c r="T344" i="64"/>
  <c r="U344" i="64" s="1"/>
  <c r="T345" i="64"/>
  <c r="U345" i="64" s="1"/>
  <c r="T346" i="64"/>
  <c r="U346" i="64" s="1"/>
  <c r="T347" i="64"/>
  <c r="U347" i="64" s="1"/>
  <c r="T348" i="64"/>
  <c r="U348" i="64" s="1"/>
  <c r="T349" i="64"/>
  <c r="U349" i="64" s="1"/>
  <c r="T350" i="64"/>
  <c r="U350" i="64" s="1"/>
  <c r="T351" i="64"/>
  <c r="U351" i="64" s="1"/>
  <c r="T352" i="64"/>
  <c r="U352" i="64" s="1"/>
  <c r="T353" i="64"/>
  <c r="U353" i="64" s="1"/>
  <c r="T354" i="64"/>
  <c r="U354" i="64" s="1"/>
  <c r="T355" i="64"/>
  <c r="U355" i="64" s="1"/>
  <c r="T356" i="64"/>
  <c r="U356" i="64" s="1"/>
  <c r="T357" i="64"/>
  <c r="U357" i="64" s="1"/>
  <c r="T358" i="64"/>
  <c r="U358" i="64" s="1"/>
  <c r="T359" i="64"/>
  <c r="U359" i="64" s="1"/>
  <c r="T360" i="64"/>
  <c r="U360" i="64" s="1"/>
  <c r="T361" i="64"/>
  <c r="U361" i="64" s="1"/>
  <c r="T362" i="64"/>
  <c r="U362" i="64" s="1"/>
  <c r="T363" i="64"/>
  <c r="U363" i="64" s="1"/>
  <c r="T364" i="64"/>
  <c r="U364" i="64" s="1"/>
  <c r="T365" i="64"/>
  <c r="U365" i="64" s="1"/>
  <c r="T366" i="64"/>
  <c r="U366" i="64" s="1"/>
  <c r="T367" i="64"/>
  <c r="U367" i="64" s="1"/>
  <c r="T368" i="64"/>
  <c r="U368" i="64" s="1"/>
  <c r="T369" i="64"/>
  <c r="U369" i="64" s="1"/>
  <c r="T370" i="64"/>
  <c r="U370" i="64" s="1"/>
  <c r="T371" i="64"/>
  <c r="U371" i="64" s="1"/>
  <c r="T372" i="64"/>
  <c r="U372" i="64" s="1"/>
  <c r="T373" i="64"/>
  <c r="U373" i="64" s="1"/>
  <c r="T374" i="64"/>
  <c r="U374" i="64" s="1"/>
  <c r="T375" i="64"/>
  <c r="U375" i="64" s="1"/>
  <c r="T376" i="64"/>
  <c r="U376" i="64" s="1"/>
  <c r="T377" i="64"/>
  <c r="U377" i="64" s="1"/>
  <c r="T378" i="64"/>
  <c r="U378" i="64" s="1"/>
  <c r="T379" i="64"/>
  <c r="U379" i="64" s="1"/>
  <c r="T380" i="64"/>
  <c r="U380" i="64" s="1"/>
  <c r="T381" i="64"/>
  <c r="U381" i="64" s="1"/>
  <c r="T382" i="64"/>
  <c r="U382" i="64" s="1"/>
  <c r="T383" i="64"/>
  <c r="U383" i="64" s="1"/>
  <c r="T384" i="64"/>
  <c r="U384" i="64" s="1"/>
  <c r="T385" i="64"/>
  <c r="U385" i="64" s="1"/>
  <c r="T386" i="64"/>
  <c r="U386" i="64" s="1"/>
  <c r="T387" i="64"/>
  <c r="U387" i="64" s="1"/>
  <c r="T388" i="64"/>
  <c r="U388" i="64" s="1"/>
  <c r="T389" i="64"/>
  <c r="U389" i="64" s="1"/>
  <c r="T390" i="64"/>
  <c r="U390" i="64" s="1"/>
  <c r="T391" i="64"/>
  <c r="U391" i="64" s="1"/>
  <c r="T392" i="64"/>
  <c r="U392" i="64" s="1"/>
  <c r="T393" i="64"/>
  <c r="U393" i="64"/>
  <c r="T394" i="64"/>
  <c r="U394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/>
  <c r="L98" i="64"/>
  <c r="M98" i="64"/>
  <c r="L99" i="64"/>
  <c r="M99" i="64"/>
  <c r="L100" i="64"/>
  <c r="M100" i="64"/>
  <c r="L101" i="64"/>
  <c r="M101" i="64"/>
  <c r="L102" i="64"/>
  <c r="M102" i="64"/>
  <c r="L103" i="64"/>
  <c r="M103" i="64"/>
  <c r="L104" i="64"/>
  <c r="M104" i="64"/>
  <c r="L105" i="64"/>
  <c r="M105" i="64"/>
  <c r="L106" i="64"/>
  <c r="M106" i="64"/>
  <c r="L107" i="64"/>
  <c r="M107" i="64"/>
  <c r="L108" i="64"/>
  <c r="M108" i="64"/>
  <c r="L109" i="64"/>
  <c r="M109" i="64"/>
  <c r="L110" i="64"/>
  <c r="M110" i="64"/>
  <c r="L111" i="64"/>
  <c r="M111" i="64"/>
  <c r="L112" i="64"/>
  <c r="M112" i="64"/>
  <c r="L113" i="64"/>
  <c r="M113" i="64"/>
  <c r="L114" i="64"/>
  <c r="M114" i="64"/>
  <c r="L115" i="64"/>
  <c r="M115" i="64"/>
  <c r="L116" i="64"/>
  <c r="M116" i="64"/>
  <c r="L117" i="64"/>
  <c r="M117" i="64"/>
  <c r="L118" i="64"/>
  <c r="M118" i="64"/>
  <c r="L119" i="64"/>
  <c r="M119" i="64"/>
  <c r="L120" i="64"/>
  <c r="M120" i="64"/>
  <c r="L121" i="64"/>
  <c r="M121" i="64"/>
  <c r="L122" i="64"/>
  <c r="M122" i="64"/>
  <c r="L123" i="64"/>
  <c r="M123" i="64"/>
  <c r="L124" i="64"/>
  <c r="M124" i="64"/>
  <c r="L125" i="64"/>
  <c r="M125" i="64"/>
  <c r="L126" i="64"/>
  <c r="M126" i="64"/>
  <c r="L127" i="64"/>
  <c r="M127" i="64"/>
  <c r="L128" i="64"/>
  <c r="M128" i="64"/>
  <c r="L129" i="64"/>
  <c r="M129" i="64"/>
  <c r="L130" i="64"/>
  <c r="M130" i="64"/>
  <c r="L131" i="64"/>
  <c r="M131" i="64"/>
  <c r="L132" i="64"/>
  <c r="M132" i="64"/>
  <c r="L133" i="64"/>
  <c r="M133" i="64"/>
  <c r="L134" i="64"/>
  <c r="M134" i="64"/>
  <c r="L135" i="64"/>
  <c r="M135" i="64"/>
  <c r="L136" i="64"/>
  <c r="M136" i="64"/>
  <c r="L137" i="64"/>
  <c r="M137" i="64"/>
  <c r="L138" i="64"/>
  <c r="M138" i="64"/>
  <c r="L139" i="64"/>
  <c r="M139" i="64"/>
  <c r="L140" i="64"/>
  <c r="M140" i="64"/>
  <c r="L141" i="64"/>
  <c r="M141" i="64"/>
  <c r="L142" i="64"/>
  <c r="M142" i="64"/>
  <c r="L143" i="64"/>
  <c r="M143" i="64"/>
  <c r="L144" i="64"/>
  <c r="M144" i="64"/>
  <c r="L145" i="64"/>
  <c r="M145" i="64"/>
  <c r="L146" i="64"/>
  <c r="M146" i="64"/>
  <c r="L147" i="64"/>
  <c r="M147" i="64"/>
  <c r="L148" i="64"/>
  <c r="M148" i="64"/>
  <c r="L149" i="64"/>
  <c r="M149" i="64"/>
  <c r="L150" i="64"/>
  <c r="M150" i="64"/>
  <c r="L151" i="64"/>
  <c r="M151" i="64"/>
  <c r="L152" i="64"/>
  <c r="M152" i="64"/>
  <c r="L153" i="64"/>
  <c r="M153" i="64"/>
  <c r="L154" i="64"/>
  <c r="M154" i="64"/>
  <c r="L155" i="64"/>
  <c r="M155" i="64"/>
  <c r="L156" i="64"/>
  <c r="M156" i="64"/>
  <c r="L157" i="64"/>
  <c r="M157" i="64"/>
  <c r="L158" i="64"/>
  <c r="M158" i="64"/>
  <c r="L159" i="64"/>
  <c r="M159" i="64"/>
  <c r="L160" i="64"/>
  <c r="M160" i="64"/>
  <c r="L161" i="64"/>
  <c r="M161" i="64"/>
  <c r="L162" i="64"/>
  <c r="M162" i="64"/>
  <c r="L163" i="64"/>
  <c r="M163" i="64"/>
  <c r="L164" i="64"/>
  <c r="M164" i="64"/>
  <c r="L165" i="64"/>
  <c r="M165" i="64"/>
  <c r="L166" i="64"/>
  <c r="M166" i="64"/>
  <c r="L167" i="64"/>
  <c r="M167" i="64"/>
  <c r="L168" i="64"/>
  <c r="M168" i="64"/>
  <c r="L169" i="64"/>
  <c r="M169" i="64"/>
  <c r="L170" i="64"/>
  <c r="M170" i="64"/>
  <c r="L171" i="64"/>
  <c r="M171" i="64"/>
  <c r="L172" i="64"/>
  <c r="M172" i="64"/>
  <c r="L173" i="64"/>
  <c r="M173" i="64"/>
  <c r="L174" i="64"/>
  <c r="M174" i="64"/>
  <c r="L175" i="64"/>
  <c r="M175" i="64"/>
  <c r="L176" i="64"/>
  <c r="M176" i="64"/>
  <c r="L177" i="64"/>
  <c r="M177" i="64"/>
  <c r="L178" i="64"/>
  <c r="M178" i="64"/>
  <c r="L179" i="64"/>
  <c r="M179" i="64"/>
  <c r="L180" i="64"/>
  <c r="M180" i="64"/>
  <c r="L181" i="64"/>
  <c r="M181" i="64"/>
  <c r="L182" i="64"/>
  <c r="M182" i="64"/>
  <c r="L183" i="64"/>
  <c r="M183" i="64"/>
  <c r="L184" i="64"/>
  <c r="M184" i="64"/>
  <c r="L185" i="64"/>
  <c r="M185" i="64"/>
  <c r="L186" i="64"/>
  <c r="M186" i="64"/>
  <c r="L187" i="64"/>
  <c r="M187" i="64"/>
  <c r="L188" i="64"/>
  <c r="M188" i="64"/>
  <c r="L189" i="64"/>
  <c r="M189" i="64"/>
  <c r="L190" i="64"/>
  <c r="M190" i="64"/>
  <c r="L191" i="64"/>
  <c r="M191" i="64"/>
  <c r="L192" i="64"/>
  <c r="M192" i="64"/>
  <c r="L193" i="64"/>
  <c r="M193" i="64"/>
  <c r="L194" i="64"/>
  <c r="M194" i="64"/>
  <c r="L195" i="64"/>
  <c r="M195" i="64"/>
  <c r="L196" i="64"/>
  <c r="M196" i="64"/>
  <c r="L197" i="64"/>
  <c r="M197" i="64"/>
  <c r="L198" i="64"/>
  <c r="M198" i="64"/>
  <c r="L199" i="64"/>
  <c r="M199" i="64"/>
  <c r="L200" i="64"/>
  <c r="M200" i="64"/>
  <c r="L201" i="64"/>
  <c r="M201" i="64"/>
  <c r="L202" i="64"/>
  <c r="M202" i="64"/>
  <c r="L203" i="64"/>
  <c r="M203" i="64"/>
  <c r="L204" i="64"/>
  <c r="M204" i="64"/>
  <c r="L205" i="64"/>
  <c r="M205" i="64"/>
  <c r="L206" i="64"/>
  <c r="M206" i="64"/>
  <c r="L207" i="64"/>
  <c r="M207" i="64"/>
  <c r="L208" i="64"/>
  <c r="M208" i="64"/>
  <c r="L209" i="64"/>
  <c r="M209" i="64"/>
  <c r="L210" i="64"/>
  <c r="M210" i="64"/>
  <c r="L211" i="64"/>
  <c r="M211" i="64"/>
  <c r="L212" i="64"/>
  <c r="M212" i="64"/>
  <c r="L213" i="64"/>
  <c r="M213" i="64"/>
  <c r="L214" i="64"/>
  <c r="M214" i="64"/>
  <c r="L215" i="64"/>
  <c r="M215" i="64"/>
  <c r="L216" i="64"/>
  <c r="M216" i="64"/>
  <c r="L217" i="64"/>
  <c r="M217" i="64"/>
  <c r="L218" i="64"/>
  <c r="M218" i="64"/>
  <c r="L219" i="64"/>
  <c r="M219" i="64"/>
  <c r="L220" i="64"/>
  <c r="M220" i="64"/>
  <c r="L221" i="64"/>
  <c r="M221" i="64"/>
  <c r="L222" i="64"/>
  <c r="M222" i="64"/>
  <c r="L223" i="64"/>
  <c r="M223" i="64"/>
  <c r="L224" i="64"/>
  <c r="M224" i="64"/>
  <c r="L225" i="64"/>
  <c r="M225" i="64"/>
  <c r="L226" i="64"/>
  <c r="M226" i="64"/>
  <c r="L227" i="64"/>
  <c r="M227" i="64"/>
  <c r="L228" i="64"/>
  <c r="M228" i="64"/>
  <c r="L229" i="64"/>
  <c r="M229" i="64"/>
  <c r="L230" i="64"/>
  <c r="M230" i="64"/>
  <c r="L231" i="64"/>
  <c r="M231" i="64"/>
  <c r="L232" i="64"/>
  <c r="M232" i="64"/>
  <c r="L233" i="64"/>
  <c r="M233" i="64"/>
  <c r="L234" i="64"/>
  <c r="M234" i="64"/>
  <c r="L235" i="64"/>
  <c r="M235" i="64"/>
  <c r="L236" i="64"/>
  <c r="M236" i="64"/>
  <c r="L237" i="64"/>
  <c r="M237" i="64"/>
  <c r="L238" i="64"/>
  <c r="M238" i="64"/>
  <c r="L239" i="64"/>
  <c r="M239" i="64"/>
  <c r="L240" i="64"/>
  <c r="M240" i="64"/>
  <c r="L241" i="64"/>
  <c r="M241" i="64"/>
  <c r="L242" i="64"/>
  <c r="M242" i="64"/>
  <c r="L243" i="64"/>
  <c r="M243" i="64"/>
  <c r="L244" i="64"/>
  <c r="M244" i="64"/>
  <c r="L245" i="64"/>
  <c r="M245" i="64"/>
  <c r="L246" i="64"/>
  <c r="M246" i="64"/>
  <c r="L247" i="64"/>
  <c r="M247" i="64"/>
  <c r="L248" i="64"/>
  <c r="M248" i="64"/>
  <c r="L249" i="64"/>
  <c r="M249" i="64"/>
  <c r="L250" i="64"/>
  <c r="M250" i="64"/>
  <c r="L251" i="64"/>
  <c r="M251" i="64"/>
  <c r="L252" i="64"/>
  <c r="M252" i="64"/>
  <c r="L253" i="64"/>
  <c r="M253" i="64"/>
  <c r="L254" i="64"/>
  <c r="M254" i="64"/>
  <c r="L255" i="64"/>
  <c r="M255" i="64"/>
  <c r="L256" i="64"/>
  <c r="M256" i="64"/>
  <c r="L257" i="64"/>
  <c r="M257" i="64"/>
  <c r="L258" i="64"/>
  <c r="M258" i="64"/>
  <c r="L259" i="64"/>
  <c r="M259" i="64"/>
  <c r="L260" i="64"/>
  <c r="M260" i="64"/>
  <c r="L261" i="64"/>
  <c r="M261" i="64"/>
  <c r="L262" i="64"/>
  <c r="M262" i="64"/>
  <c r="L263" i="64"/>
  <c r="M263" i="64"/>
  <c r="L264" i="64"/>
  <c r="M264" i="64"/>
  <c r="L265" i="64"/>
  <c r="M265" i="64"/>
  <c r="L266" i="64"/>
  <c r="M266" i="64"/>
  <c r="L267" i="64"/>
  <c r="M267" i="64"/>
  <c r="L268" i="64"/>
  <c r="M268" i="64"/>
  <c r="L269" i="64"/>
  <c r="M269" i="64"/>
  <c r="L270" i="64"/>
  <c r="M270" i="64"/>
  <c r="L271" i="64"/>
  <c r="M271" i="64"/>
  <c r="L272" i="64"/>
  <c r="M272" i="64"/>
  <c r="L273" i="64"/>
  <c r="M273" i="64"/>
  <c r="L274" i="64"/>
  <c r="M274" i="64"/>
  <c r="L275" i="64"/>
  <c r="M275" i="64"/>
  <c r="L276" i="64"/>
  <c r="M276" i="64"/>
  <c r="L277" i="64"/>
  <c r="M277" i="64"/>
  <c r="L278" i="64"/>
  <c r="M278" i="64"/>
  <c r="L279" i="64"/>
  <c r="M279" i="64"/>
  <c r="L280" i="64"/>
  <c r="M280" i="64"/>
  <c r="L281" i="64"/>
  <c r="M281" i="64"/>
  <c r="L282" i="64"/>
  <c r="M282" i="64"/>
  <c r="L283" i="64"/>
  <c r="M283" i="64"/>
  <c r="L284" i="64"/>
  <c r="M284" i="64"/>
  <c r="L285" i="64"/>
  <c r="M285" i="64"/>
  <c r="L286" i="64"/>
  <c r="M286" i="64"/>
  <c r="L287" i="64"/>
  <c r="M287" i="64"/>
  <c r="L288" i="64"/>
  <c r="M288" i="64"/>
  <c r="L289" i="64"/>
  <c r="M289" i="64"/>
  <c r="L290" i="64"/>
  <c r="M290" i="64"/>
  <c r="L291" i="64"/>
  <c r="M291" i="64"/>
  <c r="L292" i="64"/>
  <c r="M292" i="64"/>
  <c r="L293" i="64"/>
  <c r="M293" i="64"/>
  <c r="L294" i="64"/>
  <c r="M294" i="64"/>
  <c r="L295" i="64"/>
  <c r="M295" i="64"/>
  <c r="L296" i="64"/>
  <c r="M296" i="64"/>
  <c r="L297" i="64"/>
  <c r="M297" i="64"/>
  <c r="L298" i="64"/>
  <c r="M298" i="64"/>
  <c r="L299" i="64"/>
  <c r="M299" i="64"/>
  <c r="L300" i="64"/>
  <c r="M300" i="64"/>
  <c r="L301" i="64"/>
  <c r="M301" i="64"/>
  <c r="L302" i="64"/>
  <c r="M302" i="64"/>
  <c r="L303" i="64"/>
  <c r="M303" i="64"/>
  <c r="L304" i="64"/>
  <c r="M304" i="64"/>
  <c r="L305" i="64"/>
  <c r="M305" i="64"/>
  <c r="L306" i="64"/>
  <c r="M306" i="64"/>
  <c r="L307" i="64"/>
  <c r="M307" i="64"/>
  <c r="L308" i="64"/>
  <c r="M308" i="64"/>
  <c r="L309" i="64"/>
  <c r="M309" i="64"/>
  <c r="L310" i="64"/>
  <c r="M310" i="64"/>
  <c r="L311" i="64"/>
  <c r="M311" i="64"/>
  <c r="L312" i="64"/>
  <c r="M312" i="64"/>
  <c r="L313" i="64"/>
  <c r="M313" i="64"/>
  <c r="L314" i="64"/>
  <c r="M314" i="64"/>
  <c r="L315" i="64"/>
  <c r="M315" i="64"/>
  <c r="L316" i="64"/>
  <c r="M316" i="64"/>
  <c r="L317" i="64"/>
  <c r="M317" i="64"/>
  <c r="L318" i="64"/>
  <c r="M318" i="64"/>
  <c r="L319" i="64"/>
  <c r="M319" i="64"/>
  <c r="L320" i="64"/>
  <c r="M320" i="64"/>
  <c r="L321" i="64"/>
  <c r="M321" i="64"/>
  <c r="L322" i="64"/>
  <c r="M322" i="64"/>
  <c r="L323" i="64"/>
  <c r="M323" i="64"/>
  <c r="L324" i="64"/>
  <c r="M324" i="64"/>
  <c r="L325" i="64"/>
  <c r="M325" i="64"/>
  <c r="L326" i="64"/>
  <c r="M326" i="64"/>
  <c r="L327" i="64"/>
  <c r="M327" i="64"/>
  <c r="L328" i="64"/>
  <c r="M328" i="64"/>
  <c r="L329" i="64"/>
  <c r="M329" i="64"/>
  <c r="L330" i="64"/>
  <c r="M330" i="64"/>
  <c r="L331" i="64"/>
  <c r="M331" i="64"/>
  <c r="L332" i="64"/>
  <c r="M332" i="64"/>
  <c r="L333" i="64"/>
  <c r="M333" i="64"/>
  <c r="L334" i="64"/>
  <c r="M334" i="64"/>
  <c r="L335" i="64"/>
  <c r="M335" i="64"/>
  <c r="L336" i="64"/>
  <c r="M336" i="64"/>
  <c r="L337" i="64"/>
  <c r="M337" i="64"/>
  <c r="L338" i="64"/>
  <c r="M338" i="64"/>
  <c r="L339" i="64"/>
  <c r="M339" i="64"/>
  <c r="L340" i="64"/>
  <c r="M340" i="64"/>
  <c r="L341" i="64"/>
  <c r="M341" i="64"/>
  <c r="L342" i="64"/>
  <c r="M342" i="64"/>
  <c r="L343" i="64"/>
  <c r="M343" i="64"/>
  <c r="L344" i="64"/>
  <c r="M344" i="64"/>
  <c r="L345" i="64"/>
  <c r="M345" i="64"/>
  <c r="L346" i="64"/>
  <c r="M346" i="64"/>
  <c r="L347" i="64"/>
  <c r="M347" i="64"/>
  <c r="L348" i="64"/>
  <c r="M348" i="64"/>
  <c r="L349" i="64"/>
  <c r="M349" i="64"/>
  <c r="L350" i="64"/>
  <c r="M350" i="64"/>
  <c r="L351" i="64"/>
  <c r="M351" i="64"/>
  <c r="L352" i="64"/>
  <c r="M352" i="64"/>
  <c r="L353" i="64"/>
  <c r="M353" i="64"/>
  <c r="L354" i="64"/>
  <c r="M354" i="64"/>
  <c r="L355" i="64"/>
  <c r="M355" i="64"/>
  <c r="L356" i="64"/>
  <c r="M356" i="64"/>
  <c r="L357" i="64"/>
  <c r="M357" i="64"/>
  <c r="L358" i="64"/>
  <c r="M358" i="64"/>
  <c r="L359" i="64"/>
  <c r="M359" i="64"/>
  <c r="L360" i="64"/>
  <c r="M360" i="64"/>
  <c r="L361" i="64"/>
  <c r="M361" i="64"/>
  <c r="L362" i="64"/>
  <c r="M362" i="64"/>
  <c r="L363" i="64"/>
  <c r="M363" i="64"/>
  <c r="L364" i="64"/>
  <c r="M364" i="64"/>
  <c r="L365" i="64"/>
  <c r="M365" i="64"/>
  <c r="L366" i="64"/>
  <c r="M366" i="64"/>
  <c r="L367" i="64"/>
  <c r="M367" i="64"/>
  <c r="L368" i="64"/>
  <c r="M368" i="64"/>
  <c r="L369" i="64"/>
  <c r="M369" i="64"/>
  <c r="L370" i="64"/>
  <c r="M370" i="64"/>
  <c r="L371" i="64"/>
  <c r="M371" i="64"/>
  <c r="L372" i="64"/>
  <c r="M372" i="64"/>
  <c r="L373" i="64"/>
  <c r="M373" i="64"/>
  <c r="L374" i="64"/>
  <c r="M374" i="64"/>
  <c r="L375" i="64"/>
  <c r="M375" i="64"/>
  <c r="L376" i="64"/>
  <c r="M376" i="64"/>
  <c r="L377" i="64"/>
  <c r="M377" i="64"/>
  <c r="L378" i="64"/>
  <c r="M378" i="64"/>
  <c r="L379" i="64"/>
  <c r="M379" i="64"/>
  <c r="L380" i="64"/>
  <c r="M380" i="64"/>
  <c r="L381" i="64"/>
  <c r="M381" i="64" s="1"/>
  <c r="L382" i="64"/>
  <c r="M382" i="64"/>
  <c r="L383" i="64"/>
  <c r="M383" i="64"/>
  <c r="L384" i="64"/>
  <c r="M384" i="64"/>
  <c r="L385" i="64"/>
  <c r="M385" i="64"/>
  <c r="L386" i="64"/>
  <c r="M386" i="64"/>
  <c r="L387" i="64"/>
  <c r="M387" i="64"/>
  <c r="L388" i="64"/>
  <c r="M388" i="64"/>
  <c r="L389" i="64"/>
  <c r="M389" i="64"/>
  <c r="L390" i="64"/>
  <c r="M390" i="64"/>
  <c r="L391" i="64"/>
  <c r="M391" i="64"/>
  <c r="L392" i="64"/>
  <c r="M392" i="64"/>
  <c r="L393" i="64"/>
  <c r="M393" i="64"/>
  <c r="L394" i="64"/>
  <c r="M394" i="64" s="1"/>
  <c r="E5" i="63"/>
  <c r="J5" i="63"/>
  <c r="C21" i="67" l="1"/>
  <c r="CX2" i="67"/>
  <c r="D19" i="67"/>
  <c r="CC9" i="67"/>
  <c r="E19" i="67" s="1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1" i="67"/>
  <c r="L2" i="67"/>
  <c r="C15" i="67"/>
  <c r="AV2" i="67"/>
  <c r="C13" i="67"/>
  <c r="AD2" i="67"/>
  <c r="BC3" i="66"/>
  <c r="AY4" i="66" s="1"/>
  <c r="AW7" i="66"/>
  <c r="AW3" i="66"/>
  <c r="AW5" i="66"/>
  <c r="AI6" i="66"/>
  <c r="A14" i="66" s="1"/>
  <c r="AE7" i="66"/>
  <c r="AE5" i="66"/>
  <c r="AE3" i="66"/>
  <c r="U7" i="66"/>
  <c r="U5" i="66"/>
  <c r="U3" i="66"/>
  <c r="Q6" i="66"/>
  <c r="A12" i="66" s="1"/>
  <c r="M7" i="66"/>
  <c r="M5" i="66"/>
  <c r="M3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CX9" i="66"/>
  <c r="B21" i="66" s="1"/>
  <c r="CF9" i="66"/>
  <c r="B19" i="66" s="1"/>
  <c r="BN9" i="66"/>
  <c r="B17" i="66" s="1"/>
  <c r="AV9" i="66"/>
  <c r="B15" i="66" s="1"/>
  <c r="AD9" i="66"/>
  <c r="B13" i="66" s="1"/>
  <c r="L9" i="66"/>
  <c r="B11" i="66" s="1"/>
  <c r="CN4" i="66"/>
  <c r="DF4" i="66"/>
  <c r="BV4" i="66"/>
  <c r="AL4" i="66"/>
  <c r="CX4" i="66"/>
  <c r="BN4" i="66"/>
  <c r="CF4" i="66"/>
  <c r="CF2" i="66" s="1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D21" i="67" l="1"/>
  <c r="CU9" i="67"/>
  <c r="E21" i="67" s="1"/>
  <c r="D13" i="67"/>
  <c r="AA9" i="67"/>
  <c r="E13" i="67" s="1"/>
  <c r="D15" i="67"/>
  <c r="AS9" i="67"/>
  <c r="E15" i="67" s="1"/>
  <c r="D11" i="67"/>
  <c r="I9" i="67"/>
  <c r="E11" i="67" s="1"/>
  <c r="D17" i="67"/>
  <c r="BK9" i="67"/>
  <c r="E17" i="67" s="1"/>
  <c r="BA6" i="66"/>
  <c r="AV4" i="66"/>
  <c r="C15" i="66" s="1"/>
  <c r="AD4" i="66"/>
  <c r="T4" i="66"/>
  <c r="AV2" i="66"/>
  <c r="C13" i="66"/>
  <c r="AD2" i="66"/>
  <c r="C21" i="66"/>
  <c r="CX2" i="66"/>
  <c r="C18" i="66"/>
  <c r="BV2" i="66"/>
  <c r="D18" i="66" s="1"/>
  <c r="C12" i="66"/>
  <c r="T2" i="66"/>
  <c r="D12" i="66" s="1"/>
  <c r="C20" i="66"/>
  <c r="CN2" i="66"/>
  <c r="D20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C4" i="63"/>
  <c r="B4" i="63"/>
  <c r="A3" i="63" a="1"/>
  <c r="G4" i="63"/>
  <c r="L4" i="63"/>
  <c r="I4" i="63"/>
  <c r="D4" i="63"/>
  <c r="M5" i="65" l="1"/>
  <c r="I6" i="65"/>
  <c r="A11" i="65" s="1"/>
  <c r="A16" i="66"/>
  <c r="BD4" i="66"/>
  <c r="D11" i="66"/>
  <c r="I9" i="66"/>
  <c r="E11" i="66" s="1"/>
  <c r="D21" i="66"/>
  <c r="CU9" i="66"/>
  <c r="E21" i="66" s="1"/>
  <c r="D13" i="66"/>
  <c r="AA9" i="66"/>
  <c r="E13" i="66" s="1"/>
  <c r="D15" i="66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4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T4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16" i="66" l="1"/>
  <c r="BD2" i="66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16" i="66" l="1"/>
  <c r="AS9" i="66"/>
  <c r="E15" i="66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BD9" i="64" l="1"/>
  <c r="B16" i="64" s="1"/>
  <c r="AY4" i="64"/>
  <c r="AQ4" i="64"/>
  <c r="AI6" i="64"/>
  <c r="A14" i="64" s="1"/>
  <c r="AA6" i="64"/>
  <c r="A13" i="64" s="1"/>
  <c r="T9" i="64"/>
  <c r="B12" i="64" s="1"/>
  <c r="O4" i="64"/>
  <c r="EY4" i="64"/>
  <c r="EY2" i="64" s="1"/>
  <c r="EV9" i="64" s="1"/>
  <c r="AG2" i="64"/>
  <c r="CF4" i="64"/>
  <c r="CF2" i="64" s="1"/>
  <c r="CC9" i="64" s="1"/>
  <c r="BD4" i="64"/>
  <c r="BD2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C22" i="64"/>
  <c r="AS9" i="64" l="1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J2" i="63"/>
  <c r="E2" i="63"/>
  <c r="D2" i="63"/>
  <c r="C2" i="63"/>
  <c r="G2" i="63"/>
  <c r="I2" i="63"/>
  <c r="C3" i="63"/>
  <c r="B3" i="63"/>
  <c r="H3" i="63"/>
  <c r="B2" i="63"/>
  <c r="L2" i="63"/>
  <c r="H2" i="63"/>
  <c r="L3" i="63"/>
  <c r="D3" i="63"/>
  <c r="G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<sst xmlns="http://schemas.openxmlformats.org/spreadsheetml/2006/main" count="1660" uniqueCount="46">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</sst>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10" sqref="F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-0.1234567901234568</v>
      </c>
      <c r="L3" s="31" t="s">
        <v>16</v>
      </c>
      <c r="M3" s="11">
        <f>M9</f>
        <v>-0.22777037037037037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14.459999999999999</v>
      </c>
      <c r="T3" s="31" t="s">
        <v>16</v>
      </c>
      <c r="U3" s="11">
        <f>U9</f>
        <v>-1.3723942619999998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-2.2213827160493826</v>
      </c>
      <c r="AD3" s="31" t="s">
        <v>16</v>
      </c>
      <c r="AE3" s="11">
        <f>AE9</f>
        <v>-4.098317828148148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13.868518518518519</v>
      </c>
      <c r="AL3" s="31" t="s">
        <v>16</v>
      </c>
      <c r="AM3" s="11">
        <f>AM9</f>
        <v>-1.316256932037037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-2.369827160493827</v>
      </c>
      <c r="AV3" s="31" t="s">
        <v>16</v>
      </c>
      <c r="AW3" s="11">
        <f>AW9</f>
        <v>-4.3721889214814809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13.405185185185186</v>
      </c>
      <c r="BD3" s="31" t="s">
        <v>16</v>
      </c>
      <c r="BE3" s="11">
        <f>BE9</f>
        <v>-1.2722821043703705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14.459999999999999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-2.2213827160493826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13.868518518518519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-2.369827160493827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13.405185185185186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1.8441799999999999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-9.5336900000000002E-2</v>
      </c>
      <c r="T6" s="10">
        <f>INDEX(T11:T1056,MATCH(0,S11:S1056,1))</f>
        <v>14.459999999999999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-2.2213827160493826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13.868518518518519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-2.369827160493827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-9.5367400000000005E-2</v>
      </c>
      <c r="BD6" s="10">
        <f>INDEX(BD11:BD1056,MATCH(0,BC11:BC1056,1))</f>
        <v>13.405185185185186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-0.22777037037037037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-1.3723942619999998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-4.098317828148148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-1.316256932037037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-4.3721889214814809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-1.2722821043703705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1.84494</v>
      </c>
      <c r="H11" s="22">
        <v>292.07600000000002</v>
      </c>
      <c r="I11" s="22">
        <v>1E-4</v>
      </c>
      <c r="J11" s="22">
        <v>1</v>
      </c>
      <c r="K11" s="22">
        <v>1.8441799999999999</v>
      </c>
      <c r="L11">
        <f>-I11/$F$2*1000</f>
        <v>-0.1234567901234568</v>
      </c>
      <c r="M11">
        <f>L11*G11</f>
        <v>-0.22777037037037037</v>
      </c>
      <c r="N11" s="9"/>
      <c r="O11" s="22">
        <v>-9.49097E-2</v>
      </c>
      <c r="P11" s="22">
        <v>331.25400000000002</v>
      </c>
      <c r="Q11" s="22">
        <v>-1.17126E-2</v>
      </c>
      <c r="R11" s="22">
        <v>1</v>
      </c>
      <c r="S11" s="22">
        <v>-9.5336900000000002E-2</v>
      </c>
      <c r="T11">
        <f>-Q11/$F$2*1000</f>
        <v>14.459999999999999</v>
      </c>
      <c r="U11">
        <f>T11*O11</f>
        <v>-1.3723942619999998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-2.2213827160493826</v>
      </c>
      <c r="AE11">
        <f>AD11*Y11</f>
        <v>-4.098317828148148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13.868518518518519</v>
      </c>
      <c r="AM11">
        <f>AL11*AG11</f>
        <v>-1.316256932037037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-2.369827160493827</v>
      </c>
      <c r="AW11">
        <f>AV11*AQ11</f>
        <v>-4.3721889214814809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13.405185185185186</v>
      </c>
      <c r="BE11">
        <f>BD11*AY11</f>
        <v>-1.2722821043703705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94"/>
  <sheetViews>
    <sheetView topLeftCell="M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21712.578260863153</v>
      </c>
      <c r="H2" s="2"/>
      <c r="I2" s="6" t="s">
        <v>12</v>
      </c>
      <c r="J2" s="2"/>
      <c r="K2" s="7" t="s">
        <v>13</v>
      </c>
      <c r="L2" s="3">
        <f>L4*I6*L9/100*100</f>
        <v>24.418418685185181</v>
      </c>
      <c r="M2" s="8" t="s">
        <v>14</v>
      </c>
      <c r="N2" s="9"/>
      <c r="O2" s="2">
        <f>ABS(S7-S6)/ABS(T7-T6)*1000</f>
        <v>16402.862880002678</v>
      </c>
      <c r="P2" s="2"/>
      <c r="Q2" s="6" t="s">
        <v>15</v>
      </c>
      <c r="R2" s="2"/>
      <c r="S2" s="7" t="s">
        <v>13</v>
      </c>
      <c r="T2" s="3">
        <f>T4*Q6*T9/100*100</f>
        <v>23.714146166666666</v>
      </c>
      <c r="U2" s="8" t="s">
        <v>14</v>
      </c>
      <c r="X2" s="9"/>
      <c r="Y2" s="2">
        <f>ABS(AC7-AC6)/ABS(AD7-AD6)*1000</f>
        <v>84268.080000013768</v>
      </c>
      <c r="Z2" s="2"/>
      <c r="AA2" s="6" t="s">
        <v>12</v>
      </c>
      <c r="AB2" s="2"/>
      <c r="AC2" s="7" t="s">
        <v>13</v>
      </c>
      <c r="AD2" s="3">
        <f>AD4*AA6*AD9/100*100</f>
        <v>24.834730275308644</v>
      </c>
      <c r="AE2" s="8" t="s">
        <v>14</v>
      </c>
      <c r="AF2" s="9"/>
      <c r="AG2" s="2">
        <f>ABS(AK7-AK6)/ABS(AL7-AL6)*1000</f>
        <v>2014.0118852460089</v>
      </c>
      <c r="AH2" s="2"/>
      <c r="AI2" s="6" t="s">
        <v>15</v>
      </c>
      <c r="AJ2" s="2"/>
      <c r="AK2" s="7" t="s">
        <v>13</v>
      </c>
      <c r="AL2" s="3">
        <f>AL4*AI6*AL9/100*100</f>
        <v>23.715685525925927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24.893588120987658</v>
      </c>
      <c r="AW2" s="8" t="s">
        <v>14</v>
      </c>
      <c r="AX2" s="9"/>
      <c r="AY2" s="2">
        <f>ABS(BC7-BC6)/ABS(BD7-BD6)*1000</f>
        <v>894.72872934784175</v>
      </c>
      <c r="AZ2" s="2"/>
      <c r="BA2" s="6" t="s">
        <v>15</v>
      </c>
      <c r="BB2" s="2"/>
      <c r="BC2" s="7" t="s">
        <v>13</v>
      </c>
      <c r="BD2" s="3">
        <f>BD4*BA6*BD9/100*100</f>
        <v>23.830829353086418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-0.50301234567901243</v>
      </c>
      <c r="L3" s="27" t="s">
        <v>16</v>
      </c>
      <c r="M3" s="11">
        <f>M9</f>
        <v>24.418418685185181</v>
      </c>
      <c r="N3" s="9"/>
      <c r="O3" s="2" t="s">
        <v>44</v>
      </c>
      <c r="P3" s="2"/>
      <c r="Q3" s="2">
        <f>INDEX(S11:S1056,MATCH(0,T11:T1056,-1))</f>
        <v>1.78711</v>
      </c>
      <c r="R3" s="2"/>
      <c r="S3" s="10">
        <f>INDEX(T11:T1056,MATCH(Q3,S11:S1056,0))</f>
        <v>1.2105308641975308</v>
      </c>
      <c r="T3" s="29" t="s">
        <v>16</v>
      </c>
      <c r="U3" s="11">
        <f>U9</f>
        <v>23.714146166666666</v>
      </c>
      <c r="X3" s="9"/>
      <c r="Y3" s="2" t="s">
        <v>44</v>
      </c>
      <c r="Z3" s="2"/>
      <c r="AA3" s="2">
        <f>INDEX(AC11:AC856,MATCH(0,AD11:AD856,1))</f>
        <v>1.8042</v>
      </c>
      <c r="AB3" s="2"/>
      <c r="AC3" s="10">
        <f>INDEX(AD11:AD1056,MATCH(AA3,AC11:AC1056,0))</f>
        <v>-0.59189012345679015</v>
      </c>
      <c r="AD3" s="29" t="s">
        <v>16</v>
      </c>
      <c r="AE3" s="11">
        <f>AE9</f>
        <v>24.83473027530864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0.73279876543209876</v>
      </c>
      <c r="AL3" s="29" t="s">
        <v>16</v>
      </c>
      <c r="AM3" s="11">
        <f>AM9</f>
        <v>23.715685525925927</v>
      </c>
      <c r="AP3" s="9"/>
      <c r="AQ3" s="2" t="s">
        <v>44</v>
      </c>
      <c r="AR3" s="2"/>
      <c r="AS3" s="2">
        <f>INDEX(AU11:AU856,MATCH(0,AV11:AV856,1))</f>
        <v>1.8042</v>
      </c>
      <c r="AT3" s="2"/>
      <c r="AU3" s="10">
        <f>INDEX(AV11:AV1056,MATCH(AS3,AU11:AU1056,0))</f>
        <v>-1.5473580246913579</v>
      </c>
      <c r="AV3" s="29" t="s">
        <v>16</v>
      </c>
      <c r="AW3" s="11">
        <f>AW9</f>
        <v>24.893588120987655</v>
      </c>
      <c r="AX3" s="9"/>
      <c r="AY3" s="2" t="s">
        <v>44</v>
      </c>
      <c r="AZ3" s="2"/>
      <c r="BA3" s="2">
        <f>INDEX(BC11:BC1056,MATCH(0,BD11:BD1056,-1))</f>
        <v>1.78711</v>
      </c>
      <c r="BB3" s="2"/>
      <c r="BC3" s="10">
        <f>INDEX(BD11:BD1056,MATCH(BA3,BC11:BC1056,0))</f>
        <v>0.13118765432098764</v>
      </c>
      <c r="BD3" s="29" t="s">
        <v>16</v>
      </c>
      <c r="BE3" s="11">
        <f>BE9</f>
        <v>23.830829353086418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>
        <f>ABS(I3-I4)/ABS(K3-K4)*1000</f>
        <v>3.2207203583634785</v>
      </c>
      <c r="H4" s="2"/>
      <c r="I4" s="2">
        <f>INDEX(K11:K1000,1+MATCH(0,L11:L856,1))</f>
        <v>1.80389</v>
      </c>
      <c r="J4" s="2"/>
      <c r="K4" s="10">
        <f>INDEX(L11:L1056,MATCH(I4,K11:K1056,0))</f>
        <v>1.1084283950617284</v>
      </c>
      <c r="L4" s="26">
        <f>M3/(I6*L9)</f>
        <v>0.77101392496062793</v>
      </c>
      <c r="M4" s="8" t="s">
        <v>17</v>
      </c>
      <c r="N4" s="9"/>
      <c r="O4" s="2">
        <f>ABS(Q3-Q4)/ABS(S3-S4)*1000</f>
        <v>3.7708615848245879</v>
      </c>
      <c r="P4" s="2"/>
      <c r="Q4" s="2">
        <f>INDEX(S11:S856,1+MATCH(0,T11:T856,-1))</f>
        <v>1.79199</v>
      </c>
      <c r="R4" s="2"/>
      <c r="S4" s="10">
        <f>INDEX(T11:T856,MATCH(Q4,S11:S856,0))</f>
        <v>-8.3603086419753073E-2</v>
      </c>
      <c r="T4" s="28">
        <f>U3/(Q6*T9)</f>
        <v>0.75711731790338876</v>
      </c>
      <c r="U4" s="8" t="s">
        <v>17</v>
      </c>
      <c r="X4" s="9"/>
      <c r="Y4" s="2">
        <f>ABS(AA3-AA4)/ABS(AC3-AC4)*1000</f>
        <v>3.6653356614222421</v>
      </c>
      <c r="Z4" s="2"/>
      <c r="AA4" s="2">
        <f>INDEX(AC11:AC1000,1+MATCH(0,AD11:AD856,1))</f>
        <v>1.7984</v>
      </c>
      <c r="AB4" s="2"/>
      <c r="AC4" s="10">
        <f>INDEX(AD11:AD1056,MATCH(AA4,AC11:AC1056,0))</f>
        <v>0.99050246913580253</v>
      </c>
      <c r="AD4" s="28">
        <f>AE3/(AA6*AD9)</f>
        <v>0.78389450873751032</v>
      </c>
      <c r="AE4" s="8" t="s">
        <v>17</v>
      </c>
      <c r="AF4" s="9"/>
      <c r="AG4" s="2">
        <f>ABS(AI3-AI4)/ABS(AK3-AK4)*1000</f>
        <v>3.5814231475546059</v>
      </c>
      <c r="AH4" s="2"/>
      <c r="AI4" s="2">
        <f>INDEX(AK11:AK856,1+MATCH(0,AL11:AL856,-1))</f>
        <v>1.7923</v>
      </c>
      <c r="AJ4" s="2"/>
      <c r="AK4" s="10">
        <f>INDEX(AL11:AL856,MATCH(AI4,AK11:AK856,0))</f>
        <v>-0.63258024691358028</v>
      </c>
      <c r="AL4" s="28">
        <f>AM3/(AI6*AL9)</f>
        <v>0.75518927926813728</v>
      </c>
      <c r="AM4" s="8" t="s">
        <v>17</v>
      </c>
      <c r="AP4" s="9"/>
      <c r="AQ4" s="2">
        <f>ABS(AS3-AS4)/ABS(AU3-AU4)*1000</f>
        <v>3.3978672560739391</v>
      </c>
      <c r="AR4" s="2"/>
      <c r="AS4" s="2">
        <f>INDEX(AU11:AU1000,1+MATCH(0,AV11:AV856,1))</f>
        <v>1.7984</v>
      </c>
      <c r="AT4" s="2"/>
      <c r="AU4" s="10">
        <f>INDEX(AV11:AV1056,MATCH(AS4,AU11:AU1056,0))</f>
        <v>0.15959506172839505</v>
      </c>
      <c r="AV4" s="28">
        <f>AW3/(AS6*AV9)</f>
        <v>0.78867866019234156</v>
      </c>
      <c r="AW4" s="8" t="s">
        <v>17</v>
      </c>
      <c r="AX4" s="9"/>
      <c r="AY4" s="2">
        <f>ABS(BA3-BA4)/ABS(BC3-BC4)*1000</f>
        <v>3.5843397120864546</v>
      </c>
      <c r="AZ4" s="2"/>
      <c r="BA4" s="2">
        <f>INDEX(BC11:BC856,1+MATCH(0,BD11:BD856,-1))</f>
        <v>1.7923</v>
      </c>
      <c r="BB4" s="2"/>
      <c r="BC4" s="10">
        <f>INDEX(BD11:BD856,MATCH(BA4,BC11:BC856,0))</f>
        <v>-1.3167777777777778</v>
      </c>
      <c r="BD4" s="28">
        <f>BE3/(BA6*BD9)</f>
        <v>0.75945603964168285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15.571481481481479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15.586543209876544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15.888024691358023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15.639259259259259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15.925679012345679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15.560246913580245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>
        <f>(I3-I4)/(K3-K4)*(-K4)+I4</f>
        <v>1.8074599378977634</v>
      </c>
      <c r="J6" s="26"/>
      <c r="K6" s="13">
        <f>INDEX(K11:K1056,MATCH(L6,L11:L1056,0))</f>
        <v>0.142517</v>
      </c>
      <c r="L6" s="10">
        <f>INDEX(L11:L1056,MATCH(0,K11:K1056,-1))</f>
        <v>17.515555555555554</v>
      </c>
      <c r="M6" s="8" t="s">
        <v>22</v>
      </c>
      <c r="N6" s="9"/>
      <c r="O6" s="2"/>
      <c r="P6" s="2"/>
      <c r="Q6" s="36">
        <f>(Q3-Q4)/(S3-S4)*(-S4)+Q4</f>
        <v>1.791674744333047</v>
      </c>
      <c r="R6" s="36"/>
      <c r="S6" s="13">
        <f>INDEX(S11:S1056,MATCH(T6,T11:T1056,0))</f>
        <v>-6.0241700000000002E-2</v>
      </c>
      <c r="T6" s="10">
        <f>INDEX(T11:T1056,MATCH(0,S11:S1056,1))</f>
        <v>17.485432098765433</v>
      </c>
      <c r="U6" s="8" t="s">
        <v>22</v>
      </c>
      <c r="X6" s="9"/>
      <c r="Y6" s="2"/>
      <c r="Z6" s="2"/>
      <c r="AA6" s="28">
        <f>(AA3-AA4)/(AC3-AC4)*(-AC4)+AA4</f>
        <v>1.8020305240228502</v>
      </c>
      <c r="AB6" s="28"/>
      <c r="AC6" s="13">
        <f>INDEX(AC11:AC1056,MATCH(AD6,AD11:AD1056,0))</f>
        <v>0.41430699999999998</v>
      </c>
      <c r="AD6" s="10">
        <f>INDEX(AD11:AD1056,MATCH(0,AC11:AC1056,-1))</f>
        <v>17.575925925925926</v>
      </c>
      <c r="AE6" s="8" t="s">
        <v>22</v>
      </c>
      <c r="AF6" s="9"/>
      <c r="AG6" s="2"/>
      <c r="AH6" s="2"/>
      <c r="AI6" s="36">
        <f>(AI3-AI4)/(AK3-AK4)*(-AK4)+AI4</f>
        <v>1.7900344624610178</v>
      </c>
      <c r="AJ6" s="36"/>
      <c r="AK6" s="13">
        <f>INDEX(AK11:AK1056,MATCH(AL6,AL11:AL1056,0))</f>
        <v>-9.5459000000000002E-2</v>
      </c>
      <c r="AL6" s="10">
        <f>INDEX(AL11:AL1056,MATCH(0,AK11:AK1056,1))</f>
        <v>17.590987654320987</v>
      </c>
      <c r="AM6" s="8" t="s">
        <v>22</v>
      </c>
      <c r="AP6" s="9"/>
      <c r="AQ6" s="2"/>
      <c r="AR6" s="2"/>
      <c r="AS6" s="28">
        <f>(AS3-AS4)/(AU3-AU4)*(-AU4)+AS4</f>
        <v>1.7989422828344781</v>
      </c>
      <c r="AT6" s="28"/>
      <c r="AU6" s="13">
        <f>INDEX(AU11:AU1056,MATCH(AV6,AV11:AV1056,0))</f>
        <v>0.66088899999999995</v>
      </c>
      <c r="AV6" s="10">
        <f>INDEX(AV11:AV1056,MATCH(0,AU11:AU1056,-1))</f>
        <v>17.54567901234568</v>
      </c>
      <c r="AW6" s="8" t="s">
        <v>22</v>
      </c>
      <c r="AX6" s="9"/>
      <c r="AY6" s="2"/>
      <c r="AZ6" s="2"/>
      <c r="BA6" s="36">
        <f>(BA3-BA4)/(BC3-BC4)*(-BC4)+BA4</f>
        <v>1.7875802211191181</v>
      </c>
      <c r="BB6" s="36"/>
      <c r="BC6" s="13">
        <f>INDEX(BC11:BC1056,MATCH(BD6,BD11:BD1056,0))</f>
        <v>-9.6404999999999998E-3</v>
      </c>
      <c r="BD6" s="10">
        <f>INDEX(BD11:BD1056,MATCH(0,BC11:BC1056,1))</f>
        <v>17.564567901234565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-0.10409499999999999</v>
      </c>
      <c r="L7" s="10">
        <f>INDEX(L11:L856,1+MATCH(0,K11:K856,-1))</f>
        <v>17.526913580246916</v>
      </c>
      <c r="M7" s="12">
        <f>INDEX(K11:K1056,MATCH(M9,M11:M1056,0))</f>
        <v>1.56677</v>
      </c>
      <c r="N7" s="9"/>
      <c r="O7" s="2"/>
      <c r="P7" s="2"/>
      <c r="Q7" s="2"/>
      <c r="R7" s="2"/>
      <c r="S7" s="13">
        <f>INDEX(S11:S1056,MATCH(T7,T11:T1056,0))</f>
        <v>5.0964399999999996E-4</v>
      </c>
      <c r="T7" s="10">
        <f>INDEX(T11:T1056,1+MATCH(0,S11:S1056,1))</f>
        <v>17.481728395061729</v>
      </c>
      <c r="U7" s="12">
        <f>INDEX(S11:S1056,MATCH(U9,U11:U1056,0))</f>
        <v>1.5209999999999999</v>
      </c>
      <c r="X7" s="9"/>
      <c r="Y7" s="2"/>
      <c r="Z7" s="2"/>
      <c r="AA7" s="2"/>
      <c r="AB7" s="2"/>
      <c r="AC7" s="13">
        <f>INDEX(AC11:AC856,MATCH(AD7,AD11:AD856,1))</f>
        <v>0.102203</v>
      </c>
      <c r="AD7" s="10">
        <f>INDEX(AD11:AD856,1+MATCH(0,AC11:AC856,-1))</f>
        <v>17.579629629629629</v>
      </c>
      <c r="AE7" s="12">
        <f>INDEX(AC11:AC1056,MATCH(AE9,AE11:AE1056,0))</f>
        <v>1.5625</v>
      </c>
      <c r="AF7" s="9"/>
      <c r="AG7" s="2"/>
      <c r="AH7" s="2"/>
      <c r="AI7" s="2"/>
      <c r="AJ7" s="2"/>
      <c r="AK7" s="13">
        <f>INDEX(AK11:AK1056,MATCH(AL7,AL11:AL1056,0))</f>
        <v>-6.5124500000000002E-2</v>
      </c>
      <c r="AL7" s="10">
        <f>INDEX(AL11:AL1056,1+MATCH(0,AK11:AK1056,1))</f>
        <v>17.575925925925926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-6.3903799999999997E-2</v>
      </c>
      <c r="AV7" s="10">
        <f>INDEX(AV11:AV856,1+MATCH(0,AU11:AU856,-1))</f>
        <v>17.54567901234568</v>
      </c>
      <c r="AW7" s="12">
        <f>INDEX(AU11:AU1056,MATCH(AW9,AW11:AW1056,0))</f>
        <v>1.56219</v>
      </c>
      <c r="AX7" s="9"/>
      <c r="AY7" s="2"/>
      <c r="AZ7" s="2"/>
      <c r="BA7" s="2"/>
      <c r="BB7" s="2"/>
      <c r="BC7" s="13">
        <f>INDEX(BC11:BC1056,MATCH(BD7,BD11:BD1056,0))</f>
        <v>5.2185100000000004E-4</v>
      </c>
      <c r="BD7" s="10">
        <f>INDEX(BD11:BD1056,1+MATCH(0,BC11:BC1056,1))</f>
        <v>17.553209876543207</v>
      </c>
      <c r="BE7" s="12">
        <f>INDEX(BC11:BC1056,MATCH(BE9,BE11:BE1056,0))</f>
        <v>1.5307599999999999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2.8841856125016059</v>
      </c>
      <c r="J9" s="2"/>
      <c r="K9" s="2"/>
      <c r="L9" s="3">
        <f>(L6-L7)/(K6-K7)*(-K7)+L7</f>
        <v>17.522119354579683</v>
      </c>
      <c r="M9" s="16">
        <f>MAX(M11:M1056)</f>
        <v>24.418418685185181</v>
      </c>
      <c r="N9" s="9"/>
      <c r="O9" s="2"/>
      <c r="P9" s="2"/>
      <c r="Q9" s="2"/>
      <c r="R9" s="2"/>
      <c r="S9" s="2"/>
      <c r="T9" s="3">
        <f>(T6-T7)/(S6-S7)*(-S7)+T7</f>
        <v>17.481759465491553</v>
      </c>
      <c r="U9" s="16">
        <f>MAX(U11:U1056)</f>
        <v>23.714146166666666</v>
      </c>
      <c r="X9" s="9"/>
      <c r="Y9" s="2"/>
      <c r="Z9" s="2"/>
      <c r="AA9" s="15">
        <f>(MAX(AD2,AL2)-MIN(AD2,AL2))/MAX(AD2,AL2)%</f>
        <v>4.5059669945169523</v>
      </c>
      <c r="AB9" s="2"/>
      <c r="AC9" s="2"/>
      <c r="AD9" s="3">
        <f>(AD6-AD7)/(AC6-AC7)*(-AC7)+AD7</f>
        <v>17.580842461344794</v>
      </c>
      <c r="AE9" s="16">
        <f>MAX(AE11:AE1056)</f>
        <v>24.83473027530864</v>
      </c>
      <c r="AF9" s="9"/>
      <c r="AG9" s="2"/>
      <c r="AH9" s="2"/>
      <c r="AI9" s="2"/>
      <c r="AJ9" s="2"/>
      <c r="AK9" s="2"/>
      <c r="AL9" s="3">
        <f>(AL6-AL7)/(AK6-AK7)*(-AK7)+AL7</f>
        <v>17.543590218040048</v>
      </c>
      <c r="AM9" s="16">
        <f>MAX(AM11:AM1056)</f>
        <v>23.715685525925927</v>
      </c>
      <c r="AP9" s="9"/>
      <c r="AQ9" s="2"/>
      <c r="AR9" s="2"/>
      <c r="AS9" s="15">
        <f>(MAX(AV2,BD2)-MIN(AV2,BD2))/MAX(AV2,BD2)%</f>
        <v>4.2692068444935565</v>
      </c>
      <c r="AT9" s="2"/>
      <c r="AU9" s="2"/>
      <c r="AV9" s="3">
        <f>(AV6-AV7)/(AU6-AU7)*(-AU7)+AV7</f>
        <v>17.54567901234568</v>
      </c>
      <c r="AW9" s="16">
        <f>MAX(AW11:AW1056)</f>
        <v>24.893588120987655</v>
      </c>
      <c r="AX9" s="9"/>
      <c r="AY9" s="2"/>
      <c r="AZ9" s="2"/>
      <c r="BA9" s="2"/>
      <c r="BB9" s="2"/>
      <c r="BC9" s="2"/>
      <c r="BD9" s="3">
        <f>(BD6-BD7)/(BC6-BC7)*(-BC7)+BD7</f>
        <v>17.55379312706695</v>
      </c>
      <c r="BE9" s="16">
        <f>MAX(BE11:BE1056)</f>
        <v>23.830829353086418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1.8074599378977634</v>
      </c>
      <c r="B11" s="19">
        <f>IFERROR(L9,0)</f>
        <v>17.522119354579683</v>
      </c>
      <c r="C11" s="20">
        <f>IFERROR(L4,0)</f>
        <v>0.77101392496062793</v>
      </c>
      <c r="D11" s="21">
        <f>IFERROR(L2,0)</f>
        <v>24.418418685185181</v>
      </c>
      <c r="E11" s="21">
        <f>IFERROR(I9,0)</f>
        <v>2.8841856125016059</v>
      </c>
      <c r="F11" s="9"/>
      <c r="G11" s="22">
        <v>1.8249500000000001</v>
      </c>
      <c r="H11" s="22">
        <v>5.1753900000000002</v>
      </c>
      <c r="I11" s="22">
        <v>5.7342499999999998E-3</v>
      </c>
      <c r="J11" s="22">
        <v>1</v>
      </c>
      <c r="K11" s="22">
        <v>1.8240400000000001</v>
      </c>
      <c r="L11">
        <f>-I11/$F$2*1000</f>
        <v>-7.0793209876543202</v>
      </c>
      <c r="M11">
        <f>L11*G11</f>
        <v>-12.919406836419752</v>
      </c>
      <c r="N11" s="9"/>
      <c r="O11" s="22">
        <v>-9.49097E-2</v>
      </c>
      <c r="P11" s="22">
        <v>9.0550099999999993</v>
      </c>
      <c r="Q11" s="22">
        <v>-1.41418E-2</v>
      </c>
      <c r="R11" s="22">
        <v>1</v>
      </c>
      <c r="S11" s="22">
        <v>-9.5459000000000002E-2</v>
      </c>
      <c r="T11">
        <f>-Q11/$F$2*1000</f>
        <v>17.45901234567901</v>
      </c>
      <c r="U11">
        <f>T11*O11</f>
        <v>-1.6570296240246911</v>
      </c>
      <c r="V11" s="23"/>
      <c r="W11" s="24"/>
      <c r="X11" s="9"/>
      <c r="Y11" s="22">
        <v>1.8249500000000001</v>
      </c>
      <c r="Z11" s="22">
        <v>14.669600000000001</v>
      </c>
      <c r="AA11" s="22">
        <v>8.2489E-3</v>
      </c>
      <c r="AB11" s="22">
        <v>1</v>
      </c>
      <c r="AC11" s="22">
        <v>1.8240400000000001</v>
      </c>
      <c r="AD11">
        <f>-AA11/$F$2*1000</f>
        <v>-10.183827160493825</v>
      </c>
      <c r="AE11">
        <f>AD11*Y11</f>
        <v>-18.584975376543206</v>
      </c>
      <c r="AF11" s="9"/>
      <c r="AG11" s="22">
        <v>-9.49097E-2</v>
      </c>
      <c r="AH11" s="22">
        <v>18.549199999999999</v>
      </c>
      <c r="AI11" s="22">
        <v>-1.42487E-2</v>
      </c>
      <c r="AJ11" s="22">
        <v>1</v>
      </c>
      <c r="AK11" s="22">
        <v>-9.5459000000000002E-2</v>
      </c>
      <c r="AL11">
        <f>-AI11/$F$2*1000</f>
        <v>17.590987654320987</v>
      </c>
      <c r="AM11">
        <f>AL11*AG11</f>
        <v>-1.6695553609753087</v>
      </c>
      <c r="AP11" s="9"/>
      <c r="AQ11" s="22">
        <v>1.8249500000000001</v>
      </c>
      <c r="AR11" s="22">
        <v>24.078800000000001</v>
      </c>
      <c r="AS11" s="22">
        <v>9.5123299999999994E-3</v>
      </c>
      <c r="AT11" s="22">
        <v>1</v>
      </c>
      <c r="AU11" s="22">
        <v>1.8243400000000001</v>
      </c>
      <c r="AV11">
        <f>-AS11/$F$2*1000</f>
        <v>-11.743617283950616</v>
      </c>
      <c r="AW11">
        <f>AV11*AQ11</f>
        <v>-21.431514362345677</v>
      </c>
      <c r="AX11" s="9"/>
      <c r="AY11" s="22">
        <v>-9.49097E-2</v>
      </c>
      <c r="AZ11" s="22">
        <v>27.958500000000001</v>
      </c>
      <c r="BA11" s="22">
        <v>-1.42487E-2</v>
      </c>
      <c r="BB11" s="22">
        <v>1</v>
      </c>
      <c r="BC11" s="22">
        <v>-9.5428499999999999E-2</v>
      </c>
      <c r="BD11">
        <f>-BA11/$F$2*1000</f>
        <v>17.590987654320987</v>
      </c>
      <c r="BE11">
        <f>BD11*AY11</f>
        <v>-1.6695553609753087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1.791674744333047</v>
      </c>
      <c r="B12" s="19">
        <f>IFERROR(T9,0)</f>
        <v>17.481759465491553</v>
      </c>
      <c r="C12" s="20">
        <f>IFERROR(T4,0)</f>
        <v>0.75711731790338876</v>
      </c>
      <c r="D12" s="21">
        <f>IFERROR(T2,0)</f>
        <v>23.714146166666666</v>
      </c>
      <c r="E12" s="21"/>
      <c r="F12" s="9"/>
      <c r="G12" s="22">
        <v>1.81992</v>
      </c>
      <c r="H12" s="22">
        <v>5.18546</v>
      </c>
      <c r="I12" s="22">
        <v>3.6544799999999999E-3</v>
      </c>
      <c r="J12" s="22">
        <v>2</v>
      </c>
      <c r="K12" s="22">
        <v>1.8194600000000001</v>
      </c>
      <c r="L12">
        <f t="shared" ref="L12:L75" si="0">-I12/$F$2*1000</f>
        <v>-4.5117037037037031</v>
      </c>
      <c r="M12">
        <f t="shared" ref="M12:M75" si="1">L12*G12</f>
        <v>-8.2109398044444433</v>
      </c>
      <c r="N12" s="9"/>
      <c r="O12" s="22">
        <v>-8.9874300000000004E-2</v>
      </c>
      <c r="P12" s="22">
        <v>9.06508</v>
      </c>
      <c r="Q12" s="22">
        <v>-1.41418E-2</v>
      </c>
      <c r="R12" s="22">
        <v>2</v>
      </c>
      <c r="S12" s="22">
        <v>-9.0423600000000007E-2</v>
      </c>
      <c r="T12">
        <f t="shared" ref="T12:T75" si="2">-Q12/$F$2*1000</f>
        <v>17.45901234567901</v>
      </c>
      <c r="U12">
        <f t="shared" ref="U12:U75" si="3">T12*O12</f>
        <v>-1.569116513259259</v>
      </c>
      <c r="V12" s="23"/>
      <c r="W12" s="24"/>
      <c r="X12" s="9"/>
      <c r="Y12" s="22">
        <v>1.81992</v>
      </c>
      <c r="Z12" s="22">
        <v>14.6797</v>
      </c>
      <c r="AA12" s="22">
        <v>5.80139E-3</v>
      </c>
      <c r="AB12" s="22">
        <v>2</v>
      </c>
      <c r="AC12" s="22">
        <v>1.81854</v>
      </c>
      <c r="AD12">
        <f t="shared" ref="AD12:AD75" si="4">-AA12/$F$2*1000</f>
        <v>-7.1622098765432094</v>
      </c>
      <c r="AE12">
        <f t="shared" ref="AE12:AE75" si="5">AD12*Y12</f>
        <v>-13.034648998518518</v>
      </c>
      <c r="AF12" s="9"/>
      <c r="AG12" s="22">
        <v>-8.9874300000000004E-2</v>
      </c>
      <c r="AH12" s="22">
        <v>18.5593</v>
      </c>
      <c r="AI12" s="22">
        <v>-1.42548E-2</v>
      </c>
      <c r="AJ12" s="22">
        <v>2</v>
      </c>
      <c r="AK12" s="22">
        <v>-9.0393100000000004E-2</v>
      </c>
      <c r="AL12">
        <f t="shared" ref="AL12:AL75" si="6">-AI12/$F$2*1000</f>
        <v>17.598518518518517</v>
      </c>
      <c r="AM12">
        <f t="shared" ref="AM12:AM75" si="7">AL12*AG12</f>
        <v>-1.5816545328888889</v>
      </c>
      <c r="AP12" s="9"/>
      <c r="AQ12" s="22">
        <v>1.81992</v>
      </c>
      <c r="AR12" s="22">
        <v>24.088899999999999</v>
      </c>
      <c r="AS12" s="22">
        <v>6.9244399999999996E-3</v>
      </c>
      <c r="AT12" s="22">
        <v>2</v>
      </c>
      <c r="AU12" s="22">
        <v>1.8182400000000001</v>
      </c>
      <c r="AV12">
        <f t="shared" ref="AV12:AV75" si="8">-AS12/$F$2*1000</f>
        <v>-8.5486913580246906</v>
      </c>
      <c r="AW12">
        <f t="shared" ref="AW12:AW75" si="9">AV12*AQ12</f>
        <v>-15.557934376296295</v>
      </c>
      <c r="AX12" s="9"/>
      <c r="AY12" s="22">
        <v>-8.9874300000000004E-2</v>
      </c>
      <c r="AZ12" s="22">
        <v>27.968499999999999</v>
      </c>
      <c r="BA12" s="22">
        <v>-1.4257799999999999E-2</v>
      </c>
      <c r="BB12" s="22">
        <v>2</v>
      </c>
      <c r="BC12" s="22">
        <v>-9.0331999999999996E-2</v>
      </c>
      <c r="BD12">
        <f t="shared" ref="BD12:BD75" si="10">-BA12/$F$2*1000</f>
        <v>17.60222222222222</v>
      </c>
      <c r="BE12">
        <f t="shared" ref="BE12:BE75" si="11">BD12*AY12</f>
        <v>-1.5819874006666665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1.8020305240228502</v>
      </c>
      <c r="B13" s="19">
        <f>IFERROR(AD9,0)</f>
        <v>17.580842461344794</v>
      </c>
      <c r="C13" s="20">
        <f>IFERROR(AD4,0)</f>
        <v>0.78389450873751032</v>
      </c>
      <c r="D13" s="21">
        <f>IFERROR(AD2,0)</f>
        <v>24.834730275308644</v>
      </c>
      <c r="E13" s="21">
        <f>IFERROR(AA9,0)</f>
        <v>4.5059669945169523</v>
      </c>
      <c r="F13" s="9"/>
      <c r="G13" s="22">
        <v>1.81488</v>
      </c>
      <c r="H13" s="22">
        <v>5.1955299999999998</v>
      </c>
      <c r="I13" s="22">
        <v>1.8664599999999999E-3</v>
      </c>
      <c r="J13" s="22">
        <v>3</v>
      </c>
      <c r="K13" s="22">
        <v>1.81366</v>
      </c>
      <c r="L13">
        <f t="shared" si="0"/>
        <v>-2.3042716049382714</v>
      </c>
      <c r="M13">
        <f t="shared" si="1"/>
        <v>-4.18197645037037</v>
      </c>
      <c r="N13" s="9"/>
      <c r="O13" s="22">
        <v>-8.4838899999999995E-2</v>
      </c>
      <c r="P13" s="22">
        <v>9.0751500000000007</v>
      </c>
      <c r="Q13" s="22">
        <v>-1.41388E-2</v>
      </c>
      <c r="R13" s="22">
        <v>3</v>
      </c>
      <c r="S13" s="22">
        <v>-8.5449200000000003E-2</v>
      </c>
      <c r="T13">
        <f t="shared" si="2"/>
        <v>17.455308641975307</v>
      </c>
      <c r="U13">
        <f t="shared" si="3"/>
        <v>-1.4808891843456788</v>
      </c>
      <c r="V13" s="23"/>
      <c r="W13" s="24"/>
      <c r="X13" s="9"/>
      <c r="Y13" s="22">
        <v>1.81488</v>
      </c>
      <c r="Z13" s="22">
        <v>14.6898</v>
      </c>
      <c r="AA13" s="22">
        <v>3.7182600000000001E-3</v>
      </c>
      <c r="AB13" s="22">
        <v>3</v>
      </c>
      <c r="AC13" s="22">
        <v>1.81366</v>
      </c>
      <c r="AD13">
        <f t="shared" si="4"/>
        <v>-4.5904444444444445</v>
      </c>
      <c r="AE13">
        <f t="shared" si="5"/>
        <v>-8.331105813333334</v>
      </c>
      <c r="AF13" s="9"/>
      <c r="AG13" s="22">
        <v>-8.4838899999999995E-2</v>
      </c>
      <c r="AH13" s="22">
        <v>18.569400000000002</v>
      </c>
      <c r="AI13" s="22">
        <v>-1.4257799999999999E-2</v>
      </c>
      <c r="AJ13" s="22">
        <v>3</v>
      </c>
      <c r="AK13" s="22">
        <v>-8.54187E-2</v>
      </c>
      <c r="AL13">
        <f t="shared" si="6"/>
        <v>17.60222222222222</v>
      </c>
      <c r="AM13">
        <f t="shared" si="7"/>
        <v>-1.4933531708888887</v>
      </c>
      <c r="AP13" s="9"/>
      <c r="AQ13" s="22">
        <v>1.81488</v>
      </c>
      <c r="AR13" s="22">
        <v>24.099</v>
      </c>
      <c r="AS13" s="22">
        <v>4.7384599999999999E-3</v>
      </c>
      <c r="AT13" s="22">
        <v>3</v>
      </c>
      <c r="AU13" s="22">
        <v>1.81366</v>
      </c>
      <c r="AV13">
        <f t="shared" si="8"/>
        <v>-5.8499506172839499</v>
      </c>
      <c r="AW13">
        <f t="shared" si="9"/>
        <v>-10.616958376296296</v>
      </c>
      <c r="AX13" s="9"/>
      <c r="AY13" s="22">
        <v>-8.4838899999999995E-2</v>
      </c>
      <c r="AZ13" s="22">
        <v>27.9786</v>
      </c>
      <c r="BA13" s="22">
        <v>-1.42609E-2</v>
      </c>
      <c r="BB13" s="22">
        <v>3</v>
      </c>
      <c r="BC13" s="22">
        <v>-8.5449200000000003E-2</v>
      </c>
      <c r="BD13">
        <f t="shared" si="10"/>
        <v>17.606049382716048</v>
      </c>
      <c r="BE13">
        <f t="shared" si="11"/>
        <v>-1.4936778629753085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1.7900344624610178</v>
      </c>
      <c r="B14" s="19">
        <f>IFERROR(AL9,0)</f>
        <v>17.543590218040048</v>
      </c>
      <c r="C14" s="20">
        <f>IFERROR(AL4,0)</f>
        <v>0.75518927926813728</v>
      </c>
      <c r="D14" s="21">
        <f>IFERROR(AL2,0)</f>
        <v>23.715685525925927</v>
      </c>
      <c r="E14" s="21"/>
      <c r="F14" s="9"/>
      <c r="G14" s="22">
        <v>1.8098399999999999</v>
      </c>
      <c r="H14" s="22">
        <v>5.2056100000000001</v>
      </c>
      <c r="I14" s="22">
        <v>4.0744000000000002E-4</v>
      </c>
      <c r="J14" s="22">
        <v>4</v>
      </c>
      <c r="K14" s="22">
        <v>1.80908</v>
      </c>
      <c r="L14">
        <f t="shared" si="0"/>
        <v>-0.50301234567901243</v>
      </c>
      <c r="M14">
        <f t="shared" si="1"/>
        <v>-0.91037186370370382</v>
      </c>
      <c r="N14" s="9"/>
      <c r="O14" s="22">
        <v>-7.9803499999999999E-2</v>
      </c>
      <c r="P14" s="22">
        <v>9.0852199999999996</v>
      </c>
      <c r="Q14" s="22">
        <v>-1.41327E-2</v>
      </c>
      <c r="R14" s="22">
        <v>4</v>
      </c>
      <c r="S14" s="22">
        <v>-8.0322299999999999E-2</v>
      </c>
      <c r="T14">
        <f t="shared" si="2"/>
        <v>17.447777777777777</v>
      </c>
      <c r="U14">
        <f t="shared" si="3"/>
        <v>-1.3923937338888888</v>
      </c>
      <c r="V14" s="23"/>
      <c r="W14" s="24"/>
      <c r="X14" s="9"/>
      <c r="Y14" s="22">
        <v>1.8098399999999999</v>
      </c>
      <c r="Z14" s="22">
        <v>14.6998</v>
      </c>
      <c r="AA14" s="22">
        <v>2.0022600000000001E-3</v>
      </c>
      <c r="AB14" s="22">
        <v>4</v>
      </c>
      <c r="AC14" s="22">
        <v>1.80908</v>
      </c>
      <c r="AD14">
        <f t="shared" si="4"/>
        <v>-2.4719259259259259</v>
      </c>
      <c r="AE14">
        <f t="shared" si="5"/>
        <v>-4.473790417777777</v>
      </c>
      <c r="AF14" s="9"/>
      <c r="AG14" s="22">
        <v>-7.9803499999999999E-2</v>
      </c>
      <c r="AH14" s="22">
        <v>18.5794</v>
      </c>
      <c r="AI14" s="22">
        <v>-1.4257799999999999E-2</v>
      </c>
      <c r="AJ14" s="22">
        <v>4</v>
      </c>
      <c r="AK14" s="22">
        <v>-8.0291699999999994E-2</v>
      </c>
      <c r="AL14">
        <f t="shared" si="6"/>
        <v>17.60222222222222</v>
      </c>
      <c r="AM14">
        <f t="shared" si="7"/>
        <v>-1.404718941111111</v>
      </c>
      <c r="AP14" s="9"/>
      <c r="AQ14" s="22">
        <v>1.8098399999999999</v>
      </c>
      <c r="AR14" s="22">
        <v>24.109100000000002</v>
      </c>
      <c r="AS14" s="22">
        <v>2.8826899999999998E-3</v>
      </c>
      <c r="AT14" s="22">
        <v>4</v>
      </c>
      <c r="AU14" s="22">
        <v>1.8087800000000001</v>
      </c>
      <c r="AV14">
        <f t="shared" si="8"/>
        <v>-3.5588765432098763</v>
      </c>
      <c r="AW14">
        <f t="shared" si="9"/>
        <v>-6.4409971229629619</v>
      </c>
      <c r="AX14" s="9"/>
      <c r="AY14" s="22">
        <v>-7.9803499999999999E-2</v>
      </c>
      <c r="AZ14" s="22">
        <v>27.988700000000001</v>
      </c>
      <c r="BA14" s="22">
        <v>-1.42609E-2</v>
      </c>
      <c r="BB14" s="22">
        <v>4</v>
      </c>
      <c r="BC14" s="22">
        <v>-8.0352800000000002E-2</v>
      </c>
      <c r="BD14">
        <f t="shared" si="10"/>
        <v>17.606049382716048</v>
      </c>
      <c r="BE14">
        <f t="shared" si="11"/>
        <v>-1.40502436191358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1.7989422828344781</v>
      </c>
      <c r="B15" s="19">
        <f>IFERROR(AV9,0)</f>
        <v>17.54567901234568</v>
      </c>
      <c r="C15" s="20">
        <f>IFERROR(AV4,0)</f>
        <v>0.78867866019234156</v>
      </c>
      <c r="D15" s="21">
        <f>IFERROR(AV2,0)</f>
        <v>24.893588120987658</v>
      </c>
      <c r="E15" s="21">
        <f>IFERROR(AS9,0)</f>
        <v>4.2692068444935565</v>
      </c>
      <c r="F15" s="9"/>
      <c r="G15" s="22">
        <v>1.80481</v>
      </c>
      <c r="H15" s="22">
        <v>5.2156799999999999</v>
      </c>
      <c r="I15" s="22">
        <v>-8.9782700000000002E-4</v>
      </c>
      <c r="J15" s="22">
        <v>5</v>
      </c>
      <c r="K15" s="22">
        <v>1.80389</v>
      </c>
      <c r="L15">
        <f t="shared" si="0"/>
        <v>1.1084283950617284</v>
      </c>
      <c r="M15">
        <f t="shared" si="1"/>
        <v>2.0005026516913582</v>
      </c>
      <c r="N15" s="9"/>
      <c r="O15" s="22">
        <v>-7.4768100000000004E-2</v>
      </c>
      <c r="P15" s="22">
        <v>9.0952900000000003</v>
      </c>
      <c r="Q15" s="22">
        <v>-1.41388E-2</v>
      </c>
      <c r="R15" s="22">
        <v>5</v>
      </c>
      <c r="S15" s="22">
        <v>-7.5347899999999995E-2</v>
      </c>
      <c r="T15">
        <f t="shared" si="2"/>
        <v>17.455308641975307</v>
      </c>
      <c r="U15">
        <f t="shared" si="3"/>
        <v>-1.3051002620740739</v>
      </c>
      <c r="V15" s="23"/>
      <c r="W15" s="24"/>
      <c r="X15" s="9"/>
      <c r="Y15" s="22">
        <v>1.80481</v>
      </c>
      <c r="Z15" s="22">
        <v>14.709899999999999</v>
      </c>
      <c r="AA15" s="22">
        <v>4.79431E-4</v>
      </c>
      <c r="AB15" s="22">
        <v>5</v>
      </c>
      <c r="AC15" s="22">
        <v>1.8042</v>
      </c>
      <c r="AD15">
        <f t="shared" si="4"/>
        <v>-0.59189012345679015</v>
      </c>
      <c r="AE15">
        <f t="shared" si="5"/>
        <v>-1.0682492137160495</v>
      </c>
      <c r="AF15" s="9"/>
      <c r="AG15" s="22">
        <v>-7.4768100000000004E-2</v>
      </c>
      <c r="AH15" s="22">
        <v>18.589500000000001</v>
      </c>
      <c r="AI15" s="22">
        <v>-1.42548E-2</v>
      </c>
      <c r="AJ15" s="22">
        <v>5</v>
      </c>
      <c r="AK15" s="22">
        <v>-7.5317400000000007E-2</v>
      </c>
      <c r="AL15">
        <f t="shared" si="6"/>
        <v>17.598518518518517</v>
      </c>
      <c r="AM15">
        <f t="shared" si="7"/>
        <v>-1.3158077924444445</v>
      </c>
      <c r="AP15" s="9"/>
      <c r="AQ15" s="22">
        <v>1.80481</v>
      </c>
      <c r="AR15" s="22">
        <v>24.1191</v>
      </c>
      <c r="AS15" s="22">
        <v>1.25336E-3</v>
      </c>
      <c r="AT15" s="22">
        <v>5</v>
      </c>
      <c r="AU15" s="22">
        <v>1.8042</v>
      </c>
      <c r="AV15">
        <f t="shared" si="8"/>
        <v>-1.5473580246913579</v>
      </c>
      <c r="AW15">
        <f t="shared" si="9"/>
        <v>-2.7926872365432098</v>
      </c>
      <c r="AX15" s="9"/>
      <c r="AY15" s="22">
        <v>-7.4768100000000004E-2</v>
      </c>
      <c r="AZ15" s="22">
        <v>27.998699999999999</v>
      </c>
      <c r="BA15" s="22">
        <v>-1.427E-2</v>
      </c>
      <c r="BB15" s="22">
        <v>5</v>
      </c>
      <c r="BC15" s="22">
        <v>-7.5286900000000004E-2</v>
      </c>
      <c r="BD15">
        <f t="shared" si="10"/>
        <v>17.617283950617285</v>
      </c>
      <c r="BE15">
        <f t="shared" si="11"/>
        <v>-1.3172108481481484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1.7875802211191181</v>
      </c>
      <c r="B16" s="19">
        <f>IFERROR(BD9,0)</f>
        <v>17.55379312706695</v>
      </c>
      <c r="C16" s="20">
        <f>IFERROR(BD4,0)</f>
        <v>0.75945603964168285</v>
      </c>
      <c r="D16" s="21">
        <f>IFERROR(BD2,0)</f>
        <v>23.830829353086418</v>
      </c>
      <c r="E16" s="21"/>
      <c r="F16" s="9"/>
      <c r="G16" s="22">
        <v>1.7997700000000001</v>
      </c>
      <c r="H16" s="22">
        <v>5.2257499999999997</v>
      </c>
      <c r="I16" s="22">
        <v>-1.9818100000000001E-3</v>
      </c>
      <c r="J16" s="22">
        <v>6</v>
      </c>
      <c r="K16" s="22">
        <v>1.79932</v>
      </c>
      <c r="L16">
        <f t="shared" si="0"/>
        <v>2.4466790123456787</v>
      </c>
      <c r="M16">
        <f t="shared" si="1"/>
        <v>4.4034594860493828</v>
      </c>
      <c r="N16" s="9"/>
      <c r="O16" s="22">
        <v>-6.9732699999999995E-2</v>
      </c>
      <c r="P16" s="22">
        <v>9.1053599999999992</v>
      </c>
      <c r="Q16" s="22">
        <v>-1.41418E-2</v>
      </c>
      <c r="R16" s="22">
        <v>6</v>
      </c>
      <c r="S16" s="22">
        <v>-7.0251499999999995E-2</v>
      </c>
      <c r="T16">
        <f t="shared" si="2"/>
        <v>17.45901234567901</v>
      </c>
      <c r="U16">
        <f t="shared" si="3"/>
        <v>-1.2174640701975306</v>
      </c>
      <c r="V16" s="23"/>
      <c r="W16" s="24"/>
      <c r="X16" s="9"/>
      <c r="Y16" s="22">
        <v>1.7997700000000001</v>
      </c>
      <c r="Z16" s="22">
        <v>14.72</v>
      </c>
      <c r="AA16" s="22">
        <v>-8.0230700000000004E-4</v>
      </c>
      <c r="AB16" s="22">
        <v>6</v>
      </c>
      <c r="AC16" s="22">
        <v>1.7984</v>
      </c>
      <c r="AD16">
        <f t="shared" si="4"/>
        <v>0.99050246913580253</v>
      </c>
      <c r="AE16">
        <f t="shared" si="5"/>
        <v>1.7826766288765434</v>
      </c>
      <c r="AF16" s="9"/>
      <c r="AG16" s="22">
        <v>-6.9732699999999995E-2</v>
      </c>
      <c r="AH16" s="22">
        <v>18.599599999999999</v>
      </c>
      <c r="AI16" s="22">
        <v>-1.4242599999999999E-2</v>
      </c>
      <c r="AJ16" s="22">
        <v>6</v>
      </c>
      <c r="AK16" s="22">
        <v>-7.0281999999999997E-2</v>
      </c>
      <c r="AL16">
        <f t="shared" si="6"/>
        <v>17.583456790123453</v>
      </c>
      <c r="AM16">
        <f t="shared" si="7"/>
        <v>-1.2261419173086416</v>
      </c>
      <c r="AP16" s="9"/>
      <c r="AQ16" s="22">
        <v>1.7997700000000001</v>
      </c>
      <c r="AR16" s="22">
        <v>24.129200000000001</v>
      </c>
      <c r="AS16" s="22">
        <v>-1.2927199999999999E-4</v>
      </c>
      <c r="AT16" s="22">
        <v>6</v>
      </c>
      <c r="AU16" s="22">
        <v>1.7984</v>
      </c>
      <c r="AV16">
        <f t="shared" si="8"/>
        <v>0.15959506172839505</v>
      </c>
      <c r="AW16">
        <f t="shared" si="9"/>
        <v>0.2872344042469136</v>
      </c>
      <c r="AX16" s="9"/>
      <c r="AY16" s="22">
        <v>-6.9732699999999995E-2</v>
      </c>
      <c r="AZ16" s="22">
        <v>28.008800000000001</v>
      </c>
      <c r="BA16" s="22">
        <v>-1.42731E-2</v>
      </c>
      <c r="BB16" s="22">
        <v>6</v>
      </c>
      <c r="BC16" s="22">
        <v>-7.0251499999999995E-2</v>
      </c>
      <c r="BD16">
        <f t="shared" si="10"/>
        <v>17.621111111111112</v>
      </c>
      <c r="BE16">
        <f t="shared" si="11"/>
        <v>-1.2287676547777777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5.2358200000000004</v>
      </c>
      <c r="I17" s="22">
        <v>-2.97211E-3</v>
      </c>
      <c r="J17" s="22">
        <v>7</v>
      </c>
      <c r="K17" s="22">
        <v>1.79382</v>
      </c>
      <c r="L17">
        <f t="shared" si="0"/>
        <v>3.6692716049382712</v>
      </c>
      <c r="M17">
        <f t="shared" si="1"/>
        <v>6.5853885202469131</v>
      </c>
      <c r="N17" s="9"/>
      <c r="O17" s="22">
        <v>-6.4697299999999999E-2</v>
      </c>
      <c r="P17" s="22">
        <v>9.1154399999999995</v>
      </c>
      <c r="Q17" s="22">
        <v>-1.4154099999999999E-2</v>
      </c>
      <c r="R17" s="22">
        <v>7</v>
      </c>
      <c r="S17" s="22">
        <v>-6.5246600000000002E-2</v>
      </c>
      <c r="T17">
        <f t="shared" si="2"/>
        <v>17.474197530864195</v>
      </c>
      <c r="U17">
        <f t="shared" si="3"/>
        <v>-1.13053339991358</v>
      </c>
      <c r="V17" s="23"/>
      <c r="W17" s="24"/>
      <c r="X17" s="9"/>
      <c r="Y17" s="22">
        <v>1.79474</v>
      </c>
      <c r="Z17" s="22">
        <v>14.73</v>
      </c>
      <c r="AA17" s="22">
        <v>-1.9512900000000001E-3</v>
      </c>
      <c r="AB17" s="22">
        <v>7</v>
      </c>
      <c r="AC17" s="22">
        <v>1.79352</v>
      </c>
      <c r="AD17">
        <f t="shared" si="4"/>
        <v>2.4090000000000003</v>
      </c>
      <c r="AE17">
        <f t="shared" si="5"/>
        <v>4.32352866</v>
      </c>
      <c r="AF17" s="9"/>
      <c r="AG17" s="22">
        <v>-6.4697299999999999E-2</v>
      </c>
      <c r="AH17" s="22">
        <v>18.6097</v>
      </c>
      <c r="AI17" s="22">
        <v>-1.4236499999999999E-2</v>
      </c>
      <c r="AJ17" s="22">
        <v>7</v>
      </c>
      <c r="AK17" s="22">
        <v>-6.5124500000000002E-2</v>
      </c>
      <c r="AL17">
        <f t="shared" si="6"/>
        <v>17.575925925925926</v>
      </c>
      <c r="AM17">
        <f t="shared" si="7"/>
        <v>-1.1371149524074073</v>
      </c>
      <c r="AP17" s="9"/>
      <c r="AQ17" s="22">
        <v>1.79474</v>
      </c>
      <c r="AR17" s="22">
        <v>24.139299999999999</v>
      </c>
      <c r="AS17" s="22">
        <v>-1.3433799999999999E-3</v>
      </c>
      <c r="AT17" s="22">
        <v>7</v>
      </c>
      <c r="AU17" s="22">
        <v>1.79352</v>
      </c>
      <c r="AV17">
        <f t="shared" si="8"/>
        <v>1.6584938271604936</v>
      </c>
      <c r="AW17">
        <f t="shared" si="9"/>
        <v>2.9765652113580243</v>
      </c>
      <c r="AX17" s="9"/>
      <c r="AY17" s="22">
        <v>-6.4697299999999999E-2</v>
      </c>
      <c r="AZ17" s="22">
        <v>28.018899999999999</v>
      </c>
      <c r="BA17" s="22">
        <v>-1.4263899999999999E-2</v>
      </c>
      <c r="BB17" s="22">
        <v>7</v>
      </c>
      <c r="BC17" s="22">
        <v>-6.5216099999999999E-2</v>
      </c>
      <c r="BD17">
        <f t="shared" si="10"/>
        <v>17.609753086419751</v>
      </c>
      <c r="BE17">
        <f t="shared" si="11"/>
        <v>-1.1393034783580245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5.2458900000000002</v>
      </c>
      <c r="I18" s="22">
        <v>-3.8131699999999998E-3</v>
      </c>
      <c r="J18" s="22">
        <v>8</v>
      </c>
      <c r="K18" s="22">
        <v>1.78925</v>
      </c>
      <c r="L18">
        <f t="shared" si="0"/>
        <v>4.7076172839506167</v>
      </c>
      <c r="M18">
        <f t="shared" si="1"/>
        <v>8.4252226530864185</v>
      </c>
      <c r="N18" s="9"/>
      <c r="O18" s="22">
        <v>-5.9661899999999997E-2</v>
      </c>
      <c r="P18" s="22">
        <v>9.1255100000000002</v>
      </c>
      <c r="Q18" s="22">
        <v>-1.4163200000000001E-2</v>
      </c>
      <c r="R18" s="22">
        <v>8</v>
      </c>
      <c r="S18" s="22">
        <v>-6.0241700000000002E-2</v>
      </c>
      <c r="T18">
        <f t="shared" si="2"/>
        <v>17.485432098765433</v>
      </c>
      <c r="U18">
        <f t="shared" si="3"/>
        <v>-1.0432141013333334</v>
      </c>
      <c r="V18" s="23"/>
      <c r="W18" s="24"/>
      <c r="X18" s="9"/>
      <c r="Y18" s="22">
        <v>1.7897000000000001</v>
      </c>
      <c r="Z18" s="22">
        <v>14.7401</v>
      </c>
      <c r="AA18" s="22">
        <v>-2.9339600000000002E-3</v>
      </c>
      <c r="AB18" s="22">
        <v>8</v>
      </c>
      <c r="AC18" s="22">
        <v>1.78864</v>
      </c>
      <c r="AD18">
        <f t="shared" si="4"/>
        <v>3.622172839506173</v>
      </c>
      <c r="AE18">
        <f t="shared" si="5"/>
        <v>6.4826027308641976</v>
      </c>
      <c r="AF18" s="9"/>
      <c r="AG18" s="22">
        <v>-5.9661899999999997E-2</v>
      </c>
      <c r="AH18" s="22">
        <v>18.619700000000002</v>
      </c>
      <c r="AI18" s="22">
        <v>-1.42395E-2</v>
      </c>
      <c r="AJ18" s="22">
        <v>8</v>
      </c>
      <c r="AK18" s="22">
        <v>-6.0241700000000002E-2</v>
      </c>
      <c r="AL18">
        <f t="shared" si="6"/>
        <v>17.579629629629629</v>
      </c>
      <c r="AM18">
        <f t="shared" si="7"/>
        <v>-1.0488341049999998</v>
      </c>
      <c r="AP18" s="9"/>
      <c r="AQ18" s="22">
        <v>1.7897000000000001</v>
      </c>
      <c r="AR18" s="22">
        <v>24.1493</v>
      </c>
      <c r="AS18" s="22">
        <v>-2.39624E-3</v>
      </c>
      <c r="AT18" s="22">
        <v>8</v>
      </c>
      <c r="AU18" s="22">
        <v>1.78864</v>
      </c>
      <c r="AV18">
        <f t="shared" si="8"/>
        <v>2.9583209876543206</v>
      </c>
      <c r="AW18">
        <f t="shared" si="9"/>
        <v>5.2945070716049374</v>
      </c>
      <c r="AX18" s="9"/>
      <c r="AY18" s="22">
        <v>-5.9661899999999997E-2</v>
      </c>
      <c r="AZ18" s="22">
        <v>28.029</v>
      </c>
      <c r="BA18" s="22">
        <v>-1.42487E-2</v>
      </c>
      <c r="BB18" s="22">
        <v>8</v>
      </c>
      <c r="BC18" s="22">
        <v>-6.0180699999999997E-2</v>
      </c>
      <c r="BD18">
        <f t="shared" si="10"/>
        <v>17.590987654320987</v>
      </c>
      <c r="BE18">
        <f t="shared" si="11"/>
        <v>-1.0495117463333332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5.25596</v>
      </c>
      <c r="I19" s="22">
        <v>-4.5858799999999996E-3</v>
      </c>
      <c r="J19" s="22">
        <v>9</v>
      </c>
      <c r="K19" s="22">
        <v>1.7837499999999999</v>
      </c>
      <c r="L19">
        <f t="shared" si="0"/>
        <v>5.6615802469135792</v>
      </c>
      <c r="M19">
        <f t="shared" si="1"/>
        <v>10.104052419259258</v>
      </c>
      <c r="N19" s="9"/>
      <c r="O19" s="22">
        <v>-5.4626500000000001E-2</v>
      </c>
      <c r="P19" s="22">
        <v>9.1355799999999991</v>
      </c>
      <c r="Q19" s="22">
        <v>-1.41724E-2</v>
      </c>
      <c r="R19" s="22">
        <v>9</v>
      </c>
      <c r="S19" s="22">
        <v>-5.52063E-2</v>
      </c>
      <c r="T19">
        <f t="shared" si="2"/>
        <v>17.496790123456787</v>
      </c>
      <c r="U19">
        <f t="shared" si="3"/>
        <v>-0.95578840567901224</v>
      </c>
      <c r="V19" s="23"/>
      <c r="W19" s="24"/>
      <c r="X19" s="9"/>
      <c r="Y19" s="22">
        <v>1.78467</v>
      </c>
      <c r="Z19" s="22">
        <v>14.7502</v>
      </c>
      <c r="AA19" s="22">
        <v>-3.7942499999999999E-3</v>
      </c>
      <c r="AB19" s="22">
        <v>9</v>
      </c>
      <c r="AC19" s="22">
        <v>1.78345</v>
      </c>
      <c r="AD19">
        <f t="shared" si="4"/>
        <v>4.6842592592592585</v>
      </c>
      <c r="AE19">
        <f t="shared" si="5"/>
        <v>8.3598569722222216</v>
      </c>
      <c r="AF19" s="9"/>
      <c r="AG19" s="22">
        <v>-5.4626500000000001E-2</v>
      </c>
      <c r="AH19" s="22">
        <v>18.629799999999999</v>
      </c>
      <c r="AI19" s="22">
        <v>-1.4245600000000001E-2</v>
      </c>
      <c r="AJ19" s="22">
        <v>9</v>
      </c>
      <c r="AK19" s="22">
        <v>-5.5175799999999997E-2</v>
      </c>
      <c r="AL19">
        <f t="shared" si="6"/>
        <v>17.58716049382716</v>
      </c>
      <c r="AM19">
        <f t="shared" si="7"/>
        <v>-0.96072502271604932</v>
      </c>
      <c r="AP19" s="9"/>
      <c r="AQ19" s="22">
        <v>1.78467</v>
      </c>
      <c r="AR19" s="22">
        <v>24.159400000000002</v>
      </c>
      <c r="AS19" s="22">
        <v>-3.3239699999999999E-3</v>
      </c>
      <c r="AT19" s="22">
        <v>9</v>
      </c>
      <c r="AU19" s="22">
        <v>1.7837499999999999</v>
      </c>
      <c r="AV19">
        <f t="shared" si="8"/>
        <v>4.1036666666666664</v>
      </c>
      <c r="AW19">
        <f t="shared" si="9"/>
        <v>7.3236907899999997</v>
      </c>
      <c r="AX19" s="9"/>
      <c r="AY19" s="22">
        <v>-5.4626500000000001E-2</v>
      </c>
      <c r="AZ19" s="22">
        <v>28.039000000000001</v>
      </c>
      <c r="BA19" s="22">
        <v>-1.42487E-2</v>
      </c>
      <c r="BB19" s="22">
        <v>9</v>
      </c>
      <c r="BC19" s="22">
        <v>-5.5145300000000001E-2</v>
      </c>
      <c r="BD19">
        <f t="shared" si="10"/>
        <v>17.590987654320987</v>
      </c>
      <c r="BE19">
        <f t="shared" si="11"/>
        <v>-0.96093408709876538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5.2660299999999998</v>
      </c>
      <c r="I20" s="22">
        <v>-5.2429199999999999E-3</v>
      </c>
      <c r="J20" s="22">
        <v>10</v>
      </c>
      <c r="K20" s="22">
        <v>1.7785599999999999</v>
      </c>
      <c r="L20">
        <f t="shared" si="0"/>
        <v>6.4727407407407398</v>
      </c>
      <c r="M20">
        <f t="shared" si="1"/>
        <v>11.519083604444443</v>
      </c>
      <c r="N20" s="9"/>
      <c r="O20" s="22">
        <v>-4.9591099999999999E-2</v>
      </c>
      <c r="P20" s="22">
        <v>9.1456499999999998</v>
      </c>
      <c r="Q20" s="22">
        <v>-1.4175399999999999E-2</v>
      </c>
      <c r="R20" s="22">
        <v>10</v>
      </c>
      <c r="S20" s="22">
        <v>-5.0140400000000002E-2</v>
      </c>
      <c r="T20">
        <f t="shared" si="2"/>
        <v>17.500493827160494</v>
      </c>
      <c r="U20">
        <f t="shared" si="3"/>
        <v>-0.86786873943209875</v>
      </c>
      <c r="V20" s="23"/>
      <c r="W20" s="24"/>
      <c r="X20" s="9"/>
      <c r="Y20" s="22">
        <v>1.77963</v>
      </c>
      <c r="Z20" s="22">
        <v>14.760300000000001</v>
      </c>
      <c r="AA20" s="22">
        <v>-4.5581099999999998E-3</v>
      </c>
      <c r="AB20" s="22">
        <v>10</v>
      </c>
      <c r="AC20" s="22">
        <v>1.7785599999999999</v>
      </c>
      <c r="AD20">
        <f t="shared" si="4"/>
        <v>5.6272962962962962</v>
      </c>
      <c r="AE20">
        <f t="shared" si="5"/>
        <v>10.014505307777778</v>
      </c>
      <c r="AF20" s="9"/>
      <c r="AG20" s="22">
        <v>-4.9591099999999999E-2</v>
      </c>
      <c r="AH20" s="22">
        <v>18.639900000000001</v>
      </c>
      <c r="AI20" s="22">
        <v>-1.42609E-2</v>
      </c>
      <c r="AJ20" s="22">
        <v>10</v>
      </c>
      <c r="AK20" s="22">
        <v>-5.00793E-2</v>
      </c>
      <c r="AL20">
        <f t="shared" si="6"/>
        <v>17.606049382716048</v>
      </c>
      <c r="AM20">
        <f t="shared" si="7"/>
        <v>-0.87310335554320984</v>
      </c>
      <c r="AP20" s="9"/>
      <c r="AQ20" s="22">
        <v>1.77963</v>
      </c>
      <c r="AR20" s="22">
        <v>24.169499999999999</v>
      </c>
      <c r="AS20" s="22">
        <v>-4.15161E-3</v>
      </c>
      <c r="AT20" s="22">
        <v>10</v>
      </c>
      <c r="AU20" s="22">
        <v>1.77887</v>
      </c>
      <c r="AV20">
        <f t="shared" si="8"/>
        <v>5.1254444444444438</v>
      </c>
      <c r="AW20">
        <f t="shared" si="9"/>
        <v>9.1213946966666661</v>
      </c>
      <c r="AX20" s="9"/>
      <c r="AY20" s="22">
        <v>-4.9591099999999999E-2</v>
      </c>
      <c r="AZ20" s="22">
        <v>28.049099999999999</v>
      </c>
      <c r="BA20" s="22">
        <v>-1.4242599999999999E-2</v>
      </c>
      <c r="BB20" s="22">
        <v>10</v>
      </c>
      <c r="BC20" s="22">
        <v>-5.0140400000000002E-2</v>
      </c>
      <c r="BD20">
        <f t="shared" si="10"/>
        <v>17.583456790123453</v>
      </c>
      <c r="BE20">
        <f t="shared" si="11"/>
        <v>-0.87198296402469111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5.2760999999999996</v>
      </c>
      <c r="I21" s="22">
        <v>-5.8654800000000002E-3</v>
      </c>
      <c r="J21" s="22">
        <v>11</v>
      </c>
      <c r="K21" s="22">
        <v>1.77338</v>
      </c>
      <c r="L21">
        <f t="shared" si="0"/>
        <v>7.2413333333333334</v>
      </c>
      <c r="M21">
        <f t="shared" si="1"/>
        <v>12.850470133333333</v>
      </c>
      <c r="N21" s="9"/>
      <c r="O21" s="22">
        <v>-4.4555699999999997E-2</v>
      </c>
      <c r="P21" s="22">
        <v>9.1557200000000005</v>
      </c>
      <c r="Q21" s="22">
        <v>-1.41724E-2</v>
      </c>
      <c r="R21" s="22">
        <v>11</v>
      </c>
      <c r="S21" s="22">
        <v>-4.49554E-2</v>
      </c>
      <c r="T21">
        <f t="shared" si="2"/>
        <v>17.496790123456787</v>
      </c>
      <c r="U21">
        <f t="shared" si="3"/>
        <v>-0.77958173170370348</v>
      </c>
      <c r="V21" s="23"/>
      <c r="W21" s="24"/>
      <c r="X21" s="9"/>
      <c r="Y21" s="22">
        <v>1.7746</v>
      </c>
      <c r="Z21" s="22">
        <v>14.770300000000001</v>
      </c>
      <c r="AA21" s="22">
        <v>-5.2337599999999996E-3</v>
      </c>
      <c r="AB21" s="22">
        <v>11</v>
      </c>
      <c r="AC21" s="22">
        <v>1.7736799999999999</v>
      </c>
      <c r="AD21">
        <f t="shared" si="4"/>
        <v>6.4614320987654308</v>
      </c>
      <c r="AE21">
        <f t="shared" si="5"/>
        <v>11.466457402469134</v>
      </c>
      <c r="AF21" s="9"/>
      <c r="AG21" s="22">
        <v>-4.4555699999999997E-2</v>
      </c>
      <c r="AH21" s="22">
        <v>18.649899999999999</v>
      </c>
      <c r="AI21" s="22">
        <v>-1.4257799999999999E-2</v>
      </c>
      <c r="AJ21" s="22">
        <v>11</v>
      </c>
      <c r="AK21" s="22">
        <v>-4.4915799999999999E-2</v>
      </c>
      <c r="AL21">
        <f t="shared" si="6"/>
        <v>17.60222222222222</v>
      </c>
      <c r="AM21">
        <f t="shared" si="7"/>
        <v>-0.7842793326666665</v>
      </c>
      <c r="AP21" s="9"/>
      <c r="AQ21" s="22">
        <v>1.7746</v>
      </c>
      <c r="AR21" s="22">
        <v>24.179600000000001</v>
      </c>
      <c r="AS21" s="22">
        <v>-4.8867800000000003E-3</v>
      </c>
      <c r="AT21" s="22">
        <v>11</v>
      </c>
      <c r="AU21" s="22">
        <v>1.77338</v>
      </c>
      <c r="AV21">
        <f t="shared" si="8"/>
        <v>6.0330617283950616</v>
      </c>
      <c r="AW21">
        <f t="shared" si="9"/>
        <v>10.706271343209876</v>
      </c>
      <c r="AX21" s="9"/>
      <c r="AY21" s="22">
        <v>-4.4555699999999997E-2</v>
      </c>
      <c r="AZ21" s="22">
        <v>28.059200000000001</v>
      </c>
      <c r="BA21" s="22">
        <v>-1.42395E-2</v>
      </c>
      <c r="BB21" s="22">
        <v>11</v>
      </c>
      <c r="BC21" s="22">
        <v>-4.4979900000000003E-2</v>
      </c>
      <c r="BD21">
        <f t="shared" si="10"/>
        <v>17.579629629629629</v>
      </c>
      <c r="BE21">
        <f t="shared" si="11"/>
        <v>-0.78327270388888881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5.2861700000000003</v>
      </c>
      <c r="I22" s="22">
        <v>-6.3873300000000001E-3</v>
      </c>
      <c r="J22" s="22">
        <v>12</v>
      </c>
      <c r="K22" s="22">
        <v>1.7687999999999999</v>
      </c>
      <c r="L22">
        <f t="shared" si="0"/>
        <v>7.8855925925925918</v>
      </c>
      <c r="M22">
        <f t="shared" si="1"/>
        <v>13.954029228148148</v>
      </c>
      <c r="N22" s="9"/>
      <c r="O22" s="22">
        <v>-3.9520300000000001E-2</v>
      </c>
      <c r="P22" s="22">
        <v>9.1657899999999994</v>
      </c>
      <c r="Q22" s="22">
        <v>-1.41724E-2</v>
      </c>
      <c r="R22" s="22">
        <v>12</v>
      </c>
      <c r="S22" s="22">
        <v>-3.98926E-2</v>
      </c>
      <c r="T22">
        <f t="shared" si="2"/>
        <v>17.496790123456787</v>
      </c>
      <c r="U22">
        <f t="shared" si="3"/>
        <v>-0.69147839471604933</v>
      </c>
      <c r="V22" s="23"/>
      <c r="W22" s="24"/>
      <c r="X22" s="9"/>
      <c r="Y22" s="22">
        <v>1.76956</v>
      </c>
      <c r="Z22" s="22">
        <v>14.7804</v>
      </c>
      <c r="AA22" s="22">
        <v>-5.8502199999999997E-3</v>
      </c>
      <c r="AB22" s="22">
        <v>12</v>
      </c>
      <c r="AC22" s="22">
        <v>1.7687999999999999</v>
      </c>
      <c r="AD22">
        <f t="shared" si="4"/>
        <v>7.222493827160493</v>
      </c>
      <c r="AE22">
        <f t="shared" si="5"/>
        <v>12.780636176790122</v>
      </c>
      <c r="AF22" s="9"/>
      <c r="AG22" s="22">
        <v>-3.9520300000000001E-2</v>
      </c>
      <c r="AH22" s="22">
        <v>18.66</v>
      </c>
      <c r="AI22" s="22">
        <v>-1.4257799999999999E-2</v>
      </c>
      <c r="AJ22" s="22">
        <v>12</v>
      </c>
      <c r="AK22" s="22">
        <v>-3.9923100000000003E-2</v>
      </c>
      <c r="AL22">
        <f t="shared" si="6"/>
        <v>17.60222222222222</v>
      </c>
      <c r="AM22">
        <f t="shared" si="7"/>
        <v>-0.69564510288888881</v>
      </c>
      <c r="AP22" s="9"/>
      <c r="AQ22" s="22">
        <v>1.76956</v>
      </c>
      <c r="AR22" s="22">
        <v>24.189599999999999</v>
      </c>
      <c r="AS22" s="22">
        <v>-5.53894E-3</v>
      </c>
      <c r="AT22" s="22">
        <v>12</v>
      </c>
      <c r="AU22" s="22">
        <v>1.7684899999999999</v>
      </c>
      <c r="AV22">
        <f t="shared" si="8"/>
        <v>6.8381975308641971</v>
      </c>
      <c r="AW22">
        <f t="shared" si="9"/>
        <v>12.100600822716048</v>
      </c>
      <c r="AX22" s="9"/>
      <c r="AY22" s="22">
        <v>-3.9520300000000001E-2</v>
      </c>
      <c r="AZ22" s="22">
        <v>28.069199999999999</v>
      </c>
      <c r="BA22" s="22">
        <v>-1.4236499999999999E-2</v>
      </c>
      <c r="BB22" s="22">
        <v>12</v>
      </c>
      <c r="BC22" s="22">
        <v>-3.98407E-2</v>
      </c>
      <c r="BD22">
        <f t="shared" si="10"/>
        <v>17.575925925925926</v>
      </c>
      <c r="BE22">
        <f t="shared" si="11"/>
        <v>-0.69460586537037039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5.2962400000000001</v>
      </c>
      <c r="I23" s="22">
        <v>-6.8817100000000001E-3</v>
      </c>
      <c r="J23" s="22">
        <v>13</v>
      </c>
      <c r="K23" s="22">
        <v>1.7642199999999999</v>
      </c>
      <c r="L23">
        <f t="shared" si="0"/>
        <v>8.4959382716049383</v>
      </c>
      <c r="M23">
        <f t="shared" si="1"/>
        <v>14.991337958395061</v>
      </c>
      <c r="N23" s="9"/>
      <c r="O23" s="22">
        <v>-3.4484899999999999E-2</v>
      </c>
      <c r="P23" s="22">
        <v>9.1758600000000001</v>
      </c>
      <c r="Q23" s="22">
        <v>-1.4175399999999999E-2</v>
      </c>
      <c r="R23" s="22">
        <v>13</v>
      </c>
      <c r="S23" s="22">
        <v>-3.4838899999999999E-2</v>
      </c>
      <c r="T23">
        <f t="shared" si="2"/>
        <v>17.500493827160494</v>
      </c>
      <c r="U23">
        <f t="shared" si="3"/>
        <v>-0.6035027795802469</v>
      </c>
      <c r="V23" s="23"/>
      <c r="W23" s="24"/>
      <c r="X23" s="9"/>
      <c r="Y23" s="22">
        <v>1.7645299999999999</v>
      </c>
      <c r="Z23" s="22">
        <v>14.7905</v>
      </c>
      <c r="AA23" s="22">
        <v>-6.41174E-3</v>
      </c>
      <c r="AB23" s="22">
        <v>13</v>
      </c>
      <c r="AC23" s="22">
        <v>1.7636099999999999</v>
      </c>
      <c r="AD23">
        <f t="shared" si="4"/>
        <v>7.9157283950617288</v>
      </c>
      <c r="AE23">
        <f t="shared" si="5"/>
        <v>13.967540224938272</v>
      </c>
      <c r="AF23" s="9"/>
      <c r="AG23" s="22">
        <v>-3.4484899999999999E-2</v>
      </c>
      <c r="AH23" s="22">
        <v>18.670100000000001</v>
      </c>
      <c r="AI23" s="22">
        <v>-1.4263899999999999E-2</v>
      </c>
      <c r="AJ23" s="22">
        <v>13</v>
      </c>
      <c r="AK23" s="22">
        <v>-3.4866300000000003E-2</v>
      </c>
      <c r="AL23">
        <f t="shared" si="6"/>
        <v>17.609753086419751</v>
      </c>
      <c r="AM23">
        <f t="shared" si="7"/>
        <v>-0.6072705742098764</v>
      </c>
      <c r="AP23" s="9"/>
      <c r="AQ23" s="22">
        <v>1.7645299999999999</v>
      </c>
      <c r="AR23" s="22">
        <v>24.1997</v>
      </c>
      <c r="AS23" s="22">
        <v>-6.1279300000000002E-3</v>
      </c>
      <c r="AT23" s="22">
        <v>13</v>
      </c>
      <c r="AU23" s="22">
        <v>1.7629999999999999</v>
      </c>
      <c r="AV23">
        <f t="shared" si="8"/>
        <v>7.5653456790123457</v>
      </c>
      <c r="AW23">
        <f t="shared" si="9"/>
        <v>13.349279410987654</v>
      </c>
      <c r="AX23" s="9"/>
      <c r="AY23" s="22">
        <v>-3.4484899999999999E-2</v>
      </c>
      <c r="AZ23" s="22">
        <v>28.0793</v>
      </c>
      <c r="BA23" s="22">
        <v>-1.4236499999999999E-2</v>
      </c>
      <c r="BB23" s="22">
        <v>13</v>
      </c>
      <c r="BC23" s="22">
        <v>-3.4811399999999999E-2</v>
      </c>
      <c r="BD23">
        <f t="shared" si="10"/>
        <v>17.575925925925926</v>
      </c>
      <c r="BE23">
        <f t="shared" si="11"/>
        <v>-0.60610404796296291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5.3063200000000004</v>
      </c>
      <c r="I24" s="22">
        <v>-7.2998000000000004E-3</v>
      </c>
      <c r="J24" s="22">
        <v>14</v>
      </c>
      <c r="K24" s="22">
        <v>1.7584200000000001</v>
      </c>
      <c r="L24">
        <f t="shared" si="0"/>
        <v>9.0120987654320999</v>
      </c>
      <c r="M24">
        <f t="shared" si="1"/>
        <v>15.856697656790125</v>
      </c>
      <c r="N24" s="9"/>
      <c r="O24" s="22">
        <v>-2.94495E-2</v>
      </c>
      <c r="P24" s="22">
        <v>9.1859300000000008</v>
      </c>
      <c r="Q24" s="22">
        <v>-1.4175399999999999E-2</v>
      </c>
      <c r="R24" s="22">
        <v>14</v>
      </c>
      <c r="S24" s="22">
        <v>-2.9836999999999999E-2</v>
      </c>
      <c r="T24">
        <f t="shared" si="2"/>
        <v>17.500493827160494</v>
      </c>
      <c r="U24">
        <f t="shared" si="3"/>
        <v>-0.51538079296296291</v>
      </c>
      <c r="V24" s="23"/>
      <c r="W24" s="24"/>
      <c r="X24" s="9"/>
      <c r="Y24" s="22">
        <v>1.75949</v>
      </c>
      <c r="Z24" s="22">
        <v>14.8005</v>
      </c>
      <c r="AA24" s="22">
        <v>-6.9244399999999996E-3</v>
      </c>
      <c r="AB24" s="22">
        <v>14</v>
      </c>
      <c r="AC24" s="22">
        <v>1.7590300000000001</v>
      </c>
      <c r="AD24">
        <f t="shared" si="4"/>
        <v>8.5486913580246906</v>
      </c>
      <c r="AE24">
        <f t="shared" si="5"/>
        <v>15.041336957530863</v>
      </c>
      <c r="AF24" s="9"/>
      <c r="AG24" s="22">
        <v>-2.94495E-2</v>
      </c>
      <c r="AH24" s="22">
        <v>18.680199999999999</v>
      </c>
      <c r="AI24" s="22">
        <v>-1.4267E-2</v>
      </c>
      <c r="AJ24" s="22">
        <v>14</v>
      </c>
      <c r="AK24" s="22">
        <v>-2.9840100000000001E-2</v>
      </c>
      <c r="AL24">
        <f t="shared" si="6"/>
        <v>17.613580246913582</v>
      </c>
      <c r="AM24">
        <f t="shared" si="7"/>
        <v>-0.51871113148148151</v>
      </c>
      <c r="AP24" s="9"/>
      <c r="AQ24" s="22">
        <v>1.75949</v>
      </c>
      <c r="AR24" s="22">
        <v>24.209800000000001</v>
      </c>
      <c r="AS24" s="22">
        <v>-6.6436799999999999E-3</v>
      </c>
      <c r="AT24" s="22">
        <v>14</v>
      </c>
      <c r="AU24" s="22">
        <v>1.7590300000000001</v>
      </c>
      <c r="AV24">
        <f t="shared" si="8"/>
        <v>8.2020740740740727</v>
      </c>
      <c r="AW24">
        <f t="shared" si="9"/>
        <v>14.43146731259259</v>
      </c>
      <c r="AX24" s="9"/>
      <c r="AY24" s="22">
        <v>-2.94495E-2</v>
      </c>
      <c r="AZ24" s="22">
        <v>28.089400000000001</v>
      </c>
      <c r="BA24" s="22">
        <v>-1.4236499999999999E-2</v>
      </c>
      <c r="BB24" s="22">
        <v>14</v>
      </c>
      <c r="BC24" s="22">
        <v>-2.9809599999999999E-2</v>
      </c>
      <c r="BD24">
        <f t="shared" si="10"/>
        <v>17.575925925925926</v>
      </c>
      <c r="BE24">
        <f t="shared" si="11"/>
        <v>-0.51760223055555554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5.3163900000000002</v>
      </c>
      <c r="I25" s="22">
        <v>-7.69653E-3</v>
      </c>
      <c r="J25" s="22">
        <v>15</v>
      </c>
      <c r="K25" s="22">
        <v>1.7532300000000001</v>
      </c>
      <c r="L25">
        <f t="shared" si="0"/>
        <v>9.5018888888888871</v>
      </c>
      <c r="M25">
        <f t="shared" si="1"/>
        <v>16.670683979999996</v>
      </c>
      <c r="N25" s="9"/>
      <c r="O25" s="22">
        <v>-2.4414100000000001E-2</v>
      </c>
      <c r="P25" s="22">
        <v>9.1959999999999997</v>
      </c>
      <c r="Q25" s="22">
        <v>-1.41785E-2</v>
      </c>
      <c r="R25" s="22">
        <v>15</v>
      </c>
      <c r="S25" s="22">
        <v>-2.4816899999999999E-2</v>
      </c>
      <c r="T25">
        <f t="shared" si="2"/>
        <v>17.504320987654321</v>
      </c>
      <c r="U25">
        <f t="shared" si="3"/>
        <v>-0.42735224302469138</v>
      </c>
      <c r="V25" s="23"/>
      <c r="W25" s="24"/>
      <c r="X25" s="9"/>
      <c r="Y25" s="22">
        <v>1.7544599999999999</v>
      </c>
      <c r="Z25" s="22">
        <v>14.810600000000001</v>
      </c>
      <c r="AA25" s="22">
        <v>-7.3638899999999997E-3</v>
      </c>
      <c r="AB25" s="22">
        <v>15</v>
      </c>
      <c r="AC25" s="22">
        <v>1.7532300000000001</v>
      </c>
      <c r="AD25">
        <f t="shared" si="4"/>
        <v>9.0912222222222212</v>
      </c>
      <c r="AE25">
        <f t="shared" si="5"/>
        <v>15.950185739999997</v>
      </c>
      <c r="AF25" s="9"/>
      <c r="AG25" s="22">
        <v>-2.4414100000000001E-2</v>
      </c>
      <c r="AH25" s="22">
        <v>18.690200000000001</v>
      </c>
      <c r="AI25" s="22">
        <v>-1.4267E-2</v>
      </c>
      <c r="AJ25" s="22">
        <v>15</v>
      </c>
      <c r="AK25" s="22">
        <v>-2.4780300000000002E-2</v>
      </c>
      <c r="AL25">
        <f t="shared" si="6"/>
        <v>17.613580246913582</v>
      </c>
      <c r="AM25">
        <f t="shared" si="7"/>
        <v>-0.43001970950617291</v>
      </c>
      <c r="AP25" s="9"/>
      <c r="AQ25" s="22">
        <v>1.7544599999999999</v>
      </c>
      <c r="AR25" s="22">
        <v>24.219799999999999</v>
      </c>
      <c r="AS25" s="22">
        <v>-7.1197500000000002E-3</v>
      </c>
      <c r="AT25" s="22">
        <v>15</v>
      </c>
      <c r="AU25" s="22">
        <v>1.7532300000000001</v>
      </c>
      <c r="AV25">
        <f t="shared" si="8"/>
        <v>8.7898148148148145</v>
      </c>
      <c r="AW25">
        <f t="shared" si="9"/>
        <v>15.421378499999999</v>
      </c>
      <c r="AX25" s="9"/>
      <c r="AY25" s="22">
        <v>-2.4414100000000001E-2</v>
      </c>
      <c r="AZ25" s="22">
        <v>28.099499999999999</v>
      </c>
      <c r="BA25" s="22">
        <v>-1.4236499999999999E-2</v>
      </c>
      <c r="BB25" s="22">
        <v>15</v>
      </c>
      <c r="BC25" s="22">
        <v>-2.46918E-2</v>
      </c>
      <c r="BD25">
        <f t="shared" si="10"/>
        <v>17.575925925925926</v>
      </c>
      <c r="BE25">
        <f t="shared" si="11"/>
        <v>-0.42910041314814817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5.32646</v>
      </c>
      <c r="I26" s="22">
        <v>-8.0566400000000003E-3</v>
      </c>
      <c r="J26" s="22">
        <v>16</v>
      </c>
      <c r="K26" s="22">
        <v>1.7486600000000001</v>
      </c>
      <c r="L26">
        <f t="shared" si="0"/>
        <v>9.9464691358024702</v>
      </c>
      <c r="M26">
        <f t="shared" si="1"/>
        <v>17.400552035555556</v>
      </c>
      <c r="N26" s="9"/>
      <c r="O26" s="22">
        <v>-1.9378699999999999E-2</v>
      </c>
      <c r="P26" s="22">
        <v>9.2060700000000004</v>
      </c>
      <c r="Q26" s="22">
        <v>-1.4175399999999999E-2</v>
      </c>
      <c r="R26" s="22">
        <v>16</v>
      </c>
      <c r="S26" s="22">
        <v>-1.9677699999999999E-2</v>
      </c>
      <c r="T26">
        <f t="shared" si="2"/>
        <v>17.500493827160494</v>
      </c>
      <c r="U26">
        <f t="shared" si="3"/>
        <v>-0.33913681972839504</v>
      </c>
      <c r="V26" s="23"/>
      <c r="W26" s="24"/>
      <c r="X26" s="9"/>
      <c r="Y26" s="22">
        <v>1.74942</v>
      </c>
      <c r="Z26" s="22">
        <v>14.8207</v>
      </c>
      <c r="AA26" s="22">
        <v>-7.7850300000000001E-3</v>
      </c>
      <c r="AB26" s="22">
        <v>16</v>
      </c>
      <c r="AC26" s="22">
        <v>1.7486600000000001</v>
      </c>
      <c r="AD26">
        <f t="shared" si="4"/>
        <v>9.611148148148148</v>
      </c>
      <c r="AE26">
        <f t="shared" si="5"/>
        <v>16.813934793333331</v>
      </c>
      <c r="AF26" s="9"/>
      <c r="AG26" s="22">
        <v>-1.9378699999999999E-2</v>
      </c>
      <c r="AH26" s="22">
        <v>18.700299999999999</v>
      </c>
      <c r="AI26" s="22">
        <v>-1.42548E-2</v>
      </c>
      <c r="AJ26" s="22">
        <v>16</v>
      </c>
      <c r="AK26" s="22">
        <v>-1.9677699999999999E-2</v>
      </c>
      <c r="AL26">
        <f t="shared" si="6"/>
        <v>17.598518518518517</v>
      </c>
      <c r="AM26">
        <f t="shared" si="7"/>
        <v>-0.34103641081481478</v>
      </c>
      <c r="AP26" s="9"/>
      <c r="AQ26" s="22">
        <v>1.74942</v>
      </c>
      <c r="AR26" s="22">
        <v>24.229900000000001</v>
      </c>
      <c r="AS26" s="22">
        <v>-7.55005E-3</v>
      </c>
      <c r="AT26" s="22">
        <v>16</v>
      </c>
      <c r="AU26" s="22">
        <v>1.7486600000000001</v>
      </c>
      <c r="AV26">
        <f t="shared" si="8"/>
        <v>9.3210493827160494</v>
      </c>
      <c r="AW26">
        <f t="shared" si="9"/>
        <v>16.30643021111111</v>
      </c>
      <c r="AX26" s="9"/>
      <c r="AY26" s="22">
        <v>-1.9378699999999999E-2</v>
      </c>
      <c r="AZ26" s="22">
        <v>28.109500000000001</v>
      </c>
      <c r="BA26" s="22">
        <v>-1.4236499999999999E-2</v>
      </c>
      <c r="BB26" s="22">
        <v>16</v>
      </c>
      <c r="BC26" s="22">
        <v>-1.96472E-2</v>
      </c>
      <c r="BD26">
        <f t="shared" si="10"/>
        <v>17.575925925925926</v>
      </c>
      <c r="BE26">
        <f t="shared" si="11"/>
        <v>-0.34059859574074069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5.3365299999999998</v>
      </c>
      <c r="I27" s="22">
        <v>-8.3923299999999999E-3</v>
      </c>
      <c r="J27" s="22">
        <v>17</v>
      </c>
      <c r="K27" s="22">
        <v>1.7434700000000001</v>
      </c>
      <c r="L27">
        <f t="shared" si="0"/>
        <v>10.360901234567899</v>
      </c>
      <c r="M27">
        <f t="shared" si="1"/>
        <v>18.073348895555554</v>
      </c>
      <c r="N27" s="9"/>
      <c r="O27" s="22">
        <v>-1.43433E-2</v>
      </c>
      <c r="P27" s="22">
        <v>9.2161500000000007</v>
      </c>
      <c r="Q27" s="22">
        <v>-1.4175399999999999E-2</v>
      </c>
      <c r="R27" s="22">
        <v>17</v>
      </c>
      <c r="S27" s="22">
        <v>-1.46759E-2</v>
      </c>
      <c r="T27">
        <f t="shared" si="2"/>
        <v>17.500493827160494</v>
      </c>
      <c r="U27">
        <f t="shared" si="3"/>
        <v>-0.25101483311111111</v>
      </c>
      <c r="X27" s="9"/>
      <c r="Y27" s="22">
        <v>1.74438</v>
      </c>
      <c r="Z27" s="22">
        <v>14.8308</v>
      </c>
      <c r="AA27" s="22">
        <v>-8.1542999999999997E-3</v>
      </c>
      <c r="AB27" s="22">
        <v>17</v>
      </c>
      <c r="AC27" s="22">
        <v>1.7434700000000001</v>
      </c>
      <c r="AD27">
        <f t="shared" si="4"/>
        <v>10.067037037037036</v>
      </c>
      <c r="AE27">
        <f t="shared" si="5"/>
        <v>17.560738066666666</v>
      </c>
      <c r="AF27" s="9"/>
      <c r="AG27" s="22">
        <v>-1.43433E-2</v>
      </c>
      <c r="AH27" s="22">
        <v>18.7104</v>
      </c>
      <c r="AI27" s="22">
        <v>-1.42487E-2</v>
      </c>
      <c r="AJ27" s="22">
        <v>17</v>
      </c>
      <c r="AK27" s="22">
        <v>-1.46576E-2</v>
      </c>
      <c r="AL27">
        <f t="shared" si="6"/>
        <v>17.590987654320987</v>
      </c>
      <c r="AM27">
        <f t="shared" si="7"/>
        <v>-0.25231281322222221</v>
      </c>
      <c r="AP27" s="9"/>
      <c r="AQ27" s="22">
        <v>1.74438</v>
      </c>
      <c r="AR27" s="22">
        <v>24.24</v>
      </c>
      <c r="AS27" s="22">
        <v>-7.9498299999999997E-3</v>
      </c>
      <c r="AT27" s="22">
        <v>17</v>
      </c>
      <c r="AU27" s="22">
        <v>1.74316</v>
      </c>
      <c r="AV27">
        <f t="shared" si="8"/>
        <v>9.8146049382716036</v>
      </c>
      <c r="AW27">
        <f t="shared" si="9"/>
        <v>17.120400562222219</v>
      </c>
      <c r="AX27" s="9"/>
      <c r="AY27" s="22">
        <v>-1.43433E-2</v>
      </c>
      <c r="AZ27" s="22">
        <v>28.119599999999998</v>
      </c>
      <c r="BA27" s="22">
        <v>-1.42334E-2</v>
      </c>
      <c r="BB27" s="22">
        <v>17</v>
      </c>
      <c r="BC27" s="22">
        <v>-1.4672899999999999E-2</v>
      </c>
      <c r="BD27">
        <f t="shared" si="10"/>
        <v>17.572098765432099</v>
      </c>
      <c r="BE27">
        <f t="shared" si="11"/>
        <v>-0.25204188422222223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5.3465999999999996</v>
      </c>
      <c r="I28" s="22">
        <v>-8.6944599999999993E-3</v>
      </c>
      <c r="J28" s="22">
        <v>18</v>
      </c>
      <c r="K28" s="22">
        <v>1.73828</v>
      </c>
      <c r="L28">
        <f t="shared" si="0"/>
        <v>10.733901234567901</v>
      </c>
      <c r="M28">
        <f t="shared" si="1"/>
        <v>18.670011112345676</v>
      </c>
      <c r="N28" s="9"/>
      <c r="O28" s="22">
        <v>-9.3078599999999994E-3</v>
      </c>
      <c r="P28" s="22">
        <v>9.2262199999999996</v>
      </c>
      <c r="Q28" s="22">
        <v>-1.41663E-2</v>
      </c>
      <c r="R28" s="22">
        <v>18</v>
      </c>
      <c r="S28" s="22">
        <v>-9.5855699999999999E-3</v>
      </c>
      <c r="T28">
        <f t="shared" si="2"/>
        <v>17.489259259259256</v>
      </c>
      <c r="U28">
        <f t="shared" si="3"/>
        <v>-0.16278757668888885</v>
      </c>
      <c r="X28" s="9"/>
      <c r="Y28" s="22">
        <v>1.73935</v>
      </c>
      <c r="Z28" s="22">
        <v>14.8408</v>
      </c>
      <c r="AA28" s="22">
        <v>-8.5021999999999997E-3</v>
      </c>
      <c r="AB28" s="22">
        <v>18</v>
      </c>
      <c r="AC28" s="22">
        <v>1.7385900000000001</v>
      </c>
      <c r="AD28">
        <f t="shared" si="4"/>
        <v>10.496543209876542</v>
      </c>
      <c r="AE28">
        <f t="shared" si="5"/>
        <v>18.257162432098763</v>
      </c>
      <c r="AF28" s="9"/>
      <c r="AG28" s="22">
        <v>-9.3078599999999994E-3</v>
      </c>
      <c r="AH28" s="22">
        <v>18.720400000000001</v>
      </c>
      <c r="AI28" s="22">
        <v>-1.4245600000000001E-2</v>
      </c>
      <c r="AJ28" s="22">
        <v>18</v>
      </c>
      <c r="AK28" s="22">
        <v>-9.6038800000000004E-3</v>
      </c>
      <c r="AL28">
        <f t="shared" si="6"/>
        <v>17.58716049382716</v>
      </c>
      <c r="AM28">
        <f t="shared" si="7"/>
        <v>-0.16369882767407407</v>
      </c>
      <c r="AP28" s="9"/>
      <c r="AQ28" s="22">
        <v>1.73935</v>
      </c>
      <c r="AR28" s="22">
        <v>24.2501</v>
      </c>
      <c r="AS28" s="22">
        <v>-8.3038299999999999E-3</v>
      </c>
      <c r="AT28" s="22">
        <v>18</v>
      </c>
      <c r="AU28" s="22">
        <v>1.73828</v>
      </c>
      <c r="AV28">
        <f t="shared" si="8"/>
        <v>10.251641975308642</v>
      </c>
      <c r="AW28">
        <f t="shared" si="9"/>
        <v>17.831193469753085</v>
      </c>
      <c r="AX28" s="9"/>
      <c r="AY28" s="22">
        <v>-9.3078599999999994E-3</v>
      </c>
      <c r="AZ28" s="22">
        <v>28.1297</v>
      </c>
      <c r="BA28" s="22">
        <v>-1.42273E-2</v>
      </c>
      <c r="BB28" s="22">
        <v>18</v>
      </c>
      <c r="BC28" s="22">
        <v>-9.6404999999999998E-3</v>
      </c>
      <c r="BD28">
        <f t="shared" si="10"/>
        <v>17.564567901234565</v>
      </c>
      <c r="BE28">
        <f t="shared" si="11"/>
        <v>-0.16348853898518514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5.3566700000000003</v>
      </c>
      <c r="I29" s="22">
        <v>-8.9843800000000001E-3</v>
      </c>
      <c r="J29" s="22">
        <v>19</v>
      </c>
      <c r="K29" s="22">
        <v>1.7337</v>
      </c>
      <c r="L29">
        <f t="shared" si="0"/>
        <v>11.091827160493827</v>
      </c>
      <c r="M29">
        <f t="shared" si="1"/>
        <v>19.236666762716048</v>
      </c>
      <c r="N29" s="9"/>
      <c r="O29" s="22">
        <v>-4.2724599999999996E-3</v>
      </c>
      <c r="P29" s="22">
        <v>9.2362900000000003</v>
      </c>
      <c r="Q29" s="22">
        <v>-1.4163200000000001E-2</v>
      </c>
      <c r="R29" s="22">
        <v>19</v>
      </c>
      <c r="S29" s="22">
        <v>-4.5837400000000002E-3</v>
      </c>
      <c r="T29">
        <f t="shared" si="2"/>
        <v>17.485432098765433</v>
      </c>
      <c r="U29">
        <f t="shared" si="3"/>
        <v>-7.4705809224691347E-2</v>
      </c>
      <c r="X29" s="9"/>
      <c r="Y29" s="22">
        <v>1.73431</v>
      </c>
      <c r="Z29" s="22">
        <v>14.850899999999999</v>
      </c>
      <c r="AA29" s="22">
        <v>-8.8104199999999994E-3</v>
      </c>
      <c r="AB29" s="22">
        <v>19</v>
      </c>
      <c r="AC29" s="22">
        <v>1.7334000000000001</v>
      </c>
      <c r="AD29">
        <f t="shared" si="4"/>
        <v>10.877061728395059</v>
      </c>
      <c r="AE29">
        <f t="shared" si="5"/>
        <v>18.864196926172834</v>
      </c>
      <c r="AF29" s="9"/>
      <c r="AG29" s="22">
        <v>-4.2724599999999996E-3</v>
      </c>
      <c r="AH29" s="22">
        <v>18.730499999999999</v>
      </c>
      <c r="AI29" s="22">
        <v>-1.42487E-2</v>
      </c>
      <c r="AJ29" s="22">
        <v>19</v>
      </c>
      <c r="AK29" s="22">
        <v>-4.5623800000000004E-3</v>
      </c>
      <c r="AL29">
        <f t="shared" si="6"/>
        <v>17.590987654320987</v>
      </c>
      <c r="AM29">
        <f t="shared" si="7"/>
        <v>-7.5156791113580243E-2</v>
      </c>
      <c r="AP29" s="9"/>
      <c r="AQ29" s="22">
        <v>1.73431</v>
      </c>
      <c r="AR29" s="22">
        <v>24.260100000000001</v>
      </c>
      <c r="AS29" s="22">
        <v>-8.6303700000000001E-3</v>
      </c>
      <c r="AT29" s="22">
        <v>19</v>
      </c>
      <c r="AU29" s="22">
        <v>1.7334000000000001</v>
      </c>
      <c r="AV29">
        <f t="shared" si="8"/>
        <v>10.654777777777777</v>
      </c>
      <c r="AW29">
        <f t="shared" si="9"/>
        <v>18.478687647777779</v>
      </c>
      <c r="AX29" s="9"/>
      <c r="AY29" s="22">
        <v>-4.2724599999999996E-3</v>
      </c>
      <c r="AZ29" s="22">
        <v>28.139700000000001</v>
      </c>
      <c r="BA29" s="22">
        <v>-1.42273E-2</v>
      </c>
      <c r="BB29" s="22">
        <v>19</v>
      </c>
      <c r="BC29" s="22">
        <v>-4.5959499999999997E-3</v>
      </c>
      <c r="BD29">
        <f t="shared" si="10"/>
        <v>17.564567901234565</v>
      </c>
      <c r="BE29">
        <f t="shared" si="11"/>
        <v>-7.5043913775308627E-2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5.3667400000000001</v>
      </c>
      <c r="I30" s="22">
        <v>-9.2468299999999993E-3</v>
      </c>
      <c r="J30" s="22">
        <v>20</v>
      </c>
      <c r="K30" s="22">
        <v>1.7285200000000001</v>
      </c>
      <c r="L30">
        <f t="shared" si="0"/>
        <v>11.415839506172839</v>
      </c>
      <c r="M30">
        <f t="shared" si="1"/>
        <v>19.741182941234566</v>
      </c>
      <c r="N30" s="9"/>
      <c r="O30" s="22">
        <v>7.6293900000000002E-4</v>
      </c>
      <c r="P30" s="22">
        <v>9.2463599999999992</v>
      </c>
      <c r="Q30" s="22">
        <v>-1.41602E-2</v>
      </c>
      <c r="R30" s="22">
        <v>20</v>
      </c>
      <c r="S30" s="22">
        <v>5.0964399999999996E-4</v>
      </c>
      <c r="T30">
        <f t="shared" si="2"/>
        <v>17.481728395061729</v>
      </c>
      <c r="U30">
        <f t="shared" si="3"/>
        <v>1.3337492380000001E-2</v>
      </c>
      <c r="X30" s="9"/>
      <c r="Y30" s="22">
        <v>1.7292799999999999</v>
      </c>
      <c r="Z30" s="22">
        <v>14.861000000000001</v>
      </c>
      <c r="AA30" s="22">
        <v>-9.1094999999999995E-3</v>
      </c>
      <c r="AB30" s="22">
        <v>20</v>
      </c>
      <c r="AC30" s="22">
        <v>1.7285200000000001</v>
      </c>
      <c r="AD30">
        <f t="shared" si="4"/>
        <v>11.246296296296293</v>
      </c>
      <c r="AE30">
        <f t="shared" si="5"/>
        <v>19.447995259259255</v>
      </c>
      <c r="AF30" s="9"/>
      <c r="AG30" s="22">
        <v>7.6293900000000002E-4</v>
      </c>
      <c r="AH30" s="22">
        <v>18.740600000000001</v>
      </c>
      <c r="AI30" s="22">
        <v>-1.4236499999999999E-2</v>
      </c>
      <c r="AJ30" s="22">
        <v>20</v>
      </c>
      <c r="AK30" s="22">
        <v>5.0354000000000002E-4</v>
      </c>
      <c r="AL30">
        <f t="shared" si="6"/>
        <v>17.575925925925926</v>
      </c>
      <c r="AM30">
        <f t="shared" si="7"/>
        <v>1.340935935E-2</v>
      </c>
      <c r="AP30" s="9"/>
      <c r="AQ30" s="22">
        <v>1.7292799999999999</v>
      </c>
      <c r="AR30" s="22">
        <v>24.270199999999999</v>
      </c>
      <c r="AS30" s="22">
        <v>-8.9477500000000008E-3</v>
      </c>
      <c r="AT30" s="22">
        <v>20</v>
      </c>
      <c r="AU30" s="22">
        <v>1.72821</v>
      </c>
      <c r="AV30">
        <f t="shared" si="8"/>
        <v>11.046604938271606</v>
      </c>
      <c r="AW30">
        <f t="shared" si="9"/>
        <v>19.102672987654323</v>
      </c>
      <c r="AX30" s="9"/>
      <c r="AY30" s="22">
        <v>7.6293900000000002E-4</v>
      </c>
      <c r="AZ30" s="22">
        <v>28.149799999999999</v>
      </c>
      <c r="BA30" s="22">
        <v>-1.4218099999999999E-2</v>
      </c>
      <c r="BB30" s="22">
        <v>20</v>
      </c>
      <c r="BC30" s="22">
        <v>5.2185100000000004E-4</v>
      </c>
      <c r="BD30">
        <f t="shared" si="10"/>
        <v>17.553209876543207</v>
      </c>
      <c r="BE30">
        <f t="shared" si="11"/>
        <v>1.3392028389999998E-2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5.3768099999999999</v>
      </c>
      <c r="I31" s="22">
        <v>-9.4879200000000004E-3</v>
      </c>
      <c r="J31" s="22">
        <v>21</v>
      </c>
      <c r="K31" s="22">
        <v>1.72302</v>
      </c>
      <c r="L31">
        <f t="shared" si="0"/>
        <v>11.71348148148148</v>
      </c>
      <c r="M31">
        <f t="shared" si="1"/>
        <v>20.196853309629628</v>
      </c>
      <c r="N31" s="9"/>
      <c r="O31" s="22">
        <v>5.7983399999999999E-3</v>
      </c>
      <c r="P31" s="22">
        <v>9.2564299999999999</v>
      </c>
      <c r="Q31" s="22">
        <v>-1.4163200000000001E-2</v>
      </c>
      <c r="R31" s="22">
        <v>21</v>
      </c>
      <c r="S31" s="22">
        <v>5.4931600000000004E-3</v>
      </c>
      <c r="T31">
        <f t="shared" si="2"/>
        <v>17.485432098765433</v>
      </c>
      <c r="U31">
        <f t="shared" si="3"/>
        <v>0.10138648035555556</v>
      </c>
      <c r="X31" s="9"/>
      <c r="Y31" s="22">
        <v>1.72424</v>
      </c>
      <c r="Z31" s="22">
        <v>14.871</v>
      </c>
      <c r="AA31" s="22">
        <v>-9.3749999999999997E-3</v>
      </c>
      <c r="AB31" s="22">
        <v>21</v>
      </c>
      <c r="AC31" s="22">
        <v>1.72302</v>
      </c>
      <c r="AD31">
        <f t="shared" si="4"/>
        <v>11.574074074074073</v>
      </c>
      <c r="AE31">
        <f t="shared" si="5"/>
        <v>19.956481481481479</v>
      </c>
      <c r="AF31" s="9"/>
      <c r="AG31" s="22">
        <v>5.7983399999999999E-3</v>
      </c>
      <c r="AH31" s="22">
        <v>18.750599999999999</v>
      </c>
      <c r="AI31" s="22">
        <v>-1.4224199999999999E-2</v>
      </c>
      <c r="AJ31" s="22">
        <v>21</v>
      </c>
      <c r="AK31" s="22">
        <v>5.5206300000000003E-3</v>
      </c>
      <c r="AL31">
        <f t="shared" si="6"/>
        <v>17.560740740740737</v>
      </c>
      <c r="AM31">
        <f t="shared" si="7"/>
        <v>0.10182314546666664</v>
      </c>
      <c r="AP31" s="9"/>
      <c r="AQ31" s="22">
        <v>1.72424</v>
      </c>
      <c r="AR31" s="22">
        <v>24.2803</v>
      </c>
      <c r="AS31" s="22">
        <v>-9.2346200000000007E-3</v>
      </c>
      <c r="AT31" s="22">
        <v>21</v>
      </c>
      <c r="AU31" s="22">
        <v>1.72394</v>
      </c>
      <c r="AV31">
        <f t="shared" si="8"/>
        <v>11.400765432098765</v>
      </c>
      <c r="AW31">
        <f t="shared" si="9"/>
        <v>19.657655788641975</v>
      </c>
      <c r="AX31" s="9"/>
      <c r="AY31" s="22">
        <v>5.7983399999999999E-3</v>
      </c>
      <c r="AZ31" s="22">
        <v>28.1599</v>
      </c>
      <c r="BA31" s="22">
        <v>-1.4218099999999999E-2</v>
      </c>
      <c r="BB31" s="22">
        <v>21</v>
      </c>
      <c r="BC31" s="22">
        <v>5.5541999999999996E-3</v>
      </c>
      <c r="BD31">
        <f t="shared" si="10"/>
        <v>17.553209876543207</v>
      </c>
      <c r="BE31">
        <f t="shared" si="11"/>
        <v>0.10177947895555553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5.3868799999999997</v>
      </c>
      <c r="I32" s="22">
        <v>-9.70764E-3</v>
      </c>
      <c r="J32" s="22">
        <v>22</v>
      </c>
      <c r="K32" s="22">
        <v>1.71844</v>
      </c>
      <c r="L32">
        <f t="shared" si="0"/>
        <v>11.98474074074074</v>
      </c>
      <c r="M32">
        <f t="shared" si="1"/>
        <v>20.604286128888887</v>
      </c>
      <c r="N32" s="9"/>
      <c r="O32" s="22">
        <v>1.08337E-2</v>
      </c>
      <c r="P32" s="22">
        <v>9.2665000000000006</v>
      </c>
      <c r="Q32" s="22">
        <v>-1.4163200000000001E-2</v>
      </c>
      <c r="R32" s="22">
        <v>22</v>
      </c>
      <c r="S32" s="22">
        <v>1.0626200000000001E-2</v>
      </c>
      <c r="T32">
        <f t="shared" si="2"/>
        <v>17.485432098765433</v>
      </c>
      <c r="U32">
        <f t="shared" si="3"/>
        <v>0.18943192572839507</v>
      </c>
      <c r="X32" s="9"/>
      <c r="Y32" s="22">
        <v>1.7192099999999999</v>
      </c>
      <c r="Z32" s="22">
        <v>14.8811</v>
      </c>
      <c r="AA32" s="22">
        <v>-9.6313500000000003E-3</v>
      </c>
      <c r="AB32" s="22">
        <v>22</v>
      </c>
      <c r="AC32" s="22">
        <v>1.71814</v>
      </c>
      <c r="AD32">
        <f t="shared" si="4"/>
        <v>11.890555555555554</v>
      </c>
      <c r="AE32">
        <f t="shared" si="5"/>
        <v>20.442362016666664</v>
      </c>
      <c r="AF32" s="9"/>
      <c r="AG32" s="22">
        <v>1.08337E-2</v>
      </c>
      <c r="AH32" s="22">
        <v>18.7607</v>
      </c>
      <c r="AI32" s="22">
        <v>-1.4224199999999999E-2</v>
      </c>
      <c r="AJ32" s="22">
        <v>22</v>
      </c>
      <c r="AK32" s="22">
        <v>1.05927E-2</v>
      </c>
      <c r="AL32">
        <f t="shared" si="6"/>
        <v>17.560740740740737</v>
      </c>
      <c r="AM32">
        <f t="shared" si="7"/>
        <v>0.19024779696296293</v>
      </c>
      <c r="AP32" s="9"/>
      <c r="AQ32" s="22">
        <v>1.7192099999999999</v>
      </c>
      <c r="AR32" s="22">
        <v>24.290299999999998</v>
      </c>
      <c r="AS32" s="22">
        <v>-9.4970699999999998E-3</v>
      </c>
      <c r="AT32" s="22">
        <v>22</v>
      </c>
      <c r="AU32" s="22">
        <v>1.71844</v>
      </c>
      <c r="AV32">
        <f t="shared" si="8"/>
        <v>11.724777777777776</v>
      </c>
      <c r="AW32">
        <f t="shared" si="9"/>
        <v>20.157355203333328</v>
      </c>
      <c r="AX32" s="9"/>
      <c r="AY32" s="22">
        <v>1.08337E-2</v>
      </c>
      <c r="AZ32" s="22">
        <v>28.17</v>
      </c>
      <c r="BA32" s="22">
        <v>-1.42212E-2</v>
      </c>
      <c r="BB32" s="22">
        <v>22</v>
      </c>
      <c r="BC32" s="22">
        <v>1.0589599999999999E-2</v>
      </c>
      <c r="BD32">
        <f t="shared" si="10"/>
        <v>17.557037037037034</v>
      </c>
      <c r="BE32">
        <f t="shared" si="11"/>
        <v>0.19020767214814813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5.3969500000000004</v>
      </c>
      <c r="I33" s="22">
        <v>-9.9151599999999993E-3</v>
      </c>
      <c r="J33" s="22">
        <v>23</v>
      </c>
      <c r="K33" s="22">
        <v>1.71356</v>
      </c>
      <c r="L33">
        <f t="shared" si="0"/>
        <v>12.240938271604936</v>
      </c>
      <c r="M33">
        <f t="shared" si="1"/>
        <v>20.983049157037033</v>
      </c>
      <c r="N33" s="9"/>
      <c r="O33" s="22">
        <v>1.5869100000000001E-2</v>
      </c>
      <c r="P33" s="22">
        <v>9.2765699999999995</v>
      </c>
      <c r="Q33" s="22">
        <v>-1.41663E-2</v>
      </c>
      <c r="R33" s="22">
        <v>23</v>
      </c>
      <c r="S33" s="22">
        <v>1.5625E-2</v>
      </c>
      <c r="T33">
        <f t="shared" si="2"/>
        <v>17.489259259259256</v>
      </c>
      <c r="U33">
        <f t="shared" si="3"/>
        <v>0.27753880411111109</v>
      </c>
      <c r="X33" s="9"/>
      <c r="Y33" s="22">
        <v>1.71417</v>
      </c>
      <c r="Z33" s="22">
        <v>14.8912</v>
      </c>
      <c r="AA33" s="22">
        <v>-9.8632800000000003E-3</v>
      </c>
      <c r="AB33" s="22">
        <v>23</v>
      </c>
      <c r="AC33" s="22">
        <v>1.71326</v>
      </c>
      <c r="AD33">
        <f t="shared" si="4"/>
        <v>12.176888888888888</v>
      </c>
      <c r="AE33">
        <f t="shared" si="5"/>
        <v>20.873257626666664</v>
      </c>
      <c r="AF33" s="9"/>
      <c r="AG33" s="22">
        <v>1.5869100000000001E-2</v>
      </c>
      <c r="AH33" s="22">
        <v>18.770800000000001</v>
      </c>
      <c r="AI33" s="22">
        <v>-1.4224199999999999E-2</v>
      </c>
      <c r="AJ33" s="22">
        <v>23</v>
      </c>
      <c r="AK33" s="22">
        <v>1.5661600000000001E-2</v>
      </c>
      <c r="AL33">
        <f t="shared" si="6"/>
        <v>17.560740740740737</v>
      </c>
      <c r="AM33">
        <f t="shared" si="7"/>
        <v>0.27867315088888883</v>
      </c>
      <c r="AP33" s="9"/>
      <c r="AQ33" s="22">
        <v>1.71417</v>
      </c>
      <c r="AR33" s="22">
        <v>24.3004</v>
      </c>
      <c r="AS33" s="22">
        <v>-9.7381599999999992E-3</v>
      </c>
      <c r="AT33" s="22">
        <v>23</v>
      </c>
      <c r="AU33" s="22">
        <v>1.71265</v>
      </c>
      <c r="AV33">
        <f t="shared" si="8"/>
        <v>12.022419753086417</v>
      </c>
      <c r="AW33">
        <f t="shared" si="9"/>
        <v>20.608471268148143</v>
      </c>
      <c r="AX33" s="9"/>
      <c r="AY33" s="22">
        <v>1.5869100000000001E-2</v>
      </c>
      <c r="AZ33" s="22">
        <v>28.18</v>
      </c>
      <c r="BA33" s="22">
        <v>-1.42273E-2</v>
      </c>
      <c r="BB33" s="22">
        <v>23</v>
      </c>
      <c r="BC33" s="22">
        <v>1.5640299999999999E-2</v>
      </c>
      <c r="BD33">
        <f t="shared" si="10"/>
        <v>17.564567901234565</v>
      </c>
      <c r="BE33">
        <f t="shared" si="11"/>
        <v>0.27873388448148145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5.4070299999999998</v>
      </c>
      <c r="I34" s="22">
        <v>-1.0101300000000001E-2</v>
      </c>
      <c r="J34" s="22">
        <v>24</v>
      </c>
      <c r="K34" s="22">
        <v>1.7083699999999999</v>
      </c>
      <c r="L34">
        <f t="shared" si="0"/>
        <v>12.470740740740741</v>
      </c>
      <c r="M34">
        <f t="shared" si="1"/>
        <v>21.31424182962963</v>
      </c>
      <c r="N34" s="9"/>
      <c r="O34" s="22">
        <v>2.0904499999999999E-2</v>
      </c>
      <c r="P34" s="22">
        <v>9.2866400000000002</v>
      </c>
      <c r="Q34" s="22">
        <v>-1.4169299999999999E-2</v>
      </c>
      <c r="R34" s="22">
        <v>24</v>
      </c>
      <c r="S34" s="22">
        <v>2.0718400000000001E-2</v>
      </c>
      <c r="T34">
        <f t="shared" si="2"/>
        <v>17.492962962962959</v>
      </c>
      <c r="U34">
        <f t="shared" si="3"/>
        <v>0.3656816442592592</v>
      </c>
      <c r="X34" s="9"/>
      <c r="Y34" s="22">
        <v>1.7091400000000001</v>
      </c>
      <c r="Z34" s="22">
        <v>14.901199999999999</v>
      </c>
      <c r="AA34" s="22">
        <v>-1.008E-2</v>
      </c>
      <c r="AB34" s="22">
        <v>24</v>
      </c>
      <c r="AC34" s="22">
        <v>1.7077599999999999</v>
      </c>
      <c r="AD34">
        <f t="shared" si="4"/>
        <v>12.444444444444443</v>
      </c>
      <c r="AE34">
        <f t="shared" si="5"/>
        <v>21.269297777777776</v>
      </c>
      <c r="AF34" s="9"/>
      <c r="AG34" s="22">
        <v>2.0904499999999999E-2</v>
      </c>
      <c r="AH34" s="22">
        <v>18.780899999999999</v>
      </c>
      <c r="AI34" s="22">
        <v>-1.42303E-2</v>
      </c>
      <c r="AJ34" s="22">
        <v>24</v>
      </c>
      <c r="AK34" s="22">
        <v>2.06696E-2</v>
      </c>
      <c r="AL34">
        <f t="shared" si="6"/>
        <v>17.568271604938271</v>
      </c>
      <c r="AM34">
        <f t="shared" si="7"/>
        <v>0.36725593376543209</v>
      </c>
      <c r="AP34" s="9"/>
      <c r="AQ34" s="22">
        <v>1.7091400000000001</v>
      </c>
      <c r="AR34" s="22">
        <v>24.310500000000001</v>
      </c>
      <c r="AS34" s="22">
        <v>-9.9609399999999997E-3</v>
      </c>
      <c r="AT34" s="22">
        <v>24</v>
      </c>
      <c r="AU34" s="22">
        <v>1.7077599999999999</v>
      </c>
      <c r="AV34">
        <f t="shared" si="8"/>
        <v>12.297456790123457</v>
      </c>
      <c r="AW34">
        <f t="shared" si="9"/>
        <v>21.018075298271608</v>
      </c>
      <c r="AX34" s="9"/>
      <c r="AY34" s="22">
        <v>2.0904499999999999E-2</v>
      </c>
      <c r="AZ34" s="22">
        <v>28.190100000000001</v>
      </c>
      <c r="BA34" s="22">
        <v>-1.42303E-2</v>
      </c>
      <c r="BB34" s="22">
        <v>24</v>
      </c>
      <c r="BC34" s="22">
        <v>2.0660399999999999E-2</v>
      </c>
      <c r="BD34">
        <f t="shared" si="10"/>
        <v>17.568271604938271</v>
      </c>
      <c r="BE34">
        <f t="shared" si="11"/>
        <v>0.36725593376543209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5.4170999999999996</v>
      </c>
      <c r="I35" s="22">
        <v>-1.0275299999999999E-2</v>
      </c>
      <c r="J35" s="22">
        <v>25</v>
      </c>
      <c r="K35" s="22">
        <v>1.70258</v>
      </c>
      <c r="L35">
        <f t="shared" si="0"/>
        <v>12.685555555555554</v>
      </c>
      <c r="M35">
        <f t="shared" si="1"/>
        <v>21.617455222222219</v>
      </c>
      <c r="N35" s="9"/>
      <c r="O35" s="22">
        <v>2.5939899999999998E-2</v>
      </c>
      <c r="P35" s="22">
        <v>9.2967099999999991</v>
      </c>
      <c r="Q35" s="22">
        <v>-1.41724E-2</v>
      </c>
      <c r="R35" s="22">
        <v>25</v>
      </c>
      <c r="S35" s="22">
        <v>2.5717199999999999E-2</v>
      </c>
      <c r="T35">
        <f t="shared" si="2"/>
        <v>17.496790123456787</v>
      </c>
      <c r="U35">
        <f t="shared" si="3"/>
        <v>0.45386498612345666</v>
      </c>
      <c r="X35" s="9"/>
      <c r="Y35" s="22">
        <v>1.7040999999999999</v>
      </c>
      <c r="Z35" s="22">
        <v>14.911300000000001</v>
      </c>
      <c r="AA35" s="22">
        <v>-1.0278300000000001E-2</v>
      </c>
      <c r="AB35" s="22">
        <v>25</v>
      </c>
      <c r="AC35" s="22">
        <v>1.7034899999999999</v>
      </c>
      <c r="AD35">
        <f t="shared" si="4"/>
        <v>12.689259259259259</v>
      </c>
      <c r="AE35">
        <f t="shared" si="5"/>
        <v>21.623766703703701</v>
      </c>
      <c r="AF35" s="9"/>
      <c r="AG35" s="22">
        <v>2.5939899999999998E-2</v>
      </c>
      <c r="AH35" s="22">
        <v>18.790900000000001</v>
      </c>
      <c r="AI35" s="22">
        <v>-1.4236499999999999E-2</v>
      </c>
      <c r="AJ35" s="22">
        <v>25</v>
      </c>
      <c r="AK35" s="22">
        <v>2.5726300000000001E-2</v>
      </c>
      <c r="AL35">
        <f t="shared" si="6"/>
        <v>17.575925925925926</v>
      </c>
      <c r="AM35">
        <f t="shared" si="7"/>
        <v>0.4559177609259259</v>
      </c>
      <c r="AP35" s="9"/>
      <c r="AQ35" s="22">
        <v>1.7040999999999999</v>
      </c>
      <c r="AR35" s="22">
        <v>24.320599999999999</v>
      </c>
      <c r="AS35" s="22">
        <v>-1.01715E-2</v>
      </c>
      <c r="AT35" s="22">
        <v>25</v>
      </c>
      <c r="AU35" s="22">
        <v>1.70319</v>
      </c>
      <c r="AV35">
        <f t="shared" si="8"/>
        <v>12.557407407407407</v>
      </c>
      <c r="AW35">
        <f t="shared" si="9"/>
        <v>21.399077962962963</v>
      </c>
      <c r="AX35" s="9"/>
      <c r="AY35" s="22">
        <v>2.5939899999999998E-2</v>
      </c>
      <c r="AZ35" s="22">
        <v>28.200199999999999</v>
      </c>
      <c r="BA35" s="22">
        <v>-1.42273E-2</v>
      </c>
      <c r="BB35" s="22">
        <v>25</v>
      </c>
      <c r="BC35" s="22">
        <v>2.5769E-2</v>
      </c>
      <c r="BD35">
        <f t="shared" si="10"/>
        <v>17.564567901234565</v>
      </c>
      <c r="BE35">
        <f t="shared" si="11"/>
        <v>0.45562313490123446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5.4271700000000003</v>
      </c>
      <c r="I36" s="22">
        <v>-1.0437E-2</v>
      </c>
      <c r="J36" s="22">
        <v>26</v>
      </c>
      <c r="K36" s="22">
        <v>1.698</v>
      </c>
      <c r="L36">
        <f t="shared" si="0"/>
        <v>12.885185185185184</v>
      </c>
      <c r="M36">
        <f t="shared" si="1"/>
        <v>21.892831592592593</v>
      </c>
      <c r="N36" s="9"/>
      <c r="O36" s="22">
        <v>3.0975300000000001E-2</v>
      </c>
      <c r="P36" s="22">
        <v>9.3067799999999998</v>
      </c>
      <c r="Q36" s="22">
        <v>-1.41724E-2</v>
      </c>
      <c r="R36" s="22">
        <v>26</v>
      </c>
      <c r="S36" s="22">
        <v>3.0776999999999999E-2</v>
      </c>
      <c r="T36">
        <f t="shared" si="2"/>
        <v>17.496790123456787</v>
      </c>
      <c r="U36">
        <f t="shared" si="3"/>
        <v>0.54196832311111098</v>
      </c>
      <c r="X36" s="9"/>
      <c r="Y36" s="22">
        <v>1.6990700000000001</v>
      </c>
      <c r="Z36" s="22">
        <v>14.9214</v>
      </c>
      <c r="AA36" s="22">
        <v>-1.04706E-2</v>
      </c>
      <c r="AB36" s="22">
        <v>26</v>
      </c>
      <c r="AC36" s="22">
        <v>1.6982999999999999</v>
      </c>
      <c r="AD36">
        <f t="shared" si="4"/>
        <v>12.926666666666666</v>
      </c>
      <c r="AE36">
        <f t="shared" si="5"/>
        <v>21.963311533333332</v>
      </c>
      <c r="AF36" s="9"/>
      <c r="AG36" s="22">
        <v>3.0975300000000001E-2</v>
      </c>
      <c r="AH36" s="22">
        <v>18.800999999999998</v>
      </c>
      <c r="AI36" s="22">
        <v>-1.42395E-2</v>
      </c>
      <c r="AJ36" s="22">
        <v>26</v>
      </c>
      <c r="AK36" s="22">
        <v>3.07861E-2</v>
      </c>
      <c r="AL36">
        <f t="shared" si="6"/>
        <v>17.579629629629629</v>
      </c>
      <c r="AM36">
        <f t="shared" si="7"/>
        <v>0.54453430166666661</v>
      </c>
      <c r="AP36" s="9"/>
      <c r="AQ36" s="22">
        <v>1.6990700000000001</v>
      </c>
      <c r="AR36" s="22">
        <v>24.3306</v>
      </c>
      <c r="AS36" s="22">
        <v>-1.0357699999999999E-2</v>
      </c>
      <c r="AT36" s="22">
        <v>26</v>
      </c>
      <c r="AU36" s="22">
        <v>1.6982999999999999</v>
      </c>
      <c r="AV36">
        <f t="shared" si="8"/>
        <v>12.787283950617283</v>
      </c>
      <c r="AW36">
        <f t="shared" si="9"/>
        <v>21.726490541975309</v>
      </c>
      <c r="AX36" s="9"/>
      <c r="AY36" s="22">
        <v>3.0975300000000001E-2</v>
      </c>
      <c r="AZ36" s="22">
        <v>28.2102</v>
      </c>
      <c r="BA36" s="22">
        <v>-1.42212E-2</v>
      </c>
      <c r="BB36" s="22">
        <v>26</v>
      </c>
      <c r="BC36" s="22">
        <v>3.0767800000000001E-2</v>
      </c>
      <c r="BD36">
        <f t="shared" si="10"/>
        <v>17.557037037037034</v>
      </c>
      <c r="BE36">
        <f t="shared" si="11"/>
        <v>0.54383448933333323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5.4372400000000001</v>
      </c>
      <c r="I37" s="22">
        <v>-1.05957E-2</v>
      </c>
      <c r="J37" s="22">
        <v>27</v>
      </c>
      <c r="K37" s="22">
        <v>1.6928099999999999</v>
      </c>
      <c r="L37">
        <f t="shared" si="0"/>
        <v>13.08111111111111</v>
      </c>
      <c r="M37">
        <f t="shared" si="1"/>
        <v>22.159794655555551</v>
      </c>
      <c r="N37" s="9"/>
      <c r="O37" s="22">
        <v>3.60107E-2</v>
      </c>
      <c r="P37" s="22">
        <v>9.3168600000000001</v>
      </c>
      <c r="Q37" s="22">
        <v>-1.4163200000000001E-2</v>
      </c>
      <c r="R37" s="22">
        <v>27</v>
      </c>
      <c r="S37" s="22">
        <v>3.5812400000000001E-2</v>
      </c>
      <c r="T37">
        <f t="shared" si="2"/>
        <v>17.485432098765433</v>
      </c>
      <c r="U37">
        <f t="shared" si="3"/>
        <v>0.62966264967901231</v>
      </c>
      <c r="X37" s="9"/>
      <c r="Y37" s="22">
        <v>1.6940299999999999</v>
      </c>
      <c r="Z37" s="22">
        <v>14.9315</v>
      </c>
      <c r="AA37" s="22">
        <v>-1.0638399999999999E-2</v>
      </c>
      <c r="AB37" s="22">
        <v>27</v>
      </c>
      <c r="AC37" s="22">
        <v>1.69373</v>
      </c>
      <c r="AD37">
        <f t="shared" si="4"/>
        <v>13.133827160493826</v>
      </c>
      <c r="AE37">
        <f t="shared" si="5"/>
        <v>22.249097224691354</v>
      </c>
      <c r="AF37" s="9"/>
      <c r="AG37" s="22">
        <v>3.60107E-2</v>
      </c>
      <c r="AH37" s="22">
        <v>18.8111</v>
      </c>
      <c r="AI37" s="22">
        <v>-1.42395E-2</v>
      </c>
      <c r="AJ37" s="22">
        <v>27</v>
      </c>
      <c r="AK37" s="22">
        <v>3.58459E-2</v>
      </c>
      <c r="AL37">
        <f t="shared" si="6"/>
        <v>17.579629629629629</v>
      </c>
      <c r="AM37">
        <f t="shared" si="7"/>
        <v>0.6330547687037037</v>
      </c>
      <c r="AP37" s="9"/>
      <c r="AQ37" s="22">
        <v>1.6940299999999999</v>
      </c>
      <c r="AR37" s="22">
        <v>24.340699999999998</v>
      </c>
      <c r="AS37" s="22">
        <v>-1.0534699999999999E-2</v>
      </c>
      <c r="AT37" s="22">
        <v>27</v>
      </c>
      <c r="AU37" s="22">
        <v>1.6934199999999999</v>
      </c>
      <c r="AV37">
        <f t="shared" si="8"/>
        <v>13.0058024691358</v>
      </c>
      <c r="AW37">
        <f t="shared" si="9"/>
        <v>22.032219556790118</v>
      </c>
      <c r="AX37" s="9"/>
      <c r="AY37" s="22">
        <v>3.60107E-2</v>
      </c>
      <c r="AZ37" s="22">
        <v>28.220300000000002</v>
      </c>
      <c r="BA37" s="22">
        <v>-1.42151E-2</v>
      </c>
      <c r="BB37" s="22">
        <v>27</v>
      </c>
      <c r="BC37" s="22">
        <v>3.58307E-2</v>
      </c>
      <c r="BD37">
        <f t="shared" si="10"/>
        <v>17.549506172839507</v>
      </c>
      <c r="BE37">
        <f t="shared" si="11"/>
        <v>0.63197000193827169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5.4473099999999999</v>
      </c>
      <c r="I38" s="22">
        <v>-1.07513E-2</v>
      </c>
      <c r="J38" s="22">
        <v>28</v>
      </c>
      <c r="K38" s="22">
        <v>1.6885399999999999</v>
      </c>
      <c r="L38">
        <f t="shared" si="0"/>
        <v>13.273209876543209</v>
      </c>
      <c r="M38">
        <f t="shared" si="1"/>
        <v>22.41845148148148</v>
      </c>
      <c r="N38" s="9"/>
      <c r="O38" s="22">
        <v>4.1046100000000002E-2</v>
      </c>
      <c r="P38" s="22">
        <v>9.3269300000000008</v>
      </c>
      <c r="Q38" s="22">
        <v>-1.4163200000000001E-2</v>
      </c>
      <c r="R38" s="22">
        <v>28</v>
      </c>
      <c r="S38" s="22">
        <v>4.0869099999999998E-2</v>
      </c>
      <c r="T38">
        <f t="shared" si="2"/>
        <v>17.485432098765433</v>
      </c>
      <c r="U38">
        <f t="shared" si="3"/>
        <v>0.71770879446913582</v>
      </c>
      <c r="X38" s="9"/>
      <c r="Y38" s="22">
        <v>1.6890000000000001</v>
      </c>
      <c r="Z38" s="22">
        <v>14.9415</v>
      </c>
      <c r="AA38" s="22">
        <v>-1.08063E-2</v>
      </c>
      <c r="AB38" s="22">
        <v>28</v>
      </c>
      <c r="AC38" s="22">
        <v>1.6879299999999999</v>
      </c>
      <c r="AD38">
        <f t="shared" si="4"/>
        <v>13.341111111111109</v>
      </c>
      <c r="AE38">
        <f t="shared" si="5"/>
        <v>22.533136666666664</v>
      </c>
      <c r="AF38" s="9"/>
      <c r="AG38" s="22">
        <v>4.1046100000000002E-2</v>
      </c>
      <c r="AH38" s="22">
        <v>18.821100000000001</v>
      </c>
      <c r="AI38" s="22">
        <v>-1.42395E-2</v>
      </c>
      <c r="AJ38" s="22">
        <v>28</v>
      </c>
      <c r="AK38" s="22">
        <v>4.086E-2</v>
      </c>
      <c r="AL38">
        <f t="shared" si="6"/>
        <v>17.579629629629629</v>
      </c>
      <c r="AM38">
        <f t="shared" si="7"/>
        <v>0.72157523574074078</v>
      </c>
      <c r="AP38" s="9"/>
      <c r="AQ38" s="22">
        <v>1.6890000000000001</v>
      </c>
      <c r="AR38" s="22">
        <v>24.3508</v>
      </c>
      <c r="AS38" s="22">
        <v>-1.0705599999999999E-2</v>
      </c>
      <c r="AT38" s="22">
        <v>28</v>
      </c>
      <c r="AU38" s="22">
        <v>1.6882299999999999</v>
      </c>
      <c r="AV38">
        <f t="shared" si="8"/>
        <v>13.216790123456789</v>
      </c>
      <c r="AW38">
        <f t="shared" si="9"/>
        <v>22.323158518518518</v>
      </c>
      <c r="AX38" s="9"/>
      <c r="AY38" s="22">
        <v>4.1046100000000002E-2</v>
      </c>
      <c r="AZ38" s="22">
        <v>28.230399999999999</v>
      </c>
      <c r="BA38" s="22">
        <v>-1.4218099999999999E-2</v>
      </c>
      <c r="BB38" s="22">
        <v>28</v>
      </c>
      <c r="BC38" s="22">
        <v>4.0911900000000001E-2</v>
      </c>
      <c r="BD38">
        <f t="shared" si="10"/>
        <v>17.553209876543207</v>
      </c>
      <c r="BE38">
        <f t="shared" si="11"/>
        <v>0.72049080791358011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5.4573799999999997</v>
      </c>
      <c r="I39" s="22">
        <v>-1.0891700000000001E-2</v>
      </c>
      <c r="J39" s="22">
        <v>29</v>
      </c>
      <c r="K39" s="22">
        <v>1.6827399999999999</v>
      </c>
      <c r="L39">
        <f t="shared" si="0"/>
        <v>13.446543209876543</v>
      </c>
      <c r="M39">
        <f t="shared" si="1"/>
        <v>22.643440903703702</v>
      </c>
      <c r="N39" s="9"/>
      <c r="O39" s="22">
        <v>4.6081499999999997E-2</v>
      </c>
      <c r="P39" s="22">
        <v>9.3369999999999997</v>
      </c>
      <c r="Q39" s="22">
        <v>-1.41602E-2</v>
      </c>
      <c r="R39" s="22">
        <v>29</v>
      </c>
      <c r="S39" s="22">
        <v>4.5910600000000003E-2</v>
      </c>
      <c r="T39">
        <f t="shared" si="2"/>
        <v>17.481728395061729</v>
      </c>
      <c r="U39">
        <f t="shared" si="3"/>
        <v>0.80558426703703701</v>
      </c>
      <c r="X39" s="9"/>
      <c r="Y39" s="22">
        <v>1.6839599999999999</v>
      </c>
      <c r="Z39" s="22">
        <v>14.951599999999999</v>
      </c>
      <c r="AA39" s="22">
        <v>-1.09497E-2</v>
      </c>
      <c r="AB39" s="22">
        <v>29</v>
      </c>
      <c r="AC39" s="22">
        <v>1.6824300000000001</v>
      </c>
      <c r="AD39">
        <f t="shared" si="4"/>
        <v>13.518148148148148</v>
      </c>
      <c r="AE39">
        <f t="shared" si="5"/>
        <v>22.764020755555553</v>
      </c>
      <c r="AF39" s="9"/>
      <c r="AG39" s="22">
        <v>4.6081499999999997E-2</v>
      </c>
      <c r="AH39" s="22">
        <v>18.831199999999999</v>
      </c>
      <c r="AI39" s="22">
        <v>-1.42395E-2</v>
      </c>
      <c r="AJ39" s="22">
        <v>29</v>
      </c>
      <c r="AK39" s="22">
        <v>4.5922900000000003E-2</v>
      </c>
      <c r="AL39">
        <f t="shared" si="6"/>
        <v>17.579629629629629</v>
      </c>
      <c r="AM39">
        <f t="shared" si="7"/>
        <v>0.81009570277777776</v>
      </c>
      <c r="AP39" s="9"/>
      <c r="AQ39" s="22">
        <v>1.6839599999999999</v>
      </c>
      <c r="AR39" s="22">
        <v>24.360800000000001</v>
      </c>
      <c r="AS39" s="22">
        <v>-1.08612E-2</v>
      </c>
      <c r="AT39" s="22">
        <v>29</v>
      </c>
      <c r="AU39" s="22">
        <v>1.6830400000000001</v>
      </c>
      <c r="AV39">
        <f t="shared" si="8"/>
        <v>13.408888888888887</v>
      </c>
      <c r="AW39">
        <f t="shared" si="9"/>
        <v>22.58003253333333</v>
      </c>
      <c r="AX39" s="9"/>
      <c r="AY39" s="22">
        <v>4.6081499999999997E-2</v>
      </c>
      <c r="AZ39" s="22">
        <v>28.240400000000001</v>
      </c>
      <c r="BA39" s="22">
        <v>-1.42151E-2</v>
      </c>
      <c r="BB39" s="22">
        <v>29</v>
      </c>
      <c r="BC39" s="22">
        <v>4.5938100000000003E-2</v>
      </c>
      <c r="BD39">
        <f t="shared" si="10"/>
        <v>17.549506172839507</v>
      </c>
      <c r="BE39">
        <f t="shared" si="11"/>
        <v>0.80870756870370375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5.4674500000000004</v>
      </c>
      <c r="I40" s="22">
        <v>-1.1025999999999999E-2</v>
      </c>
      <c r="J40" s="22">
        <v>30</v>
      </c>
      <c r="K40" s="22">
        <v>1.6778599999999999</v>
      </c>
      <c r="L40">
        <f t="shared" si="0"/>
        <v>13.612345679012344</v>
      </c>
      <c r="M40">
        <f t="shared" si="1"/>
        <v>22.854039407407406</v>
      </c>
      <c r="N40" s="9"/>
      <c r="O40" s="22">
        <v>5.11169E-2</v>
      </c>
      <c r="P40" s="22">
        <v>9.3470700000000004</v>
      </c>
      <c r="Q40" s="22">
        <v>-1.4154099999999999E-2</v>
      </c>
      <c r="R40" s="22">
        <v>30</v>
      </c>
      <c r="S40" s="22">
        <v>5.0961300000000001E-2</v>
      </c>
      <c r="T40">
        <f t="shared" si="2"/>
        <v>17.474197530864195</v>
      </c>
      <c r="U40">
        <f t="shared" si="3"/>
        <v>0.89322680776543195</v>
      </c>
      <c r="X40" s="9"/>
      <c r="Y40" s="22">
        <v>1.67892</v>
      </c>
      <c r="Z40" s="22">
        <v>14.9617</v>
      </c>
      <c r="AA40" s="22">
        <v>-1.10992E-2</v>
      </c>
      <c r="AB40" s="22">
        <v>30</v>
      </c>
      <c r="AC40" s="22">
        <v>1.6772499999999999</v>
      </c>
      <c r="AD40">
        <f t="shared" si="4"/>
        <v>13.702716049382715</v>
      </c>
      <c r="AE40">
        <f t="shared" si="5"/>
        <v>23.005764029629628</v>
      </c>
      <c r="AF40" s="9"/>
      <c r="AG40" s="22">
        <v>5.11169E-2</v>
      </c>
      <c r="AH40" s="22">
        <v>18.8413</v>
      </c>
      <c r="AI40" s="22">
        <v>-1.4242599999999999E-2</v>
      </c>
      <c r="AJ40" s="22">
        <v>30</v>
      </c>
      <c r="AK40" s="22">
        <v>5.0955199999999999E-2</v>
      </c>
      <c r="AL40">
        <f t="shared" si="6"/>
        <v>17.583456790123453</v>
      </c>
      <c r="AM40">
        <f t="shared" si="7"/>
        <v>0.89881180239506153</v>
      </c>
      <c r="AP40" s="9"/>
      <c r="AQ40" s="22">
        <v>1.67892</v>
      </c>
      <c r="AR40" s="22">
        <v>24.370899999999999</v>
      </c>
      <c r="AS40" s="22">
        <v>-1.10016E-2</v>
      </c>
      <c r="AT40" s="22">
        <v>30</v>
      </c>
      <c r="AU40" s="22">
        <v>1.6784699999999999</v>
      </c>
      <c r="AV40">
        <f t="shared" si="8"/>
        <v>13.582222222222221</v>
      </c>
      <c r="AW40">
        <f t="shared" si="9"/>
        <v>22.803464533333329</v>
      </c>
      <c r="AX40" s="9"/>
      <c r="AY40" s="22">
        <v>5.11169E-2</v>
      </c>
      <c r="AZ40" s="22">
        <v>28.250499999999999</v>
      </c>
      <c r="BA40" s="22">
        <v>-1.4218099999999999E-2</v>
      </c>
      <c r="BB40" s="22">
        <v>30</v>
      </c>
      <c r="BC40" s="22">
        <v>5.1016199999999998E-2</v>
      </c>
      <c r="BD40">
        <f t="shared" si="10"/>
        <v>17.553209876543207</v>
      </c>
      <c r="BE40">
        <f t="shared" si="11"/>
        <v>0.89726567393827139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5.4775200000000002</v>
      </c>
      <c r="I41" s="22">
        <v>-1.11389E-2</v>
      </c>
      <c r="J41" s="22">
        <v>31</v>
      </c>
      <c r="K41" s="22">
        <v>1.6729700000000001</v>
      </c>
      <c r="L41">
        <f t="shared" si="0"/>
        <v>13.751728395061727</v>
      </c>
      <c r="M41">
        <f t="shared" si="1"/>
        <v>23.018880643209876</v>
      </c>
      <c r="N41" s="9"/>
      <c r="O41" s="22">
        <v>5.6152300000000002E-2</v>
      </c>
      <c r="P41" s="22">
        <v>9.3571399999999993</v>
      </c>
      <c r="Q41" s="22">
        <v>-1.4154099999999999E-2</v>
      </c>
      <c r="R41" s="22">
        <v>31</v>
      </c>
      <c r="S41" s="22">
        <v>5.5572499999999997E-2</v>
      </c>
      <c r="T41">
        <f t="shared" si="2"/>
        <v>17.474197530864195</v>
      </c>
      <c r="U41">
        <f t="shared" si="3"/>
        <v>0.98121638201234562</v>
      </c>
      <c r="X41" s="9"/>
      <c r="Y41" s="22">
        <v>1.6738900000000001</v>
      </c>
      <c r="Z41" s="22">
        <v>14.9717</v>
      </c>
      <c r="AA41" s="22">
        <v>-1.1224400000000001E-2</v>
      </c>
      <c r="AB41" s="22">
        <v>31</v>
      </c>
      <c r="AC41" s="22">
        <v>1.6732800000000001</v>
      </c>
      <c r="AD41">
        <f t="shared" si="4"/>
        <v>13.857283950617285</v>
      </c>
      <c r="AE41">
        <f t="shared" si="5"/>
        <v>23.195569032098767</v>
      </c>
      <c r="AF41" s="9"/>
      <c r="AG41" s="22">
        <v>5.6152300000000002E-2</v>
      </c>
      <c r="AH41" s="22">
        <v>18.851400000000002</v>
      </c>
      <c r="AI41" s="22">
        <v>-1.4242599999999999E-2</v>
      </c>
      <c r="AJ41" s="22">
        <v>31</v>
      </c>
      <c r="AK41" s="22">
        <v>5.5542000000000001E-2</v>
      </c>
      <c r="AL41">
        <f t="shared" si="6"/>
        <v>17.583456790123453</v>
      </c>
      <c r="AM41">
        <f t="shared" si="7"/>
        <v>0.98735154071604925</v>
      </c>
      <c r="AP41" s="9"/>
      <c r="AQ41" s="22">
        <v>1.6738900000000001</v>
      </c>
      <c r="AR41" s="22">
        <v>24.381</v>
      </c>
      <c r="AS41" s="22">
        <v>-1.11328E-2</v>
      </c>
      <c r="AT41" s="22">
        <v>31</v>
      </c>
      <c r="AU41" s="22">
        <v>1.6723600000000001</v>
      </c>
      <c r="AV41">
        <f t="shared" si="8"/>
        <v>13.744197530864197</v>
      </c>
      <c r="AW41">
        <f t="shared" si="9"/>
        <v>23.006274804938272</v>
      </c>
      <c r="AX41" s="9"/>
      <c r="AY41" s="22">
        <v>5.6152300000000002E-2</v>
      </c>
      <c r="AZ41" s="22">
        <v>28.2606</v>
      </c>
      <c r="BA41" s="22">
        <v>-1.4224199999999999E-2</v>
      </c>
      <c r="BB41" s="22">
        <v>31</v>
      </c>
      <c r="BC41" s="22">
        <v>5.5572499999999997E-2</v>
      </c>
      <c r="BD41">
        <f t="shared" si="10"/>
        <v>17.560740740740737</v>
      </c>
      <c r="BE41">
        <f t="shared" si="11"/>
        <v>0.98607598229629612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5.48759</v>
      </c>
      <c r="I42" s="22">
        <v>-1.1245700000000001E-2</v>
      </c>
      <c r="J42" s="22">
        <v>32</v>
      </c>
      <c r="K42" s="22">
        <v>1.6674800000000001</v>
      </c>
      <c r="L42">
        <f t="shared" si="0"/>
        <v>13.883580246913581</v>
      </c>
      <c r="M42">
        <f t="shared" si="1"/>
        <v>23.169612895061729</v>
      </c>
      <c r="N42" s="9"/>
      <c r="O42" s="22">
        <v>6.1187699999999998E-2</v>
      </c>
      <c r="P42" s="22">
        <v>9.36721</v>
      </c>
      <c r="Q42" s="22">
        <v>-1.4151E-2</v>
      </c>
      <c r="R42" s="22">
        <v>32</v>
      </c>
      <c r="S42" s="22">
        <v>6.0516399999999998E-2</v>
      </c>
      <c r="T42">
        <f t="shared" si="2"/>
        <v>17.470370370370368</v>
      </c>
      <c r="U42">
        <f t="shared" si="3"/>
        <v>1.068971781111111</v>
      </c>
      <c r="X42" s="9"/>
      <c r="Y42" s="22">
        <v>1.6688499999999999</v>
      </c>
      <c r="Z42" s="22">
        <v>14.9818</v>
      </c>
      <c r="AA42" s="22">
        <v>-1.13495E-2</v>
      </c>
      <c r="AB42" s="22">
        <v>32</v>
      </c>
      <c r="AC42" s="22">
        <v>1.6677900000000001</v>
      </c>
      <c r="AD42">
        <f t="shared" si="4"/>
        <v>14.011728395061727</v>
      </c>
      <c r="AE42">
        <f t="shared" si="5"/>
        <v>23.383472932098762</v>
      </c>
      <c r="AF42" s="9"/>
      <c r="AG42" s="22">
        <v>6.1187699999999998E-2</v>
      </c>
      <c r="AH42" s="22">
        <v>18.8614</v>
      </c>
      <c r="AI42" s="22">
        <v>-1.42395E-2</v>
      </c>
      <c r="AJ42" s="22">
        <v>32</v>
      </c>
      <c r="AK42" s="22">
        <v>6.0607899999999999E-2</v>
      </c>
      <c r="AL42">
        <f t="shared" si="6"/>
        <v>17.579629629629629</v>
      </c>
      <c r="AM42">
        <f t="shared" si="7"/>
        <v>1.0756571038888889</v>
      </c>
      <c r="AP42" s="9"/>
      <c r="AQ42" s="22">
        <v>1.6688499999999999</v>
      </c>
      <c r="AR42" s="22">
        <v>24.390999999999998</v>
      </c>
      <c r="AS42" s="22">
        <v>-1.12579E-2</v>
      </c>
      <c r="AT42" s="22">
        <v>32</v>
      </c>
      <c r="AU42" s="22">
        <v>1.6674800000000001</v>
      </c>
      <c r="AV42">
        <f t="shared" si="8"/>
        <v>13.898641975308641</v>
      </c>
      <c r="AW42">
        <f t="shared" si="9"/>
        <v>23.194748660493826</v>
      </c>
      <c r="AX42" s="9"/>
      <c r="AY42" s="22">
        <v>6.1187699999999998E-2</v>
      </c>
      <c r="AZ42" s="22">
        <v>28.270700000000001</v>
      </c>
      <c r="BA42" s="22">
        <v>-1.4218099999999999E-2</v>
      </c>
      <c r="BB42" s="22">
        <v>32</v>
      </c>
      <c r="BC42" s="22">
        <v>6.0607899999999999E-2</v>
      </c>
      <c r="BD42">
        <f t="shared" si="10"/>
        <v>17.553209876543207</v>
      </c>
      <c r="BE42">
        <f t="shared" si="11"/>
        <v>1.0740405399629627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5.4976599999999998</v>
      </c>
      <c r="I43" s="22">
        <v>-1.13495E-2</v>
      </c>
      <c r="J43" s="22">
        <v>33</v>
      </c>
      <c r="K43" s="22">
        <v>1.6626000000000001</v>
      </c>
      <c r="L43">
        <f t="shared" si="0"/>
        <v>14.011728395061727</v>
      </c>
      <c r="M43">
        <f t="shared" si="1"/>
        <v>23.312993938271603</v>
      </c>
      <c r="N43" s="9"/>
      <c r="O43" s="22">
        <v>6.6223099999999993E-2</v>
      </c>
      <c r="P43" s="22">
        <v>9.3772800000000007</v>
      </c>
      <c r="Q43" s="22">
        <v>-1.4154099999999999E-2</v>
      </c>
      <c r="R43" s="22">
        <v>33</v>
      </c>
      <c r="S43" s="22">
        <v>6.5582299999999996E-2</v>
      </c>
      <c r="T43">
        <f t="shared" si="2"/>
        <v>17.474197530864195</v>
      </c>
      <c r="U43">
        <f t="shared" si="3"/>
        <v>1.1571955305061725</v>
      </c>
      <c r="X43" s="9"/>
      <c r="Y43" s="22">
        <v>1.6638200000000001</v>
      </c>
      <c r="Z43" s="22">
        <v>14.991899999999999</v>
      </c>
      <c r="AA43" s="22">
        <v>-1.1462399999999999E-2</v>
      </c>
      <c r="AB43" s="22">
        <v>33</v>
      </c>
      <c r="AC43" s="22">
        <v>1.6626000000000001</v>
      </c>
      <c r="AD43">
        <f t="shared" si="4"/>
        <v>14.15111111111111</v>
      </c>
      <c r="AE43">
        <f t="shared" si="5"/>
        <v>23.544901688888888</v>
      </c>
      <c r="AF43" s="9"/>
      <c r="AG43" s="22">
        <v>6.6223099999999993E-2</v>
      </c>
      <c r="AH43" s="22">
        <v>18.871500000000001</v>
      </c>
      <c r="AI43" s="22">
        <v>-1.4242599999999999E-2</v>
      </c>
      <c r="AJ43" s="22">
        <v>33</v>
      </c>
      <c r="AK43" s="22">
        <v>6.5612799999999999E-2</v>
      </c>
      <c r="AL43">
        <f t="shared" si="6"/>
        <v>17.583456790123453</v>
      </c>
      <c r="AM43">
        <f t="shared" si="7"/>
        <v>1.1644310173580243</v>
      </c>
      <c r="AP43" s="9"/>
      <c r="AQ43" s="22">
        <v>1.6638200000000001</v>
      </c>
      <c r="AR43" s="22">
        <v>24.4011</v>
      </c>
      <c r="AS43" s="22">
        <v>-1.13831E-2</v>
      </c>
      <c r="AT43" s="22">
        <v>33</v>
      </c>
      <c r="AU43" s="22">
        <v>1.66229</v>
      </c>
      <c r="AV43">
        <f t="shared" si="8"/>
        <v>14.053209876543209</v>
      </c>
      <c r="AW43">
        <f t="shared" si="9"/>
        <v>23.382011656790123</v>
      </c>
      <c r="AX43" s="9"/>
      <c r="AY43" s="22">
        <v>6.6223099999999993E-2</v>
      </c>
      <c r="AZ43" s="22">
        <v>28.2807</v>
      </c>
      <c r="BA43" s="22">
        <v>-1.4218099999999999E-2</v>
      </c>
      <c r="BB43" s="22">
        <v>33</v>
      </c>
      <c r="BC43" s="22">
        <v>6.5582299999999996E-2</v>
      </c>
      <c r="BD43">
        <f t="shared" si="10"/>
        <v>17.553209876543207</v>
      </c>
      <c r="BE43">
        <f t="shared" si="11"/>
        <v>1.1624279729753084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5.5077400000000001</v>
      </c>
      <c r="I44" s="22">
        <v>-1.1456300000000001E-2</v>
      </c>
      <c r="J44" s="22">
        <v>34</v>
      </c>
      <c r="K44" s="22">
        <v>1.65802</v>
      </c>
      <c r="L44">
        <f t="shared" si="0"/>
        <v>14.143580246913581</v>
      </c>
      <c r="M44">
        <f t="shared" si="1"/>
        <v>23.461088041975309</v>
      </c>
      <c r="N44" s="9"/>
      <c r="O44" s="22">
        <v>7.1258500000000002E-2</v>
      </c>
      <c r="P44" s="22">
        <v>9.3873499999999996</v>
      </c>
      <c r="Q44" s="22">
        <v>-1.4157100000000001E-2</v>
      </c>
      <c r="R44" s="22">
        <v>34</v>
      </c>
      <c r="S44" s="22">
        <v>7.0678699999999997E-2</v>
      </c>
      <c r="T44">
        <f t="shared" si="2"/>
        <v>17.477901234567902</v>
      </c>
      <c r="U44">
        <f t="shared" si="3"/>
        <v>1.2454490251234569</v>
      </c>
      <c r="X44" s="9"/>
      <c r="Y44" s="22">
        <v>1.6587799999999999</v>
      </c>
      <c r="Z44" s="22">
        <v>15.002000000000001</v>
      </c>
      <c r="AA44" s="22">
        <v>-1.1572300000000001E-2</v>
      </c>
      <c r="AB44" s="22">
        <v>34</v>
      </c>
      <c r="AC44" s="22">
        <v>1.65771</v>
      </c>
      <c r="AD44">
        <f t="shared" si="4"/>
        <v>14.286790123456791</v>
      </c>
      <c r="AE44">
        <f t="shared" si="5"/>
        <v>23.698641720987656</v>
      </c>
      <c r="AF44" s="9"/>
      <c r="AG44" s="22">
        <v>7.1258500000000002E-2</v>
      </c>
      <c r="AH44" s="22">
        <v>18.881599999999999</v>
      </c>
      <c r="AI44" s="22">
        <v>-1.4245600000000001E-2</v>
      </c>
      <c r="AJ44" s="22">
        <v>34</v>
      </c>
      <c r="AK44" s="22">
        <v>7.07092E-2</v>
      </c>
      <c r="AL44">
        <f t="shared" si="6"/>
        <v>17.58716049382716</v>
      </c>
      <c r="AM44">
        <f t="shared" si="7"/>
        <v>1.2532346760493827</v>
      </c>
      <c r="AP44" s="9"/>
      <c r="AQ44" s="22">
        <v>1.6587799999999999</v>
      </c>
      <c r="AR44" s="22">
        <v>24.411200000000001</v>
      </c>
      <c r="AS44" s="22">
        <v>-1.1502099999999999E-2</v>
      </c>
      <c r="AT44" s="22">
        <v>34</v>
      </c>
      <c r="AU44" s="22">
        <v>1.6571</v>
      </c>
      <c r="AV44">
        <f t="shared" si="8"/>
        <v>14.200123456790122</v>
      </c>
      <c r="AW44">
        <f t="shared" si="9"/>
        <v>23.554880787654316</v>
      </c>
      <c r="AX44" s="9"/>
      <c r="AY44" s="22">
        <v>7.1258500000000002E-2</v>
      </c>
      <c r="AZ44" s="22">
        <v>28.290800000000001</v>
      </c>
      <c r="BA44" s="22">
        <v>-1.42273E-2</v>
      </c>
      <c r="BB44" s="22">
        <v>34</v>
      </c>
      <c r="BC44" s="22">
        <v>7.07092E-2</v>
      </c>
      <c r="BD44">
        <f t="shared" si="10"/>
        <v>17.564567901234565</v>
      </c>
      <c r="BE44">
        <f t="shared" si="11"/>
        <v>1.2516247617901233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5.5178099999999999</v>
      </c>
      <c r="I45" s="22">
        <v>-1.15479E-2</v>
      </c>
      <c r="J45" s="22">
        <v>35</v>
      </c>
      <c r="K45" s="22">
        <v>1.6525300000000001</v>
      </c>
      <c r="L45">
        <f t="shared" si="0"/>
        <v>14.256666666666666</v>
      </c>
      <c r="M45">
        <f t="shared" si="1"/>
        <v>23.5769625</v>
      </c>
      <c r="N45" s="9"/>
      <c r="O45" s="22">
        <v>7.6293899999999998E-2</v>
      </c>
      <c r="P45" s="22">
        <v>9.3974200000000003</v>
      </c>
      <c r="Q45" s="22">
        <v>-1.41602E-2</v>
      </c>
      <c r="R45" s="22">
        <v>35</v>
      </c>
      <c r="S45" s="22">
        <v>7.5622599999999998E-2</v>
      </c>
      <c r="T45">
        <f t="shared" si="2"/>
        <v>17.481728395061729</v>
      </c>
      <c r="U45">
        <f t="shared" si="3"/>
        <v>1.333749238</v>
      </c>
      <c r="X45" s="9"/>
      <c r="Y45" s="22">
        <v>1.6537500000000001</v>
      </c>
      <c r="Z45" s="22">
        <v>15.012</v>
      </c>
      <c r="AA45" s="22">
        <v>-1.1666899999999999E-2</v>
      </c>
      <c r="AB45" s="22">
        <v>35</v>
      </c>
      <c r="AC45" s="22">
        <v>1.6531400000000001</v>
      </c>
      <c r="AD45">
        <f t="shared" si="4"/>
        <v>14.403580246913579</v>
      </c>
      <c r="AE45">
        <f t="shared" si="5"/>
        <v>23.819920833333331</v>
      </c>
      <c r="AF45" s="9"/>
      <c r="AG45" s="22">
        <v>7.6293899999999998E-2</v>
      </c>
      <c r="AH45" s="22">
        <v>18.8916</v>
      </c>
      <c r="AI45" s="22">
        <v>-1.42395E-2</v>
      </c>
      <c r="AJ45" s="22">
        <v>35</v>
      </c>
      <c r="AK45" s="22">
        <v>7.5653100000000001E-2</v>
      </c>
      <c r="AL45">
        <f t="shared" si="6"/>
        <v>17.579629629629629</v>
      </c>
      <c r="AM45">
        <f t="shared" si="7"/>
        <v>1.3412185049999998</v>
      </c>
      <c r="AP45" s="9"/>
      <c r="AQ45" s="22">
        <v>1.6537500000000001</v>
      </c>
      <c r="AR45" s="22">
        <v>24.421299999999999</v>
      </c>
      <c r="AS45" s="22">
        <v>-1.1618E-2</v>
      </c>
      <c r="AT45" s="22">
        <v>35</v>
      </c>
      <c r="AU45" s="22">
        <v>1.65283</v>
      </c>
      <c r="AV45">
        <f t="shared" si="8"/>
        <v>14.343209876543209</v>
      </c>
      <c r="AW45">
        <f t="shared" si="9"/>
        <v>23.720083333333335</v>
      </c>
      <c r="AX45" s="9"/>
      <c r="AY45" s="22">
        <v>7.6293899999999998E-2</v>
      </c>
      <c r="AZ45" s="22">
        <v>28.300899999999999</v>
      </c>
      <c r="BA45" s="22">
        <v>-1.42334E-2</v>
      </c>
      <c r="BB45" s="22">
        <v>35</v>
      </c>
      <c r="BC45" s="22">
        <v>7.5714100000000006E-2</v>
      </c>
      <c r="BD45">
        <f t="shared" si="10"/>
        <v>17.572098765432099</v>
      </c>
      <c r="BE45">
        <f t="shared" si="11"/>
        <v>1.3406439459999999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5.5278799999999997</v>
      </c>
      <c r="I46" s="22">
        <v>-1.16455E-2</v>
      </c>
      <c r="J46" s="22">
        <v>36</v>
      </c>
      <c r="K46" s="22">
        <v>1.64795</v>
      </c>
      <c r="L46">
        <f t="shared" si="0"/>
        <v>14.37716049382716</v>
      </c>
      <c r="M46">
        <f t="shared" si="1"/>
        <v>23.703768277777776</v>
      </c>
      <c r="N46" s="9"/>
      <c r="O46" s="22">
        <v>8.1329299999999993E-2</v>
      </c>
      <c r="P46" s="22">
        <v>9.4074899999999992</v>
      </c>
      <c r="Q46" s="22">
        <v>-1.4157100000000001E-2</v>
      </c>
      <c r="R46" s="22">
        <v>36</v>
      </c>
      <c r="S46" s="22">
        <v>8.0780000000000005E-2</v>
      </c>
      <c r="T46">
        <f t="shared" si="2"/>
        <v>17.477901234567902</v>
      </c>
      <c r="U46">
        <f t="shared" si="3"/>
        <v>1.4214654728765432</v>
      </c>
      <c r="X46" s="9"/>
      <c r="Y46" s="22">
        <v>1.6487099999999999</v>
      </c>
      <c r="Z46" s="22">
        <v>15.0221</v>
      </c>
      <c r="AA46" s="22">
        <v>-1.1761499999999999E-2</v>
      </c>
      <c r="AB46" s="22">
        <v>36</v>
      </c>
      <c r="AC46" s="22">
        <v>1.64795</v>
      </c>
      <c r="AD46">
        <f t="shared" si="4"/>
        <v>14.520370370370369</v>
      </c>
      <c r="AE46">
        <f t="shared" si="5"/>
        <v>23.939879833333329</v>
      </c>
      <c r="AF46" s="9"/>
      <c r="AG46" s="22">
        <v>8.1329299999999993E-2</v>
      </c>
      <c r="AH46" s="22">
        <v>18.901700000000002</v>
      </c>
      <c r="AI46" s="22">
        <v>-1.4236499999999999E-2</v>
      </c>
      <c r="AJ46" s="22">
        <v>36</v>
      </c>
      <c r="AK46" s="22">
        <v>8.0718999999999999E-2</v>
      </c>
      <c r="AL46">
        <f t="shared" si="6"/>
        <v>17.575925925925926</v>
      </c>
      <c r="AM46">
        <f t="shared" si="7"/>
        <v>1.4294377524074073</v>
      </c>
      <c r="AP46" s="9"/>
      <c r="AQ46" s="22">
        <v>1.6487099999999999</v>
      </c>
      <c r="AR46" s="22">
        <v>24.4313</v>
      </c>
      <c r="AS46" s="22">
        <v>-1.17188E-2</v>
      </c>
      <c r="AT46" s="22">
        <v>36</v>
      </c>
      <c r="AU46" s="22">
        <v>1.64764</v>
      </c>
      <c r="AV46">
        <f t="shared" si="8"/>
        <v>14.467654320987654</v>
      </c>
      <c r="AW46">
        <f t="shared" si="9"/>
        <v>23.852966355555552</v>
      </c>
      <c r="AX46" s="9"/>
      <c r="AY46" s="22">
        <v>8.1329299999999993E-2</v>
      </c>
      <c r="AZ46" s="22">
        <v>28.3109</v>
      </c>
      <c r="BA46" s="22">
        <v>-1.42395E-2</v>
      </c>
      <c r="BB46" s="22">
        <v>36</v>
      </c>
      <c r="BC46" s="22">
        <v>8.0718999999999999E-2</v>
      </c>
      <c r="BD46">
        <f t="shared" si="10"/>
        <v>17.579629629629629</v>
      </c>
      <c r="BE46">
        <f t="shared" si="11"/>
        <v>1.4297389720370368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5.5379500000000004</v>
      </c>
      <c r="I47" s="22">
        <v>-1.1731E-2</v>
      </c>
      <c r="J47" s="22">
        <v>37</v>
      </c>
      <c r="K47" s="22">
        <v>1.64246</v>
      </c>
      <c r="L47">
        <f t="shared" si="0"/>
        <v>14.482716049382715</v>
      </c>
      <c r="M47">
        <f t="shared" si="1"/>
        <v>23.80495071604938</v>
      </c>
      <c r="N47" s="9"/>
      <c r="O47" s="22">
        <v>8.6364700000000003E-2</v>
      </c>
      <c r="P47" s="22">
        <v>9.4175699999999996</v>
      </c>
      <c r="Q47" s="22">
        <v>-1.4154099999999999E-2</v>
      </c>
      <c r="R47" s="22">
        <v>37</v>
      </c>
      <c r="S47" s="22">
        <v>8.58154E-2</v>
      </c>
      <c r="T47">
        <f t="shared" si="2"/>
        <v>17.474197530864195</v>
      </c>
      <c r="U47">
        <f t="shared" si="3"/>
        <v>1.509153827493827</v>
      </c>
      <c r="X47" s="9"/>
      <c r="Y47" s="22">
        <v>1.64368</v>
      </c>
      <c r="Z47" s="22">
        <v>15.0322</v>
      </c>
      <c r="AA47" s="22">
        <v>-1.18469E-2</v>
      </c>
      <c r="AB47" s="22">
        <v>37</v>
      </c>
      <c r="AC47" s="22">
        <v>1.64215</v>
      </c>
      <c r="AD47">
        <f t="shared" si="4"/>
        <v>14.625802469135802</v>
      </c>
      <c r="AE47">
        <f t="shared" si="5"/>
        <v>24.040139002469136</v>
      </c>
      <c r="AF47" s="9"/>
      <c r="AG47" s="22">
        <v>8.6364700000000003E-2</v>
      </c>
      <c r="AH47" s="22">
        <v>18.911799999999999</v>
      </c>
      <c r="AI47" s="22">
        <v>-1.42273E-2</v>
      </c>
      <c r="AJ47" s="22">
        <v>37</v>
      </c>
      <c r="AK47" s="22">
        <v>8.5754399999999995E-2</v>
      </c>
      <c r="AL47">
        <f t="shared" si="6"/>
        <v>17.564567901234565</v>
      </c>
      <c r="AM47">
        <f t="shared" si="7"/>
        <v>1.5169586374197528</v>
      </c>
      <c r="AP47" s="9"/>
      <c r="AQ47" s="22">
        <v>1.64368</v>
      </c>
      <c r="AR47" s="22">
        <v>24.441400000000002</v>
      </c>
      <c r="AS47" s="22">
        <v>-1.18073E-2</v>
      </c>
      <c r="AT47" s="22">
        <v>37</v>
      </c>
      <c r="AU47" s="22">
        <v>1.64276</v>
      </c>
      <c r="AV47">
        <f t="shared" si="8"/>
        <v>14.576913580246911</v>
      </c>
      <c r="AW47">
        <f t="shared" si="9"/>
        <v>23.959781313580244</v>
      </c>
      <c r="AX47" s="9"/>
      <c r="AY47" s="22">
        <v>8.6364700000000003E-2</v>
      </c>
      <c r="AZ47" s="22">
        <v>28.321000000000002</v>
      </c>
      <c r="BA47" s="22">
        <v>-1.42395E-2</v>
      </c>
      <c r="BB47" s="22">
        <v>37</v>
      </c>
      <c r="BC47" s="22">
        <v>8.5693400000000003E-2</v>
      </c>
      <c r="BD47">
        <f t="shared" si="10"/>
        <v>17.579629629629629</v>
      </c>
      <c r="BE47">
        <f t="shared" si="11"/>
        <v>1.518259439074074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5.5480200000000002</v>
      </c>
      <c r="I48" s="22">
        <v>-1.18195E-2</v>
      </c>
      <c r="J48" s="22">
        <v>38</v>
      </c>
      <c r="K48" s="22">
        <v>1.63788</v>
      </c>
      <c r="L48">
        <f t="shared" si="0"/>
        <v>14.591975308641976</v>
      </c>
      <c r="M48">
        <f t="shared" si="1"/>
        <v>23.910994419753088</v>
      </c>
      <c r="N48" s="9"/>
      <c r="O48" s="22">
        <v>9.1400099999999998E-2</v>
      </c>
      <c r="P48" s="22">
        <v>9.4276400000000002</v>
      </c>
      <c r="Q48" s="22">
        <v>-1.4157100000000001E-2</v>
      </c>
      <c r="R48" s="22">
        <v>38</v>
      </c>
      <c r="S48" s="22">
        <v>9.0820300000000007E-2</v>
      </c>
      <c r="T48">
        <f t="shared" si="2"/>
        <v>17.477901234567902</v>
      </c>
      <c r="U48">
        <f t="shared" si="3"/>
        <v>1.5974819206296296</v>
      </c>
      <c r="X48" s="9"/>
      <c r="Y48" s="22">
        <v>1.6386400000000001</v>
      </c>
      <c r="Z48" s="22">
        <v>15.042199999999999</v>
      </c>
      <c r="AA48" s="22">
        <v>-1.1941500000000001E-2</v>
      </c>
      <c r="AB48" s="22">
        <v>38</v>
      </c>
      <c r="AC48" s="22">
        <v>1.63757</v>
      </c>
      <c r="AD48">
        <f t="shared" si="4"/>
        <v>14.742592592592592</v>
      </c>
      <c r="AE48">
        <f t="shared" si="5"/>
        <v>24.157801925925927</v>
      </c>
      <c r="AF48" s="9"/>
      <c r="AG48" s="22">
        <v>9.1400099999999998E-2</v>
      </c>
      <c r="AH48" s="22">
        <v>18.921900000000001</v>
      </c>
      <c r="AI48" s="22">
        <v>-1.42303E-2</v>
      </c>
      <c r="AJ48" s="22">
        <v>38</v>
      </c>
      <c r="AK48" s="22">
        <v>9.0820300000000007E-2</v>
      </c>
      <c r="AL48">
        <f t="shared" si="6"/>
        <v>17.568271604938271</v>
      </c>
      <c r="AM48">
        <f t="shared" si="7"/>
        <v>1.6057417815185184</v>
      </c>
      <c r="AP48" s="9"/>
      <c r="AQ48" s="22">
        <v>1.6386400000000001</v>
      </c>
      <c r="AR48" s="22">
        <v>24.451499999999999</v>
      </c>
      <c r="AS48" s="22">
        <v>-1.19019E-2</v>
      </c>
      <c r="AT48" s="22">
        <v>38</v>
      </c>
      <c r="AU48" s="22">
        <v>1.63757</v>
      </c>
      <c r="AV48">
        <f t="shared" si="8"/>
        <v>14.693703703703703</v>
      </c>
      <c r="AW48">
        <f t="shared" si="9"/>
        <v>24.077690637037037</v>
      </c>
      <c r="AX48" s="9"/>
      <c r="AY48" s="22">
        <v>9.1400099999999998E-2</v>
      </c>
      <c r="AZ48" s="22">
        <v>28.331099999999999</v>
      </c>
      <c r="BA48" s="22">
        <v>-1.4236499999999999E-2</v>
      </c>
      <c r="BB48" s="22">
        <v>38</v>
      </c>
      <c r="BC48" s="22">
        <v>9.0820300000000007E-2</v>
      </c>
      <c r="BD48">
        <f t="shared" si="10"/>
        <v>17.575925925925926</v>
      </c>
      <c r="BE48">
        <f t="shared" si="11"/>
        <v>1.6064413872222223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5.55809</v>
      </c>
      <c r="I49" s="22">
        <v>-1.18958E-2</v>
      </c>
      <c r="J49" s="22">
        <v>39</v>
      </c>
      <c r="K49" s="22">
        <v>1.63269</v>
      </c>
      <c r="L49">
        <f t="shared" si="0"/>
        <v>14.686172839506172</v>
      </c>
      <c r="M49">
        <f t="shared" si="1"/>
        <v>23.991478812345679</v>
      </c>
      <c r="N49" s="9"/>
      <c r="O49" s="22">
        <v>9.6435499999999993E-2</v>
      </c>
      <c r="P49" s="22">
        <v>9.4377099999999992</v>
      </c>
      <c r="Q49" s="22">
        <v>-1.41602E-2</v>
      </c>
      <c r="R49" s="22">
        <v>39</v>
      </c>
      <c r="S49" s="22">
        <v>9.5764199999999994E-2</v>
      </c>
      <c r="T49">
        <f t="shared" si="2"/>
        <v>17.481728395061729</v>
      </c>
      <c r="U49">
        <f t="shared" si="3"/>
        <v>1.6858592186419754</v>
      </c>
      <c r="X49" s="9"/>
      <c r="Y49" s="22">
        <v>1.63361</v>
      </c>
      <c r="Z49" s="22">
        <v>15.052300000000001</v>
      </c>
      <c r="AA49" s="22">
        <v>-1.2023900000000001E-2</v>
      </c>
      <c r="AB49" s="22">
        <v>39</v>
      </c>
      <c r="AC49" s="22">
        <v>1.63239</v>
      </c>
      <c r="AD49">
        <f t="shared" si="4"/>
        <v>14.844320987654321</v>
      </c>
      <c r="AE49">
        <f t="shared" si="5"/>
        <v>24.249831208641975</v>
      </c>
      <c r="AF49" s="9"/>
      <c r="AG49" s="22">
        <v>9.6435499999999993E-2</v>
      </c>
      <c r="AH49" s="22">
        <v>18.931899999999999</v>
      </c>
      <c r="AI49" s="22">
        <v>-1.42273E-2</v>
      </c>
      <c r="AJ49" s="22">
        <v>39</v>
      </c>
      <c r="AK49" s="22">
        <v>9.5855700000000002E-2</v>
      </c>
      <c r="AL49">
        <f t="shared" si="6"/>
        <v>17.564567901234565</v>
      </c>
      <c r="AM49">
        <f t="shared" si="7"/>
        <v>1.6938478878395058</v>
      </c>
      <c r="AP49" s="9"/>
      <c r="AQ49" s="22">
        <v>1.63361</v>
      </c>
      <c r="AR49" s="22">
        <v>24.461500000000001</v>
      </c>
      <c r="AS49" s="22">
        <v>-1.20056E-2</v>
      </c>
      <c r="AT49" s="22">
        <v>39</v>
      </c>
      <c r="AU49" s="22">
        <v>1.63269</v>
      </c>
      <c r="AV49">
        <f t="shared" si="8"/>
        <v>14.821728395061728</v>
      </c>
      <c r="AW49">
        <f t="shared" si="9"/>
        <v>24.21292372345679</v>
      </c>
      <c r="AX49" s="9"/>
      <c r="AY49" s="22">
        <v>9.6435499999999993E-2</v>
      </c>
      <c r="AZ49" s="22">
        <v>28.341200000000001</v>
      </c>
      <c r="BA49" s="22">
        <v>-1.42487E-2</v>
      </c>
      <c r="BB49" s="22">
        <v>39</v>
      </c>
      <c r="BC49" s="22">
        <v>9.5794699999999997E-2</v>
      </c>
      <c r="BD49">
        <f t="shared" si="10"/>
        <v>17.590987654320987</v>
      </c>
      <c r="BE49">
        <f t="shared" si="11"/>
        <v>1.6963956899382715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5.5681599999999998</v>
      </c>
      <c r="I50" s="22">
        <v>-1.1972E-2</v>
      </c>
      <c r="J50" s="22">
        <v>40</v>
      </c>
      <c r="K50" s="22">
        <v>1.6274999999999999</v>
      </c>
      <c r="L50">
        <f t="shared" si="0"/>
        <v>14.780246913580246</v>
      </c>
      <c r="M50">
        <f t="shared" si="1"/>
        <v>24.070666716049381</v>
      </c>
      <c r="N50" s="9"/>
      <c r="O50" s="22">
        <v>0.10147100000000001</v>
      </c>
      <c r="P50" s="22">
        <v>9.4477799999999998</v>
      </c>
      <c r="Q50" s="22">
        <v>-1.4157100000000001E-2</v>
      </c>
      <c r="R50" s="22">
        <v>40</v>
      </c>
      <c r="S50" s="22">
        <v>0.10083</v>
      </c>
      <c r="T50">
        <f t="shared" si="2"/>
        <v>17.477901234567902</v>
      </c>
      <c r="U50">
        <f t="shared" si="3"/>
        <v>1.7735001161728396</v>
      </c>
      <c r="X50" s="9"/>
      <c r="Y50" s="22">
        <v>1.6285700000000001</v>
      </c>
      <c r="Z50" s="22">
        <v>15.0624</v>
      </c>
      <c r="AA50" s="22">
        <v>-1.21063E-2</v>
      </c>
      <c r="AB50" s="22">
        <v>40</v>
      </c>
      <c r="AC50" s="22">
        <v>1.62781</v>
      </c>
      <c r="AD50">
        <f t="shared" si="4"/>
        <v>14.946049382716049</v>
      </c>
      <c r="AE50">
        <f t="shared" si="5"/>
        <v>24.340687643209879</v>
      </c>
      <c r="AF50" s="9"/>
      <c r="AG50" s="22">
        <v>0.10147100000000001</v>
      </c>
      <c r="AH50" s="22">
        <v>18.942</v>
      </c>
      <c r="AI50" s="22">
        <v>-1.42273E-2</v>
      </c>
      <c r="AJ50" s="22">
        <v>40</v>
      </c>
      <c r="AK50" s="22">
        <v>0.10089099999999999</v>
      </c>
      <c r="AL50">
        <f t="shared" si="6"/>
        <v>17.564567901234565</v>
      </c>
      <c r="AM50">
        <f t="shared" si="7"/>
        <v>1.7822942695061725</v>
      </c>
      <c r="AP50" s="9"/>
      <c r="AQ50" s="22">
        <v>1.6285700000000001</v>
      </c>
      <c r="AR50" s="22">
        <v>24.471599999999999</v>
      </c>
      <c r="AS50" s="22">
        <v>-1.2088E-2</v>
      </c>
      <c r="AT50" s="22">
        <v>40</v>
      </c>
      <c r="AU50" s="22">
        <v>1.6272</v>
      </c>
      <c r="AV50">
        <f t="shared" si="8"/>
        <v>14.923456790123456</v>
      </c>
      <c r="AW50">
        <f t="shared" si="9"/>
        <v>24.30389402469136</v>
      </c>
      <c r="AX50" s="9"/>
      <c r="AY50" s="22">
        <v>0.10147100000000001</v>
      </c>
      <c r="AZ50" s="22">
        <v>28.351199999999999</v>
      </c>
      <c r="BA50" s="22">
        <v>-1.4251700000000001E-2</v>
      </c>
      <c r="BB50" s="22">
        <v>40</v>
      </c>
      <c r="BC50" s="22">
        <v>0.10086100000000001</v>
      </c>
      <c r="BD50">
        <f t="shared" si="10"/>
        <v>17.594691358024694</v>
      </c>
      <c r="BE50">
        <f t="shared" si="11"/>
        <v>1.7853509267901237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5.5782299999999996</v>
      </c>
      <c r="I51" s="22">
        <v>-1.20392E-2</v>
      </c>
      <c r="J51" s="22">
        <v>41</v>
      </c>
      <c r="K51" s="22">
        <v>1.6229199999999999</v>
      </c>
      <c r="L51">
        <f t="shared" si="0"/>
        <v>14.863209876543209</v>
      </c>
      <c r="M51">
        <f t="shared" si="1"/>
        <v>24.13101576296296</v>
      </c>
      <c r="N51" s="9"/>
      <c r="O51" s="22">
        <v>0.106506</v>
      </c>
      <c r="P51" s="22">
        <v>9.4578500000000005</v>
      </c>
      <c r="Q51" s="22">
        <v>-1.4157100000000001E-2</v>
      </c>
      <c r="R51" s="22">
        <v>41</v>
      </c>
      <c r="S51" s="22">
        <v>0.105865</v>
      </c>
      <c r="T51">
        <f t="shared" si="2"/>
        <v>17.477901234567902</v>
      </c>
      <c r="U51">
        <f t="shared" si="3"/>
        <v>1.861501348888889</v>
      </c>
      <c r="X51" s="9"/>
      <c r="Y51" s="22">
        <v>1.62354</v>
      </c>
      <c r="Z51" s="22">
        <v>15.0725</v>
      </c>
      <c r="AA51" s="22">
        <v>-1.2185700000000001E-2</v>
      </c>
      <c r="AB51" s="22">
        <v>41</v>
      </c>
      <c r="AC51" s="22">
        <v>1.6229199999999999</v>
      </c>
      <c r="AD51">
        <f t="shared" si="4"/>
        <v>15.044074074074075</v>
      </c>
      <c r="AE51">
        <f t="shared" si="5"/>
        <v>24.424656022222223</v>
      </c>
      <c r="AF51" s="9"/>
      <c r="AG51" s="22">
        <v>0.106506</v>
      </c>
      <c r="AH51" s="22">
        <v>18.952100000000002</v>
      </c>
      <c r="AI51" s="22">
        <v>-1.4224199999999999E-2</v>
      </c>
      <c r="AJ51" s="22">
        <v>41</v>
      </c>
      <c r="AK51" s="22">
        <v>0.105804</v>
      </c>
      <c r="AL51">
        <f t="shared" si="6"/>
        <v>17.560740740740737</v>
      </c>
      <c r="AM51">
        <f t="shared" si="7"/>
        <v>1.8703242533333331</v>
      </c>
      <c r="AP51" s="9"/>
      <c r="AQ51" s="22">
        <v>1.62354</v>
      </c>
      <c r="AR51" s="22">
        <v>24.4817</v>
      </c>
      <c r="AS51" s="22">
        <v>-1.21765E-2</v>
      </c>
      <c r="AT51" s="22">
        <v>41</v>
      </c>
      <c r="AU51" s="22">
        <v>1.62262</v>
      </c>
      <c r="AV51">
        <f t="shared" si="8"/>
        <v>15.032716049382715</v>
      </c>
      <c r="AW51">
        <f t="shared" si="9"/>
        <v>24.406215814814814</v>
      </c>
      <c r="AX51" s="9"/>
      <c r="AY51" s="22">
        <v>0.106506</v>
      </c>
      <c r="AZ51" s="22">
        <v>28.3613</v>
      </c>
      <c r="BA51" s="22">
        <v>-1.4251700000000001E-2</v>
      </c>
      <c r="BB51" s="22">
        <v>41</v>
      </c>
      <c r="BC51" s="22">
        <v>0.105896</v>
      </c>
      <c r="BD51">
        <f t="shared" si="10"/>
        <v>17.594691358024694</v>
      </c>
      <c r="BE51">
        <f t="shared" si="11"/>
        <v>1.8739401977777781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5.5883000000000003</v>
      </c>
      <c r="I52" s="22">
        <v>-1.21155E-2</v>
      </c>
      <c r="J52" s="22">
        <v>42</v>
      </c>
      <c r="K52" s="22">
        <v>1.6174299999999999</v>
      </c>
      <c r="L52">
        <f t="shared" si="0"/>
        <v>14.957407407407405</v>
      </c>
      <c r="M52">
        <f t="shared" si="1"/>
        <v>24.208563888888886</v>
      </c>
      <c r="N52" s="9"/>
      <c r="O52" s="22">
        <v>0.111542</v>
      </c>
      <c r="P52" s="22">
        <v>9.4679199999999994</v>
      </c>
      <c r="Q52" s="22">
        <v>-1.4151E-2</v>
      </c>
      <c r="R52" s="22">
        <v>42</v>
      </c>
      <c r="S52" s="22">
        <v>0.110901</v>
      </c>
      <c r="T52">
        <f t="shared" si="2"/>
        <v>17.470370370370368</v>
      </c>
      <c r="U52">
        <f t="shared" si="3"/>
        <v>1.9486800518518517</v>
      </c>
      <c r="X52" s="9"/>
      <c r="Y52" s="22">
        <v>1.6185</v>
      </c>
      <c r="Z52" s="22">
        <v>15.0825</v>
      </c>
      <c r="AA52" s="22">
        <v>-1.2262E-2</v>
      </c>
      <c r="AB52" s="22">
        <v>42</v>
      </c>
      <c r="AC52" s="22">
        <v>1.6174299999999999</v>
      </c>
      <c r="AD52">
        <f t="shared" si="4"/>
        <v>15.138271604938272</v>
      </c>
      <c r="AE52">
        <f t="shared" si="5"/>
        <v>24.501292592592595</v>
      </c>
      <c r="AF52" s="9"/>
      <c r="AG52" s="22">
        <v>0.111542</v>
      </c>
      <c r="AH52" s="22">
        <v>18.9621</v>
      </c>
      <c r="AI52" s="22">
        <v>-1.42151E-2</v>
      </c>
      <c r="AJ52" s="22">
        <v>42</v>
      </c>
      <c r="AK52" s="22">
        <v>0.110931</v>
      </c>
      <c r="AL52">
        <f t="shared" si="6"/>
        <v>17.549506172839507</v>
      </c>
      <c r="AM52">
        <f t="shared" si="7"/>
        <v>1.9575070175308644</v>
      </c>
      <c r="AP52" s="9"/>
      <c r="AQ52" s="22">
        <v>1.6185</v>
      </c>
      <c r="AR52" s="22">
        <v>24.491800000000001</v>
      </c>
      <c r="AS52" s="22">
        <v>-1.2252799999999999E-2</v>
      </c>
      <c r="AT52" s="22">
        <v>42</v>
      </c>
      <c r="AU52" s="22">
        <v>1.61774</v>
      </c>
      <c r="AV52">
        <f t="shared" si="8"/>
        <v>15.126913580246912</v>
      </c>
      <c r="AW52">
        <f t="shared" si="9"/>
        <v>24.482909629629628</v>
      </c>
      <c r="AX52" s="9"/>
      <c r="AY52" s="22">
        <v>0.111542</v>
      </c>
      <c r="AZ52" s="22">
        <v>28.371400000000001</v>
      </c>
      <c r="BA52" s="22">
        <v>-1.42609E-2</v>
      </c>
      <c r="BB52" s="22">
        <v>42</v>
      </c>
      <c r="BC52" s="22">
        <v>0.110901</v>
      </c>
      <c r="BD52">
        <f t="shared" si="10"/>
        <v>17.606049382716048</v>
      </c>
      <c r="BE52">
        <f t="shared" si="11"/>
        <v>1.9638139602469133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5.5983700000000001</v>
      </c>
      <c r="I53" s="22">
        <v>-1.21826E-2</v>
      </c>
      <c r="J53" s="22">
        <v>43</v>
      </c>
      <c r="K53" s="22">
        <v>1.6125499999999999</v>
      </c>
      <c r="L53">
        <f t="shared" si="0"/>
        <v>15.040246913580246</v>
      </c>
      <c r="M53">
        <f t="shared" si="1"/>
        <v>24.266836785185181</v>
      </c>
      <c r="N53" s="9"/>
      <c r="O53" s="22">
        <v>0.116577</v>
      </c>
      <c r="P53" s="22">
        <v>9.4779900000000001</v>
      </c>
      <c r="Q53" s="22">
        <v>-1.4151E-2</v>
      </c>
      <c r="R53" s="22">
        <v>43</v>
      </c>
      <c r="S53" s="22">
        <v>0.11602800000000001</v>
      </c>
      <c r="T53">
        <f t="shared" si="2"/>
        <v>17.470370370370368</v>
      </c>
      <c r="U53">
        <f t="shared" si="3"/>
        <v>2.0366433666666666</v>
      </c>
      <c r="X53" s="9"/>
      <c r="Y53" s="22">
        <v>1.6134599999999999</v>
      </c>
      <c r="Z53" s="22">
        <v>15.092599999999999</v>
      </c>
      <c r="AA53" s="22">
        <v>-1.23322E-2</v>
      </c>
      <c r="AB53" s="22">
        <v>43</v>
      </c>
      <c r="AC53" s="22">
        <v>1.6122399999999999</v>
      </c>
      <c r="AD53">
        <f t="shared" si="4"/>
        <v>15.224938271604938</v>
      </c>
      <c r="AE53">
        <f t="shared" si="5"/>
        <v>24.564828903703702</v>
      </c>
      <c r="AF53" s="9"/>
      <c r="AG53" s="22">
        <v>0.116577</v>
      </c>
      <c r="AH53" s="22">
        <v>18.972200000000001</v>
      </c>
      <c r="AI53" s="22">
        <v>-1.4202899999999999E-2</v>
      </c>
      <c r="AJ53" s="22">
        <v>43</v>
      </c>
      <c r="AK53" s="22">
        <v>0.115967</v>
      </c>
      <c r="AL53">
        <f t="shared" si="6"/>
        <v>17.534444444444443</v>
      </c>
      <c r="AM53">
        <f t="shared" si="7"/>
        <v>2.0441129299999998</v>
      </c>
      <c r="AP53" s="9"/>
      <c r="AQ53" s="22">
        <v>1.6134599999999999</v>
      </c>
      <c r="AR53" s="22">
        <v>24.501799999999999</v>
      </c>
      <c r="AS53" s="22">
        <v>-1.2329100000000001E-2</v>
      </c>
      <c r="AT53" s="22">
        <v>43</v>
      </c>
      <c r="AU53" s="22">
        <v>1.6122399999999999</v>
      </c>
      <c r="AV53">
        <f t="shared" si="8"/>
        <v>15.22111111111111</v>
      </c>
      <c r="AW53">
        <f t="shared" si="9"/>
        <v>24.558653933333328</v>
      </c>
      <c r="AX53" s="9"/>
      <c r="AY53" s="22">
        <v>0.116577</v>
      </c>
      <c r="AZ53" s="22">
        <v>28.381399999999999</v>
      </c>
      <c r="BA53" s="22">
        <v>-1.4267E-2</v>
      </c>
      <c r="BB53" s="22">
        <v>43</v>
      </c>
      <c r="BC53" s="22">
        <v>0.115997</v>
      </c>
      <c r="BD53">
        <f t="shared" si="10"/>
        <v>17.613580246913582</v>
      </c>
      <c r="BE53">
        <f t="shared" si="11"/>
        <v>2.0533383444444446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5.6084500000000004</v>
      </c>
      <c r="I54" s="22">
        <v>-1.22437E-2</v>
      </c>
      <c r="J54" s="22">
        <v>44</v>
      </c>
      <c r="K54" s="22">
        <v>1.6076699999999999</v>
      </c>
      <c r="L54">
        <f t="shared" si="0"/>
        <v>15.115679012345678</v>
      </c>
      <c r="M54">
        <f t="shared" si="1"/>
        <v>24.312511593827161</v>
      </c>
      <c r="N54" s="9"/>
      <c r="O54" s="22">
        <v>0.121613</v>
      </c>
      <c r="P54" s="22">
        <v>9.4880600000000008</v>
      </c>
      <c r="Q54" s="22">
        <v>-1.41449E-2</v>
      </c>
      <c r="R54" s="22">
        <v>44</v>
      </c>
      <c r="S54" s="22">
        <v>0.12109399999999999</v>
      </c>
      <c r="T54">
        <f t="shared" si="2"/>
        <v>17.462839506172838</v>
      </c>
      <c r="U54">
        <f t="shared" si="3"/>
        <v>2.1237083008641973</v>
      </c>
      <c r="X54" s="9"/>
      <c r="Y54" s="22">
        <v>1.60843</v>
      </c>
      <c r="Z54" s="22">
        <v>15.1027</v>
      </c>
      <c r="AA54" s="22">
        <v>-1.24023E-2</v>
      </c>
      <c r="AB54" s="22">
        <v>44</v>
      </c>
      <c r="AC54" s="22">
        <v>1.6073599999999999</v>
      </c>
      <c r="AD54">
        <f t="shared" si="4"/>
        <v>15.311481481481479</v>
      </c>
      <c r="AE54">
        <f t="shared" si="5"/>
        <v>24.627446159259257</v>
      </c>
      <c r="AF54" s="9"/>
      <c r="AG54" s="22">
        <v>0.121613</v>
      </c>
      <c r="AH54" s="22">
        <v>18.982299999999999</v>
      </c>
      <c r="AI54" s="22">
        <v>-1.41937E-2</v>
      </c>
      <c r="AJ54" s="22">
        <v>44</v>
      </c>
      <c r="AK54" s="22">
        <v>0.121033</v>
      </c>
      <c r="AL54">
        <f t="shared" si="6"/>
        <v>17.523086419753085</v>
      </c>
      <c r="AM54">
        <f t="shared" si="7"/>
        <v>2.131035108765432</v>
      </c>
      <c r="AP54" s="9"/>
      <c r="AQ54" s="22">
        <v>1.60843</v>
      </c>
      <c r="AR54" s="22">
        <v>24.511900000000001</v>
      </c>
      <c r="AS54" s="22">
        <v>-1.23993E-2</v>
      </c>
      <c r="AT54" s="22">
        <v>44</v>
      </c>
      <c r="AU54" s="22">
        <v>1.6073599999999999</v>
      </c>
      <c r="AV54">
        <f t="shared" si="8"/>
        <v>15.307777777777778</v>
      </c>
      <c r="AW54">
        <f t="shared" si="9"/>
        <v>24.621489011111112</v>
      </c>
      <c r="AX54" s="9"/>
      <c r="AY54" s="22">
        <v>0.121613</v>
      </c>
      <c r="AZ54" s="22">
        <v>28.391500000000001</v>
      </c>
      <c r="BA54" s="22">
        <v>-1.4257799999999999E-2</v>
      </c>
      <c r="BB54" s="22">
        <v>44</v>
      </c>
      <c r="BC54" s="22">
        <v>0.121033</v>
      </c>
      <c r="BD54">
        <f t="shared" si="10"/>
        <v>17.60222222222222</v>
      </c>
      <c r="BE54">
        <f t="shared" si="11"/>
        <v>2.1406590511111108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5.6185200000000002</v>
      </c>
      <c r="I55" s="22">
        <v>-1.2295499999999999E-2</v>
      </c>
      <c r="J55" s="22">
        <v>45</v>
      </c>
      <c r="K55" s="22">
        <v>1.6018699999999999</v>
      </c>
      <c r="L55">
        <f t="shared" si="0"/>
        <v>15.179629629629629</v>
      </c>
      <c r="M55">
        <f t="shared" si="1"/>
        <v>24.338866351851852</v>
      </c>
      <c r="N55" s="9"/>
      <c r="O55" s="22">
        <v>0.12664800000000001</v>
      </c>
      <c r="P55" s="22">
        <v>9.4981299999999997</v>
      </c>
      <c r="Q55" s="22">
        <v>-1.41449E-2</v>
      </c>
      <c r="R55" s="22">
        <v>45</v>
      </c>
      <c r="S55" s="22">
        <v>0.12600700000000001</v>
      </c>
      <c r="T55">
        <f t="shared" si="2"/>
        <v>17.462839506172838</v>
      </c>
      <c r="U55">
        <f t="shared" si="3"/>
        <v>2.2116336977777777</v>
      </c>
      <c r="X55" s="9"/>
      <c r="Y55" s="22">
        <v>1.6033900000000001</v>
      </c>
      <c r="Z55" s="22">
        <v>15.1127</v>
      </c>
      <c r="AA55" s="22">
        <v>-1.24695E-2</v>
      </c>
      <c r="AB55" s="22">
        <v>45</v>
      </c>
      <c r="AC55" s="22">
        <v>1.6027800000000001</v>
      </c>
      <c r="AD55">
        <f t="shared" si="4"/>
        <v>15.394444444444444</v>
      </c>
      <c r="AE55">
        <f t="shared" si="5"/>
        <v>24.68329827777778</v>
      </c>
      <c r="AF55" s="9"/>
      <c r="AG55" s="22">
        <v>0.12664800000000001</v>
      </c>
      <c r="AH55" s="22">
        <v>18.9924</v>
      </c>
      <c r="AI55" s="22">
        <v>-1.4196800000000001E-2</v>
      </c>
      <c r="AJ55" s="22">
        <v>45</v>
      </c>
      <c r="AK55" s="22">
        <v>0.12600700000000001</v>
      </c>
      <c r="AL55">
        <f t="shared" si="6"/>
        <v>17.526913580246916</v>
      </c>
      <c r="AM55">
        <f t="shared" si="7"/>
        <v>2.2197485511111115</v>
      </c>
      <c r="AP55" s="9"/>
      <c r="AQ55" s="22">
        <v>1.6033900000000001</v>
      </c>
      <c r="AR55" s="22">
        <v>24.521999999999998</v>
      </c>
      <c r="AS55" s="22">
        <v>-1.2466400000000001E-2</v>
      </c>
      <c r="AT55" s="22">
        <v>45</v>
      </c>
      <c r="AU55" s="22">
        <v>1.6024799999999999</v>
      </c>
      <c r="AV55">
        <f t="shared" si="8"/>
        <v>15.390617283950617</v>
      </c>
      <c r="AW55">
        <f t="shared" si="9"/>
        <v>24.677161846913581</v>
      </c>
      <c r="AX55" s="9"/>
      <c r="AY55" s="22">
        <v>0.12664800000000001</v>
      </c>
      <c r="AZ55" s="22">
        <v>28.401599999999998</v>
      </c>
      <c r="BA55" s="22">
        <v>-1.42548E-2</v>
      </c>
      <c r="BB55" s="22">
        <v>45</v>
      </c>
      <c r="BC55" s="22">
        <v>0.12600700000000001</v>
      </c>
      <c r="BD55">
        <f t="shared" si="10"/>
        <v>17.598518518518517</v>
      </c>
      <c r="BE55">
        <f t="shared" si="11"/>
        <v>2.2288171733333333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5.62859</v>
      </c>
      <c r="I56" s="22">
        <v>-1.23505E-2</v>
      </c>
      <c r="J56" s="22">
        <v>46</v>
      </c>
      <c r="K56" s="22">
        <v>1.5975999999999999</v>
      </c>
      <c r="L56">
        <f t="shared" si="0"/>
        <v>15.247530864197531</v>
      </c>
      <c r="M56">
        <f t="shared" si="1"/>
        <v>24.371043432098766</v>
      </c>
      <c r="N56" s="9"/>
      <c r="O56" s="22">
        <v>0.13168299999999999</v>
      </c>
      <c r="P56" s="22">
        <v>9.5082000000000004</v>
      </c>
      <c r="Q56" s="22">
        <v>-1.41418E-2</v>
      </c>
      <c r="R56" s="22">
        <v>46</v>
      </c>
      <c r="S56" s="22">
        <v>0.131104</v>
      </c>
      <c r="T56">
        <f t="shared" si="2"/>
        <v>17.45901234567901</v>
      </c>
      <c r="U56">
        <f t="shared" si="3"/>
        <v>2.2990551227160489</v>
      </c>
      <c r="X56" s="9"/>
      <c r="Y56" s="22">
        <v>1.59836</v>
      </c>
      <c r="Z56" s="22">
        <v>15.1228</v>
      </c>
      <c r="AA56" s="22">
        <v>-1.25244E-2</v>
      </c>
      <c r="AB56" s="22">
        <v>46</v>
      </c>
      <c r="AC56" s="22">
        <v>1.5972900000000001</v>
      </c>
      <c r="AD56">
        <f t="shared" si="4"/>
        <v>15.462222222222222</v>
      </c>
      <c r="AE56">
        <f t="shared" si="5"/>
        <v>24.714197511111109</v>
      </c>
      <c r="AF56" s="9"/>
      <c r="AG56" s="22">
        <v>0.13168299999999999</v>
      </c>
      <c r="AH56" s="22">
        <v>19.002400000000002</v>
      </c>
      <c r="AI56" s="22">
        <v>-1.4196800000000001E-2</v>
      </c>
      <c r="AJ56" s="22">
        <v>46</v>
      </c>
      <c r="AK56" s="22">
        <v>0.13104199999999999</v>
      </c>
      <c r="AL56">
        <f t="shared" si="6"/>
        <v>17.526913580246916</v>
      </c>
      <c r="AM56">
        <f t="shared" si="7"/>
        <v>2.3079965609876547</v>
      </c>
      <c r="AP56" s="9"/>
      <c r="AQ56" s="22">
        <v>1.59836</v>
      </c>
      <c r="AR56" s="22">
        <v>24.532</v>
      </c>
      <c r="AS56" s="22">
        <v>-1.25244E-2</v>
      </c>
      <c r="AT56" s="22">
        <v>46</v>
      </c>
      <c r="AU56" s="22">
        <v>1.5975999999999999</v>
      </c>
      <c r="AV56">
        <f t="shared" si="8"/>
        <v>15.462222222222222</v>
      </c>
      <c r="AW56">
        <f t="shared" si="9"/>
        <v>24.714197511111109</v>
      </c>
      <c r="AX56" s="9"/>
      <c r="AY56" s="22">
        <v>0.13168299999999999</v>
      </c>
      <c r="AZ56" s="22">
        <v>28.4117</v>
      </c>
      <c r="BA56" s="22">
        <v>-1.4236499999999999E-2</v>
      </c>
      <c r="BB56" s="22">
        <v>46</v>
      </c>
      <c r="BC56" s="22">
        <v>0.131073</v>
      </c>
      <c r="BD56">
        <f t="shared" si="10"/>
        <v>17.575925925925926</v>
      </c>
      <c r="BE56">
        <f t="shared" si="11"/>
        <v>2.3144506537037035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5.6386599999999998</v>
      </c>
      <c r="I57" s="22">
        <v>-1.23993E-2</v>
      </c>
      <c r="J57" s="22">
        <v>47</v>
      </c>
      <c r="K57" s="22">
        <v>1.5921000000000001</v>
      </c>
      <c r="L57">
        <f t="shared" si="0"/>
        <v>15.307777777777778</v>
      </c>
      <c r="M57">
        <f t="shared" si="1"/>
        <v>24.390188488888889</v>
      </c>
      <c r="N57" s="9"/>
      <c r="O57" s="22">
        <v>0.13671900000000001</v>
      </c>
      <c r="P57" s="22">
        <v>9.5182800000000007</v>
      </c>
      <c r="Q57" s="22">
        <v>-1.4129600000000001E-2</v>
      </c>
      <c r="R57" s="22">
        <v>47</v>
      </c>
      <c r="S57" s="22">
        <v>0.136047</v>
      </c>
      <c r="T57">
        <f t="shared" si="2"/>
        <v>17.443950617283949</v>
      </c>
      <c r="U57">
        <f t="shared" si="3"/>
        <v>2.3849194844444446</v>
      </c>
      <c r="X57" s="9"/>
      <c r="Y57" s="22">
        <v>1.5933200000000001</v>
      </c>
      <c r="Z57" s="22">
        <v>15.132899999999999</v>
      </c>
      <c r="AA57" s="22">
        <v>-1.25702E-2</v>
      </c>
      <c r="AB57" s="22">
        <v>47</v>
      </c>
      <c r="AC57" s="22">
        <v>1.5924100000000001</v>
      </c>
      <c r="AD57">
        <f t="shared" si="4"/>
        <v>15.518765432098766</v>
      </c>
      <c r="AE57">
        <f t="shared" si="5"/>
        <v>24.726359338271607</v>
      </c>
      <c r="AF57" s="9"/>
      <c r="AG57" s="22">
        <v>0.13671900000000001</v>
      </c>
      <c r="AH57" s="22">
        <v>19.012499999999999</v>
      </c>
      <c r="AI57" s="22">
        <v>-1.41998E-2</v>
      </c>
      <c r="AJ57" s="22">
        <v>47</v>
      </c>
      <c r="AK57" s="22">
        <v>0.136047</v>
      </c>
      <c r="AL57">
        <f t="shared" si="6"/>
        <v>17.530617283950615</v>
      </c>
      <c r="AM57">
        <f t="shared" si="7"/>
        <v>2.3967684644444445</v>
      </c>
      <c r="AP57" s="9"/>
      <c r="AQ57" s="22">
        <v>1.5933200000000001</v>
      </c>
      <c r="AR57" s="22">
        <v>24.542100000000001</v>
      </c>
      <c r="AS57" s="22">
        <v>-1.25793E-2</v>
      </c>
      <c r="AT57" s="22">
        <v>47</v>
      </c>
      <c r="AU57" s="22">
        <v>1.5921000000000001</v>
      </c>
      <c r="AV57">
        <f t="shared" si="8"/>
        <v>15.53</v>
      </c>
      <c r="AW57">
        <f t="shared" si="9"/>
        <v>24.744259599999999</v>
      </c>
      <c r="AX57" s="9"/>
      <c r="AY57" s="22">
        <v>0.13671900000000001</v>
      </c>
      <c r="AZ57" s="22">
        <v>28.421700000000001</v>
      </c>
      <c r="BA57" s="22">
        <v>-1.42303E-2</v>
      </c>
      <c r="BB57" s="22">
        <v>47</v>
      </c>
      <c r="BC57" s="22">
        <v>0.136047</v>
      </c>
      <c r="BD57">
        <f t="shared" si="10"/>
        <v>17.568271604938271</v>
      </c>
      <c r="BE57">
        <f t="shared" si="11"/>
        <v>2.4019165255555555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5.6487299999999996</v>
      </c>
      <c r="I58" s="22">
        <v>-1.24481E-2</v>
      </c>
      <c r="J58" s="22">
        <v>48</v>
      </c>
      <c r="K58" s="22">
        <v>1.58752</v>
      </c>
      <c r="L58">
        <f t="shared" si="0"/>
        <v>15.368024691358023</v>
      </c>
      <c r="M58">
        <f t="shared" si="1"/>
        <v>24.408879937037035</v>
      </c>
      <c r="N58" s="9"/>
      <c r="O58" s="22">
        <v>0.14175399999999999</v>
      </c>
      <c r="P58" s="22">
        <v>9.5283499999999997</v>
      </c>
      <c r="Q58" s="22">
        <v>-1.4129600000000001E-2</v>
      </c>
      <c r="R58" s="22">
        <v>48</v>
      </c>
      <c r="S58" s="22">
        <v>0.14111299999999999</v>
      </c>
      <c r="T58">
        <f t="shared" si="2"/>
        <v>17.443950617283949</v>
      </c>
      <c r="U58">
        <f t="shared" si="3"/>
        <v>2.4727497758024688</v>
      </c>
      <c r="X58" s="9"/>
      <c r="Y58" s="22">
        <v>1.58829</v>
      </c>
      <c r="Z58" s="22">
        <v>15.143000000000001</v>
      </c>
      <c r="AA58" s="22">
        <v>-1.2616E-2</v>
      </c>
      <c r="AB58" s="22">
        <v>48</v>
      </c>
      <c r="AC58" s="22">
        <v>1.58752</v>
      </c>
      <c r="AD58">
        <f t="shared" si="4"/>
        <v>15.575308641975308</v>
      </c>
      <c r="AE58">
        <f t="shared" si="5"/>
        <v>24.738106962962963</v>
      </c>
      <c r="AF58" s="9"/>
      <c r="AG58" s="22">
        <v>0.14175399999999999</v>
      </c>
      <c r="AH58" s="22">
        <v>19.022600000000001</v>
      </c>
      <c r="AI58" s="22">
        <v>-1.42059E-2</v>
      </c>
      <c r="AJ58" s="22">
        <v>48</v>
      </c>
      <c r="AK58" s="22">
        <v>0.14117399999999999</v>
      </c>
      <c r="AL58">
        <f t="shared" si="6"/>
        <v>17.538148148148146</v>
      </c>
      <c r="AM58">
        <f t="shared" si="7"/>
        <v>2.4861026525925922</v>
      </c>
      <c r="AP58" s="9"/>
      <c r="AQ58" s="22">
        <v>1.58829</v>
      </c>
      <c r="AR58" s="22">
        <v>24.552199999999999</v>
      </c>
      <c r="AS58" s="22">
        <v>-1.26312E-2</v>
      </c>
      <c r="AT58" s="22">
        <v>48</v>
      </c>
      <c r="AU58" s="22">
        <v>1.58752</v>
      </c>
      <c r="AV58">
        <f t="shared" si="8"/>
        <v>15.594074074074072</v>
      </c>
      <c r="AW58">
        <f t="shared" si="9"/>
        <v>24.767911911111106</v>
      </c>
      <c r="AX58" s="9"/>
      <c r="AY58" s="22">
        <v>0.14175399999999999</v>
      </c>
      <c r="AZ58" s="22">
        <v>28.431799999999999</v>
      </c>
      <c r="BA58" s="22">
        <v>-1.42303E-2</v>
      </c>
      <c r="BB58" s="22">
        <v>48</v>
      </c>
      <c r="BC58" s="22">
        <v>0.14114399999999999</v>
      </c>
      <c r="BD58">
        <f t="shared" si="10"/>
        <v>17.568271604938271</v>
      </c>
      <c r="BE58">
        <f t="shared" si="11"/>
        <v>2.4903727730864196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5.6588000000000003</v>
      </c>
      <c r="I59" s="22">
        <v>-1.24847E-2</v>
      </c>
      <c r="J59" s="22">
        <v>49</v>
      </c>
      <c r="K59" s="22">
        <v>1.58203</v>
      </c>
      <c r="L59">
        <f t="shared" si="0"/>
        <v>15.413209876543208</v>
      </c>
      <c r="M59">
        <f t="shared" si="1"/>
        <v>24.402964537037036</v>
      </c>
      <c r="N59" s="9"/>
      <c r="O59" s="22">
        <v>0.14679</v>
      </c>
      <c r="P59" s="22">
        <v>9.5384200000000003</v>
      </c>
      <c r="Q59" s="22">
        <v>-1.4135699999999999E-2</v>
      </c>
      <c r="R59" s="22">
        <v>49</v>
      </c>
      <c r="S59" s="22">
        <v>0.146179</v>
      </c>
      <c r="T59">
        <f t="shared" si="2"/>
        <v>17.45148148148148</v>
      </c>
      <c r="U59">
        <f t="shared" si="3"/>
        <v>2.5617029666666666</v>
      </c>
      <c r="X59" s="9"/>
      <c r="Y59" s="22">
        <v>1.58325</v>
      </c>
      <c r="Z59" s="22">
        <v>15.153</v>
      </c>
      <c r="AA59" s="22">
        <v>-1.2670900000000001E-2</v>
      </c>
      <c r="AB59" s="22">
        <v>49</v>
      </c>
      <c r="AC59" s="22">
        <v>1.58203</v>
      </c>
      <c r="AD59">
        <f t="shared" si="4"/>
        <v>15.643086419753088</v>
      </c>
      <c r="AE59">
        <f t="shared" si="5"/>
        <v>24.766916574074077</v>
      </c>
      <c r="AF59" s="9"/>
      <c r="AG59" s="22">
        <v>0.14679</v>
      </c>
      <c r="AH59" s="22">
        <v>19.032599999999999</v>
      </c>
      <c r="AI59" s="22">
        <v>-1.42059E-2</v>
      </c>
      <c r="AJ59" s="22">
        <v>49</v>
      </c>
      <c r="AK59" s="22">
        <v>0.146149</v>
      </c>
      <c r="AL59">
        <f t="shared" si="6"/>
        <v>17.538148148148146</v>
      </c>
      <c r="AM59">
        <f t="shared" si="7"/>
        <v>2.5744247666666662</v>
      </c>
      <c r="AP59" s="9"/>
      <c r="AQ59" s="22">
        <v>1.58325</v>
      </c>
      <c r="AR59" s="22">
        <v>24.5623</v>
      </c>
      <c r="AS59" s="22">
        <v>-1.2689199999999999E-2</v>
      </c>
      <c r="AT59" s="22">
        <v>49</v>
      </c>
      <c r="AU59" s="22">
        <v>1.58203</v>
      </c>
      <c r="AV59">
        <f t="shared" si="8"/>
        <v>15.665679012345679</v>
      </c>
      <c r="AW59">
        <f t="shared" si="9"/>
        <v>24.802686296296297</v>
      </c>
      <c r="AX59" s="9"/>
      <c r="AY59" s="22">
        <v>0.14679</v>
      </c>
      <c r="AZ59" s="22">
        <v>28.4419</v>
      </c>
      <c r="BA59" s="22">
        <v>-1.42303E-2</v>
      </c>
      <c r="BB59" s="22">
        <v>49</v>
      </c>
      <c r="BC59" s="22">
        <v>0.146149</v>
      </c>
      <c r="BD59">
        <f t="shared" si="10"/>
        <v>17.568271604938271</v>
      </c>
      <c r="BE59">
        <f t="shared" si="11"/>
        <v>2.5788465888888887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5.6688700000000001</v>
      </c>
      <c r="I60" s="22">
        <v>-1.25244E-2</v>
      </c>
      <c r="J60" s="22">
        <v>50</v>
      </c>
      <c r="K60" s="22">
        <v>1.5771500000000001</v>
      </c>
      <c r="L60">
        <f t="shared" si="0"/>
        <v>15.462222222222222</v>
      </c>
      <c r="M60">
        <f t="shared" si="1"/>
        <v>24.402788355555554</v>
      </c>
      <c r="N60" s="9"/>
      <c r="O60" s="22">
        <v>0.15182499999999999</v>
      </c>
      <c r="P60" s="22">
        <v>9.5484899999999993</v>
      </c>
      <c r="Q60" s="22">
        <v>-1.41418E-2</v>
      </c>
      <c r="R60" s="22">
        <v>50</v>
      </c>
      <c r="S60" s="22">
        <v>0.15121499999999999</v>
      </c>
      <c r="T60">
        <f t="shared" si="2"/>
        <v>17.45901234567901</v>
      </c>
      <c r="U60">
        <f t="shared" si="3"/>
        <v>2.6507145493827156</v>
      </c>
      <c r="X60" s="9"/>
      <c r="Y60" s="22">
        <v>1.57822</v>
      </c>
      <c r="Z60" s="22">
        <v>15.1631</v>
      </c>
      <c r="AA60" s="22">
        <v>-1.2725800000000001E-2</v>
      </c>
      <c r="AB60" s="22">
        <v>50</v>
      </c>
      <c r="AC60" s="22">
        <v>1.5771500000000001</v>
      </c>
      <c r="AD60">
        <f t="shared" si="4"/>
        <v>15.710864197530865</v>
      </c>
      <c r="AE60">
        <f t="shared" si="5"/>
        <v>24.795200093827162</v>
      </c>
      <c r="AF60" s="9"/>
      <c r="AG60" s="22">
        <v>0.15182499999999999</v>
      </c>
      <c r="AH60" s="22">
        <v>19.0427</v>
      </c>
      <c r="AI60" s="22">
        <v>-1.4202899999999999E-2</v>
      </c>
      <c r="AJ60" s="22">
        <v>50</v>
      </c>
      <c r="AK60" s="22">
        <v>0.15127599999999999</v>
      </c>
      <c r="AL60">
        <f t="shared" si="6"/>
        <v>17.534444444444443</v>
      </c>
      <c r="AM60">
        <f t="shared" si="7"/>
        <v>2.6621670277777771</v>
      </c>
      <c r="AP60" s="9"/>
      <c r="AQ60" s="22">
        <v>1.57822</v>
      </c>
      <c r="AR60" s="22">
        <v>24.572299999999998</v>
      </c>
      <c r="AS60" s="22">
        <v>-1.27441E-2</v>
      </c>
      <c r="AT60" s="22">
        <v>50</v>
      </c>
      <c r="AU60" s="22">
        <v>1.5771500000000001</v>
      </c>
      <c r="AV60">
        <f t="shared" si="8"/>
        <v>15.733456790123457</v>
      </c>
      <c r="AW60">
        <f t="shared" si="9"/>
        <v>24.830856175308643</v>
      </c>
      <c r="AX60" s="9"/>
      <c r="AY60" s="22">
        <v>0.15182499999999999</v>
      </c>
      <c r="AZ60" s="22">
        <v>28.451899999999998</v>
      </c>
      <c r="BA60" s="22">
        <v>-1.42303E-2</v>
      </c>
      <c r="BB60" s="22">
        <v>50</v>
      </c>
      <c r="BC60" s="22">
        <v>0.15124499999999999</v>
      </c>
      <c r="BD60">
        <f t="shared" si="10"/>
        <v>17.568271604938271</v>
      </c>
      <c r="BE60">
        <f t="shared" si="11"/>
        <v>2.6673028364197529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5.6789399999999999</v>
      </c>
      <c r="I61" s="22">
        <v>-1.25641E-2</v>
      </c>
      <c r="J61" s="22">
        <v>51</v>
      </c>
      <c r="K61" s="22">
        <v>1.57196</v>
      </c>
      <c r="L61">
        <f t="shared" si="0"/>
        <v>15.511234567901234</v>
      </c>
      <c r="M61">
        <f t="shared" si="1"/>
        <v>24.401963997530864</v>
      </c>
      <c r="N61" s="9"/>
      <c r="O61" s="22">
        <v>0.15686</v>
      </c>
      <c r="P61" s="22">
        <v>9.5585599999999999</v>
      </c>
      <c r="Q61" s="22">
        <v>-1.41388E-2</v>
      </c>
      <c r="R61" s="22">
        <v>51</v>
      </c>
      <c r="S61" s="22">
        <v>0.15625</v>
      </c>
      <c r="T61">
        <f t="shared" si="2"/>
        <v>17.455308641975307</v>
      </c>
      <c r="U61">
        <f t="shared" si="3"/>
        <v>2.7380397135802466</v>
      </c>
      <c r="X61" s="9"/>
      <c r="Y61" s="22">
        <v>1.57318</v>
      </c>
      <c r="Z61" s="22">
        <v>15.1732</v>
      </c>
      <c r="AA61" s="22">
        <v>-1.2771599999999999E-2</v>
      </c>
      <c r="AB61" s="22">
        <v>51</v>
      </c>
      <c r="AC61" s="22">
        <v>1.57257</v>
      </c>
      <c r="AD61">
        <f t="shared" si="4"/>
        <v>15.767407407407408</v>
      </c>
      <c r="AE61">
        <f t="shared" si="5"/>
        <v>24.804969985185185</v>
      </c>
      <c r="AF61" s="9"/>
      <c r="AG61" s="22">
        <v>0.15686</v>
      </c>
      <c r="AH61" s="22">
        <v>19.052800000000001</v>
      </c>
      <c r="AI61" s="22">
        <v>-1.4202899999999999E-2</v>
      </c>
      <c r="AJ61" s="22">
        <v>51</v>
      </c>
      <c r="AK61" s="22">
        <v>0.156219</v>
      </c>
      <c r="AL61">
        <f t="shared" si="6"/>
        <v>17.534444444444443</v>
      </c>
      <c r="AM61">
        <f t="shared" si="7"/>
        <v>2.7504529555555552</v>
      </c>
      <c r="AP61" s="9"/>
      <c r="AQ61" s="22">
        <v>1.57318</v>
      </c>
      <c r="AR61" s="22">
        <v>24.5824</v>
      </c>
      <c r="AS61" s="22">
        <v>-1.2796E-2</v>
      </c>
      <c r="AT61" s="22">
        <v>51</v>
      </c>
      <c r="AU61" s="22">
        <v>1.57257</v>
      </c>
      <c r="AV61">
        <f t="shared" si="8"/>
        <v>15.79753086419753</v>
      </c>
      <c r="AW61">
        <f t="shared" si="9"/>
        <v>24.852359604938268</v>
      </c>
      <c r="AX61" s="9"/>
      <c r="AY61" s="22">
        <v>0.15686</v>
      </c>
      <c r="AZ61" s="22">
        <v>28.462</v>
      </c>
      <c r="BA61" s="22">
        <v>-1.42273E-2</v>
      </c>
      <c r="BB61" s="22">
        <v>51</v>
      </c>
      <c r="BC61" s="22">
        <v>0.15625</v>
      </c>
      <c r="BD61">
        <f t="shared" si="10"/>
        <v>17.564567901234565</v>
      </c>
      <c r="BE61">
        <f t="shared" si="11"/>
        <v>2.7551781209876536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5.6890099999999997</v>
      </c>
      <c r="I62" s="22">
        <v>-1.26129E-2</v>
      </c>
      <c r="J62" s="22">
        <v>52</v>
      </c>
      <c r="K62" s="22">
        <v>1.56677</v>
      </c>
      <c r="L62">
        <f t="shared" si="0"/>
        <v>15.571481481481479</v>
      </c>
      <c r="M62">
        <f t="shared" si="1"/>
        <v>24.418418685185181</v>
      </c>
      <c r="N62" s="9"/>
      <c r="O62" s="22">
        <v>0.16189600000000001</v>
      </c>
      <c r="P62" s="22">
        <v>9.5686300000000006</v>
      </c>
      <c r="Q62" s="22">
        <v>-1.4129600000000001E-2</v>
      </c>
      <c r="R62" s="22">
        <v>52</v>
      </c>
      <c r="S62" s="22">
        <v>0.161194</v>
      </c>
      <c r="T62">
        <f t="shared" si="2"/>
        <v>17.443950617283949</v>
      </c>
      <c r="U62">
        <f t="shared" si="3"/>
        <v>2.8241058291358025</v>
      </c>
      <c r="X62" s="9"/>
      <c r="Y62" s="22">
        <v>1.5681499999999999</v>
      </c>
      <c r="Z62" s="22">
        <v>15.183199999999999</v>
      </c>
      <c r="AA62" s="22">
        <v>-1.28174E-2</v>
      </c>
      <c r="AB62" s="22">
        <v>52</v>
      </c>
      <c r="AC62" s="22">
        <v>1.56708</v>
      </c>
      <c r="AD62">
        <f t="shared" si="4"/>
        <v>15.82395061728395</v>
      </c>
      <c r="AE62">
        <f t="shared" si="5"/>
        <v>24.814328160493826</v>
      </c>
      <c r="AF62" s="9"/>
      <c r="AG62" s="22">
        <v>0.16189600000000001</v>
      </c>
      <c r="AH62" s="22">
        <v>19.062799999999999</v>
      </c>
      <c r="AI62" s="22">
        <v>-1.41937E-2</v>
      </c>
      <c r="AJ62" s="22">
        <v>52</v>
      </c>
      <c r="AK62" s="22">
        <v>0.16128500000000001</v>
      </c>
      <c r="AL62">
        <f t="shared" si="6"/>
        <v>17.523086419753085</v>
      </c>
      <c r="AM62">
        <f t="shared" si="7"/>
        <v>2.8369175990123456</v>
      </c>
      <c r="AP62" s="9"/>
      <c r="AQ62" s="22">
        <v>1.5681499999999999</v>
      </c>
      <c r="AR62" s="22">
        <v>24.592500000000001</v>
      </c>
      <c r="AS62" s="22">
        <v>-1.2847900000000001E-2</v>
      </c>
      <c r="AT62" s="22">
        <v>52</v>
      </c>
      <c r="AU62" s="22">
        <v>1.56708</v>
      </c>
      <c r="AV62">
        <f t="shared" si="8"/>
        <v>15.861604938271604</v>
      </c>
      <c r="AW62">
        <f t="shared" si="9"/>
        <v>24.873375783950614</v>
      </c>
      <c r="AX62" s="9"/>
      <c r="AY62" s="22">
        <v>0.16189600000000001</v>
      </c>
      <c r="AZ62" s="22">
        <v>28.472100000000001</v>
      </c>
      <c r="BA62" s="22">
        <v>-1.42273E-2</v>
      </c>
      <c r="BB62" s="22">
        <v>52</v>
      </c>
      <c r="BC62" s="22">
        <v>0.161194</v>
      </c>
      <c r="BD62">
        <f t="shared" si="10"/>
        <v>17.564567901234565</v>
      </c>
      <c r="BE62">
        <f t="shared" si="11"/>
        <v>2.8436332849382713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5.6990800000000004</v>
      </c>
      <c r="I63" s="22">
        <v>-1.2649499999999999E-2</v>
      </c>
      <c r="J63" s="22">
        <v>53</v>
      </c>
      <c r="K63" s="22">
        <v>1.56219</v>
      </c>
      <c r="L63">
        <f t="shared" si="0"/>
        <v>15.616666666666664</v>
      </c>
      <c r="M63">
        <f t="shared" si="1"/>
        <v>24.410567833333328</v>
      </c>
      <c r="N63" s="9"/>
      <c r="O63" s="22">
        <v>0.166931</v>
      </c>
      <c r="P63" s="22">
        <v>9.5786999999999995</v>
      </c>
      <c r="Q63" s="22">
        <v>-1.4129600000000001E-2</v>
      </c>
      <c r="R63" s="22">
        <v>53</v>
      </c>
      <c r="S63" s="22">
        <v>0.166321</v>
      </c>
      <c r="T63">
        <f t="shared" si="2"/>
        <v>17.443950617283949</v>
      </c>
      <c r="U63">
        <f t="shared" si="3"/>
        <v>2.9119361204938268</v>
      </c>
      <c r="X63" s="9"/>
      <c r="Y63" s="22">
        <v>1.56311</v>
      </c>
      <c r="Z63" s="22">
        <v>15.193300000000001</v>
      </c>
      <c r="AA63" s="22">
        <v>-1.28693E-2</v>
      </c>
      <c r="AB63" s="22">
        <v>53</v>
      </c>
      <c r="AC63" s="22">
        <v>1.5625</v>
      </c>
      <c r="AD63">
        <f t="shared" si="4"/>
        <v>15.888024691358023</v>
      </c>
      <c r="AE63">
        <f t="shared" si="5"/>
        <v>24.83473027530864</v>
      </c>
      <c r="AF63" s="9"/>
      <c r="AG63" s="22">
        <v>0.166931</v>
      </c>
      <c r="AH63" s="22">
        <v>19.072900000000001</v>
      </c>
      <c r="AI63" s="22">
        <v>-1.4196800000000001E-2</v>
      </c>
      <c r="AJ63" s="22">
        <v>53</v>
      </c>
      <c r="AK63" s="22">
        <v>0.166321</v>
      </c>
      <c r="AL63">
        <f t="shared" si="6"/>
        <v>17.526913580246916</v>
      </c>
      <c r="AM63">
        <f t="shared" si="7"/>
        <v>2.925785210864198</v>
      </c>
      <c r="AP63" s="9"/>
      <c r="AQ63" s="22">
        <v>1.56311</v>
      </c>
      <c r="AR63" s="22">
        <v>24.602499999999999</v>
      </c>
      <c r="AS63" s="22">
        <v>-1.2899799999999999E-2</v>
      </c>
      <c r="AT63" s="22">
        <v>53</v>
      </c>
      <c r="AU63" s="22">
        <v>1.56219</v>
      </c>
      <c r="AV63">
        <f t="shared" si="8"/>
        <v>15.925679012345679</v>
      </c>
      <c r="AW63">
        <f t="shared" si="9"/>
        <v>24.893588120987655</v>
      </c>
      <c r="AX63" s="9"/>
      <c r="AY63" s="22">
        <v>0.166931</v>
      </c>
      <c r="AZ63" s="22">
        <v>28.482199999999999</v>
      </c>
      <c r="BA63" s="22">
        <v>-1.4218099999999999E-2</v>
      </c>
      <c r="BB63" s="22">
        <v>53</v>
      </c>
      <c r="BC63" s="22">
        <v>0.16625999999999999</v>
      </c>
      <c r="BD63">
        <f t="shared" si="10"/>
        <v>17.553209876543207</v>
      </c>
      <c r="BE63">
        <f t="shared" si="11"/>
        <v>2.930174877901234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5.7091599999999998</v>
      </c>
      <c r="I64" s="22">
        <v>-1.26862E-2</v>
      </c>
      <c r="J64" s="22">
        <v>54</v>
      </c>
      <c r="K64" s="22">
        <v>1.55731</v>
      </c>
      <c r="L64">
        <f t="shared" si="0"/>
        <v>15.661975308641974</v>
      </c>
      <c r="M64">
        <f t="shared" si="1"/>
        <v>24.402453869135801</v>
      </c>
      <c r="N64" s="9"/>
      <c r="O64" s="22">
        <v>0.17196700000000001</v>
      </c>
      <c r="P64" s="22">
        <v>9.5887700000000002</v>
      </c>
      <c r="Q64" s="22">
        <v>-1.41327E-2</v>
      </c>
      <c r="R64" s="22">
        <v>54</v>
      </c>
      <c r="S64" s="22">
        <v>0.17135600000000001</v>
      </c>
      <c r="T64">
        <f t="shared" si="2"/>
        <v>17.447777777777777</v>
      </c>
      <c r="U64">
        <f t="shared" si="3"/>
        <v>3.0004420011111113</v>
      </c>
      <c r="X64" s="9"/>
      <c r="Y64" s="22">
        <v>1.5580700000000001</v>
      </c>
      <c r="Z64" s="22">
        <v>15.2034</v>
      </c>
      <c r="AA64" s="22">
        <v>-1.29059E-2</v>
      </c>
      <c r="AB64" s="22">
        <v>54</v>
      </c>
      <c r="AC64" s="22">
        <v>1.55731</v>
      </c>
      <c r="AD64">
        <f t="shared" si="4"/>
        <v>15.933209876543209</v>
      </c>
      <c r="AE64">
        <f t="shared" si="5"/>
        <v>24.82505631234568</v>
      </c>
      <c r="AF64" s="9"/>
      <c r="AG64" s="22">
        <v>0.17196700000000001</v>
      </c>
      <c r="AH64" s="22">
        <v>19.082999999999998</v>
      </c>
      <c r="AI64" s="22">
        <v>-1.4208999999999999E-2</v>
      </c>
      <c r="AJ64" s="22">
        <v>54</v>
      </c>
      <c r="AK64" s="22">
        <v>0.17132600000000001</v>
      </c>
      <c r="AL64">
        <f t="shared" si="6"/>
        <v>17.541975308641973</v>
      </c>
      <c r="AM64">
        <f t="shared" si="7"/>
        <v>3.0166408679012342</v>
      </c>
      <c r="AP64" s="9"/>
      <c r="AQ64" s="22">
        <v>1.5580700000000001</v>
      </c>
      <c r="AR64" s="22">
        <v>24.6126</v>
      </c>
      <c r="AS64" s="22">
        <v>-1.29395E-2</v>
      </c>
      <c r="AT64" s="22">
        <v>54</v>
      </c>
      <c r="AU64" s="22">
        <v>1.55701</v>
      </c>
      <c r="AV64">
        <f t="shared" si="8"/>
        <v>15.974691358024689</v>
      </c>
      <c r="AW64">
        <f t="shared" si="9"/>
        <v>24.889687364197528</v>
      </c>
      <c r="AX64" s="9"/>
      <c r="AY64" s="22">
        <v>0.17196700000000001</v>
      </c>
      <c r="AZ64" s="22">
        <v>28.4922</v>
      </c>
      <c r="BA64" s="22">
        <v>-1.42212E-2</v>
      </c>
      <c r="BB64" s="22">
        <v>54</v>
      </c>
      <c r="BC64" s="22">
        <v>0.17135600000000001</v>
      </c>
      <c r="BD64">
        <f t="shared" si="10"/>
        <v>17.557037037037034</v>
      </c>
      <c r="BE64">
        <f t="shared" si="11"/>
        <v>3.0192309881481476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5.7192299999999996</v>
      </c>
      <c r="I65" s="22">
        <v>-1.2722799999999999E-2</v>
      </c>
      <c r="J65" s="22">
        <v>55</v>
      </c>
      <c r="K65" s="22">
        <v>1.5521199999999999</v>
      </c>
      <c r="L65">
        <f t="shared" si="0"/>
        <v>15.707160493827157</v>
      </c>
      <c r="M65">
        <f t="shared" si="1"/>
        <v>24.393848533333326</v>
      </c>
      <c r="N65" s="9"/>
      <c r="O65" s="22">
        <v>0.17700199999999999</v>
      </c>
      <c r="P65" s="22">
        <v>9.5988399999999992</v>
      </c>
      <c r="Q65" s="22">
        <v>-1.4129600000000001E-2</v>
      </c>
      <c r="R65" s="22">
        <v>55</v>
      </c>
      <c r="S65" s="22">
        <v>0.17633099999999999</v>
      </c>
      <c r="T65">
        <f t="shared" si="2"/>
        <v>17.443950617283949</v>
      </c>
      <c r="U65">
        <f t="shared" si="3"/>
        <v>3.0876141471604934</v>
      </c>
      <c r="X65" s="9"/>
      <c r="Y65" s="22">
        <v>1.55304</v>
      </c>
      <c r="Z65" s="22">
        <v>15.2134</v>
      </c>
      <c r="AA65" s="22">
        <v>-1.29395E-2</v>
      </c>
      <c r="AB65" s="22">
        <v>55</v>
      </c>
      <c r="AC65" s="22">
        <v>1.55182</v>
      </c>
      <c r="AD65">
        <f t="shared" si="4"/>
        <v>15.974691358024689</v>
      </c>
      <c r="AE65">
        <f t="shared" si="5"/>
        <v>24.809334666666661</v>
      </c>
      <c r="AF65" s="9"/>
      <c r="AG65" s="22">
        <v>0.17700199999999999</v>
      </c>
      <c r="AH65" s="22">
        <v>19.0931</v>
      </c>
      <c r="AI65" s="22">
        <v>-1.4212000000000001E-2</v>
      </c>
      <c r="AJ65" s="22">
        <v>55</v>
      </c>
      <c r="AK65" s="22">
        <v>0.17633099999999999</v>
      </c>
      <c r="AL65">
        <f t="shared" si="6"/>
        <v>17.54567901234568</v>
      </c>
      <c r="AM65">
        <f t="shared" si="7"/>
        <v>3.1056202765432097</v>
      </c>
      <c r="AP65" s="9"/>
      <c r="AQ65" s="22">
        <v>1.55304</v>
      </c>
      <c r="AR65" s="22">
        <v>24.622699999999998</v>
      </c>
      <c r="AS65" s="22">
        <v>-1.29669E-2</v>
      </c>
      <c r="AT65" s="22">
        <v>55</v>
      </c>
      <c r="AU65" s="22">
        <v>1.55182</v>
      </c>
      <c r="AV65">
        <f t="shared" si="8"/>
        <v>16.008518518518514</v>
      </c>
      <c r="AW65">
        <f t="shared" si="9"/>
        <v>24.861869599999991</v>
      </c>
      <c r="AX65" s="9"/>
      <c r="AY65" s="22">
        <v>0.17700199999999999</v>
      </c>
      <c r="AZ65" s="22">
        <v>28.502300000000002</v>
      </c>
      <c r="BA65" s="22">
        <v>-1.42212E-2</v>
      </c>
      <c r="BB65" s="22">
        <v>55</v>
      </c>
      <c r="BC65" s="22">
        <v>0.17633099999999999</v>
      </c>
      <c r="BD65">
        <f t="shared" si="10"/>
        <v>17.557037037037034</v>
      </c>
      <c r="BE65">
        <f t="shared" si="11"/>
        <v>3.107630669629629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5.7293000000000003</v>
      </c>
      <c r="I66" s="22">
        <v>-1.27563E-2</v>
      </c>
      <c r="J66" s="22">
        <v>56</v>
      </c>
      <c r="K66" s="22">
        <v>1.5466299999999999</v>
      </c>
      <c r="L66">
        <f t="shared" si="0"/>
        <v>15.748518518518516</v>
      </c>
      <c r="M66">
        <f t="shared" si="1"/>
        <v>24.378706666666663</v>
      </c>
      <c r="N66" s="9"/>
      <c r="O66" s="22">
        <v>0.182037</v>
      </c>
      <c r="P66" s="22">
        <v>9.6089099999999998</v>
      </c>
      <c r="Q66" s="22">
        <v>-1.4123500000000001E-2</v>
      </c>
      <c r="R66" s="22">
        <v>56</v>
      </c>
      <c r="S66" s="22">
        <v>0.181366</v>
      </c>
      <c r="T66">
        <f t="shared" si="2"/>
        <v>17.436419753086419</v>
      </c>
      <c r="U66">
        <f t="shared" si="3"/>
        <v>3.1740735425925926</v>
      </c>
      <c r="X66" s="9"/>
      <c r="Y66" s="22">
        <v>1.548</v>
      </c>
      <c r="Z66" s="22">
        <v>15.2235</v>
      </c>
      <c r="AA66" s="22">
        <v>-1.2976100000000001E-2</v>
      </c>
      <c r="AB66" s="22">
        <v>56</v>
      </c>
      <c r="AC66" s="22">
        <v>1.5472399999999999</v>
      </c>
      <c r="AD66">
        <f t="shared" si="4"/>
        <v>16.019876543209875</v>
      </c>
      <c r="AE66">
        <f t="shared" si="5"/>
        <v>24.798768888888887</v>
      </c>
      <c r="AF66" s="9"/>
      <c r="AG66" s="22">
        <v>0.182037</v>
      </c>
      <c r="AH66" s="22">
        <v>19.103100000000001</v>
      </c>
      <c r="AI66" s="22">
        <v>-1.4218099999999999E-2</v>
      </c>
      <c r="AJ66" s="22">
        <v>56</v>
      </c>
      <c r="AK66" s="22">
        <v>0.181396</v>
      </c>
      <c r="AL66">
        <f t="shared" si="6"/>
        <v>17.553209876543207</v>
      </c>
      <c r="AM66">
        <f t="shared" si="7"/>
        <v>3.1953336662962957</v>
      </c>
      <c r="AP66" s="9"/>
      <c r="AQ66" s="22">
        <v>1.548</v>
      </c>
      <c r="AR66" s="22">
        <v>24.6328</v>
      </c>
      <c r="AS66" s="22">
        <v>-1.3003499999999999E-2</v>
      </c>
      <c r="AT66" s="22">
        <v>56</v>
      </c>
      <c r="AU66" s="22">
        <v>1.54633</v>
      </c>
      <c r="AV66">
        <f t="shared" si="8"/>
        <v>16.0537037037037</v>
      </c>
      <c r="AW66">
        <f t="shared" si="9"/>
        <v>24.85113333333333</v>
      </c>
      <c r="AX66" s="9"/>
      <c r="AY66" s="22">
        <v>0.182037</v>
      </c>
      <c r="AZ66" s="22">
        <v>28.5124</v>
      </c>
      <c r="BA66" s="22">
        <v>-1.42212E-2</v>
      </c>
      <c r="BB66" s="22">
        <v>56</v>
      </c>
      <c r="BC66" s="22">
        <v>0.181366</v>
      </c>
      <c r="BD66">
        <f t="shared" si="10"/>
        <v>17.557037037037034</v>
      </c>
      <c r="BE66">
        <f t="shared" si="11"/>
        <v>3.1960303511111108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5.7393700000000001</v>
      </c>
      <c r="I67" s="22">
        <v>-1.2796E-2</v>
      </c>
      <c r="J67" s="22">
        <v>57</v>
      </c>
      <c r="K67" s="22">
        <v>1.5414399999999999</v>
      </c>
      <c r="L67">
        <f t="shared" si="0"/>
        <v>15.79753086419753</v>
      </c>
      <c r="M67">
        <f t="shared" si="1"/>
        <v>24.375116197530861</v>
      </c>
      <c r="N67" s="9"/>
      <c r="O67" s="22">
        <v>0.18707299999999999</v>
      </c>
      <c r="P67" s="22">
        <v>9.6189900000000002</v>
      </c>
      <c r="Q67" s="22">
        <v>-1.4120499999999999E-2</v>
      </c>
      <c r="R67" s="22">
        <v>57</v>
      </c>
      <c r="S67" s="22">
        <v>0.18637100000000001</v>
      </c>
      <c r="T67">
        <f t="shared" si="2"/>
        <v>17.432716049382716</v>
      </c>
      <c r="U67">
        <f t="shared" si="3"/>
        <v>3.2611904895061725</v>
      </c>
      <c r="X67" s="9"/>
      <c r="Y67" s="22">
        <v>1.54297</v>
      </c>
      <c r="Z67" s="22">
        <v>15.233599999999999</v>
      </c>
      <c r="AA67" s="22">
        <v>-1.30127E-2</v>
      </c>
      <c r="AB67" s="22">
        <v>57</v>
      </c>
      <c r="AC67" s="22">
        <v>1.5426599999999999</v>
      </c>
      <c r="AD67">
        <f t="shared" si="4"/>
        <v>16.065061728395062</v>
      </c>
      <c r="AE67">
        <f t="shared" si="5"/>
        <v>24.787908295061726</v>
      </c>
      <c r="AF67" s="9"/>
      <c r="AG67" s="22">
        <v>0.18707299999999999</v>
      </c>
      <c r="AH67" s="22">
        <v>19.113199999999999</v>
      </c>
      <c r="AI67" s="22">
        <v>-1.42151E-2</v>
      </c>
      <c r="AJ67" s="22">
        <v>57</v>
      </c>
      <c r="AK67" s="22">
        <v>0.18643199999999999</v>
      </c>
      <c r="AL67">
        <f t="shared" si="6"/>
        <v>17.549506172839507</v>
      </c>
      <c r="AM67">
        <f t="shared" si="7"/>
        <v>3.2830387682716049</v>
      </c>
      <c r="AP67" s="9"/>
      <c r="AQ67" s="22">
        <v>1.54297</v>
      </c>
      <c r="AR67" s="22">
        <v>24.642800000000001</v>
      </c>
      <c r="AS67" s="22">
        <v>-1.30402E-2</v>
      </c>
      <c r="AT67" s="22">
        <v>57</v>
      </c>
      <c r="AU67" s="22">
        <v>1.5414399999999999</v>
      </c>
      <c r="AV67">
        <f t="shared" si="8"/>
        <v>16.099012345679011</v>
      </c>
      <c r="AW67">
        <f t="shared" si="9"/>
        <v>24.840293079012344</v>
      </c>
      <c r="AX67" s="9"/>
      <c r="AY67" s="22">
        <v>0.18707299999999999</v>
      </c>
      <c r="AZ67" s="22">
        <v>28.522400000000001</v>
      </c>
      <c r="BA67" s="22">
        <v>-1.4218099999999999E-2</v>
      </c>
      <c r="BB67" s="22">
        <v>57</v>
      </c>
      <c r="BC67" s="22">
        <v>0.18649299999999999</v>
      </c>
      <c r="BD67">
        <f t="shared" si="10"/>
        <v>17.553209876543207</v>
      </c>
      <c r="BE67">
        <f t="shared" si="11"/>
        <v>3.2837316312345672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5.7494399999999999</v>
      </c>
      <c r="I68" s="22">
        <v>-1.28235E-2</v>
      </c>
      <c r="J68" s="22">
        <v>58</v>
      </c>
      <c r="K68" s="22">
        <v>1.53687</v>
      </c>
      <c r="L68">
        <f t="shared" si="0"/>
        <v>15.831481481481481</v>
      </c>
      <c r="M68">
        <f t="shared" si="1"/>
        <v>24.347710314814815</v>
      </c>
      <c r="N68" s="9"/>
      <c r="O68" s="22">
        <v>0.192108</v>
      </c>
      <c r="P68" s="22">
        <v>9.6290600000000008</v>
      </c>
      <c r="Q68" s="22">
        <v>-1.4120499999999999E-2</v>
      </c>
      <c r="R68" s="22">
        <v>58</v>
      </c>
      <c r="S68" s="22">
        <v>0.191437</v>
      </c>
      <c r="T68">
        <f t="shared" si="2"/>
        <v>17.432716049382716</v>
      </c>
      <c r="U68">
        <f t="shared" si="3"/>
        <v>3.3489642148148149</v>
      </c>
      <c r="X68" s="9"/>
      <c r="Y68" s="22">
        <v>1.53793</v>
      </c>
      <c r="Z68" s="22">
        <v>15.2437</v>
      </c>
      <c r="AA68" s="22">
        <v>-1.3037099999999999E-2</v>
      </c>
      <c r="AB68" s="22">
        <v>58</v>
      </c>
      <c r="AC68" s="22">
        <v>1.5371699999999999</v>
      </c>
      <c r="AD68">
        <f t="shared" si="4"/>
        <v>16.095185185185183</v>
      </c>
      <c r="AE68">
        <f t="shared" si="5"/>
        <v>24.753268151851849</v>
      </c>
      <c r="AF68" s="9"/>
      <c r="AG68" s="22">
        <v>0.192108</v>
      </c>
      <c r="AH68" s="22">
        <v>19.1233</v>
      </c>
      <c r="AI68" s="22">
        <v>-1.4208999999999999E-2</v>
      </c>
      <c r="AJ68" s="22">
        <v>58</v>
      </c>
      <c r="AK68" s="22">
        <v>0.191437</v>
      </c>
      <c r="AL68">
        <f t="shared" si="6"/>
        <v>17.541975308641973</v>
      </c>
      <c r="AM68">
        <f t="shared" si="7"/>
        <v>3.3699537925925922</v>
      </c>
      <c r="AP68" s="9"/>
      <c r="AQ68" s="22">
        <v>1.53793</v>
      </c>
      <c r="AR68" s="22">
        <v>24.652899999999999</v>
      </c>
      <c r="AS68" s="22">
        <v>-1.3079800000000001E-2</v>
      </c>
      <c r="AT68" s="22">
        <v>58</v>
      </c>
      <c r="AU68" s="22">
        <v>1.53748</v>
      </c>
      <c r="AV68">
        <f t="shared" si="8"/>
        <v>16.147901234567904</v>
      </c>
      <c r="AW68">
        <f t="shared" si="9"/>
        <v>24.834341745679016</v>
      </c>
      <c r="AX68" s="9"/>
      <c r="AY68" s="22">
        <v>0.192108</v>
      </c>
      <c r="AZ68" s="22">
        <v>28.532499999999999</v>
      </c>
      <c r="BA68" s="22">
        <v>-1.42151E-2</v>
      </c>
      <c r="BB68" s="22">
        <v>58</v>
      </c>
      <c r="BC68" s="22">
        <v>0.191498</v>
      </c>
      <c r="BD68">
        <f t="shared" si="10"/>
        <v>17.549506172839507</v>
      </c>
      <c r="BE68">
        <f t="shared" si="11"/>
        <v>3.3714005318518518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5.7595099999999997</v>
      </c>
      <c r="I69" s="22">
        <v>-1.28662E-2</v>
      </c>
      <c r="J69" s="22">
        <v>59</v>
      </c>
      <c r="K69" s="22">
        <v>1.5319799999999999</v>
      </c>
      <c r="L69">
        <f t="shared" si="0"/>
        <v>15.884197530864196</v>
      </c>
      <c r="M69">
        <f t="shared" si="1"/>
        <v>24.348886395061726</v>
      </c>
      <c r="N69" s="9"/>
      <c r="O69" s="22">
        <v>0.19714400000000001</v>
      </c>
      <c r="P69" s="22">
        <v>9.6391299999999998</v>
      </c>
      <c r="Q69" s="22">
        <v>-1.41266E-2</v>
      </c>
      <c r="R69" s="22">
        <v>59</v>
      </c>
      <c r="S69" s="22">
        <v>0.19653300000000001</v>
      </c>
      <c r="T69">
        <f t="shared" si="2"/>
        <v>17.440246913580246</v>
      </c>
      <c r="U69">
        <f t="shared" si="3"/>
        <v>3.4382400375308642</v>
      </c>
      <c r="X69" s="9"/>
      <c r="Y69" s="22">
        <v>1.5328999999999999</v>
      </c>
      <c r="Z69" s="22">
        <v>15.2537</v>
      </c>
      <c r="AA69" s="22">
        <v>-1.3064600000000001E-2</v>
      </c>
      <c r="AB69" s="22">
        <v>59</v>
      </c>
      <c r="AC69" s="22">
        <v>1.5322899999999999</v>
      </c>
      <c r="AD69">
        <f t="shared" si="4"/>
        <v>16.129135802469136</v>
      </c>
      <c r="AE69">
        <f t="shared" si="5"/>
        <v>24.724352271604939</v>
      </c>
      <c r="AF69" s="9"/>
      <c r="AG69" s="22">
        <v>0.19714400000000001</v>
      </c>
      <c r="AH69" s="22">
        <v>19.133299999999998</v>
      </c>
      <c r="AI69" s="22">
        <v>-1.42059E-2</v>
      </c>
      <c r="AJ69" s="22">
        <v>59</v>
      </c>
      <c r="AK69" s="22">
        <v>0.19650300000000001</v>
      </c>
      <c r="AL69">
        <f t="shared" si="6"/>
        <v>17.538148148148146</v>
      </c>
      <c r="AM69">
        <f t="shared" si="7"/>
        <v>3.4575406785185181</v>
      </c>
      <c r="AP69" s="9"/>
      <c r="AQ69" s="22">
        <v>1.5328999999999999</v>
      </c>
      <c r="AR69" s="22">
        <v>24.663</v>
      </c>
      <c r="AS69" s="22">
        <v>-1.3113400000000001E-2</v>
      </c>
      <c r="AT69" s="22">
        <v>59</v>
      </c>
      <c r="AU69" s="22">
        <v>1.5319799999999999</v>
      </c>
      <c r="AV69">
        <f t="shared" si="8"/>
        <v>16.18938271604938</v>
      </c>
      <c r="AW69">
        <f t="shared" si="9"/>
        <v>24.816704765432092</v>
      </c>
      <c r="AX69" s="9"/>
      <c r="AY69" s="22">
        <v>0.19714400000000001</v>
      </c>
      <c r="AZ69" s="22">
        <v>28.5426</v>
      </c>
      <c r="BA69" s="22">
        <v>-1.42059E-2</v>
      </c>
      <c r="BB69" s="22">
        <v>59</v>
      </c>
      <c r="BC69" s="22">
        <v>0.19647200000000001</v>
      </c>
      <c r="BD69">
        <f t="shared" si="10"/>
        <v>17.538148148148146</v>
      </c>
      <c r="BE69">
        <f t="shared" si="11"/>
        <v>3.4575406785185181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5.7695800000000004</v>
      </c>
      <c r="I70" s="22">
        <v>-1.2902800000000001E-2</v>
      </c>
      <c r="J70" s="22">
        <v>60</v>
      </c>
      <c r="K70" s="22">
        <v>1.5270999999999999</v>
      </c>
      <c r="L70">
        <f t="shared" si="0"/>
        <v>15.929382716049382</v>
      </c>
      <c r="M70">
        <f t="shared" si="1"/>
        <v>24.337866676543207</v>
      </c>
      <c r="N70" s="9"/>
      <c r="O70" s="22">
        <v>0.202179</v>
      </c>
      <c r="P70" s="22">
        <v>9.6492000000000004</v>
      </c>
      <c r="Q70" s="22">
        <v>-1.41327E-2</v>
      </c>
      <c r="R70" s="22">
        <v>60</v>
      </c>
      <c r="S70" s="22">
        <v>0.20150799999999999</v>
      </c>
      <c r="T70">
        <f t="shared" si="2"/>
        <v>17.447777777777777</v>
      </c>
      <c r="U70">
        <f t="shared" si="3"/>
        <v>3.5275742633333329</v>
      </c>
      <c r="X70" s="9"/>
      <c r="Y70" s="22">
        <v>1.52786</v>
      </c>
      <c r="Z70" s="22">
        <v>15.2638</v>
      </c>
      <c r="AA70" s="22">
        <v>-1.31012E-2</v>
      </c>
      <c r="AB70" s="22">
        <v>60</v>
      </c>
      <c r="AC70" s="22">
        <v>1.5270999999999999</v>
      </c>
      <c r="AD70">
        <f t="shared" si="4"/>
        <v>16.174320987654323</v>
      </c>
      <c r="AE70">
        <f t="shared" si="5"/>
        <v>24.712098064197534</v>
      </c>
      <c r="AF70" s="9"/>
      <c r="AG70" s="22">
        <v>0.202179</v>
      </c>
      <c r="AH70" s="22">
        <v>19.1434</v>
      </c>
      <c r="AI70" s="22">
        <v>-1.4208999999999999E-2</v>
      </c>
      <c r="AJ70" s="22">
        <v>60</v>
      </c>
      <c r="AK70" s="22">
        <v>0.201569</v>
      </c>
      <c r="AL70">
        <f t="shared" si="6"/>
        <v>17.541975308641973</v>
      </c>
      <c r="AM70">
        <f t="shared" si="7"/>
        <v>3.5466190259259256</v>
      </c>
      <c r="AP70" s="9"/>
      <c r="AQ70" s="22">
        <v>1.52786</v>
      </c>
      <c r="AR70" s="22">
        <v>24.672999999999998</v>
      </c>
      <c r="AS70" s="22">
        <v>-1.31409E-2</v>
      </c>
      <c r="AT70" s="22">
        <v>60</v>
      </c>
      <c r="AU70" s="22">
        <v>1.5267900000000001</v>
      </c>
      <c r="AV70">
        <f t="shared" si="8"/>
        <v>16.223333333333333</v>
      </c>
      <c r="AW70">
        <f t="shared" si="9"/>
        <v>24.786982066666667</v>
      </c>
      <c r="AX70" s="9"/>
      <c r="AY70" s="22">
        <v>0.202179</v>
      </c>
      <c r="AZ70" s="22">
        <v>28.552700000000002</v>
      </c>
      <c r="BA70" s="22">
        <v>-1.41998E-2</v>
      </c>
      <c r="BB70" s="22">
        <v>60</v>
      </c>
      <c r="BC70" s="22">
        <v>0.201569</v>
      </c>
      <c r="BD70">
        <f t="shared" si="10"/>
        <v>17.530617283950615</v>
      </c>
      <c r="BE70">
        <f t="shared" si="11"/>
        <v>3.5443226718518512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5.7796500000000002</v>
      </c>
      <c r="I71" s="22">
        <v>-1.29303E-2</v>
      </c>
      <c r="J71" s="22">
        <v>61</v>
      </c>
      <c r="K71" s="22">
        <v>1.5222199999999999</v>
      </c>
      <c r="L71">
        <f t="shared" si="0"/>
        <v>15.963333333333333</v>
      </c>
      <c r="M71">
        <f t="shared" si="1"/>
        <v>24.309442899999997</v>
      </c>
      <c r="N71" s="9"/>
      <c r="O71" s="22">
        <v>0.20721400000000001</v>
      </c>
      <c r="P71" s="22">
        <v>9.6592699999999994</v>
      </c>
      <c r="Q71" s="22">
        <v>-1.41449E-2</v>
      </c>
      <c r="R71" s="22">
        <v>61</v>
      </c>
      <c r="S71" s="22">
        <v>0.206543</v>
      </c>
      <c r="T71">
        <f t="shared" si="2"/>
        <v>17.462839506172838</v>
      </c>
      <c r="U71">
        <f t="shared" si="3"/>
        <v>3.6185448254320987</v>
      </c>
      <c r="X71" s="9"/>
      <c r="Y71" s="22">
        <v>1.5228299999999999</v>
      </c>
      <c r="Z71" s="22">
        <v>15.273899999999999</v>
      </c>
      <c r="AA71" s="22">
        <v>-1.31378E-2</v>
      </c>
      <c r="AB71" s="22">
        <v>61</v>
      </c>
      <c r="AC71" s="22">
        <v>1.5216099999999999</v>
      </c>
      <c r="AD71">
        <f t="shared" si="4"/>
        <v>16.219506172839505</v>
      </c>
      <c r="AE71">
        <f t="shared" si="5"/>
        <v>24.699550585185182</v>
      </c>
      <c r="AF71" s="9"/>
      <c r="AG71" s="22">
        <v>0.20721400000000001</v>
      </c>
      <c r="AH71" s="22">
        <v>19.153500000000001</v>
      </c>
      <c r="AI71" s="22">
        <v>-1.4212000000000001E-2</v>
      </c>
      <c r="AJ71" s="22">
        <v>61</v>
      </c>
      <c r="AK71" s="22">
        <v>0.20660400000000001</v>
      </c>
      <c r="AL71">
        <f t="shared" si="6"/>
        <v>17.54567901234568</v>
      </c>
      <c r="AM71">
        <f t="shared" si="7"/>
        <v>3.6357103308641978</v>
      </c>
      <c r="AP71" s="9"/>
      <c r="AQ71" s="22">
        <v>1.5228299999999999</v>
      </c>
      <c r="AR71" s="22">
        <v>24.6831</v>
      </c>
      <c r="AS71" s="22">
        <v>-1.3174399999999999E-2</v>
      </c>
      <c r="AT71" s="22">
        <v>61</v>
      </c>
      <c r="AU71" s="22">
        <v>1.5216099999999999</v>
      </c>
      <c r="AV71">
        <f t="shared" si="8"/>
        <v>16.264691358024692</v>
      </c>
      <c r="AW71">
        <f t="shared" si="9"/>
        <v>24.768359940740741</v>
      </c>
      <c r="AX71" s="9"/>
      <c r="AY71" s="22">
        <v>0.20721400000000001</v>
      </c>
      <c r="AZ71" s="22">
        <v>28.5627</v>
      </c>
      <c r="BA71" s="22">
        <v>-1.4190700000000001E-2</v>
      </c>
      <c r="BB71" s="22">
        <v>61</v>
      </c>
      <c r="BC71" s="22">
        <v>0.206543</v>
      </c>
      <c r="BD71">
        <f t="shared" si="10"/>
        <v>17.519382716049382</v>
      </c>
      <c r="BE71">
        <f t="shared" si="11"/>
        <v>3.6302613701234567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5.78972</v>
      </c>
      <c r="I72" s="22">
        <v>-1.29547E-2</v>
      </c>
      <c r="J72" s="22">
        <v>62</v>
      </c>
      <c r="K72" s="22">
        <v>1.5173300000000001</v>
      </c>
      <c r="L72">
        <f t="shared" si="0"/>
        <v>15.993456790123457</v>
      </c>
      <c r="M72">
        <f t="shared" si="1"/>
        <v>24.274708781481479</v>
      </c>
      <c r="N72" s="9"/>
      <c r="O72" s="22">
        <v>0.21224999999999999</v>
      </c>
      <c r="P72" s="22">
        <v>9.66934</v>
      </c>
      <c r="Q72" s="22">
        <v>-1.4157100000000001E-2</v>
      </c>
      <c r="R72" s="22">
        <v>62</v>
      </c>
      <c r="S72" s="22">
        <v>0.21160899999999999</v>
      </c>
      <c r="T72">
        <f t="shared" si="2"/>
        <v>17.477901234567902</v>
      </c>
      <c r="U72">
        <f t="shared" si="3"/>
        <v>3.7096845370370373</v>
      </c>
      <c r="X72" s="9"/>
      <c r="Y72" s="22">
        <v>1.51779</v>
      </c>
      <c r="Z72" s="22">
        <v>15.283899999999999</v>
      </c>
      <c r="AA72" s="22">
        <v>-1.3168300000000001E-2</v>
      </c>
      <c r="AB72" s="22">
        <v>62</v>
      </c>
      <c r="AC72" s="22">
        <v>1.5167200000000001</v>
      </c>
      <c r="AD72">
        <f t="shared" si="4"/>
        <v>16.257160493827158</v>
      </c>
      <c r="AE72">
        <f t="shared" si="5"/>
        <v>24.674955625925922</v>
      </c>
      <c r="AF72" s="9"/>
      <c r="AG72" s="22">
        <v>0.21224999999999999</v>
      </c>
      <c r="AH72" s="22">
        <v>19.163599999999999</v>
      </c>
      <c r="AI72" s="22">
        <v>-1.4218099999999999E-2</v>
      </c>
      <c r="AJ72" s="22">
        <v>62</v>
      </c>
      <c r="AK72" s="22">
        <v>0.21157799999999999</v>
      </c>
      <c r="AL72">
        <f t="shared" si="6"/>
        <v>17.553209876543207</v>
      </c>
      <c r="AM72">
        <f t="shared" si="7"/>
        <v>3.7256687962962953</v>
      </c>
      <c r="AP72" s="9"/>
      <c r="AQ72" s="22">
        <v>1.51779</v>
      </c>
      <c r="AR72" s="22">
        <v>24.693200000000001</v>
      </c>
      <c r="AS72" s="22">
        <v>-1.31989E-2</v>
      </c>
      <c r="AT72" s="22">
        <v>62</v>
      </c>
      <c r="AU72" s="22">
        <v>1.5161100000000001</v>
      </c>
      <c r="AV72">
        <f t="shared" si="8"/>
        <v>16.294938271604938</v>
      </c>
      <c r="AW72">
        <f t="shared" si="9"/>
        <v>24.732294359259257</v>
      </c>
      <c r="AX72" s="9"/>
      <c r="AY72" s="22">
        <v>0.21224999999999999</v>
      </c>
      <c r="AZ72" s="22">
        <v>28.572800000000001</v>
      </c>
      <c r="BA72" s="22">
        <v>-1.41876E-2</v>
      </c>
      <c r="BB72" s="22">
        <v>62</v>
      </c>
      <c r="BC72" s="22">
        <v>0.21160899999999999</v>
      </c>
      <c r="BD72">
        <f t="shared" si="10"/>
        <v>17.515555555555554</v>
      </c>
      <c r="BE72">
        <f t="shared" si="11"/>
        <v>3.7176766666666663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5.7997899999999998</v>
      </c>
      <c r="I73" s="22">
        <v>-1.2973E-2</v>
      </c>
      <c r="J73" s="22">
        <v>63</v>
      </c>
      <c r="K73" s="22">
        <v>1.5115400000000001</v>
      </c>
      <c r="L73">
        <f t="shared" si="0"/>
        <v>16.016049382716048</v>
      </c>
      <c r="M73">
        <f t="shared" si="1"/>
        <v>24.228438864197532</v>
      </c>
      <c r="N73" s="9"/>
      <c r="O73" s="22">
        <v>0.21728500000000001</v>
      </c>
      <c r="P73" s="22">
        <v>9.6794100000000007</v>
      </c>
      <c r="Q73" s="22">
        <v>-1.4157100000000001E-2</v>
      </c>
      <c r="R73" s="22">
        <v>63</v>
      </c>
      <c r="S73" s="22">
        <v>0.216644</v>
      </c>
      <c r="T73">
        <f t="shared" si="2"/>
        <v>17.477901234567902</v>
      </c>
      <c r="U73">
        <f t="shared" si="3"/>
        <v>3.7976857697530866</v>
      </c>
      <c r="X73" s="9"/>
      <c r="Y73" s="22">
        <v>1.5127600000000001</v>
      </c>
      <c r="Z73" s="22">
        <v>15.294</v>
      </c>
      <c r="AA73" s="22">
        <v>-1.31989E-2</v>
      </c>
      <c r="AB73" s="22">
        <v>63</v>
      </c>
      <c r="AC73" s="22">
        <v>1.5115400000000001</v>
      </c>
      <c r="AD73">
        <f t="shared" si="4"/>
        <v>16.294938271604938</v>
      </c>
      <c r="AE73">
        <f t="shared" si="5"/>
        <v>24.650330819753087</v>
      </c>
      <c r="AF73" s="9"/>
      <c r="AG73" s="22">
        <v>0.21728500000000001</v>
      </c>
      <c r="AH73" s="22">
        <v>19.1736</v>
      </c>
      <c r="AI73" s="22">
        <v>-1.4218099999999999E-2</v>
      </c>
      <c r="AJ73" s="22">
        <v>63</v>
      </c>
      <c r="AK73" s="22">
        <v>0.216614</v>
      </c>
      <c r="AL73">
        <f t="shared" si="6"/>
        <v>17.553209876543207</v>
      </c>
      <c r="AM73">
        <f t="shared" si="7"/>
        <v>3.8140492080246906</v>
      </c>
      <c r="AP73" s="9"/>
      <c r="AQ73" s="22">
        <v>1.5127600000000001</v>
      </c>
      <c r="AR73" s="22">
        <v>24.703199999999999</v>
      </c>
      <c r="AS73" s="22">
        <v>-1.32233E-2</v>
      </c>
      <c r="AT73" s="22">
        <v>63</v>
      </c>
      <c r="AU73" s="22">
        <v>1.5118400000000001</v>
      </c>
      <c r="AV73">
        <f t="shared" si="8"/>
        <v>16.32506172839506</v>
      </c>
      <c r="AW73">
        <f t="shared" si="9"/>
        <v>24.695900380246911</v>
      </c>
      <c r="AX73" s="9"/>
      <c r="AY73" s="22">
        <v>0.21728500000000001</v>
      </c>
      <c r="AZ73" s="22">
        <v>28.582899999999999</v>
      </c>
      <c r="BA73" s="22">
        <v>-1.41937E-2</v>
      </c>
      <c r="BB73" s="22">
        <v>63</v>
      </c>
      <c r="BC73" s="22">
        <v>0.21667500000000001</v>
      </c>
      <c r="BD73">
        <f t="shared" si="10"/>
        <v>17.523086419753085</v>
      </c>
      <c r="BE73">
        <f t="shared" si="11"/>
        <v>3.8075038327160491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5.8098700000000001</v>
      </c>
      <c r="I74" s="22">
        <v>-1.30005E-2</v>
      </c>
      <c r="J74" s="22">
        <v>64</v>
      </c>
      <c r="K74" s="22">
        <v>1.50665</v>
      </c>
      <c r="L74">
        <f t="shared" si="0"/>
        <v>16.049999999999997</v>
      </c>
      <c r="M74">
        <f t="shared" si="1"/>
        <v>24.198905999999994</v>
      </c>
      <c r="N74" s="9"/>
      <c r="O74" s="22">
        <v>0.22232099999999999</v>
      </c>
      <c r="P74" s="22">
        <v>9.6894799999999996</v>
      </c>
      <c r="Q74" s="22">
        <v>-1.4154099999999999E-2</v>
      </c>
      <c r="R74" s="22">
        <v>64</v>
      </c>
      <c r="S74" s="22">
        <v>0.22161900000000001</v>
      </c>
      <c r="T74">
        <f t="shared" si="2"/>
        <v>17.474197530864195</v>
      </c>
      <c r="U74">
        <f t="shared" si="3"/>
        <v>3.8848810692592588</v>
      </c>
      <c r="X74" s="9"/>
      <c r="Y74" s="22">
        <v>1.5077199999999999</v>
      </c>
      <c r="Z74" s="22">
        <v>15.3041</v>
      </c>
      <c r="AA74" s="22">
        <v>-1.32385E-2</v>
      </c>
      <c r="AB74" s="22">
        <v>64</v>
      </c>
      <c r="AC74" s="22">
        <v>1.5069600000000001</v>
      </c>
      <c r="AD74">
        <f t="shared" si="4"/>
        <v>16.343827160493824</v>
      </c>
      <c r="AE74">
        <f t="shared" si="5"/>
        <v>24.641915086419747</v>
      </c>
      <c r="AF74" s="9"/>
      <c r="AG74" s="22">
        <v>0.22232099999999999</v>
      </c>
      <c r="AH74" s="22">
        <v>19.183700000000002</v>
      </c>
      <c r="AI74" s="22">
        <v>-1.4212000000000001E-2</v>
      </c>
      <c r="AJ74" s="22">
        <v>64</v>
      </c>
      <c r="AK74" s="22">
        <v>0.22164900000000001</v>
      </c>
      <c r="AL74">
        <f t="shared" si="6"/>
        <v>17.54567901234568</v>
      </c>
      <c r="AM74">
        <f t="shared" si="7"/>
        <v>3.9007729037037038</v>
      </c>
      <c r="AP74" s="9"/>
      <c r="AQ74" s="22">
        <v>1.5077199999999999</v>
      </c>
      <c r="AR74" s="22">
        <v>24.7133</v>
      </c>
      <c r="AS74" s="22">
        <v>-1.32538E-2</v>
      </c>
      <c r="AT74" s="22">
        <v>64</v>
      </c>
      <c r="AU74" s="22">
        <v>1.50726</v>
      </c>
      <c r="AV74">
        <f t="shared" si="8"/>
        <v>16.362716049382716</v>
      </c>
      <c r="AW74">
        <f t="shared" si="9"/>
        <v>24.670394241975306</v>
      </c>
      <c r="AX74" s="9"/>
      <c r="AY74" s="22">
        <v>0.22232099999999999</v>
      </c>
      <c r="AZ74" s="22">
        <v>28.5929</v>
      </c>
      <c r="BA74" s="22">
        <v>-1.41937E-2</v>
      </c>
      <c r="BB74" s="22">
        <v>64</v>
      </c>
      <c r="BC74" s="22">
        <v>0.22167999999999999</v>
      </c>
      <c r="BD74">
        <f t="shared" si="10"/>
        <v>17.523086419753085</v>
      </c>
      <c r="BE74">
        <f t="shared" si="11"/>
        <v>3.8957500959259255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5.8199399999999999</v>
      </c>
      <c r="I75" s="22">
        <v>-1.3018800000000001E-2</v>
      </c>
      <c r="J75" s="22">
        <v>65</v>
      </c>
      <c r="K75" s="22">
        <v>1.50116</v>
      </c>
      <c r="L75">
        <f t="shared" si="0"/>
        <v>16.072592592592592</v>
      </c>
      <c r="M75">
        <f t="shared" si="1"/>
        <v>24.152124162962963</v>
      </c>
      <c r="N75" s="9"/>
      <c r="O75" s="22">
        <v>0.227356</v>
      </c>
      <c r="P75" s="22">
        <v>9.6995500000000003</v>
      </c>
      <c r="Q75" s="22">
        <v>-1.4154099999999999E-2</v>
      </c>
      <c r="R75" s="22">
        <v>65</v>
      </c>
      <c r="S75" s="22">
        <v>0.226685</v>
      </c>
      <c r="T75">
        <f t="shared" si="2"/>
        <v>17.474197530864195</v>
      </c>
      <c r="U75">
        <f t="shared" si="3"/>
        <v>3.9728636538271602</v>
      </c>
      <c r="X75" s="9"/>
      <c r="Y75" s="22">
        <v>1.5026900000000001</v>
      </c>
      <c r="Z75" s="22">
        <v>15.3142</v>
      </c>
      <c r="AA75" s="22">
        <v>-1.32721E-2</v>
      </c>
      <c r="AB75" s="22">
        <v>65</v>
      </c>
      <c r="AC75" s="22">
        <v>1.5020800000000001</v>
      </c>
      <c r="AD75">
        <f t="shared" si="4"/>
        <v>16.385308641975307</v>
      </c>
      <c r="AE75">
        <f t="shared" si="5"/>
        <v>24.622039443209875</v>
      </c>
      <c r="AF75" s="9"/>
      <c r="AG75" s="22">
        <v>0.227356</v>
      </c>
      <c r="AH75" s="22">
        <v>19.1938</v>
      </c>
      <c r="AI75" s="22">
        <v>-1.4212000000000001E-2</v>
      </c>
      <c r="AJ75" s="22">
        <v>65</v>
      </c>
      <c r="AK75" s="22">
        <v>0.22662399999999999</v>
      </c>
      <c r="AL75">
        <f t="shared" si="6"/>
        <v>17.54567901234568</v>
      </c>
      <c r="AM75">
        <f t="shared" si="7"/>
        <v>3.9891153975308646</v>
      </c>
      <c r="AP75" s="9"/>
      <c r="AQ75" s="22">
        <v>1.5026900000000001</v>
      </c>
      <c r="AR75" s="22">
        <v>24.723400000000002</v>
      </c>
      <c r="AS75" s="22">
        <v>-1.32782E-2</v>
      </c>
      <c r="AT75" s="22">
        <v>65</v>
      </c>
      <c r="AU75" s="22">
        <v>1.50177</v>
      </c>
      <c r="AV75">
        <f t="shared" si="8"/>
        <v>16.392839506172837</v>
      </c>
      <c r="AW75">
        <f t="shared" si="9"/>
        <v>24.633355997530863</v>
      </c>
      <c r="AX75" s="9"/>
      <c r="AY75" s="22">
        <v>0.227356</v>
      </c>
      <c r="AZ75" s="22">
        <v>28.603000000000002</v>
      </c>
      <c r="BA75" s="22">
        <v>-1.41937E-2</v>
      </c>
      <c r="BB75" s="22">
        <v>65</v>
      </c>
      <c r="BC75" s="22">
        <v>0.22665399999999999</v>
      </c>
      <c r="BD75">
        <f t="shared" si="10"/>
        <v>17.523086419753085</v>
      </c>
      <c r="BE75">
        <f t="shared" si="11"/>
        <v>3.9839788360493826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5.8300099999999997</v>
      </c>
      <c r="I76" s="22">
        <v>-1.30463E-2</v>
      </c>
      <c r="J76" s="22">
        <v>66</v>
      </c>
      <c r="K76" s="22">
        <v>1.49658</v>
      </c>
      <c r="L76">
        <f t="shared" ref="L76:L139" si="12">-I76/$F$2*1000</f>
        <v>16.106543209876545</v>
      </c>
      <c r="M76">
        <f t="shared" ref="M76:M139" si="13">L76*G76</f>
        <v>24.121964438271608</v>
      </c>
      <c r="N76" s="9"/>
      <c r="O76" s="22">
        <v>0.23239099999999999</v>
      </c>
      <c r="P76" s="22">
        <v>9.7096199999999993</v>
      </c>
      <c r="Q76" s="22">
        <v>-1.41479E-2</v>
      </c>
      <c r="R76" s="22">
        <v>66</v>
      </c>
      <c r="S76" s="22">
        <v>0.23178099999999999</v>
      </c>
      <c r="T76">
        <f t="shared" ref="T76:T139" si="14">-Q76/$F$2*1000</f>
        <v>17.466543209876541</v>
      </c>
      <c r="U76">
        <f t="shared" ref="U76:U139" si="15">T76*O76</f>
        <v>4.0590674430864189</v>
      </c>
      <c r="X76" s="9"/>
      <c r="Y76" s="22">
        <v>1.4976499999999999</v>
      </c>
      <c r="Z76" s="22">
        <v>15.324199999999999</v>
      </c>
      <c r="AA76" s="22">
        <v>-1.33057E-2</v>
      </c>
      <c r="AB76" s="22">
        <v>66</v>
      </c>
      <c r="AC76" s="22">
        <v>1.49658</v>
      </c>
      <c r="AD76">
        <f t="shared" ref="AD76:AD139" si="16">-AA76/$F$2*1000</f>
        <v>16.42679012345679</v>
      </c>
      <c r="AE76">
        <f t="shared" ref="AE76:AE139" si="17">AD76*Y76</f>
        <v>24.60158222839506</v>
      </c>
      <c r="AF76" s="9"/>
      <c r="AG76" s="22">
        <v>0.23239099999999999</v>
      </c>
      <c r="AH76" s="22">
        <v>19.203800000000001</v>
      </c>
      <c r="AI76" s="22">
        <v>-1.42151E-2</v>
      </c>
      <c r="AJ76" s="22">
        <v>66</v>
      </c>
      <c r="AK76" s="22">
        <v>0.23172000000000001</v>
      </c>
      <c r="AL76">
        <f t="shared" ref="AL76:AL139" si="18">-AI76/$F$2*1000</f>
        <v>17.549506172839507</v>
      </c>
      <c r="AM76">
        <f t="shared" ref="AM76:AM139" si="19">AL76*AG76</f>
        <v>4.0783472890123456</v>
      </c>
      <c r="AP76" s="9"/>
      <c r="AQ76" s="22">
        <v>1.4976499999999999</v>
      </c>
      <c r="AR76" s="22">
        <v>24.733499999999999</v>
      </c>
      <c r="AS76" s="22">
        <v>-1.3296499999999999E-2</v>
      </c>
      <c r="AT76" s="22">
        <v>66</v>
      </c>
      <c r="AU76" s="22">
        <v>1.4968900000000001</v>
      </c>
      <c r="AV76">
        <f t="shared" ref="AV76:AV139" si="20">-AS76/$F$2*1000</f>
        <v>16.415432098765429</v>
      </c>
      <c r="AW76">
        <f t="shared" ref="AW76:AW139" si="21">AV76*AQ76</f>
        <v>24.584571882716045</v>
      </c>
      <c r="AX76" s="9"/>
      <c r="AY76" s="22">
        <v>0.23239099999999999</v>
      </c>
      <c r="AZ76" s="22">
        <v>28.613099999999999</v>
      </c>
      <c r="BA76" s="22">
        <v>-1.41998E-2</v>
      </c>
      <c r="BB76" s="22">
        <v>66</v>
      </c>
      <c r="BC76" s="22">
        <v>0.23175000000000001</v>
      </c>
      <c r="BD76">
        <f t="shared" ref="BD76:BD139" si="22">-BA76/$F$2*1000</f>
        <v>17.530617283950615</v>
      </c>
      <c r="BE76">
        <f t="shared" ref="BE76:BE139" si="23">BD76*AY76</f>
        <v>4.0739576812345675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5.8400800000000004</v>
      </c>
      <c r="I77" s="22">
        <v>-1.30615E-2</v>
      </c>
      <c r="J77" s="22">
        <v>67</v>
      </c>
      <c r="K77" s="22">
        <v>1.49139</v>
      </c>
      <c r="L77">
        <f t="shared" si="12"/>
        <v>16.125308641975309</v>
      </c>
      <c r="M77">
        <f t="shared" si="13"/>
        <v>24.068796932098767</v>
      </c>
      <c r="N77" s="9"/>
      <c r="O77" s="22">
        <v>0.237427</v>
      </c>
      <c r="P77" s="22">
        <v>9.7196999999999996</v>
      </c>
      <c r="Q77" s="22">
        <v>-1.41418E-2</v>
      </c>
      <c r="R77" s="22">
        <v>67</v>
      </c>
      <c r="S77" s="22">
        <v>0.23675499999999999</v>
      </c>
      <c r="T77">
        <f t="shared" si="14"/>
        <v>17.45901234567901</v>
      </c>
      <c r="U77">
        <f t="shared" si="15"/>
        <v>4.1452409241975303</v>
      </c>
      <c r="X77" s="9"/>
      <c r="Y77" s="22">
        <v>1.49261</v>
      </c>
      <c r="Z77" s="22">
        <v>15.334300000000001</v>
      </c>
      <c r="AA77" s="22">
        <v>-1.3333100000000001E-2</v>
      </c>
      <c r="AB77" s="22">
        <v>67</v>
      </c>
      <c r="AC77" s="22">
        <v>1.4917</v>
      </c>
      <c r="AD77">
        <f t="shared" si="16"/>
        <v>16.460617283950615</v>
      </c>
      <c r="AE77">
        <f t="shared" si="17"/>
        <v>24.569281964197529</v>
      </c>
      <c r="AF77" s="9"/>
      <c r="AG77" s="22">
        <v>0.237427</v>
      </c>
      <c r="AH77" s="22">
        <v>19.213899999999999</v>
      </c>
      <c r="AI77" s="22">
        <v>-1.42151E-2</v>
      </c>
      <c r="AJ77" s="22">
        <v>67</v>
      </c>
      <c r="AK77" s="22">
        <v>0.23672499999999999</v>
      </c>
      <c r="AL77">
        <f t="shared" si="18"/>
        <v>17.549506172839507</v>
      </c>
      <c r="AM77">
        <f t="shared" si="19"/>
        <v>4.1667266020987652</v>
      </c>
      <c r="AP77" s="9"/>
      <c r="AQ77" s="22">
        <v>1.49261</v>
      </c>
      <c r="AR77" s="22">
        <v>24.743500000000001</v>
      </c>
      <c r="AS77" s="22">
        <v>-1.3317900000000001E-2</v>
      </c>
      <c r="AT77" s="22">
        <v>67</v>
      </c>
      <c r="AU77" s="22">
        <v>1.4917</v>
      </c>
      <c r="AV77">
        <f t="shared" si="20"/>
        <v>16.441851851851851</v>
      </c>
      <c r="AW77">
        <f t="shared" si="21"/>
        <v>24.54127249259259</v>
      </c>
      <c r="AX77" s="9"/>
      <c r="AY77" s="22">
        <v>0.237427</v>
      </c>
      <c r="AZ77" s="22">
        <v>28.623100000000001</v>
      </c>
      <c r="BA77" s="22">
        <v>-1.4202899999999999E-2</v>
      </c>
      <c r="BB77" s="22">
        <v>67</v>
      </c>
      <c r="BC77" s="22">
        <v>0.236786</v>
      </c>
      <c r="BD77">
        <f t="shared" si="22"/>
        <v>17.534444444444443</v>
      </c>
      <c r="BE77">
        <f t="shared" si="23"/>
        <v>4.1631505411111105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5.8501500000000002</v>
      </c>
      <c r="I78" s="22">
        <v>-1.30768E-2</v>
      </c>
      <c r="J78" s="22">
        <v>68</v>
      </c>
      <c r="K78" s="22">
        <v>1.48651</v>
      </c>
      <c r="L78">
        <f t="shared" si="12"/>
        <v>16.144197530864194</v>
      </c>
      <c r="M78">
        <f t="shared" si="13"/>
        <v>24.015785362962955</v>
      </c>
      <c r="N78" s="9"/>
      <c r="O78" s="22">
        <v>0.24246200000000001</v>
      </c>
      <c r="P78" s="22">
        <v>9.7297700000000003</v>
      </c>
      <c r="Q78" s="22">
        <v>-1.41479E-2</v>
      </c>
      <c r="R78" s="22">
        <v>68</v>
      </c>
      <c r="S78" s="22">
        <v>0.24179100000000001</v>
      </c>
      <c r="T78">
        <f t="shared" si="14"/>
        <v>17.466543209876541</v>
      </c>
      <c r="U78">
        <f t="shared" si="15"/>
        <v>4.2349729997530856</v>
      </c>
      <c r="X78" s="9"/>
      <c r="Y78" s="22">
        <v>1.4875799999999999</v>
      </c>
      <c r="Z78" s="22">
        <v>15.3444</v>
      </c>
      <c r="AA78" s="22">
        <v>-1.33606E-2</v>
      </c>
      <c r="AB78" s="22">
        <v>68</v>
      </c>
      <c r="AC78" s="22">
        <v>1.48651</v>
      </c>
      <c r="AD78">
        <f t="shared" si="16"/>
        <v>16.494567901234568</v>
      </c>
      <c r="AE78">
        <f t="shared" si="17"/>
        <v>24.536989318518518</v>
      </c>
      <c r="AF78" s="9"/>
      <c r="AG78" s="22">
        <v>0.24246200000000001</v>
      </c>
      <c r="AH78" s="22">
        <v>19.224</v>
      </c>
      <c r="AI78" s="22">
        <v>-1.4208999999999999E-2</v>
      </c>
      <c r="AJ78" s="22">
        <v>68</v>
      </c>
      <c r="AK78" s="22">
        <v>0.24182100000000001</v>
      </c>
      <c r="AL78">
        <f t="shared" si="18"/>
        <v>17.541975308641973</v>
      </c>
      <c r="AM78">
        <f t="shared" si="19"/>
        <v>4.2532624172839499</v>
      </c>
      <c r="AP78" s="9"/>
      <c r="AQ78" s="22">
        <v>1.4875799999999999</v>
      </c>
      <c r="AR78" s="22">
        <v>24.753599999999999</v>
      </c>
      <c r="AS78" s="22">
        <v>-1.3336199999999999E-2</v>
      </c>
      <c r="AT78" s="22">
        <v>68</v>
      </c>
      <c r="AU78" s="22">
        <v>1.48682</v>
      </c>
      <c r="AV78">
        <f t="shared" si="20"/>
        <v>16.464444444444442</v>
      </c>
      <c r="AW78">
        <f t="shared" si="21"/>
        <v>24.492178266666663</v>
      </c>
      <c r="AX78" s="9"/>
      <c r="AY78" s="22">
        <v>0.24246200000000001</v>
      </c>
      <c r="AZ78" s="22">
        <v>28.633199999999999</v>
      </c>
      <c r="BA78" s="22">
        <v>-1.41998E-2</v>
      </c>
      <c r="BB78" s="22">
        <v>68</v>
      </c>
      <c r="BC78" s="22">
        <v>0.24185200000000001</v>
      </c>
      <c r="BD78">
        <f t="shared" si="22"/>
        <v>17.530617283950615</v>
      </c>
      <c r="BE78">
        <f t="shared" si="23"/>
        <v>4.2505085279012347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5.86022</v>
      </c>
      <c r="I79" s="22">
        <v>-1.31012E-2</v>
      </c>
      <c r="J79" s="22">
        <v>69</v>
      </c>
      <c r="K79" s="22">
        <v>1.48132</v>
      </c>
      <c r="L79">
        <f t="shared" si="12"/>
        <v>16.174320987654323</v>
      </c>
      <c r="M79">
        <f t="shared" si="13"/>
        <v>23.979077837037039</v>
      </c>
      <c r="N79" s="9"/>
      <c r="O79" s="22">
        <v>0.247498</v>
      </c>
      <c r="P79" s="22">
        <v>9.7398399999999992</v>
      </c>
      <c r="Q79" s="22">
        <v>-1.4151E-2</v>
      </c>
      <c r="R79" s="22">
        <v>69</v>
      </c>
      <c r="S79" s="22">
        <v>0.24685699999999999</v>
      </c>
      <c r="T79">
        <f t="shared" si="14"/>
        <v>17.470370370370368</v>
      </c>
      <c r="U79">
        <f t="shared" si="15"/>
        <v>4.3238817259259257</v>
      </c>
      <c r="X79" s="9"/>
      <c r="Y79" s="22">
        <v>1.48254</v>
      </c>
      <c r="Z79" s="22">
        <v>15.3544</v>
      </c>
      <c r="AA79" s="22">
        <v>-1.3382E-2</v>
      </c>
      <c r="AB79" s="22">
        <v>69</v>
      </c>
      <c r="AC79" s="22">
        <v>1.48132</v>
      </c>
      <c r="AD79">
        <f t="shared" si="16"/>
        <v>16.520987654320987</v>
      </c>
      <c r="AE79">
        <f t="shared" si="17"/>
        <v>24.493025037037036</v>
      </c>
      <c r="AF79" s="9"/>
      <c r="AG79" s="22">
        <v>0.247498</v>
      </c>
      <c r="AH79" s="22">
        <v>19.234100000000002</v>
      </c>
      <c r="AI79" s="22">
        <v>-1.4202899999999999E-2</v>
      </c>
      <c r="AJ79" s="22">
        <v>69</v>
      </c>
      <c r="AK79" s="22">
        <v>0.246887</v>
      </c>
      <c r="AL79">
        <f t="shared" si="18"/>
        <v>17.534444444444443</v>
      </c>
      <c r="AM79">
        <f t="shared" si="19"/>
        <v>4.3397399311111107</v>
      </c>
      <c r="AP79" s="9"/>
      <c r="AQ79" s="22">
        <v>1.48254</v>
      </c>
      <c r="AR79" s="22">
        <v>24.7637</v>
      </c>
      <c r="AS79" s="22">
        <v>-1.33575E-2</v>
      </c>
      <c r="AT79" s="22">
        <v>69</v>
      </c>
      <c r="AU79" s="22">
        <v>1.48102</v>
      </c>
      <c r="AV79">
        <f t="shared" si="20"/>
        <v>16.49074074074074</v>
      </c>
      <c r="AW79">
        <f t="shared" si="21"/>
        <v>24.448182777777777</v>
      </c>
      <c r="AX79" s="9"/>
      <c r="AY79" s="22">
        <v>0.247498</v>
      </c>
      <c r="AZ79" s="22">
        <v>28.6433</v>
      </c>
      <c r="BA79" s="22">
        <v>-1.41998E-2</v>
      </c>
      <c r="BB79" s="22">
        <v>69</v>
      </c>
      <c r="BC79" s="22">
        <v>0.246918</v>
      </c>
      <c r="BD79">
        <f t="shared" si="22"/>
        <v>17.530617283950615</v>
      </c>
      <c r="BE79">
        <f t="shared" si="23"/>
        <v>4.3387927165432094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5.8702899999999998</v>
      </c>
      <c r="I80" s="22">
        <v>-1.3125599999999999E-2</v>
      </c>
      <c r="J80" s="22">
        <v>70</v>
      </c>
      <c r="K80" s="22">
        <v>1.47705</v>
      </c>
      <c r="L80">
        <f t="shared" si="12"/>
        <v>16.204444444444441</v>
      </c>
      <c r="M80">
        <f t="shared" si="13"/>
        <v>23.942228711111106</v>
      </c>
      <c r="N80" s="9"/>
      <c r="O80" s="22">
        <v>0.25253300000000001</v>
      </c>
      <c r="P80" s="22">
        <v>9.7499099999999999</v>
      </c>
      <c r="Q80" s="22">
        <v>-1.41449E-2</v>
      </c>
      <c r="R80" s="22">
        <v>70</v>
      </c>
      <c r="S80" s="22">
        <v>0.25174000000000002</v>
      </c>
      <c r="T80">
        <f t="shared" si="14"/>
        <v>17.462839506172838</v>
      </c>
      <c r="U80">
        <f t="shared" si="15"/>
        <v>4.4099432490123451</v>
      </c>
      <c r="X80" s="9"/>
      <c r="Y80" s="22">
        <v>1.4775100000000001</v>
      </c>
      <c r="Z80" s="22">
        <v>15.3645</v>
      </c>
      <c r="AA80" s="22">
        <v>-1.33942E-2</v>
      </c>
      <c r="AB80" s="22">
        <v>70</v>
      </c>
      <c r="AC80" s="22">
        <v>1.47614</v>
      </c>
      <c r="AD80">
        <f t="shared" si="16"/>
        <v>16.536049382716048</v>
      </c>
      <c r="AE80">
        <f t="shared" si="17"/>
        <v>24.432178323456789</v>
      </c>
      <c r="AF80" s="9"/>
      <c r="AG80" s="22">
        <v>0.25253300000000001</v>
      </c>
      <c r="AH80" s="22">
        <v>19.2441</v>
      </c>
      <c r="AI80" s="22">
        <v>-1.41937E-2</v>
      </c>
      <c r="AJ80" s="22">
        <v>70</v>
      </c>
      <c r="AK80" s="22">
        <v>0.25183100000000003</v>
      </c>
      <c r="AL80">
        <f t="shared" si="18"/>
        <v>17.523086419753085</v>
      </c>
      <c r="AM80">
        <f t="shared" si="19"/>
        <v>4.425157582839506</v>
      </c>
      <c r="AP80" s="9"/>
      <c r="AQ80" s="22">
        <v>1.4775100000000001</v>
      </c>
      <c r="AR80" s="22">
        <v>24.773700000000002</v>
      </c>
      <c r="AS80" s="22">
        <v>-1.3378900000000001E-2</v>
      </c>
      <c r="AT80" s="22">
        <v>70</v>
      </c>
      <c r="AU80" s="22">
        <v>1.47644</v>
      </c>
      <c r="AV80">
        <f t="shared" si="20"/>
        <v>16.517160493827159</v>
      </c>
      <c r="AW80">
        <f t="shared" si="21"/>
        <v>24.404269801234566</v>
      </c>
      <c r="AX80" s="9"/>
      <c r="AY80" s="22">
        <v>0.25253300000000001</v>
      </c>
      <c r="AZ80" s="22">
        <v>28.653400000000001</v>
      </c>
      <c r="BA80" s="22">
        <v>-1.4190700000000001E-2</v>
      </c>
      <c r="BB80" s="22">
        <v>70</v>
      </c>
      <c r="BC80" s="22">
        <v>0.251801</v>
      </c>
      <c r="BD80">
        <f t="shared" si="22"/>
        <v>17.519382716049382</v>
      </c>
      <c r="BE80">
        <f t="shared" si="23"/>
        <v>4.4242222754320988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5.8803599999999996</v>
      </c>
      <c r="I81" s="22">
        <v>-1.3153099999999999E-2</v>
      </c>
      <c r="J81" s="22">
        <v>71</v>
      </c>
      <c r="K81" s="22">
        <v>1.47156</v>
      </c>
      <c r="L81">
        <f t="shared" si="12"/>
        <v>16.238395061728394</v>
      </c>
      <c r="M81">
        <f t="shared" si="13"/>
        <v>23.910549576543207</v>
      </c>
      <c r="N81" s="9"/>
      <c r="O81" s="22">
        <v>0.25756800000000002</v>
      </c>
      <c r="P81" s="22">
        <v>9.7599800000000005</v>
      </c>
      <c r="Q81" s="22">
        <v>-1.4129600000000001E-2</v>
      </c>
      <c r="R81" s="22">
        <v>71</v>
      </c>
      <c r="S81" s="22">
        <v>0.25689699999999999</v>
      </c>
      <c r="T81">
        <f t="shared" si="14"/>
        <v>17.443950617283949</v>
      </c>
      <c r="U81">
        <f t="shared" si="15"/>
        <v>4.4930034725925925</v>
      </c>
      <c r="X81" s="9"/>
      <c r="Y81" s="22">
        <v>1.4724699999999999</v>
      </c>
      <c r="Z81" s="22">
        <v>15.374599999999999</v>
      </c>
      <c r="AA81" s="22">
        <v>-1.34094E-2</v>
      </c>
      <c r="AB81" s="22">
        <v>71</v>
      </c>
      <c r="AC81" s="22">
        <v>1.4718599999999999</v>
      </c>
      <c r="AD81">
        <f t="shared" si="16"/>
        <v>16.554814814814815</v>
      </c>
      <c r="AE81">
        <f t="shared" si="17"/>
        <v>24.376468170370369</v>
      </c>
      <c r="AF81" s="9"/>
      <c r="AG81" s="22">
        <v>0.25756800000000002</v>
      </c>
      <c r="AH81" s="22">
        <v>19.254200000000001</v>
      </c>
      <c r="AI81" s="22">
        <v>-1.41815E-2</v>
      </c>
      <c r="AJ81" s="22">
        <v>71</v>
      </c>
      <c r="AK81" s="22">
        <v>0.25683600000000001</v>
      </c>
      <c r="AL81">
        <f t="shared" si="18"/>
        <v>17.508024691358024</v>
      </c>
      <c r="AM81">
        <f t="shared" si="19"/>
        <v>4.5095069037037039</v>
      </c>
      <c r="AP81" s="9"/>
      <c r="AQ81" s="22">
        <v>1.4724699999999999</v>
      </c>
      <c r="AR81" s="22">
        <v>24.783799999999999</v>
      </c>
      <c r="AS81" s="22">
        <v>-1.33972E-2</v>
      </c>
      <c r="AT81" s="22">
        <v>71</v>
      </c>
      <c r="AU81" s="22">
        <v>1.4712499999999999</v>
      </c>
      <c r="AV81">
        <f t="shared" si="20"/>
        <v>16.539753086419751</v>
      </c>
      <c r="AW81">
        <f t="shared" si="21"/>
        <v>24.35429022716049</v>
      </c>
      <c r="AX81" s="9"/>
      <c r="AY81" s="22">
        <v>0.25756800000000002</v>
      </c>
      <c r="AZ81" s="22">
        <v>28.663399999999999</v>
      </c>
      <c r="BA81" s="22">
        <v>-1.41937E-2</v>
      </c>
      <c r="BB81" s="22">
        <v>71</v>
      </c>
      <c r="BC81" s="22">
        <v>0.25686599999999998</v>
      </c>
      <c r="BD81">
        <f t="shared" si="22"/>
        <v>17.523086419753085</v>
      </c>
      <c r="BE81">
        <f t="shared" si="23"/>
        <v>4.5133863229629627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5.8904300000000003</v>
      </c>
      <c r="I82" s="22">
        <v>-1.3174399999999999E-2</v>
      </c>
      <c r="J82" s="22">
        <v>72</v>
      </c>
      <c r="K82" s="22">
        <v>1.46698</v>
      </c>
      <c r="L82">
        <f t="shared" si="12"/>
        <v>16.264691358024692</v>
      </c>
      <c r="M82">
        <f t="shared" si="13"/>
        <v>23.867458686419756</v>
      </c>
      <c r="N82" s="9"/>
      <c r="O82" s="22">
        <v>0.262604</v>
      </c>
      <c r="P82" s="22">
        <v>9.7700499999999995</v>
      </c>
      <c r="Q82" s="22">
        <v>-1.4129600000000001E-2</v>
      </c>
      <c r="R82" s="22">
        <v>72</v>
      </c>
      <c r="S82" s="22">
        <v>0.261963</v>
      </c>
      <c r="T82">
        <f t="shared" si="14"/>
        <v>17.443950617283949</v>
      </c>
      <c r="U82">
        <f t="shared" si="15"/>
        <v>4.580851207901234</v>
      </c>
      <c r="X82" s="9"/>
      <c r="Y82" s="22">
        <v>1.4674400000000001</v>
      </c>
      <c r="Z82" s="22">
        <v>15.3847</v>
      </c>
      <c r="AA82" s="22">
        <v>-1.3424699999999999E-2</v>
      </c>
      <c r="AB82" s="22">
        <v>72</v>
      </c>
      <c r="AC82" s="22">
        <v>1.46637</v>
      </c>
      <c r="AD82">
        <f t="shared" si="16"/>
        <v>16.5737037037037</v>
      </c>
      <c r="AE82">
        <f t="shared" si="17"/>
        <v>24.320915762962958</v>
      </c>
      <c r="AF82" s="9"/>
      <c r="AG82" s="22">
        <v>0.262604</v>
      </c>
      <c r="AH82" s="22">
        <v>19.264299999999999</v>
      </c>
      <c r="AI82" s="22">
        <v>-1.41846E-2</v>
      </c>
      <c r="AJ82" s="22">
        <v>72</v>
      </c>
      <c r="AK82" s="22">
        <v>0.261932</v>
      </c>
      <c r="AL82">
        <f t="shared" si="18"/>
        <v>17.511851851851851</v>
      </c>
      <c r="AM82">
        <f t="shared" si="19"/>
        <v>4.5986823437037039</v>
      </c>
      <c r="AP82" s="9"/>
      <c r="AQ82" s="22">
        <v>1.4674400000000001</v>
      </c>
      <c r="AR82" s="22">
        <v>24.793900000000001</v>
      </c>
      <c r="AS82" s="22">
        <v>-1.3421600000000001E-2</v>
      </c>
      <c r="AT82" s="22">
        <v>72</v>
      </c>
      <c r="AU82" s="22">
        <v>1.4660599999999999</v>
      </c>
      <c r="AV82">
        <f t="shared" si="20"/>
        <v>16.569876543209876</v>
      </c>
      <c r="AW82">
        <f t="shared" si="21"/>
        <v>24.3152996345679</v>
      </c>
      <c r="AX82" s="9"/>
      <c r="AY82" s="22">
        <v>0.262604</v>
      </c>
      <c r="AZ82" s="22">
        <v>28.673500000000001</v>
      </c>
      <c r="BA82" s="22">
        <v>-1.4196800000000001E-2</v>
      </c>
      <c r="BB82" s="22">
        <v>72</v>
      </c>
      <c r="BC82" s="22">
        <v>0.26187100000000002</v>
      </c>
      <c r="BD82">
        <f t="shared" si="22"/>
        <v>17.526913580246916</v>
      </c>
      <c r="BE82">
        <f t="shared" si="23"/>
        <v>4.6026376138271612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5.9005000000000001</v>
      </c>
      <c r="I83" s="22">
        <v>-1.31927E-2</v>
      </c>
      <c r="J83" s="22">
        <v>73</v>
      </c>
      <c r="K83" s="22">
        <v>1.4617899999999999</v>
      </c>
      <c r="L83">
        <f t="shared" si="12"/>
        <v>16.287283950617283</v>
      </c>
      <c r="M83">
        <f t="shared" si="13"/>
        <v>23.818524049382713</v>
      </c>
      <c r="N83" s="9"/>
      <c r="O83" s="22">
        <v>0.26763900000000002</v>
      </c>
      <c r="P83" s="22">
        <v>9.7801200000000001</v>
      </c>
      <c r="Q83" s="22">
        <v>-1.41327E-2</v>
      </c>
      <c r="R83" s="22">
        <v>73</v>
      </c>
      <c r="S83" s="22">
        <v>0.26693699999999998</v>
      </c>
      <c r="T83">
        <f t="shared" si="14"/>
        <v>17.447777777777777</v>
      </c>
      <c r="U83">
        <f t="shared" si="15"/>
        <v>4.6697057966666664</v>
      </c>
      <c r="X83" s="9"/>
      <c r="Y83" s="22">
        <v>1.4623999999999999</v>
      </c>
      <c r="Z83" s="22">
        <v>15.3947</v>
      </c>
      <c r="AA83" s="22">
        <v>-1.34369E-2</v>
      </c>
      <c r="AB83" s="22">
        <v>73</v>
      </c>
      <c r="AC83" s="22">
        <v>1.46149</v>
      </c>
      <c r="AD83">
        <f t="shared" si="16"/>
        <v>16.588765432098764</v>
      </c>
      <c r="AE83">
        <f t="shared" si="17"/>
        <v>24.259410567901231</v>
      </c>
      <c r="AF83" s="9"/>
      <c r="AG83" s="22">
        <v>0.26763900000000002</v>
      </c>
      <c r="AH83" s="22">
        <v>19.2743</v>
      </c>
      <c r="AI83" s="22">
        <v>-1.4196800000000001E-2</v>
      </c>
      <c r="AJ83" s="22">
        <v>73</v>
      </c>
      <c r="AK83" s="22">
        <v>0.26693699999999998</v>
      </c>
      <c r="AL83">
        <f t="shared" si="18"/>
        <v>17.526913580246916</v>
      </c>
      <c r="AM83">
        <f t="shared" si="19"/>
        <v>4.6908856237037044</v>
      </c>
      <c r="AP83" s="9"/>
      <c r="AQ83" s="22">
        <v>1.4623999999999999</v>
      </c>
      <c r="AR83" s="22">
        <v>24.803999999999998</v>
      </c>
      <c r="AS83" s="22">
        <v>-1.34491E-2</v>
      </c>
      <c r="AT83" s="22">
        <v>73</v>
      </c>
      <c r="AU83" s="22">
        <v>1.46149</v>
      </c>
      <c r="AV83">
        <f t="shared" si="20"/>
        <v>16.603827160493829</v>
      </c>
      <c r="AW83">
        <f t="shared" si="21"/>
        <v>24.281436839506174</v>
      </c>
      <c r="AX83" s="9"/>
      <c r="AY83" s="22">
        <v>0.26763900000000002</v>
      </c>
      <c r="AZ83" s="22">
        <v>28.683599999999998</v>
      </c>
      <c r="BA83" s="22">
        <v>-1.41876E-2</v>
      </c>
      <c r="BB83" s="22">
        <v>73</v>
      </c>
      <c r="BC83" s="22">
        <v>0.26690700000000001</v>
      </c>
      <c r="BD83">
        <f t="shared" si="22"/>
        <v>17.515555555555554</v>
      </c>
      <c r="BE83">
        <f t="shared" si="23"/>
        <v>4.6878457733333336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5.9105800000000004</v>
      </c>
      <c r="I84" s="22">
        <v>-1.32233E-2</v>
      </c>
      <c r="J84" s="22">
        <v>74</v>
      </c>
      <c r="K84" s="22">
        <v>1.4562999999999999</v>
      </c>
      <c r="L84">
        <f t="shared" si="12"/>
        <v>16.32506172839506</v>
      </c>
      <c r="M84">
        <f t="shared" si="13"/>
        <v>23.791655211111109</v>
      </c>
      <c r="N84" s="9"/>
      <c r="O84" s="22">
        <v>0.272675</v>
      </c>
      <c r="P84" s="22">
        <v>9.7901900000000008</v>
      </c>
      <c r="Q84" s="22">
        <v>-1.41388E-2</v>
      </c>
      <c r="R84" s="22">
        <v>74</v>
      </c>
      <c r="S84" s="22">
        <v>0.272034</v>
      </c>
      <c r="T84">
        <f t="shared" si="14"/>
        <v>17.455308641975307</v>
      </c>
      <c r="U84">
        <f t="shared" si="15"/>
        <v>4.7596262839506167</v>
      </c>
      <c r="X84" s="9"/>
      <c r="Y84" s="22">
        <v>1.4573700000000001</v>
      </c>
      <c r="Z84" s="22">
        <v>15.4048</v>
      </c>
      <c r="AA84" s="22">
        <v>-1.34552E-2</v>
      </c>
      <c r="AB84" s="22">
        <v>74</v>
      </c>
      <c r="AC84" s="22">
        <v>1.4565999999999999</v>
      </c>
      <c r="AD84">
        <f t="shared" si="16"/>
        <v>16.611358024691356</v>
      </c>
      <c r="AE84">
        <f t="shared" si="17"/>
        <v>24.208894844444441</v>
      </c>
      <c r="AF84" s="9"/>
      <c r="AG84" s="22">
        <v>0.272675</v>
      </c>
      <c r="AH84" s="22">
        <v>19.284400000000002</v>
      </c>
      <c r="AI84" s="22">
        <v>-1.4196800000000001E-2</v>
      </c>
      <c r="AJ84" s="22">
        <v>74</v>
      </c>
      <c r="AK84" s="22">
        <v>0.27197300000000002</v>
      </c>
      <c r="AL84">
        <f t="shared" si="18"/>
        <v>17.526913580246916</v>
      </c>
      <c r="AM84">
        <f t="shared" si="19"/>
        <v>4.7791511604938277</v>
      </c>
      <c r="AP84" s="9"/>
      <c r="AQ84" s="22">
        <v>1.4573700000000001</v>
      </c>
      <c r="AR84" s="22">
        <v>24.814</v>
      </c>
      <c r="AS84" s="22">
        <v>-1.3467399999999999E-2</v>
      </c>
      <c r="AT84" s="22">
        <v>74</v>
      </c>
      <c r="AU84" s="22">
        <v>1.4562999999999999</v>
      </c>
      <c r="AV84">
        <f t="shared" si="20"/>
        <v>16.626419753086417</v>
      </c>
      <c r="AW84">
        <f t="shared" si="21"/>
        <v>24.230845355555552</v>
      </c>
      <c r="AX84" s="9"/>
      <c r="AY84" s="22">
        <v>0.272675</v>
      </c>
      <c r="AZ84" s="22">
        <v>28.6936</v>
      </c>
      <c r="BA84" s="22">
        <v>-1.41876E-2</v>
      </c>
      <c r="BB84" s="22">
        <v>74</v>
      </c>
      <c r="BC84" s="22">
        <v>0.272034</v>
      </c>
      <c r="BD84">
        <f t="shared" si="22"/>
        <v>17.515555555555554</v>
      </c>
      <c r="BE84">
        <f t="shared" si="23"/>
        <v>4.7760541111111108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5.9206500000000002</v>
      </c>
      <c r="I85" s="22">
        <v>-1.32446E-2</v>
      </c>
      <c r="J85" s="22">
        <v>75</v>
      </c>
      <c r="K85" s="22">
        <v>1.4517199999999999</v>
      </c>
      <c r="L85">
        <f t="shared" si="12"/>
        <v>16.351358024691358</v>
      </c>
      <c r="M85">
        <f t="shared" si="13"/>
        <v>23.747567799999999</v>
      </c>
      <c r="N85" s="9"/>
      <c r="O85" s="22">
        <v>0.27771000000000001</v>
      </c>
      <c r="P85" s="22">
        <v>9.8002599999999997</v>
      </c>
      <c r="Q85" s="22">
        <v>-1.41388E-2</v>
      </c>
      <c r="R85" s="22">
        <v>75</v>
      </c>
      <c r="S85" s="22">
        <v>0.27703899999999998</v>
      </c>
      <c r="T85">
        <f t="shared" si="14"/>
        <v>17.455308641975307</v>
      </c>
      <c r="U85">
        <f t="shared" si="15"/>
        <v>4.8475137629629632</v>
      </c>
      <c r="X85" s="9"/>
      <c r="Y85" s="22">
        <v>1.4523299999999999</v>
      </c>
      <c r="Z85" s="22">
        <v>15.414899999999999</v>
      </c>
      <c r="AA85" s="22">
        <v>-1.3467399999999999E-2</v>
      </c>
      <c r="AB85" s="22">
        <v>75</v>
      </c>
      <c r="AC85" s="22">
        <v>1.4520299999999999</v>
      </c>
      <c r="AD85">
        <f t="shared" si="16"/>
        <v>16.626419753086417</v>
      </c>
      <c r="AE85">
        <f t="shared" si="17"/>
        <v>24.147048199999993</v>
      </c>
      <c r="AF85" s="9"/>
      <c r="AG85" s="22">
        <v>0.27771000000000001</v>
      </c>
      <c r="AH85" s="22">
        <v>19.294499999999999</v>
      </c>
      <c r="AI85" s="22">
        <v>-1.4196800000000001E-2</v>
      </c>
      <c r="AJ85" s="22">
        <v>75</v>
      </c>
      <c r="AK85" s="22">
        <v>0.27700799999999998</v>
      </c>
      <c r="AL85">
        <f t="shared" si="18"/>
        <v>17.526913580246916</v>
      </c>
      <c r="AM85">
        <f t="shared" si="19"/>
        <v>4.867399170370371</v>
      </c>
      <c r="AP85" s="9"/>
      <c r="AQ85" s="22">
        <v>1.4523299999999999</v>
      </c>
      <c r="AR85" s="22">
        <v>24.824100000000001</v>
      </c>
      <c r="AS85" s="22">
        <v>-1.34827E-2</v>
      </c>
      <c r="AT85" s="22">
        <v>75</v>
      </c>
      <c r="AU85" s="22">
        <v>1.4514199999999999</v>
      </c>
      <c r="AV85">
        <f t="shared" si="20"/>
        <v>16.645308641975308</v>
      </c>
      <c r="AW85">
        <f t="shared" si="21"/>
        <v>24.174481099999998</v>
      </c>
      <c r="AX85" s="9"/>
      <c r="AY85" s="22">
        <v>0.27771000000000001</v>
      </c>
      <c r="AZ85" s="22">
        <v>28.703700000000001</v>
      </c>
      <c r="BA85" s="22">
        <v>-1.41815E-2</v>
      </c>
      <c r="BB85" s="22">
        <v>75</v>
      </c>
      <c r="BC85" s="22">
        <v>0.27703899999999998</v>
      </c>
      <c r="BD85">
        <f t="shared" si="22"/>
        <v>17.508024691358024</v>
      </c>
      <c r="BE85">
        <f t="shared" si="23"/>
        <v>4.8621535370370372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5.93072</v>
      </c>
      <c r="I86" s="22">
        <v>-1.3269E-2</v>
      </c>
      <c r="J86" s="22">
        <v>76</v>
      </c>
      <c r="K86" s="22">
        <v>1.4459200000000001</v>
      </c>
      <c r="L86">
        <f t="shared" si="12"/>
        <v>16.38148148148148</v>
      </c>
      <c r="M86">
        <f t="shared" si="13"/>
        <v>23.708918148148147</v>
      </c>
      <c r="N86" s="9"/>
      <c r="O86" s="22">
        <v>0.28274500000000002</v>
      </c>
      <c r="P86" s="22">
        <v>9.8103300000000004</v>
      </c>
      <c r="Q86" s="22">
        <v>-1.4135699999999999E-2</v>
      </c>
      <c r="R86" s="22">
        <v>76</v>
      </c>
      <c r="S86" s="22">
        <v>0.28198200000000001</v>
      </c>
      <c r="T86">
        <f t="shared" si="14"/>
        <v>17.45148148148148</v>
      </c>
      <c r="U86">
        <f t="shared" si="15"/>
        <v>4.9343191314814812</v>
      </c>
      <c r="X86" s="9"/>
      <c r="Y86" s="22">
        <v>1.4473</v>
      </c>
      <c r="Z86" s="22">
        <v>15.424899999999999</v>
      </c>
      <c r="AA86" s="22">
        <v>-1.34827E-2</v>
      </c>
      <c r="AB86" s="22">
        <v>76</v>
      </c>
      <c r="AC86" s="22">
        <v>1.4462299999999999</v>
      </c>
      <c r="AD86">
        <f t="shared" si="16"/>
        <v>16.645308641975308</v>
      </c>
      <c r="AE86">
        <f t="shared" si="17"/>
        <v>24.090755197530864</v>
      </c>
      <c r="AF86" s="9"/>
      <c r="AG86" s="22">
        <v>0.28274500000000002</v>
      </c>
      <c r="AH86" s="22">
        <v>19.304600000000001</v>
      </c>
      <c r="AI86" s="22">
        <v>-1.4190700000000001E-2</v>
      </c>
      <c r="AJ86" s="22">
        <v>76</v>
      </c>
      <c r="AK86" s="22">
        <v>0.28198200000000001</v>
      </c>
      <c r="AL86">
        <f t="shared" si="18"/>
        <v>17.519382716049382</v>
      </c>
      <c r="AM86">
        <f t="shared" si="19"/>
        <v>4.953517866049383</v>
      </c>
      <c r="AP86" s="9"/>
      <c r="AQ86" s="22">
        <v>1.4473</v>
      </c>
      <c r="AR86" s="22">
        <v>24.834199999999999</v>
      </c>
      <c r="AS86" s="22">
        <v>-1.34979E-2</v>
      </c>
      <c r="AT86" s="22">
        <v>76</v>
      </c>
      <c r="AU86" s="22">
        <v>1.4462299999999999</v>
      </c>
      <c r="AV86">
        <f t="shared" si="20"/>
        <v>16.664074074074072</v>
      </c>
      <c r="AW86">
        <f t="shared" si="21"/>
        <v>24.117914407407405</v>
      </c>
      <c r="AX86" s="9"/>
      <c r="AY86" s="22">
        <v>0.28274500000000002</v>
      </c>
      <c r="AZ86" s="22">
        <v>28.713799999999999</v>
      </c>
      <c r="BA86" s="22">
        <v>-1.41815E-2</v>
      </c>
      <c r="BB86" s="22">
        <v>76</v>
      </c>
      <c r="BC86" s="22">
        <v>0.28195199999999998</v>
      </c>
      <c r="BD86">
        <f t="shared" si="22"/>
        <v>17.508024691358024</v>
      </c>
      <c r="BE86">
        <f t="shared" si="23"/>
        <v>4.9503064413580251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5.9407899999999998</v>
      </c>
      <c r="I87" s="22">
        <v>-1.32874E-2</v>
      </c>
      <c r="J87" s="22">
        <v>77</v>
      </c>
      <c r="K87" s="22">
        <v>1.4410400000000001</v>
      </c>
      <c r="L87">
        <f t="shared" si="12"/>
        <v>16.404197530864195</v>
      </c>
      <c r="M87">
        <f t="shared" si="13"/>
        <v>23.659117930864195</v>
      </c>
      <c r="N87" s="9"/>
      <c r="O87" s="22">
        <v>0.28778100000000001</v>
      </c>
      <c r="P87" s="22">
        <v>9.8204100000000007</v>
      </c>
      <c r="Q87" s="22">
        <v>-1.4135699999999999E-2</v>
      </c>
      <c r="R87" s="22">
        <v>77</v>
      </c>
      <c r="S87" s="22">
        <v>0.287109</v>
      </c>
      <c r="T87">
        <f t="shared" si="14"/>
        <v>17.45148148148148</v>
      </c>
      <c r="U87">
        <f t="shared" si="15"/>
        <v>5.0222047922222215</v>
      </c>
      <c r="X87" s="9"/>
      <c r="Y87" s="22">
        <v>1.4422600000000001</v>
      </c>
      <c r="Z87" s="22">
        <v>15.435</v>
      </c>
      <c r="AA87" s="22">
        <v>-1.3507099999999999E-2</v>
      </c>
      <c r="AB87" s="22">
        <v>77</v>
      </c>
      <c r="AC87" s="22">
        <v>1.4410400000000001</v>
      </c>
      <c r="AD87">
        <f t="shared" si="16"/>
        <v>16.67543209876543</v>
      </c>
      <c r="AE87">
        <f t="shared" si="17"/>
        <v>24.050308698765431</v>
      </c>
      <c r="AF87" s="9"/>
      <c r="AG87" s="22">
        <v>0.28778100000000001</v>
      </c>
      <c r="AH87" s="22">
        <v>19.314599999999999</v>
      </c>
      <c r="AI87" s="22">
        <v>-1.41998E-2</v>
      </c>
      <c r="AJ87" s="22">
        <v>77</v>
      </c>
      <c r="AK87" s="22">
        <v>0.287109</v>
      </c>
      <c r="AL87">
        <f t="shared" si="18"/>
        <v>17.530617283950615</v>
      </c>
      <c r="AM87">
        <f t="shared" si="19"/>
        <v>5.0449785725925924</v>
      </c>
      <c r="AP87" s="9"/>
      <c r="AQ87" s="22">
        <v>1.4422600000000001</v>
      </c>
      <c r="AR87" s="22">
        <v>24.844200000000001</v>
      </c>
      <c r="AS87" s="22">
        <v>-1.3516200000000001E-2</v>
      </c>
      <c r="AT87" s="22">
        <v>77</v>
      </c>
      <c r="AU87" s="22">
        <v>1.4413499999999999</v>
      </c>
      <c r="AV87">
        <f t="shared" si="20"/>
        <v>16.686666666666664</v>
      </c>
      <c r="AW87">
        <f t="shared" si="21"/>
        <v>24.066511866666666</v>
      </c>
      <c r="AX87" s="9"/>
      <c r="AY87" s="22">
        <v>0.28778100000000001</v>
      </c>
      <c r="AZ87" s="22">
        <v>28.7239</v>
      </c>
      <c r="BA87" s="22">
        <v>-1.41785E-2</v>
      </c>
      <c r="BB87" s="22">
        <v>77</v>
      </c>
      <c r="BC87" s="22">
        <v>0.28714000000000001</v>
      </c>
      <c r="BD87">
        <f t="shared" si="22"/>
        <v>17.504320987654321</v>
      </c>
      <c r="BE87">
        <f t="shared" si="23"/>
        <v>5.0374109981481485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5.9508599999999996</v>
      </c>
      <c r="I88" s="22">
        <v>-1.33087E-2</v>
      </c>
      <c r="J88" s="22">
        <v>78</v>
      </c>
      <c r="K88" s="22">
        <v>1.4361600000000001</v>
      </c>
      <c r="L88">
        <f t="shared" si="12"/>
        <v>16.430493827160493</v>
      </c>
      <c r="M88">
        <f t="shared" si="13"/>
        <v>23.614398643209874</v>
      </c>
      <c r="N88" s="9"/>
      <c r="O88" s="22">
        <v>0.29281600000000002</v>
      </c>
      <c r="P88" s="22">
        <v>9.8304799999999997</v>
      </c>
      <c r="Q88" s="22">
        <v>-1.4135699999999999E-2</v>
      </c>
      <c r="R88" s="22">
        <v>78</v>
      </c>
      <c r="S88" s="22">
        <v>0.29202299999999998</v>
      </c>
      <c r="T88">
        <f t="shared" si="14"/>
        <v>17.45148148148148</v>
      </c>
      <c r="U88">
        <f t="shared" si="15"/>
        <v>5.1100730014814815</v>
      </c>
      <c r="X88" s="9"/>
      <c r="Y88" s="22">
        <v>1.43723</v>
      </c>
      <c r="Z88" s="22">
        <v>15.4451</v>
      </c>
      <c r="AA88" s="22">
        <v>-1.3528399999999999E-2</v>
      </c>
      <c r="AB88" s="22">
        <v>78</v>
      </c>
      <c r="AC88" s="22">
        <v>1.4361600000000001</v>
      </c>
      <c r="AD88">
        <f t="shared" si="16"/>
        <v>16.701728395061725</v>
      </c>
      <c r="AE88">
        <f t="shared" si="17"/>
        <v>24.004225101234564</v>
      </c>
      <c r="AF88" s="9"/>
      <c r="AG88" s="22">
        <v>0.29281600000000002</v>
      </c>
      <c r="AH88" s="22">
        <v>19.3247</v>
      </c>
      <c r="AI88" s="22">
        <v>-1.41876E-2</v>
      </c>
      <c r="AJ88" s="22">
        <v>78</v>
      </c>
      <c r="AK88" s="22">
        <v>0.29208400000000001</v>
      </c>
      <c r="AL88">
        <f t="shared" si="18"/>
        <v>17.515555555555554</v>
      </c>
      <c r="AM88">
        <f t="shared" si="19"/>
        <v>5.1288349155555553</v>
      </c>
      <c r="AP88" s="9"/>
      <c r="AQ88" s="22">
        <v>1.43723</v>
      </c>
      <c r="AR88" s="22">
        <v>24.854299999999999</v>
      </c>
      <c r="AS88" s="22">
        <v>-1.35345E-2</v>
      </c>
      <c r="AT88" s="22">
        <v>78</v>
      </c>
      <c r="AU88" s="22">
        <v>1.4361600000000001</v>
      </c>
      <c r="AV88">
        <f t="shared" si="20"/>
        <v>16.709259259259255</v>
      </c>
      <c r="AW88">
        <f t="shared" si="21"/>
        <v>24.015048685185178</v>
      </c>
      <c r="AX88" s="9"/>
      <c r="AY88" s="22">
        <v>0.29281600000000002</v>
      </c>
      <c r="AZ88" s="22">
        <v>28.733899999999998</v>
      </c>
      <c r="BA88" s="22">
        <v>-1.4175399999999999E-2</v>
      </c>
      <c r="BB88" s="22">
        <v>78</v>
      </c>
      <c r="BC88" s="22">
        <v>0.29205300000000001</v>
      </c>
      <c r="BD88">
        <f t="shared" si="22"/>
        <v>17.500493827160494</v>
      </c>
      <c r="BE88">
        <f t="shared" si="23"/>
        <v>5.1244246004938274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5.9609300000000003</v>
      </c>
      <c r="I89" s="22">
        <v>-1.33209E-2</v>
      </c>
      <c r="J89" s="22">
        <v>79</v>
      </c>
      <c r="K89" s="22">
        <v>1.43127</v>
      </c>
      <c r="L89">
        <f t="shared" si="12"/>
        <v>16.445555555555554</v>
      </c>
      <c r="M89">
        <f t="shared" si="13"/>
        <v>23.553160211111109</v>
      </c>
      <c r="N89" s="9"/>
      <c r="O89" s="22">
        <v>0.29785200000000001</v>
      </c>
      <c r="P89" s="22">
        <v>9.8405500000000004</v>
      </c>
      <c r="Q89" s="22">
        <v>-1.41449E-2</v>
      </c>
      <c r="R89" s="22">
        <v>79</v>
      </c>
      <c r="S89" s="22">
        <v>0.29715000000000003</v>
      </c>
      <c r="T89">
        <f t="shared" si="14"/>
        <v>17.462839506172838</v>
      </c>
      <c r="U89">
        <f t="shared" si="15"/>
        <v>5.2013416725925925</v>
      </c>
      <c r="X89" s="9"/>
      <c r="Y89" s="22">
        <v>1.4321900000000001</v>
      </c>
      <c r="Z89" s="22">
        <v>15.4552</v>
      </c>
      <c r="AA89" s="22">
        <v>-1.3543700000000001E-2</v>
      </c>
      <c r="AB89" s="22">
        <v>79</v>
      </c>
      <c r="AC89" s="22">
        <v>1.43127</v>
      </c>
      <c r="AD89">
        <f t="shared" si="16"/>
        <v>16.720617283950617</v>
      </c>
      <c r="AE89">
        <f t="shared" si="17"/>
        <v>23.947100867901234</v>
      </c>
      <c r="AF89" s="9"/>
      <c r="AG89" s="22">
        <v>0.29785200000000001</v>
      </c>
      <c r="AH89" s="22">
        <v>19.334800000000001</v>
      </c>
      <c r="AI89" s="22">
        <v>-1.41815E-2</v>
      </c>
      <c r="AJ89" s="22">
        <v>79</v>
      </c>
      <c r="AK89" s="22">
        <v>0.29718</v>
      </c>
      <c r="AL89">
        <f t="shared" si="18"/>
        <v>17.508024691358024</v>
      </c>
      <c r="AM89">
        <f t="shared" si="19"/>
        <v>5.2148001703703706</v>
      </c>
      <c r="AP89" s="9"/>
      <c r="AQ89" s="22">
        <v>1.4321900000000001</v>
      </c>
      <c r="AR89" s="22">
        <v>24.8644</v>
      </c>
      <c r="AS89" s="22">
        <v>-1.35529E-2</v>
      </c>
      <c r="AT89" s="22">
        <v>79</v>
      </c>
      <c r="AU89" s="22">
        <v>1.43066</v>
      </c>
      <c r="AV89">
        <f t="shared" si="20"/>
        <v>16.731975308641974</v>
      </c>
      <c r="AW89">
        <f t="shared" si="21"/>
        <v>23.963367717283951</v>
      </c>
      <c r="AX89" s="9"/>
      <c r="AY89" s="22">
        <v>0.29785200000000001</v>
      </c>
      <c r="AZ89" s="22">
        <v>28.744</v>
      </c>
      <c r="BA89" s="22">
        <v>-1.41724E-2</v>
      </c>
      <c r="BB89" s="22">
        <v>79</v>
      </c>
      <c r="BC89" s="22">
        <v>0.29711900000000002</v>
      </c>
      <c r="BD89">
        <f t="shared" si="22"/>
        <v>17.496790123456787</v>
      </c>
      <c r="BE89">
        <f t="shared" si="23"/>
        <v>5.2114539318518514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5.9710000000000001</v>
      </c>
      <c r="I90" s="22">
        <v>-1.3336199999999999E-2</v>
      </c>
      <c r="J90" s="22">
        <v>80</v>
      </c>
      <c r="K90" s="22">
        <v>1.42578</v>
      </c>
      <c r="L90">
        <f t="shared" si="12"/>
        <v>16.464444444444442</v>
      </c>
      <c r="M90">
        <f t="shared" si="13"/>
        <v>23.497231888888884</v>
      </c>
      <c r="N90" s="9"/>
      <c r="O90" s="22">
        <v>0.30288700000000002</v>
      </c>
      <c r="P90" s="22">
        <v>9.8506199999999993</v>
      </c>
      <c r="Q90" s="22">
        <v>-1.4151E-2</v>
      </c>
      <c r="R90" s="22">
        <v>80</v>
      </c>
      <c r="S90" s="22">
        <v>0.30209399999999997</v>
      </c>
      <c r="T90">
        <f t="shared" si="14"/>
        <v>17.470370370370368</v>
      </c>
      <c r="U90">
        <f t="shared" si="15"/>
        <v>5.2915480703703697</v>
      </c>
      <c r="X90" s="9"/>
      <c r="Y90" s="22">
        <v>1.4271499999999999</v>
      </c>
      <c r="Z90" s="22">
        <v>15.465199999999999</v>
      </c>
      <c r="AA90" s="22">
        <v>-1.35651E-2</v>
      </c>
      <c r="AB90" s="22">
        <v>80</v>
      </c>
      <c r="AC90" s="22">
        <v>1.4254800000000001</v>
      </c>
      <c r="AD90">
        <f t="shared" si="16"/>
        <v>16.747037037037035</v>
      </c>
      <c r="AE90">
        <f t="shared" si="17"/>
        <v>23.900533907407404</v>
      </c>
      <c r="AF90" s="9"/>
      <c r="AG90" s="22">
        <v>0.30288700000000002</v>
      </c>
      <c r="AH90" s="22">
        <v>19.344799999999999</v>
      </c>
      <c r="AI90" s="22">
        <v>-1.41815E-2</v>
      </c>
      <c r="AJ90" s="22">
        <v>80</v>
      </c>
      <c r="AK90" s="22">
        <v>0.30221599999999998</v>
      </c>
      <c r="AL90">
        <f t="shared" si="18"/>
        <v>17.508024691358024</v>
      </c>
      <c r="AM90">
        <f t="shared" si="19"/>
        <v>5.3029530746913585</v>
      </c>
      <c r="AP90" s="9"/>
      <c r="AQ90" s="22">
        <v>1.4271499999999999</v>
      </c>
      <c r="AR90" s="22">
        <v>24.874500000000001</v>
      </c>
      <c r="AS90" s="22">
        <v>-1.35712E-2</v>
      </c>
      <c r="AT90" s="22">
        <v>80</v>
      </c>
      <c r="AU90" s="22">
        <v>1.4260900000000001</v>
      </c>
      <c r="AV90">
        <f t="shared" si="20"/>
        <v>16.754567901234566</v>
      </c>
      <c r="AW90">
        <f t="shared" si="21"/>
        <v>23.911281580246911</v>
      </c>
      <c r="AX90" s="9"/>
      <c r="AY90" s="22">
        <v>0.30288700000000002</v>
      </c>
      <c r="AZ90" s="22">
        <v>28.754100000000001</v>
      </c>
      <c r="BA90" s="22">
        <v>-1.41724E-2</v>
      </c>
      <c r="BB90" s="22">
        <v>80</v>
      </c>
      <c r="BC90" s="22">
        <v>0.30221599999999998</v>
      </c>
      <c r="BD90">
        <f t="shared" si="22"/>
        <v>17.496790123456787</v>
      </c>
      <c r="BE90">
        <f t="shared" si="23"/>
        <v>5.299550270123456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5.9810699999999999</v>
      </c>
      <c r="I91" s="22">
        <v>-1.33575E-2</v>
      </c>
      <c r="J91" s="22">
        <v>81</v>
      </c>
      <c r="K91" s="22">
        <v>1.4212</v>
      </c>
      <c r="L91">
        <f t="shared" si="12"/>
        <v>16.49074074074074</v>
      </c>
      <c r="M91">
        <f t="shared" si="13"/>
        <v>23.451812222222223</v>
      </c>
      <c r="N91" s="9"/>
      <c r="O91" s="22">
        <v>0.30792199999999997</v>
      </c>
      <c r="P91" s="22">
        <v>9.86069</v>
      </c>
      <c r="Q91" s="22">
        <v>-1.4151E-2</v>
      </c>
      <c r="R91" s="22">
        <v>81</v>
      </c>
      <c r="S91" s="22">
        <v>0.307251</v>
      </c>
      <c r="T91">
        <f t="shared" si="14"/>
        <v>17.470370370370368</v>
      </c>
      <c r="U91">
        <f t="shared" si="15"/>
        <v>5.3795113851851841</v>
      </c>
      <c r="X91" s="9"/>
      <c r="Y91" s="22">
        <v>1.4221200000000001</v>
      </c>
      <c r="Z91" s="22">
        <v>15.475300000000001</v>
      </c>
      <c r="AA91" s="22">
        <v>-1.35864E-2</v>
      </c>
      <c r="AB91" s="22">
        <v>81</v>
      </c>
      <c r="AC91" s="22">
        <v>1.4212</v>
      </c>
      <c r="AD91">
        <f t="shared" si="16"/>
        <v>16.77333333333333</v>
      </c>
      <c r="AE91">
        <f t="shared" si="17"/>
        <v>23.853692799999997</v>
      </c>
      <c r="AF91" s="9"/>
      <c r="AG91" s="22">
        <v>0.30792199999999997</v>
      </c>
      <c r="AH91" s="22">
        <v>19.354900000000001</v>
      </c>
      <c r="AI91" s="22">
        <v>-1.41785E-2</v>
      </c>
      <c r="AJ91" s="22">
        <v>81</v>
      </c>
      <c r="AK91" s="22">
        <v>0.30715900000000002</v>
      </c>
      <c r="AL91">
        <f t="shared" si="18"/>
        <v>17.504320987654321</v>
      </c>
      <c r="AM91">
        <f t="shared" si="19"/>
        <v>5.3899655271604932</v>
      </c>
      <c r="AP91" s="9"/>
      <c r="AQ91" s="22">
        <v>1.4221200000000001</v>
      </c>
      <c r="AR91" s="22">
        <v>24.884499999999999</v>
      </c>
      <c r="AS91" s="22">
        <v>-1.3589499999999999E-2</v>
      </c>
      <c r="AT91" s="22">
        <v>81</v>
      </c>
      <c r="AU91" s="22">
        <v>1.4212</v>
      </c>
      <c r="AV91">
        <f t="shared" si="20"/>
        <v>16.777160493827161</v>
      </c>
      <c r="AW91">
        <f t="shared" si="21"/>
        <v>23.859135481481484</v>
      </c>
      <c r="AX91" s="9"/>
      <c r="AY91" s="22">
        <v>0.30792199999999997</v>
      </c>
      <c r="AZ91" s="22">
        <v>28.764099999999999</v>
      </c>
      <c r="BA91" s="22">
        <v>-1.41846E-2</v>
      </c>
      <c r="BB91" s="22">
        <v>81</v>
      </c>
      <c r="BC91" s="22">
        <v>0.30721999999999999</v>
      </c>
      <c r="BD91">
        <f t="shared" si="22"/>
        <v>17.511851851851851</v>
      </c>
      <c r="BE91">
        <f t="shared" si="23"/>
        <v>5.3922844459259256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5.9911399999999997</v>
      </c>
      <c r="I92" s="22">
        <v>-1.3382E-2</v>
      </c>
      <c r="J92" s="22">
        <v>82</v>
      </c>
      <c r="K92" s="22">
        <v>1.41693</v>
      </c>
      <c r="L92">
        <f t="shared" si="12"/>
        <v>16.520987654320987</v>
      </c>
      <c r="M92">
        <f t="shared" si="13"/>
        <v>23.411561185185182</v>
      </c>
      <c r="N92" s="9"/>
      <c r="O92" s="22">
        <v>0.31295800000000001</v>
      </c>
      <c r="P92" s="22">
        <v>9.8707600000000006</v>
      </c>
      <c r="Q92" s="22">
        <v>-1.4151E-2</v>
      </c>
      <c r="R92" s="22">
        <v>82</v>
      </c>
      <c r="S92" s="22">
        <v>0.312195</v>
      </c>
      <c r="T92">
        <f t="shared" si="14"/>
        <v>17.470370370370368</v>
      </c>
      <c r="U92">
        <f t="shared" si="15"/>
        <v>5.4674921703703703</v>
      </c>
      <c r="X92" s="9"/>
      <c r="Y92" s="22">
        <v>1.4170799999999999</v>
      </c>
      <c r="Z92" s="22">
        <v>15.4854</v>
      </c>
      <c r="AA92" s="22">
        <v>-1.3598600000000001E-2</v>
      </c>
      <c r="AB92" s="22">
        <v>82</v>
      </c>
      <c r="AC92" s="22">
        <v>1.41571</v>
      </c>
      <c r="AD92">
        <f t="shared" si="16"/>
        <v>16.788395061728394</v>
      </c>
      <c r="AE92">
        <f t="shared" si="17"/>
        <v>23.790498874074071</v>
      </c>
      <c r="AF92" s="9"/>
      <c r="AG92" s="22">
        <v>0.31295800000000001</v>
      </c>
      <c r="AH92" s="22">
        <v>19.364999999999998</v>
      </c>
      <c r="AI92" s="22">
        <v>-1.41785E-2</v>
      </c>
      <c r="AJ92" s="22">
        <v>82</v>
      </c>
      <c r="AK92" s="22">
        <v>0.31222499999999997</v>
      </c>
      <c r="AL92">
        <f t="shared" si="18"/>
        <v>17.504320987654321</v>
      </c>
      <c r="AM92">
        <f t="shared" si="19"/>
        <v>5.4781172876543209</v>
      </c>
      <c r="AP92" s="9"/>
      <c r="AQ92" s="22">
        <v>1.4170799999999999</v>
      </c>
      <c r="AR92" s="22">
        <v>24.894600000000001</v>
      </c>
      <c r="AS92" s="22">
        <v>-1.36078E-2</v>
      </c>
      <c r="AT92" s="22">
        <v>82</v>
      </c>
      <c r="AU92" s="22">
        <v>1.4160200000000001</v>
      </c>
      <c r="AV92">
        <f t="shared" si="20"/>
        <v>16.799753086419752</v>
      </c>
      <c r="AW92">
        <f t="shared" si="21"/>
        <v>23.806594103703702</v>
      </c>
      <c r="AX92" s="9"/>
      <c r="AY92" s="22">
        <v>0.31295800000000001</v>
      </c>
      <c r="AZ92" s="22">
        <v>28.7742</v>
      </c>
      <c r="BA92" s="22">
        <v>-1.4190700000000001E-2</v>
      </c>
      <c r="BB92" s="22">
        <v>82</v>
      </c>
      <c r="BC92" s="22">
        <v>0.31225599999999998</v>
      </c>
      <c r="BD92">
        <f t="shared" si="22"/>
        <v>17.519382716049382</v>
      </c>
      <c r="BE92">
        <f t="shared" si="23"/>
        <v>5.4828309760493825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6.0012100000000004</v>
      </c>
      <c r="I93" s="22">
        <v>-1.3406400000000001E-2</v>
      </c>
      <c r="J93" s="22">
        <v>83</v>
      </c>
      <c r="K93" s="22">
        <v>1.41083</v>
      </c>
      <c r="L93">
        <f t="shared" si="12"/>
        <v>16.551111111111108</v>
      </c>
      <c r="M93">
        <f t="shared" si="13"/>
        <v>23.37099644444444</v>
      </c>
      <c r="N93" s="9"/>
      <c r="O93" s="22">
        <v>0.31799300000000003</v>
      </c>
      <c r="P93" s="22">
        <v>9.8808299999999996</v>
      </c>
      <c r="Q93" s="22">
        <v>-1.41479E-2</v>
      </c>
      <c r="R93" s="22">
        <v>83</v>
      </c>
      <c r="S93" s="22">
        <v>0.31735200000000002</v>
      </c>
      <c r="T93">
        <f t="shared" si="14"/>
        <v>17.466543209876541</v>
      </c>
      <c r="U93">
        <f t="shared" si="15"/>
        <v>5.5542384749382716</v>
      </c>
      <c r="X93" s="9"/>
      <c r="Y93" s="22">
        <v>1.41205</v>
      </c>
      <c r="Z93" s="22">
        <v>15.4954</v>
      </c>
      <c r="AA93" s="22">
        <v>-1.3616899999999999E-2</v>
      </c>
      <c r="AB93" s="22">
        <v>83</v>
      </c>
      <c r="AC93" s="22">
        <v>1.41144</v>
      </c>
      <c r="AD93">
        <f t="shared" si="16"/>
        <v>16.810987654320986</v>
      </c>
      <c r="AE93">
        <f t="shared" si="17"/>
        <v>23.737955117283949</v>
      </c>
      <c r="AF93" s="9"/>
      <c r="AG93" s="22">
        <v>0.31799300000000003</v>
      </c>
      <c r="AH93" s="22">
        <v>19.3751</v>
      </c>
      <c r="AI93" s="22">
        <v>-1.41724E-2</v>
      </c>
      <c r="AJ93" s="22">
        <v>83</v>
      </c>
      <c r="AK93" s="22">
        <v>0.31735200000000002</v>
      </c>
      <c r="AL93">
        <f t="shared" si="18"/>
        <v>17.496790123456787</v>
      </c>
      <c r="AM93">
        <f t="shared" si="19"/>
        <v>5.5638567817283944</v>
      </c>
      <c r="AP93" s="9"/>
      <c r="AQ93" s="22">
        <v>1.41205</v>
      </c>
      <c r="AR93" s="22">
        <v>24.904699999999998</v>
      </c>
      <c r="AS93" s="22">
        <v>-1.3616899999999999E-2</v>
      </c>
      <c r="AT93" s="22">
        <v>83</v>
      </c>
      <c r="AU93" s="22">
        <v>1.41144</v>
      </c>
      <c r="AV93">
        <f t="shared" si="20"/>
        <v>16.810987654320986</v>
      </c>
      <c r="AW93">
        <f t="shared" si="21"/>
        <v>23.737955117283949</v>
      </c>
      <c r="AX93" s="9"/>
      <c r="AY93" s="22">
        <v>0.31799300000000003</v>
      </c>
      <c r="AZ93" s="22">
        <v>28.784300000000002</v>
      </c>
      <c r="BA93" s="22">
        <v>-1.4196800000000001E-2</v>
      </c>
      <c r="BB93" s="22">
        <v>83</v>
      </c>
      <c r="BC93" s="22">
        <v>0.31723000000000001</v>
      </c>
      <c r="BD93">
        <f t="shared" si="22"/>
        <v>17.526913580246916</v>
      </c>
      <c r="BE93">
        <f t="shared" si="23"/>
        <v>5.5734358301234579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6.0112899999999998</v>
      </c>
      <c r="I94" s="22">
        <v>-1.3412500000000001E-2</v>
      </c>
      <c r="J94" s="22">
        <v>84</v>
      </c>
      <c r="K94" s="22">
        <v>1.40594</v>
      </c>
      <c r="L94">
        <f t="shared" si="12"/>
        <v>16.558641975308642</v>
      </c>
      <c r="M94">
        <f t="shared" si="13"/>
        <v>23.298174845679014</v>
      </c>
      <c r="N94" s="9"/>
      <c r="O94" s="22">
        <v>0.32302900000000001</v>
      </c>
      <c r="P94" s="22">
        <v>9.8909000000000002</v>
      </c>
      <c r="Q94" s="22">
        <v>-1.4151E-2</v>
      </c>
      <c r="R94" s="22">
        <v>84</v>
      </c>
      <c r="S94" s="22">
        <v>0.32232699999999997</v>
      </c>
      <c r="T94">
        <f t="shared" si="14"/>
        <v>17.470370370370368</v>
      </c>
      <c r="U94">
        <f t="shared" si="15"/>
        <v>5.64343627037037</v>
      </c>
      <c r="X94" s="9"/>
      <c r="Y94" s="22">
        <v>1.4070100000000001</v>
      </c>
      <c r="Z94" s="22">
        <v>15.5055</v>
      </c>
      <c r="AA94" s="22">
        <v>-1.3623E-2</v>
      </c>
      <c r="AB94" s="22">
        <v>84</v>
      </c>
      <c r="AC94" s="22">
        <v>1.40625</v>
      </c>
      <c r="AD94">
        <f t="shared" si="16"/>
        <v>16.818518518518516</v>
      </c>
      <c r="AE94">
        <f t="shared" si="17"/>
        <v>23.663823740740739</v>
      </c>
      <c r="AF94" s="9"/>
      <c r="AG94" s="22">
        <v>0.32302900000000001</v>
      </c>
      <c r="AH94" s="22">
        <v>19.385100000000001</v>
      </c>
      <c r="AI94" s="22">
        <v>-1.41785E-2</v>
      </c>
      <c r="AJ94" s="22">
        <v>84</v>
      </c>
      <c r="AK94" s="22">
        <v>0.322357</v>
      </c>
      <c r="AL94">
        <f t="shared" si="18"/>
        <v>17.504320987654321</v>
      </c>
      <c r="AM94">
        <f t="shared" si="19"/>
        <v>5.6544033043209874</v>
      </c>
      <c r="AP94" s="9"/>
      <c r="AQ94" s="22">
        <v>1.4070100000000001</v>
      </c>
      <c r="AR94" s="22">
        <v>24.9147</v>
      </c>
      <c r="AS94" s="22">
        <v>-1.3623E-2</v>
      </c>
      <c r="AT94" s="22">
        <v>84</v>
      </c>
      <c r="AU94" s="22">
        <v>1.40656</v>
      </c>
      <c r="AV94">
        <f t="shared" si="20"/>
        <v>16.818518518518516</v>
      </c>
      <c r="AW94">
        <f t="shared" si="21"/>
        <v>23.663823740740739</v>
      </c>
      <c r="AX94" s="9"/>
      <c r="AY94" s="22">
        <v>0.32302900000000001</v>
      </c>
      <c r="AZ94" s="22">
        <v>28.7944</v>
      </c>
      <c r="BA94" s="22">
        <v>-1.4190700000000001E-2</v>
      </c>
      <c r="BB94" s="22">
        <v>84</v>
      </c>
      <c r="BC94" s="22">
        <v>0.322266</v>
      </c>
      <c r="BD94">
        <f t="shared" si="22"/>
        <v>17.519382716049382</v>
      </c>
      <c r="BE94">
        <f t="shared" si="23"/>
        <v>5.6592686793827163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6.0213599999999996</v>
      </c>
      <c r="I95" s="22">
        <v>-1.3433799999999999E-2</v>
      </c>
      <c r="J95" s="22">
        <v>85</v>
      </c>
      <c r="K95" s="22">
        <v>1.40076</v>
      </c>
      <c r="L95">
        <f t="shared" si="12"/>
        <v>16.584938271604937</v>
      </c>
      <c r="M95">
        <f t="shared" si="13"/>
        <v>23.251751758024689</v>
      </c>
      <c r="N95" s="9"/>
      <c r="O95" s="22">
        <v>0.32806400000000002</v>
      </c>
      <c r="P95" s="22">
        <v>9.9009699999999992</v>
      </c>
      <c r="Q95" s="22">
        <v>-1.41479E-2</v>
      </c>
      <c r="R95" s="22">
        <v>85</v>
      </c>
      <c r="S95" s="22">
        <v>0.32733200000000001</v>
      </c>
      <c r="T95">
        <f t="shared" si="14"/>
        <v>17.466543209876541</v>
      </c>
      <c r="U95">
        <f t="shared" si="15"/>
        <v>5.7301440316049375</v>
      </c>
      <c r="X95" s="9"/>
      <c r="Y95" s="22">
        <v>1.40198</v>
      </c>
      <c r="Z95" s="22">
        <v>15.515599999999999</v>
      </c>
      <c r="AA95" s="22">
        <v>-1.3632200000000001E-2</v>
      </c>
      <c r="AB95" s="22">
        <v>85</v>
      </c>
      <c r="AC95" s="22">
        <v>1.40167</v>
      </c>
      <c r="AD95">
        <f t="shared" si="16"/>
        <v>16.829876543209878</v>
      </c>
      <c r="AE95">
        <f t="shared" si="17"/>
        <v>23.595150316049384</v>
      </c>
      <c r="AF95" s="9"/>
      <c r="AG95" s="22">
        <v>0.32806400000000002</v>
      </c>
      <c r="AH95" s="22">
        <v>19.395199999999999</v>
      </c>
      <c r="AI95" s="22">
        <v>-1.41846E-2</v>
      </c>
      <c r="AJ95" s="22">
        <v>85</v>
      </c>
      <c r="AK95" s="22">
        <v>0.32736199999999999</v>
      </c>
      <c r="AL95">
        <f t="shared" si="18"/>
        <v>17.511851851851851</v>
      </c>
      <c r="AM95">
        <f t="shared" si="19"/>
        <v>5.7450081659259258</v>
      </c>
      <c r="AP95" s="9"/>
      <c r="AQ95" s="22">
        <v>1.40198</v>
      </c>
      <c r="AR95" s="22">
        <v>24.924800000000001</v>
      </c>
      <c r="AS95" s="22">
        <v>-1.3623E-2</v>
      </c>
      <c r="AT95" s="22">
        <v>85</v>
      </c>
      <c r="AU95" s="22">
        <v>1.40106</v>
      </c>
      <c r="AV95">
        <f t="shared" si="20"/>
        <v>16.818518518518516</v>
      </c>
      <c r="AW95">
        <f t="shared" si="21"/>
        <v>23.57922659259259</v>
      </c>
      <c r="AX95" s="9"/>
      <c r="AY95" s="22">
        <v>0.32806400000000002</v>
      </c>
      <c r="AZ95" s="22">
        <v>28.804400000000001</v>
      </c>
      <c r="BA95" s="22">
        <v>-1.41846E-2</v>
      </c>
      <c r="BB95" s="22">
        <v>85</v>
      </c>
      <c r="BC95" s="22">
        <v>0.32742300000000002</v>
      </c>
      <c r="BD95">
        <f t="shared" si="22"/>
        <v>17.511851851851851</v>
      </c>
      <c r="BE95">
        <f t="shared" si="23"/>
        <v>5.7450081659259258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6.0314300000000003</v>
      </c>
      <c r="I96" s="22">
        <v>-1.3446E-2</v>
      </c>
      <c r="J96" s="22">
        <v>86</v>
      </c>
      <c r="K96" s="22">
        <v>1.3958699999999999</v>
      </c>
      <c r="L96">
        <f t="shared" si="12"/>
        <v>16.599999999999998</v>
      </c>
      <c r="M96">
        <f t="shared" si="13"/>
        <v>23.189203999999997</v>
      </c>
      <c r="N96" s="9"/>
      <c r="O96" s="22">
        <v>0.33309899999999998</v>
      </c>
      <c r="P96" s="22">
        <v>9.9110399999999998</v>
      </c>
      <c r="Q96" s="22">
        <v>-1.4154099999999999E-2</v>
      </c>
      <c r="R96" s="22">
        <v>86</v>
      </c>
      <c r="S96" s="22">
        <v>0.33236700000000002</v>
      </c>
      <c r="T96">
        <f t="shared" si="14"/>
        <v>17.474197530864195</v>
      </c>
      <c r="U96">
        <f t="shared" si="15"/>
        <v>5.8206377233333324</v>
      </c>
      <c r="X96" s="9"/>
      <c r="Y96" s="22">
        <v>1.3969400000000001</v>
      </c>
      <c r="Z96" s="22">
        <v>15.525600000000001</v>
      </c>
      <c r="AA96" s="22">
        <v>-1.3638300000000001E-2</v>
      </c>
      <c r="AB96" s="22">
        <v>86</v>
      </c>
      <c r="AC96" s="22">
        <v>1.3952599999999999</v>
      </c>
      <c r="AD96">
        <f t="shared" si="16"/>
        <v>16.837407407407408</v>
      </c>
      <c r="AE96">
        <f t="shared" si="17"/>
        <v>23.520847903703707</v>
      </c>
      <c r="AF96" s="9"/>
      <c r="AG96" s="22">
        <v>0.33309899999999998</v>
      </c>
      <c r="AH96" s="22">
        <v>19.4053</v>
      </c>
      <c r="AI96" s="22">
        <v>-1.41876E-2</v>
      </c>
      <c r="AJ96" s="22">
        <v>86</v>
      </c>
      <c r="AK96" s="22">
        <v>0.332397</v>
      </c>
      <c r="AL96">
        <f t="shared" si="18"/>
        <v>17.515555555555554</v>
      </c>
      <c r="AM96">
        <f t="shared" si="19"/>
        <v>5.8344140399999995</v>
      </c>
      <c r="AP96" s="9"/>
      <c r="AQ96" s="22">
        <v>1.3969400000000001</v>
      </c>
      <c r="AR96" s="22">
        <v>24.934899999999999</v>
      </c>
      <c r="AS96" s="22">
        <v>-1.36261E-2</v>
      </c>
      <c r="AT96" s="22">
        <v>86</v>
      </c>
      <c r="AU96" s="22">
        <v>1.39618</v>
      </c>
      <c r="AV96">
        <f t="shared" si="20"/>
        <v>16.822345679012344</v>
      </c>
      <c r="AW96">
        <f t="shared" si="21"/>
        <v>23.499807572839504</v>
      </c>
      <c r="AX96" s="9"/>
      <c r="AY96" s="22">
        <v>0.33309899999999998</v>
      </c>
      <c r="AZ96" s="22">
        <v>28.814499999999999</v>
      </c>
      <c r="BA96" s="22">
        <v>-1.41815E-2</v>
      </c>
      <c r="BB96" s="22">
        <v>86</v>
      </c>
      <c r="BC96" s="22">
        <v>0.332397</v>
      </c>
      <c r="BD96">
        <f t="shared" si="22"/>
        <v>17.508024691358024</v>
      </c>
      <c r="BE96">
        <f t="shared" si="23"/>
        <v>5.8319055166666658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6.0415000000000001</v>
      </c>
      <c r="I97" s="22">
        <v>-1.3461300000000001E-2</v>
      </c>
      <c r="J97" s="22">
        <v>87</v>
      </c>
      <c r="K97" s="22">
        <v>1.3909899999999999</v>
      </c>
      <c r="L97">
        <f t="shared" si="12"/>
        <v>16.618888888888886</v>
      </c>
      <c r="M97">
        <f t="shared" si="13"/>
        <v>23.131997633333331</v>
      </c>
      <c r="N97" s="9"/>
      <c r="O97" s="22">
        <v>0.33813500000000002</v>
      </c>
      <c r="P97" s="22">
        <v>9.9211200000000002</v>
      </c>
      <c r="Q97" s="22">
        <v>-1.4157100000000001E-2</v>
      </c>
      <c r="R97" s="22">
        <v>87</v>
      </c>
      <c r="S97" s="22">
        <v>0.33743299999999998</v>
      </c>
      <c r="T97">
        <f t="shared" si="14"/>
        <v>17.477901234567902</v>
      </c>
      <c r="U97">
        <f t="shared" si="15"/>
        <v>5.9098901339506176</v>
      </c>
      <c r="X97" s="9"/>
      <c r="Y97" s="22">
        <v>1.39191</v>
      </c>
      <c r="Z97" s="22">
        <v>15.5357</v>
      </c>
      <c r="AA97" s="22">
        <v>-1.36414E-2</v>
      </c>
      <c r="AB97" s="22">
        <v>87</v>
      </c>
      <c r="AC97" s="22">
        <v>1.3909899999999999</v>
      </c>
      <c r="AD97">
        <f t="shared" si="16"/>
        <v>16.841234567901232</v>
      </c>
      <c r="AE97">
        <f t="shared" si="17"/>
        <v>23.441482807407404</v>
      </c>
      <c r="AF97" s="9"/>
      <c r="AG97" s="22">
        <v>0.33813500000000002</v>
      </c>
      <c r="AH97" s="22">
        <v>19.415299999999998</v>
      </c>
      <c r="AI97" s="22">
        <v>-1.41876E-2</v>
      </c>
      <c r="AJ97" s="22">
        <v>87</v>
      </c>
      <c r="AK97" s="22">
        <v>0.33746300000000001</v>
      </c>
      <c r="AL97">
        <f t="shared" si="18"/>
        <v>17.515555555555554</v>
      </c>
      <c r="AM97">
        <f t="shared" si="19"/>
        <v>5.9226223777777776</v>
      </c>
      <c r="AP97" s="9"/>
      <c r="AQ97" s="22">
        <v>1.39191</v>
      </c>
      <c r="AR97" s="22">
        <v>24.945</v>
      </c>
      <c r="AS97" s="22">
        <v>-1.36414E-2</v>
      </c>
      <c r="AT97" s="22">
        <v>87</v>
      </c>
      <c r="AU97" s="22">
        <v>1.3913</v>
      </c>
      <c r="AV97">
        <f t="shared" si="20"/>
        <v>16.841234567901232</v>
      </c>
      <c r="AW97">
        <f t="shared" si="21"/>
        <v>23.441482807407404</v>
      </c>
      <c r="AX97" s="9"/>
      <c r="AY97" s="22">
        <v>0.33813500000000002</v>
      </c>
      <c r="AZ97" s="22">
        <v>28.8246</v>
      </c>
      <c r="BA97" s="22">
        <v>-1.41846E-2</v>
      </c>
      <c r="BB97" s="22">
        <v>87</v>
      </c>
      <c r="BC97" s="22">
        <v>0.33743299999999998</v>
      </c>
      <c r="BD97">
        <f t="shared" si="22"/>
        <v>17.511851851851851</v>
      </c>
      <c r="BE97">
        <f t="shared" si="23"/>
        <v>5.9213700259259259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6.0515699999999999</v>
      </c>
      <c r="I98" s="22">
        <v>-1.34766E-2</v>
      </c>
      <c r="J98" s="22">
        <v>88</v>
      </c>
      <c r="K98" s="22">
        <v>1.38611</v>
      </c>
      <c r="L98">
        <f t="shared" si="12"/>
        <v>16.637777777777774</v>
      </c>
      <c r="M98">
        <f t="shared" si="13"/>
        <v>23.074434866666664</v>
      </c>
      <c r="N98" s="9"/>
      <c r="O98" s="22">
        <v>0.34316999999999998</v>
      </c>
      <c r="P98" s="22">
        <v>9.9311900000000009</v>
      </c>
      <c r="Q98" s="22">
        <v>-1.4157100000000001E-2</v>
      </c>
      <c r="R98" s="22">
        <v>88</v>
      </c>
      <c r="S98" s="22">
        <v>0.34246799999999999</v>
      </c>
      <c r="T98">
        <f t="shared" si="14"/>
        <v>17.477901234567902</v>
      </c>
      <c r="U98">
        <f t="shared" si="15"/>
        <v>5.9978913666666669</v>
      </c>
      <c r="X98" s="9"/>
      <c r="Y98" s="22">
        <v>1.38687</v>
      </c>
      <c r="Z98" s="22">
        <v>15.5458</v>
      </c>
      <c r="AA98" s="22">
        <v>-1.36475E-2</v>
      </c>
      <c r="AB98" s="22">
        <v>88</v>
      </c>
      <c r="AC98" s="22">
        <v>1.3857999999999999</v>
      </c>
      <c r="AD98">
        <f t="shared" si="16"/>
        <v>16.848765432098766</v>
      </c>
      <c r="AE98">
        <f t="shared" si="17"/>
        <v>23.367047314814815</v>
      </c>
      <c r="AF98" s="9"/>
      <c r="AG98" s="22">
        <v>0.34316999999999998</v>
      </c>
      <c r="AH98" s="22">
        <v>19.4254</v>
      </c>
      <c r="AI98" s="22">
        <v>-1.41846E-2</v>
      </c>
      <c r="AJ98" s="22">
        <v>88</v>
      </c>
      <c r="AK98" s="22">
        <v>0.342499</v>
      </c>
      <c r="AL98">
        <f t="shared" si="18"/>
        <v>17.511851851851851</v>
      </c>
      <c r="AM98">
        <f t="shared" si="19"/>
        <v>6.0095421999999994</v>
      </c>
      <c r="AP98" s="9"/>
      <c r="AQ98" s="22">
        <v>1.38687</v>
      </c>
      <c r="AR98" s="22">
        <v>24.954999999999998</v>
      </c>
      <c r="AS98" s="22">
        <v>-1.3650499999999999E-2</v>
      </c>
      <c r="AT98" s="22">
        <v>88</v>
      </c>
      <c r="AU98" s="22">
        <v>1.38611</v>
      </c>
      <c r="AV98">
        <f t="shared" si="20"/>
        <v>16.852469135802469</v>
      </c>
      <c r="AW98">
        <f t="shared" si="21"/>
        <v>23.372183870370371</v>
      </c>
      <c r="AX98" s="9"/>
      <c r="AY98" s="22">
        <v>0.34316999999999998</v>
      </c>
      <c r="AZ98" s="22">
        <v>28.834599999999998</v>
      </c>
      <c r="BA98" s="22">
        <v>-1.41785E-2</v>
      </c>
      <c r="BB98" s="22">
        <v>88</v>
      </c>
      <c r="BC98" s="22">
        <v>0.34243800000000002</v>
      </c>
      <c r="BD98">
        <f t="shared" si="22"/>
        <v>17.504320987654321</v>
      </c>
      <c r="BE98">
        <f t="shared" si="23"/>
        <v>6.0069578333333329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6.0616399999999997</v>
      </c>
      <c r="I99" s="22">
        <v>-1.34857E-2</v>
      </c>
      <c r="J99" s="22">
        <v>89</v>
      </c>
      <c r="K99" s="22">
        <v>1.3809199999999999</v>
      </c>
      <c r="L99">
        <f t="shared" si="12"/>
        <v>16.649012345679012</v>
      </c>
      <c r="M99">
        <f t="shared" si="13"/>
        <v>23.006271219753085</v>
      </c>
      <c r="N99" s="9"/>
      <c r="O99" s="22">
        <v>0.34820600000000002</v>
      </c>
      <c r="P99" s="22">
        <v>9.9412599999999998</v>
      </c>
      <c r="Q99" s="22">
        <v>-1.41602E-2</v>
      </c>
      <c r="R99" s="22">
        <v>89</v>
      </c>
      <c r="S99" s="22">
        <v>0.34750399999999998</v>
      </c>
      <c r="T99">
        <f t="shared" si="14"/>
        <v>17.481728395061729</v>
      </c>
      <c r="U99">
        <f t="shared" si="15"/>
        <v>6.0872427175308648</v>
      </c>
      <c r="X99" s="9"/>
      <c r="Y99" s="22">
        <v>1.38184</v>
      </c>
      <c r="Z99" s="22">
        <v>15.555899999999999</v>
      </c>
      <c r="AA99" s="22">
        <v>-1.36536E-2</v>
      </c>
      <c r="AB99" s="22">
        <v>89</v>
      </c>
      <c r="AC99" s="22">
        <v>1.38123</v>
      </c>
      <c r="AD99">
        <f t="shared" si="16"/>
        <v>16.856296296296296</v>
      </c>
      <c r="AE99">
        <f t="shared" si="17"/>
        <v>23.292704474074075</v>
      </c>
      <c r="AF99" s="9"/>
      <c r="AG99" s="22">
        <v>0.34820600000000002</v>
      </c>
      <c r="AH99" s="22">
        <v>19.435500000000001</v>
      </c>
      <c r="AI99" s="22">
        <v>-1.41724E-2</v>
      </c>
      <c r="AJ99" s="22">
        <v>89</v>
      </c>
      <c r="AK99" s="22">
        <v>0.347443</v>
      </c>
      <c r="AL99">
        <f t="shared" si="18"/>
        <v>17.496790123456787</v>
      </c>
      <c r="AM99">
        <f t="shared" si="19"/>
        <v>6.0924873017283945</v>
      </c>
      <c r="AP99" s="9"/>
      <c r="AQ99" s="22">
        <v>1.38184</v>
      </c>
      <c r="AR99" s="22">
        <v>24.9651</v>
      </c>
      <c r="AS99" s="22">
        <v>-1.36566E-2</v>
      </c>
      <c r="AT99" s="22">
        <v>89</v>
      </c>
      <c r="AU99" s="22">
        <v>1.38062</v>
      </c>
      <c r="AV99">
        <f t="shared" si="20"/>
        <v>16.86</v>
      </c>
      <c r="AW99">
        <f t="shared" si="21"/>
        <v>23.297822399999998</v>
      </c>
      <c r="AX99" s="9"/>
      <c r="AY99" s="22">
        <v>0.34820600000000002</v>
      </c>
      <c r="AZ99" s="22">
        <v>28.8447</v>
      </c>
      <c r="BA99" s="22">
        <v>-1.4175399999999999E-2</v>
      </c>
      <c r="BB99" s="22">
        <v>89</v>
      </c>
      <c r="BC99" s="22">
        <v>0.347412</v>
      </c>
      <c r="BD99">
        <f t="shared" si="22"/>
        <v>17.500493827160494</v>
      </c>
      <c r="BE99">
        <f t="shared" si="23"/>
        <v>6.0937769535802468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6.0717100000000004</v>
      </c>
      <c r="I100" s="22">
        <v>-1.3501000000000001E-2</v>
      </c>
      <c r="J100" s="22">
        <v>90</v>
      </c>
      <c r="K100" s="22">
        <v>1.3760399999999999</v>
      </c>
      <c r="L100">
        <f t="shared" si="12"/>
        <v>16.667901234567903</v>
      </c>
      <c r="M100">
        <f t="shared" si="13"/>
        <v>22.948366419753089</v>
      </c>
      <c r="N100" s="9"/>
      <c r="O100" s="22">
        <v>0.35324100000000003</v>
      </c>
      <c r="P100" s="22">
        <v>9.9513300000000005</v>
      </c>
      <c r="Q100" s="22">
        <v>-1.41602E-2</v>
      </c>
      <c r="R100" s="22">
        <v>90</v>
      </c>
      <c r="S100" s="22">
        <v>0.35260000000000002</v>
      </c>
      <c r="T100">
        <f t="shared" si="14"/>
        <v>17.481728395061729</v>
      </c>
      <c r="U100">
        <f t="shared" si="15"/>
        <v>6.1752632200000006</v>
      </c>
      <c r="X100" s="9"/>
      <c r="Y100" s="22">
        <v>1.3768</v>
      </c>
      <c r="Z100" s="22">
        <v>15.565899999999999</v>
      </c>
      <c r="AA100" s="22">
        <v>-1.36627E-2</v>
      </c>
      <c r="AB100" s="22">
        <v>90</v>
      </c>
      <c r="AC100" s="22">
        <v>1.3754299999999999</v>
      </c>
      <c r="AD100">
        <f t="shared" si="16"/>
        <v>16.86753086419753</v>
      </c>
      <c r="AE100">
        <f t="shared" si="17"/>
        <v>23.223216493827159</v>
      </c>
      <c r="AF100" s="9"/>
      <c r="AG100" s="22">
        <v>0.35324100000000003</v>
      </c>
      <c r="AH100" s="22">
        <v>19.445499999999999</v>
      </c>
      <c r="AI100" s="22">
        <v>-1.4163200000000001E-2</v>
      </c>
      <c r="AJ100" s="22">
        <v>90</v>
      </c>
      <c r="AK100" s="22">
        <v>0.35250900000000002</v>
      </c>
      <c r="AL100">
        <f t="shared" si="18"/>
        <v>17.485432098765433</v>
      </c>
      <c r="AM100">
        <f t="shared" si="19"/>
        <v>6.1765715200000004</v>
      </c>
      <c r="AP100" s="9"/>
      <c r="AQ100" s="22">
        <v>1.3768</v>
      </c>
      <c r="AR100" s="22">
        <v>24.975200000000001</v>
      </c>
      <c r="AS100" s="22">
        <v>-1.36688E-2</v>
      </c>
      <c r="AT100" s="22">
        <v>90</v>
      </c>
      <c r="AU100" s="22">
        <v>1.3757299999999999</v>
      </c>
      <c r="AV100">
        <f t="shared" si="20"/>
        <v>16.87506172839506</v>
      </c>
      <c r="AW100">
        <f t="shared" si="21"/>
        <v>23.233584987654318</v>
      </c>
      <c r="AX100" s="9"/>
      <c r="AY100" s="22">
        <v>0.35324100000000003</v>
      </c>
      <c r="AZ100" s="22">
        <v>28.854800000000001</v>
      </c>
      <c r="BA100" s="22">
        <v>-1.4175399999999999E-2</v>
      </c>
      <c r="BB100" s="22">
        <v>90</v>
      </c>
      <c r="BC100" s="22">
        <v>0.35250900000000002</v>
      </c>
      <c r="BD100">
        <f t="shared" si="22"/>
        <v>17.500493827160494</v>
      </c>
      <c r="BE100">
        <f t="shared" si="23"/>
        <v>6.1818919400000008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6.0817800000000002</v>
      </c>
      <c r="I101" s="22">
        <v>-1.3516200000000001E-2</v>
      </c>
      <c r="J101" s="22">
        <v>91</v>
      </c>
      <c r="K101" s="22">
        <v>1.3708499999999999</v>
      </c>
      <c r="L101">
        <f t="shared" si="12"/>
        <v>16.686666666666664</v>
      </c>
      <c r="M101">
        <f t="shared" si="13"/>
        <v>22.890268733333329</v>
      </c>
      <c r="N101" s="9"/>
      <c r="O101" s="22">
        <v>0.35827599999999998</v>
      </c>
      <c r="P101" s="22">
        <v>9.9613999999999994</v>
      </c>
      <c r="Q101" s="22">
        <v>-1.41449E-2</v>
      </c>
      <c r="R101" s="22">
        <v>91</v>
      </c>
      <c r="S101" s="22">
        <v>0.357574</v>
      </c>
      <c r="T101">
        <f t="shared" si="14"/>
        <v>17.462839506172838</v>
      </c>
      <c r="U101">
        <f t="shared" si="15"/>
        <v>6.2565162869135795</v>
      </c>
      <c r="X101" s="9"/>
      <c r="Y101" s="22">
        <v>1.3717699999999999</v>
      </c>
      <c r="Z101" s="22">
        <v>15.576000000000001</v>
      </c>
      <c r="AA101" s="22">
        <v>-1.36688E-2</v>
      </c>
      <c r="AB101" s="22">
        <v>91</v>
      </c>
      <c r="AC101" s="22">
        <v>1.3708499999999999</v>
      </c>
      <c r="AD101">
        <f t="shared" si="16"/>
        <v>16.87506172839506</v>
      </c>
      <c r="AE101">
        <f t="shared" si="17"/>
        <v>23.148703427160491</v>
      </c>
      <c r="AF101" s="9"/>
      <c r="AG101" s="22">
        <v>0.35827599999999998</v>
      </c>
      <c r="AH101" s="22">
        <v>19.4556</v>
      </c>
      <c r="AI101" s="22">
        <v>-1.4169299999999999E-2</v>
      </c>
      <c r="AJ101" s="22">
        <v>91</v>
      </c>
      <c r="AK101" s="22">
        <v>0.357574</v>
      </c>
      <c r="AL101">
        <f t="shared" si="18"/>
        <v>17.492962962962959</v>
      </c>
      <c r="AM101">
        <f t="shared" si="19"/>
        <v>6.267308798518517</v>
      </c>
      <c r="AP101" s="9"/>
      <c r="AQ101" s="22">
        <v>1.3717699999999999</v>
      </c>
      <c r="AR101" s="22">
        <v>24.985199999999999</v>
      </c>
      <c r="AS101" s="22">
        <v>-1.3681E-2</v>
      </c>
      <c r="AT101" s="22">
        <v>91</v>
      </c>
      <c r="AU101" s="22">
        <v>1.3705400000000001</v>
      </c>
      <c r="AV101">
        <f t="shared" si="20"/>
        <v>16.890123456790121</v>
      </c>
      <c r="AW101">
        <f t="shared" si="21"/>
        <v>23.169364654320983</v>
      </c>
      <c r="AX101" s="9"/>
      <c r="AY101" s="22">
        <v>0.35827599999999998</v>
      </c>
      <c r="AZ101" s="22">
        <v>28.864899999999999</v>
      </c>
      <c r="BA101" s="22">
        <v>-1.41815E-2</v>
      </c>
      <c r="BB101" s="22">
        <v>91</v>
      </c>
      <c r="BC101" s="22">
        <v>0.35760500000000001</v>
      </c>
      <c r="BD101">
        <f t="shared" si="22"/>
        <v>17.508024691358024</v>
      </c>
      <c r="BE101">
        <f t="shared" si="23"/>
        <v>6.272705054320987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6.09185</v>
      </c>
      <c r="I102" s="22">
        <v>-1.35193E-2</v>
      </c>
      <c r="J102" s="22">
        <v>92</v>
      </c>
      <c r="K102" s="22">
        <v>1.3659699999999999</v>
      </c>
      <c r="L102">
        <f t="shared" si="12"/>
        <v>16.690493827160495</v>
      </c>
      <c r="M102">
        <f t="shared" si="13"/>
        <v>22.811398628395064</v>
      </c>
      <c r="N102" s="9"/>
      <c r="O102" s="22">
        <v>0.36331200000000002</v>
      </c>
      <c r="P102" s="22">
        <v>9.9714700000000001</v>
      </c>
      <c r="Q102" s="22">
        <v>-1.4135699999999999E-2</v>
      </c>
      <c r="R102" s="22">
        <v>92</v>
      </c>
      <c r="S102" s="22">
        <v>0.36257899999999998</v>
      </c>
      <c r="T102">
        <f t="shared" si="14"/>
        <v>17.45148148148148</v>
      </c>
      <c r="U102">
        <f t="shared" si="15"/>
        <v>6.3403326399999997</v>
      </c>
      <c r="X102" s="9"/>
      <c r="Y102" s="22">
        <v>1.36673</v>
      </c>
      <c r="Z102" s="22">
        <v>15.5861</v>
      </c>
      <c r="AA102" s="22">
        <v>-1.3681E-2</v>
      </c>
      <c r="AB102" s="22">
        <v>92</v>
      </c>
      <c r="AC102" s="22">
        <v>1.3659699999999999</v>
      </c>
      <c r="AD102">
        <f t="shared" si="16"/>
        <v>16.890123456790121</v>
      </c>
      <c r="AE102">
        <f t="shared" si="17"/>
        <v>23.084238432098761</v>
      </c>
      <c r="AF102" s="9"/>
      <c r="AG102" s="22">
        <v>0.36331200000000002</v>
      </c>
      <c r="AH102" s="22">
        <v>19.465699999999998</v>
      </c>
      <c r="AI102" s="22">
        <v>-1.41724E-2</v>
      </c>
      <c r="AJ102" s="22">
        <v>92</v>
      </c>
      <c r="AK102" s="22">
        <v>0.36264000000000002</v>
      </c>
      <c r="AL102">
        <f t="shared" si="18"/>
        <v>17.496790123456787</v>
      </c>
      <c r="AM102">
        <f t="shared" si="19"/>
        <v>6.3567938133333328</v>
      </c>
      <c r="AP102" s="9"/>
      <c r="AQ102" s="22">
        <v>1.36673</v>
      </c>
      <c r="AR102" s="22">
        <v>24.9953</v>
      </c>
      <c r="AS102" s="22">
        <v>-1.37024E-2</v>
      </c>
      <c r="AT102" s="22">
        <v>92</v>
      </c>
      <c r="AU102" s="22">
        <v>1.3653599999999999</v>
      </c>
      <c r="AV102">
        <f t="shared" si="20"/>
        <v>16.916543209876544</v>
      </c>
      <c r="AW102">
        <f t="shared" si="21"/>
        <v>23.120347101234568</v>
      </c>
      <c r="AX102" s="9"/>
      <c r="AY102" s="22">
        <v>0.36331200000000002</v>
      </c>
      <c r="AZ102" s="22">
        <v>28.8749</v>
      </c>
      <c r="BA102" s="22">
        <v>-1.41815E-2</v>
      </c>
      <c r="BB102" s="22">
        <v>92</v>
      </c>
      <c r="BC102" s="22">
        <v>0.36260999999999999</v>
      </c>
      <c r="BD102">
        <f t="shared" si="22"/>
        <v>17.508024691358024</v>
      </c>
      <c r="BE102">
        <f t="shared" si="23"/>
        <v>6.3608754666666671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6.1019199999999998</v>
      </c>
      <c r="I103" s="22">
        <v>-1.35254E-2</v>
      </c>
      <c r="J103" s="22">
        <v>93</v>
      </c>
      <c r="K103" s="22">
        <v>1.3610800000000001</v>
      </c>
      <c r="L103">
        <f t="shared" si="12"/>
        <v>16.698024691358025</v>
      </c>
      <c r="M103">
        <f t="shared" si="13"/>
        <v>22.73753324197531</v>
      </c>
      <c r="N103" s="9"/>
      <c r="O103" s="22">
        <v>0.36834699999999998</v>
      </c>
      <c r="P103" s="22">
        <v>9.9815400000000007</v>
      </c>
      <c r="Q103" s="22">
        <v>-1.41266E-2</v>
      </c>
      <c r="R103" s="22">
        <v>93</v>
      </c>
      <c r="S103" s="22">
        <v>0.36761500000000003</v>
      </c>
      <c r="T103">
        <f t="shared" si="14"/>
        <v>17.440246913580246</v>
      </c>
      <c r="U103">
        <f t="shared" si="15"/>
        <v>6.4240626298765422</v>
      </c>
      <c r="X103" s="9"/>
      <c r="Y103" s="22">
        <v>1.3616900000000001</v>
      </c>
      <c r="Z103" s="22">
        <v>15.5961</v>
      </c>
      <c r="AA103" s="22">
        <v>-1.36902E-2</v>
      </c>
      <c r="AB103" s="22">
        <v>93</v>
      </c>
      <c r="AC103" s="22">
        <v>1.3604700000000001</v>
      </c>
      <c r="AD103">
        <f t="shared" si="16"/>
        <v>16.901481481481479</v>
      </c>
      <c r="AE103">
        <f t="shared" si="17"/>
        <v>23.014578318518517</v>
      </c>
      <c r="AF103" s="9"/>
      <c r="AG103" s="22">
        <v>0.36834699999999998</v>
      </c>
      <c r="AH103" s="22">
        <v>19.4758</v>
      </c>
      <c r="AI103" s="22">
        <v>-1.41724E-2</v>
      </c>
      <c r="AJ103" s="22">
        <v>93</v>
      </c>
      <c r="AK103" s="22">
        <v>0.367645</v>
      </c>
      <c r="AL103">
        <f t="shared" si="18"/>
        <v>17.496790123456787</v>
      </c>
      <c r="AM103">
        <f t="shared" si="19"/>
        <v>6.4448901516049366</v>
      </c>
      <c r="AP103" s="9"/>
      <c r="AQ103" s="22">
        <v>1.3616900000000001</v>
      </c>
      <c r="AR103" s="22">
        <v>25.005400000000002</v>
      </c>
      <c r="AS103" s="22">
        <v>-1.37085E-2</v>
      </c>
      <c r="AT103" s="22">
        <v>93</v>
      </c>
      <c r="AU103" s="22">
        <v>1.3604700000000001</v>
      </c>
      <c r="AV103">
        <f t="shared" si="20"/>
        <v>16.924074074074074</v>
      </c>
      <c r="AW103">
        <f t="shared" si="21"/>
        <v>23.045342425925927</v>
      </c>
      <c r="AX103" s="9"/>
      <c r="AY103" s="22">
        <v>0.36834699999999998</v>
      </c>
      <c r="AZ103" s="22">
        <v>28.885000000000002</v>
      </c>
      <c r="BA103" s="22">
        <v>-1.4163200000000001E-2</v>
      </c>
      <c r="BB103" s="22">
        <v>93</v>
      </c>
      <c r="BC103" s="22">
        <v>0.36761500000000003</v>
      </c>
      <c r="BD103">
        <f t="shared" si="22"/>
        <v>17.485432098765433</v>
      </c>
      <c r="BE103">
        <f t="shared" si="23"/>
        <v>6.4407064572839507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6.1120000000000001</v>
      </c>
      <c r="I104" s="22">
        <v>-1.35345E-2</v>
      </c>
      <c r="J104" s="22">
        <v>94</v>
      </c>
      <c r="K104" s="22">
        <v>1.3552900000000001</v>
      </c>
      <c r="L104">
        <f t="shared" si="12"/>
        <v>16.709259259259255</v>
      </c>
      <c r="M104">
        <f t="shared" si="13"/>
        <v>22.668783666666659</v>
      </c>
      <c r="N104" s="9"/>
      <c r="O104" s="22">
        <v>0.37338300000000002</v>
      </c>
      <c r="P104" s="22">
        <v>9.9916099999999997</v>
      </c>
      <c r="Q104" s="22">
        <v>-1.41266E-2</v>
      </c>
      <c r="R104" s="22">
        <v>94</v>
      </c>
      <c r="S104" s="22">
        <v>0.372589</v>
      </c>
      <c r="T104">
        <f t="shared" si="14"/>
        <v>17.440246913580246</v>
      </c>
      <c r="U104">
        <f t="shared" si="15"/>
        <v>6.5118917133333332</v>
      </c>
      <c r="X104" s="9"/>
      <c r="Y104" s="22">
        <v>1.35666</v>
      </c>
      <c r="Z104" s="22">
        <v>15.606199999999999</v>
      </c>
      <c r="AA104" s="22">
        <v>-1.37024E-2</v>
      </c>
      <c r="AB104" s="22">
        <v>94</v>
      </c>
      <c r="AC104" s="22">
        <v>1.3555900000000001</v>
      </c>
      <c r="AD104">
        <f t="shared" si="16"/>
        <v>16.916543209876544</v>
      </c>
      <c r="AE104">
        <f t="shared" si="17"/>
        <v>22.949997511111111</v>
      </c>
      <c r="AF104" s="9"/>
      <c r="AG104" s="22">
        <v>0.37338300000000002</v>
      </c>
      <c r="AH104" s="22">
        <v>19.485800000000001</v>
      </c>
      <c r="AI104" s="22">
        <v>-1.4169299999999999E-2</v>
      </c>
      <c r="AJ104" s="22">
        <v>94</v>
      </c>
      <c r="AK104" s="22">
        <v>0.372589</v>
      </c>
      <c r="AL104">
        <f t="shared" si="18"/>
        <v>17.492962962962959</v>
      </c>
      <c r="AM104">
        <f t="shared" si="19"/>
        <v>6.5315749899999993</v>
      </c>
      <c r="AP104" s="9"/>
      <c r="AQ104" s="22">
        <v>1.35666</v>
      </c>
      <c r="AR104" s="22">
        <v>25.0154</v>
      </c>
      <c r="AS104" s="22">
        <v>-1.3720700000000001E-2</v>
      </c>
      <c r="AT104" s="22">
        <v>94</v>
      </c>
      <c r="AU104" s="22">
        <v>1.3549800000000001</v>
      </c>
      <c r="AV104">
        <f t="shared" si="20"/>
        <v>16.939135802469135</v>
      </c>
      <c r="AW104">
        <f t="shared" si="21"/>
        <v>22.980647977777775</v>
      </c>
      <c r="AX104" s="9"/>
      <c r="AY104" s="22">
        <v>0.37338300000000002</v>
      </c>
      <c r="AZ104" s="22">
        <v>28.895099999999999</v>
      </c>
      <c r="BA104" s="22">
        <v>-1.4157100000000001E-2</v>
      </c>
      <c r="BB104" s="22">
        <v>94</v>
      </c>
      <c r="BC104" s="22">
        <v>0.37264999999999998</v>
      </c>
      <c r="BD104">
        <f t="shared" si="22"/>
        <v>17.477901234567902</v>
      </c>
      <c r="BE104">
        <f t="shared" si="23"/>
        <v>6.525951196666667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6.1220699999999999</v>
      </c>
      <c r="I105" s="22">
        <v>-1.3546799999999999E-2</v>
      </c>
      <c r="J105" s="22">
        <v>95</v>
      </c>
      <c r="K105" s="22">
        <v>1.3507100000000001</v>
      </c>
      <c r="L105">
        <f t="shared" si="12"/>
        <v>16.72444444444444</v>
      </c>
      <c r="M105">
        <f t="shared" si="13"/>
        <v>22.605093599999996</v>
      </c>
      <c r="N105" s="9"/>
      <c r="O105" s="22">
        <v>0.37841799999999998</v>
      </c>
      <c r="P105" s="22">
        <v>10.0017</v>
      </c>
      <c r="Q105" s="22">
        <v>-1.4129600000000001E-2</v>
      </c>
      <c r="R105" s="22">
        <v>95</v>
      </c>
      <c r="S105" s="22">
        <v>0.377716</v>
      </c>
      <c r="T105">
        <f t="shared" si="14"/>
        <v>17.443950617283949</v>
      </c>
      <c r="U105">
        <f t="shared" si="15"/>
        <v>6.6011049046913568</v>
      </c>
      <c r="X105" s="9"/>
      <c r="Y105" s="22">
        <v>1.35162</v>
      </c>
      <c r="Z105" s="22">
        <v>15.616300000000001</v>
      </c>
      <c r="AA105" s="22">
        <v>-1.3717699999999999E-2</v>
      </c>
      <c r="AB105" s="22">
        <v>95</v>
      </c>
      <c r="AC105" s="22">
        <v>1.35101</v>
      </c>
      <c r="AD105">
        <f t="shared" si="16"/>
        <v>16.935432098765432</v>
      </c>
      <c r="AE105">
        <f t="shared" si="17"/>
        <v>22.890268733333333</v>
      </c>
      <c r="AF105" s="9"/>
      <c r="AG105" s="22">
        <v>0.37841799999999998</v>
      </c>
      <c r="AH105" s="22">
        <v>19.495899999999999</v>
      </c>
      <c r="AI105" s="22">
        <v>-1.4163200000000001E-2</v>
      </c>
      <c r="AJ105" s="22">
        <v>95</v>
      </c>
      <c r="AK105" s="22">
        <v>0.377716</v>
      </c>
      <c r="AL105">
        <f t="shared" si="18"/>
        <v>17.485432098765433</v>
      </c>
      <c r="AM105">
        <f t="shared" si="19"/>
        <v>6.6168022439506169</v>
      </c>
      <c r="AP105" s="9"/>
      <c r="AQ105" s="22">
        <v>1.35162</v>
      </c>
      <c r="AR105" s="22">
        <v>25.025500000000001</v>
      </c>
      <c r="AS105" s="22">
        <v>-1.37299E-2</v>
      </c>
      <c r="AT105" s="22">
        <v>95</v>
      </c>
      <c r="AU105" s="22">
        <v>1.3504</v>
      </c>
      <c r="AV105">
        <f t="shared" si="20"/>
        <v>16.950493827160493</v>
      </c>
      <c r="AW105">
        <f t="shared" si="21"/>
        <v>22.910626466666667</v>
      </c>
      <c r="AX105" s="9"/>
      <c r="AY105" s="22">
        <v>0.37841799999999998</v>
      </c>
      <c r="AZ105" s="22">
        <v>28.905100000000001</v>
      </c>
      <c r="BA105" s="22">
        <v>-1.4163200000000001E-2</v>
      </c>
      <c r="BB105" s="22">
        <v>95</v>
      </c>
      <c r="BC105" s="22">
        <v>0.37768600000000002</v>
      </c>
      <c r="BD105">
        <f t="shared" si="22"/>
        <v>17.485432098765433</v>
      </c>
      <c r="BE105">
        <f t="shared" si="23"/>
        <v>6.6168022439506169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6.1321399999999997</v>
      </c>
      <c r="I106" s="22">
        <v>-1.35681E-2</v>
      </c>
      <c r="J106" s="22">
        <v>96</v>
      </c>
      <c r="K106" s="22">
        <v>1.3458300000000001</v>
      </c>
      <c r="L106">
        <f t="shared" si="12"/>
        <v>16.750740740740738</v>
      </c>
      <c r="M106">
        <f t="shared" si="13"/>
        <v>22.556379974074069</v>
      </c>
      <c r="N106" s="9"/>
      <c r="O106" s="22">
        <v>0.38345299999999999</v>
      </c>
      <c r="P106" s="22">
        <v>10.011799999999999</v>
      </c>
      <c r="Q106" s="22">
        <v>-1.41327E-2</v>
      </c>
      <c r="R106" s="22">
        <v>96</v>
      </c>
      <c r="S106" s="22">
        <v>0.38278200000000001</v>
      </c>
      <c r="T106">
        <f t="shared" si="14"/>
        <v>17.447777777777777</v>
      </c>
      <c r="U106">
        <f t="shared" si="15"/>
        <v>6.6904027322222213</v>
      </c>
      <c r="X106" s="9"/>
      <c r="Y106" s="22">
        <v>1.34659</v>
      </c>
      <c r="Z106" s="22">
        <v>15.6264</v>
      </c>
      <c r="AA106" s="22">
        <v>-1.37299E-2</v>
      </c>
      <c r="AB106" s="22">
        <v>96</v>
      </c>
      <c r="AC106" s="22">
        <v>1.34552</v>
      </c>
      <c r="AD106">
        <f t="shared" si="16"/>
        <v>16.950493827160493</v>
      </c>
      <c r="AE106">
        <f t="shared" si="17"/>
        <v>22.825365482716048</v>
      </c>
      <c r="AF106" s="9"/>
      <c r="AG106" s="22">
        <v>0.38345299999999999</v>
      </c>
      <c r="AH106" s="22">
        <v>19.506</v>
      </c>
      <c r="AI106" s="22">
        <v>-1.41479E-2</v>
      </c>
      <c r="AJ106" s="22">
        <v>96</v>
      </c>
      <c r="AK106" s="22">
        <v>0.38272099999999998</v>
      </c>
      <c r="AL106">
        <f t="shared" si="18"/>
        <v>17.466543209876541</v>
      </c>
      <c r="AM106">
        <f t="shared" si="19"/>
        <v>6.6975983934567891</v>
      </c>
      <c r="AP106" s="9"/>
      <c r="AQ106" s="22">
        <v>1.34659</v>
      </c>
      <c r="AR106" s="22">
        <v>25.035599999999999</v>
      </c>
      <c r="AS106" s="22">
        <v>-1.37482E-2</v>
      </c>
      <c r="AT106" s="22">
        <v>96</v>
      </c>
      <c r="AU106" s="22">
        <v>1.34521</v>
      </c>
      <c r="AV106">
        <f t="shared" si="20"/>
        <v>16.973086419753084</v>
      </c>
      <c r="AW106">
        <f t="shared" si="21"/>
        <v>22.855788441975307</v>
      </c>
      <c r="AX106" s="9"/>
      <c r="AY106" s="22">
        <v>0.38345299999999999</v>
      </c>
      <c r="AZ106" s="22">
        <v>28.915199999999999</v>
      </c>
      <c r="BA106" s="22">
        <v>-1.4163200000000001E-2</v>
      </c>
      <c r="BB106" s="22">
        <v>96</v>
      </c>
      <c r="BC106" s="22">
        <v>0.38278200000000001</v>
      </c>
      <c r="BD106">
        <f t="shared" si="22"/>
        <v>17.485432098765433</v>
      </c>
      <c r="BE106">
        <f t="shared" si="23"/>
        <v>6.7048413945679011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6.1422100000000004</v>
      </c>
      <c r="I107" s="22">
        <v>-1.35864E-2</v>
      </c>
      <c r="J107" s="22">
        <v>97</v>
      </c>
      <c r="K107" s="22">
        <v>1.34033</v>
      </c>
      <c r="L107">
        <f t="shared" si="12"/>
        <v>16.77333333333333</v>
      </c>
      <c r="M107">
        <f t="shared" si="13"/>
        <v>22.50226533333333</v>
      </c>
      <c r="N107" s="9"/>
      <c r="O107" s="22">
        <v>0.38848899999999997</v>
      </c>
      <c r="P107" s="22">
        <v>10.021800000000001</v>
      </c>
      <c r="Q107" s="22">
        <v>-1.4129600000000001E-2</v>
      </c>
      <c r="R107" s="22">
        <v>97</v>
      </c>
      <c r="S107" s="22">
        <v>0.38778699999999999</v>
      </c>
      <c r="T107">
        <f t="shared" si="14"/>
        <v>17.443950617283949</v>
      </c>
      <c r="U107">
        <f t="shared" si="15"/>
        <v>6.7767829313580235</v>
      </c>
      <c r="X107" s="9"/>
      <c r="Y107" s="22">
        <v>1.34155</v>
      </c>
      <c r="Z107" s="22">
        <v>15.6364</v>
      </c>
      <c r="AA107" s="22">
        <v>-1.3736E-2</v>
      </c>
      <c r="AB107" s="22">
        <v>97</v>
      </c>
      <c r="AC107" s="22">
        <v>1.34033</v>
      </c>
      <c r="AD107">
        <f t="shared" si="16"/>
        <v>16.958024691358023</v>
      </c>
      <c r="AE107">
        <f t="shared" si="17"/>
        <v>22.750038024691356</v>
      </c>
      <c r="AF107" s="9"/>
      <c r="AG107" s="22">
        <v>0.38848899999999997</v>
      </c>
      <c r="AH107" s="22">
        <v>19.515999999999998</v>
      </c>
      <c r="AI107" s="22">
        <v>-1.41388E-2</v>
      </c>
      <c r="AJ107" s="22">
        <v>97</v>
      </c>
      <c r="AK107" s="22">
        <v>0.38781700000000002</v>
      </c>
      <c r="AL107">
        <f t="shared" si="18"/>
        <v>17.455308641975307</v>
      </c>
      <c r="AM107">
        <f t="shared" si="19"/>
        <v>6.7811953990123444</v>
      </c>
      <c r="AP107" s="9"/>
      <c r="AQ107" s="22">
        <v>1.34155</v>
      </c>
      <c r="AR107" s="22">
        <v>25.0457</v>
      </c>
      <c r="AS107" s="22">
        <v>-1.37695E-2</v>
      </c>
      <c r="AT107" s="22">
        <v>97</v>
      </c>
      <c r="AU107" s="22">
        <v>1.34033</v>
      </c>
      <c r="AV107">
        <f t="shared" si="20"/>
        <v>16.999382716049382</v>
      </c>
      <c r="AW107">
        <f t="shared" si="21"/>
        <v>22.80552188271605</v>
      </c>
      <c r="AX107" s="9"/>
      <c r="AY107" s="22">
        <v>0.38848899999999997</v>
      </c>
      <c r="AZ107" s="22">
        <v>28.9253</v>
      </c>
      <c r="BA107" s="22">
        <v>-1.41663E-2</v>
      </c>
      <c r="BB107" s="22">
        <v>97</v>
      </c>
      <c r="BC107" s="22">
        <v>0.38778699999999999</v>
      </c>
      <c r="BD107">
        <f t="shared" si="22"/>
        <v>17.489259259259256</v>
      </c>
      <c r="BE107">
        <f t="shared" si="23"/>
        <v>6.7943848403703688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6.1522800000000002</v>
      </c>
      <c r="I108" s="22">
        <v>-1.36017E-2</v>
      </c>
      <c r="J108" s="22">
        <v>98</v>
      </c>
      <c r="K108" s="22">
        <v>1.33545</v>
      </c>
      <c r="L108">
        <f t="shared" si="12"/>
        <v>16.792222222222222</v>
      </c>
      <c r="M108">
        <f t="shared" si="13"/>
        <v>22.443140844444443</v>
      </c>
      <c r="N108" s="9"/>
      <c r="O108" s="22">
        <v>0.39352399999999998</v>
      </c>
      <c r="P108" s="22">
        <v>10.0319</v>
      </c>
      <c r="Q108" s="22">
        <v>-1.4123500000000001E-2</v>
      </c>
      <c r="R108" s="22">
        <v>98</v>
      </c>
      <c r="S108" s="22">
        <v>0.39279199999999997</v>
      </c>
      <c r="T108">
        <f t="shared" si="14"/>
        <v>17.436419753086419</v>
      </c>
      <c r="U108">
        <f t="shared" si="15"/>
        <v>6.8616496469135795</v>
      </c>
      <c r="X108" s="9"/>
      <c r="Y108" s="22">
        <v>1.3365199999999999</v>
      </c>
      <c r="Z108" s="22">
        <v>15.6465</v>
      </c>
      <c r="AA108" s="22">
        <v>-1.37421E-2</v>
      </c>
      <c r="AB108" s="22">
        <v>98</v>
      </c>
      <c r="AC108" s="22">
        <v>1.33575</v>
      </c>
      <c r="AD108">
        <f t="shared" si="16"/>
        <v>16.965555555555554</v>
      </c>
      <c r="AE108">
        <f t="shared" si="17"/>
        <v>22.674804311111107</v>
      </c>
      <c r="AF108" s="9"/>
      <c r="AG108" s="22">
        <v>0.39352399999999998</v>
      </c>
      <c r="AH108" s="22">
        <v>19.5261</v>
      </c>
      <c r="AI108" s="22">
        <v>-1.41418E-2</v>
      </c>
      <c r="AJ108" s="22">
        <v>98</v>
      </c>
      <c r="AK108" s="22">
        <v>0.392822</v>
      </c>
      <c r="AL108">
        <f t="shared" si="18"/>
        <v>17.45901234567901</v>
      </c>
      <c r="AM108">
        <f t="shared" si="19"/>
        <v>6.8705403743209867</v>
      </c>
      <c r="AP108" s="9"/>
      <c r="AQ108" s="22">
        <v>1.3365199999999999</v>
      </c>
      <c r="AR108" s="22">
        <v>25.055700000000002</v>
      </c>
      <c r="AS108" s="22">
        <v>-1.3787799999999999E-2</v>
      </c>
      <c r="AT108" s="22">
        <v>98</v>
      </c>
      <c r="AU108" s="22">
        <v>1.33606</v>
      </c>
      <c r="AV108">
        <f t="shared" si="20"/>
        <v>17.021975308641974</v>
      </c>
      <c r="AW108">
        <f t="shared" si="21"/>
        <v>22.750210439506169</v>
      </c>
      <c r="AX108" s="9"/>
      <c r="AY108" s="22">
        <v>0.39352399999999998</v>
      </c>
      <c r="AZ108" s="22">
        <v>28.935300000000002</v>
      </c>
      <c r="BA108" s="22">
        <v>-1.4169299999999999E-2</v>
      </c>
      <c r="BB108" s="22">
        <v>98</v>
      </c>
      <c r="BC108" s="22">
        <v>0.39288299999999998</v>
      </c>
      <c r="BD108">
        <f t="shared" si="22"/>
        <v>17.492962962962959</v>
      </c>
      <c r="BE108">
        <f t="shared" si="23"/>
        <v>6.8839007570370354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6.16235</v>
      </c>
      <c r="I109" s="22">
        <v>-1.362E-2</v>
      </c>
      <c r="J109" s="22">
        <v>99</v>
      </c>
      <c r="K109" s="22">
        <v>1.33026</v>
      </c>
      <c r="L109">
        <f t="shared" si="12"/>
        <v>16.814814814814813</v>
      </c>
      <c r="M109">
        <f t="shared" si="13"/>
        <v>22.388589629629628</v>
      </c>
      <c r="N109" s="9"/>
      <c r="O109" s="22">
        <v>0.39856000000000003</v>
      </c>
      <c r="P109" s="22">
        <v>10.042</v>
      </c>
      <c r="Q109" s="22">
        <v>-1.4114399999999999E-2</v>
      </c>
      <c r="R109" s="22">
        <v>99</v>
      </c>
      <c r="S109" s="22">
        <v>0.39779700000000001</v>
      </c>
      <c r="T109">
        <f t="shared" si="14"/>
        <v>17.425185185185182</v>
      </c>
      <c r="U109">
        <f t="shared" si="15"/>
        <v>6.9449818074074061</v>
      </c>
      <c r="X109" s="9"/>
      <c r="Y109" s="22">
        <v>1.33148</v>
      </c>
      <c r="Z109" s="22">
        <v>15.656599999999999</v>
      </c>
      <c r="AA109" s="22">
        <v>-1.37482E-2</v>
      </c>
      <c r="AB109" s="22">
        <v>99</v>
      </c>
      <c r="AC109" s="22">
        <v>1.33057</v>
      </c>
      <c r="AD109">
        <f t="shared" si="16"/>
        <v>16.973086419753084</v>
      </c>
      <c r="AE109">
        <f t="shared" si="17"/>
        <v>22.599325106172838</v>
      </c>
      <c r="AF109" s="9"/>
      <c r="AG109" s="22">
        <v>0.39856000000000003</v>
      </c>
      <c r="AH109" s="22">
        <v>19.536200000000001</v>
      </c>
      <c r="AI109" s="22">
        <v>-1.4154099999999999E-2</v>
      </c>
      <c r="AJ109" s="22">
        <v>99</v>
      </c>
      <c r="AK109" s="22">
        <v>0.39779700000000001</v>
      </c>
      <c r="AL109">
        <f t="shared" si="18"/>
        <v>17.474197530864195</v>
      </c>
      <c r="AM109">
        <f t="shared" si="19"/>
        <v>6.964516167901234</v>
      </c>
      <c r="AP109" s="9"/>
      <c r="AQ109" s="22">
        <v>1.33148</v>
      </c>
      <c r="AR109" s="22">
        <v>25.065799999999999</v>
      </c>
      <c r="AS109" s="22">
        <v>-1.38E-2</v>
      </c>
      <c r="AT109" s="22">
        <v>99</v>
      </c>
      <c r="AU109" s="22">
        <v>1.32996</v>
      </c>
      <c r="AV109">
        <f t="shared" si="20"/>
        <v>17.037037037037035</v>
      </c>
      <c r="AW109">
        <f t="shared" si="21"/>
        <v>22.684474074074071</v>
      </c>
      <c r="AX109" s="9"/>
      <c r="AY109" s="22">
        <v>0.39856000000000003</v>
      </c>
      <c r="AZ109" s="22">
        <v>28.945399999999999</v>
      </c>
      <c r="BA109" s="22">
        <v>-1.4169299999999999E-2</v>
      </c>
      <c r="BB109" s="22">
        <v>99</v>
      </c>
      <c r="BC109" s="22">
        <v>0.39782699999999999</v>
      </c>
      <c r="BD109">
        <f t="shared" si="22"/>
        <v>17.492962962962959</v>
      </c>
      <c r="BE109">
        <f t="shared" si="23"/>
        <v>6.9719953185185179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6.1724199999999998</v>
      </c>
      <c r="I110" s="22">
        <v>-1.3632200000000001E-2</v>
      </c>
      <c r="J110" s="22">
        <v>100</v>
      </c>
      <c r="K110" s="22">
        <v>1.32568</v>
      </c>
      <c r="L110">
        <f t="shared" si="12"/>
        <v>16.829876543209878</v>
      </c>
      <c r="M110">
        <f t="shared" si="13"/>
        <v>22.323989740740739</v>
      </c>
      <c r="N110" s="9"/>
      <c r="O110" s="22">
        <v>0.40359499999999998</v>
      </c>
      <c r="P110" s="22">
        <v>10.052</v>
      </c>
      <c r="Q110" s="22">
        <v>-1.4108300000000001E-2</v>
      </c>
      <c r="R110" s="22">
        <v>100</v>
      </c>
      <c r="S110" s="22">
        <v>0.402893</v>
      </c>
      <c r="T110">
        <f t="shared" si="14"/>
        <v>17.417654320987655</v>
      </c>
      <c r="U110">
        <f t="shared" si="15"/>
        <v>7.0296781956790122</v>
      </c>
      <c r="X110" s="9"/>
      <c r="Y110" s="22">
        <v>1.3264499999999999</v>
      </c>
      <c r="Z110" s="22">
        <v>15.666600000000001</v>
      </c>
      <c r="AA110" s="22">
        <v>-1.37573E-2</v>
      </c>
      <c r="AB110" s="22">
        <v>100</v>
      </c>
      <c r="AC110" s="22">
        <v>1.32599</v>
      </c>
      <c r="AD110">
        <f t="shared" si="16"/>
        <v>16.984320987654321</v>
      </c>
      <c r="AE110">
        <f t="shared" si="17"/>
        <v>22.528852574074072</v>
      </c>
      <c r="AF110" s="9"/>
      <c r="AG110" s="22">
        <v>0.40359499999999998</v>
      </c>
      <c r="AH110" s="22">
        <v>19.546299999999999</v>
      </c>
      <c r="AI110" s="22">
        <v>-1.4163200000000001E-2</v>
      </c>
      <c r="AJ110" s="22">
        <v>100</v>
      </c>
      <c r="AK110" s="22">
        <v>0.402924</v>
      </c>
      <c r="AL110">
        <f t="shared" si="18"/>
        <v>17.485432098765433</v>
      </c>
      <c r="AM110">
        <f t="shared" si="19"/>
        <v>7.0570329679012342</v>
      </c>
      <c r="AP110" s="9"/>
      <c r="AQ110" s="22">
        <v>1.3264499999999999</v>
      </c>
      <c r="AR110" s="22">
        <v>25.075900000000001</v>
      </c>
      <c r="AS110" s="22">
        <v>-1.38031E-2</v>
      </c>
      <c r="AT110" s="22">
        <v>100</v>
      </c>
      <c r="AU110" s="22">
        <v>1.32599</v>
      </c>
      <c r="AV110">
        <f t="shared" si="20"/>
        <v>17.040864197530862</v>
      </c>
      <c r="AW110">
        <f t="shared" si="21"/>
        <v>22.603854314814811</v>
      </c>
      <c r="AX110" s="9"/>
      <c r="AY110" s="22">
        <v>0.40359499999999998</v>
      </c>
      <c r="AZ110" s="22">
        <v>28.955500000000001</v>
      </c>
      <c r="BA110" s="22">
        <v>-1.4175399999999999E-2</v>
      </c>
      <c r="BB110" s="22">
        <v>100</v>
      </c>
      <c r="BC110" s="22">
        <v>0.402893</v>
      </c>
      <c r="BD110">
        <f t="shared" si="22"/>
        <v>17.500493827160494</v>
      </c>
      <c r="BE110">
        <f t="shared" si="23"/>
        <v>7.0631118061728388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6.1824899999999996</v>
      </c>
      <c r="I111" s="22">
        <v>-1.36475E-2</v>
      </c>
      <c r="J111" s="22">
        <v>101</v>
      </c>
      <c r="K111" s="22">
        <v>1.32019</v>
      </c>
      <c r="L111">
        <f t="shared" si="12"/>
        <v>16.848765432098766</v>
      </c>
      <c r="M111">
        <f t="shared" si="13"/>
        <v>22.264127129629628</v>
      </c>
      <c r="N111" s="9"/>
      <c r="O111" s="22">
        <v>0.40862999999999999</v>
      </c>
      <c r="P111" s="22">
        <v>10.062099999999999</v>
      </c>
      <c r="Q111" s="22">
        <v>-1.40991E-2</v>
      </c>
      <c r="R111" s="22">
        <v>101</v>
      </c>
      <c r="S111" s="22">
        <v>0.40792800000000001</v>
      </c>
      <c r="T111">
        <f t="shared" si="14"/>
        <v>17.406296296296293</v>
      </c>
      <c r="U111">
        <f t="shared" si="15"/>
        <v>7.1127348555555541</v>
      </c>
      <c r="X111" s="9"/>
      <c r="Y111" s="22">
        <v>1.32141</v>
      </c>
      <c r="Z111" s="22">
        <v>15.6767</v>
      </c>
      <c r="AA111" s="22">
        <v>-1.3766499999999999E-2</v>
      </c>
      <c r="AB111" s="22">
        <v>101</v>
      </c>
      <c r="AC111" s="22">
        <v>1.3205</v>
      </c>
      <c r="AD111">
        <f t="shared" si="16"/>
        <v>16.995679012345676</v>
      </c>
      <c r="AE111">
        <f t="shared" si="17"/>
        <v>22.458260203703698</v>
      </c>
      <c r="AF111" s="9"/>
      <c r="AG111" s="22">
        <v>0.40862999999999999</v>
      </c>
      <c r="AH111" s="22">
        <v>19.5563</v>
      </c>
      <c r="AI111" s="22">
        <v>-1.41663E-2</v>
      </c>
      <c r="AJ111" s="22">
        <v>101</v>
      </c>
      <c r="AK111" s="22">
        <v>0.40786699999999998</v>
      </c>
      <c r="AL111">
        <f t="shared" si="18"/>
        <v>17.489259259259256</v>
      </c>
      <c r="AM111">
        <f t="shared" si="19"/>
        <v>7.1466360111111102</v>
      </c>
      <c r="AP111" s="9"/>
      <c r="AQ111" s="22">
        <v>1.32141</v>
      </c>
      <c r="AR111" s="22">
        <v>25.085899999999999</v>
      </c>
      <c r="AS111" s="22">
        <v>-1.38123E-2</v>
      </c>
      <c r="AT111" s="22">
        <v>101</v>
      </c>
      <c r="AU111" s="22">
        <v>1.3208</v>
      </c>
      <c r="AV111">
        <f t="shared" si="20"/>
        <v>17.052222222222223</v>
      </c>
      <c r="AW111">
        <f t="shared" si="21"/>
        <v>22.532976966666666</v>
      </c>
      <c r="AX111" s="9"/>
      <c r="AY111" s="22">
        <v>0.40862999999999999</v>
      </c>
      <c r="AZ111" s="22">
        <v>28.965599999999998</v>
      </c>
      <c r="BA111" s="22">
        <v>-1.41724E-2</v>
      </c>
      <c r="BB111" s="22">
        <v>101</v>
      </c>
      <c r="BC111" s="22">
        <v>0.40795900000000002</v>
      </c>
      <c r="BD111">
        <f t="shared" si="22"/>
        <v>17.496790123456787</v>
      </c>
      <c r="BE111">
        <f t="shared" si="23"/>
        <v>7.149713348148147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6.1925600000000003</v>
      </c>
      <c r="I112" s="22">
        <v>-1.3650499999999999E-2</v>
      </c>
      <c r="J112" s="22">
        <v>102</v>
      </c>
      <c r="K112" s="22">
        <v>1.31531</v>
      </c>
      <c r="L112">
        <f t="shared" si="12"/>
        <v>16.852469135802469</v>
      </c>
      <c r="M112">
        <f t="shared" si="13"/>
        <v>22.184253320987654</v>
      </c>
      <c r="N112" s="9"/>
      <c r="O112" s="22">
        <v>0.41366599999999998</v>
      </c>
      <c r="P112" s="22">
        <v>10.0722</v>
      </c>
      <c r="Q112" s="22">
        <v>-1.4086899999999999E-2</v>
      </c>
      <c r="R112" s="22">
        <v>102</v>
      </c>
      <c r="S112" s="22">
        <v>0.41293299999999999</v>
      </c>
      <c r="T112">
        <f t="shared" si="14"/>
        <v>17.391234567901233</v>
      </c>
      <c r="U112">
        <f t="shared" si="15"/>
        <v>7.1941624387654306</v>
      </c>
      <c r="X112" s="9"/>
      <c r="Y112" s="22">
        <v>1.3163800000000001</v>
      </c>
      <c r="Z112" s="22">
        <v>15.6868</v>
      </c>
      <c r="AA112" s="22">
        <v>-1.3775600000000001E-2</v>
      </c>
      <c r="AB112" s="22">
        <v>102</v>
      </c>
      <c r="AC112" s="22">
        <v>1.31531</v>
      </c>
      <c r="AD112">
        <f t="shared" si="16"/>
        <v>17.006913580246916</v>
      </c>
      <c r="AE112">
        <f t="shared" si="17"/>
        <v>22.387560898765436</v>
      </c>
      <c r="AF112" s="9"/>
      <c r="AG112" s="22">
        <v>0.41366599999999998</v>
      </c>
      <c r="AH112" s="22">
        <v>19.566400000000002</v>
      </c>
      <c r="AI112" s="22">
        <v>-1.41602E-2</v>
      </c>
      <c r="AJ112" s="22">
        <v>102</v>
      </c>
      <c r="AK112" s="22">
        <v>0.41293299999999999</v>
      </c>
      <c r="AL112">
        <f t="shared" si="18"/>
        <v>17.481728395061729</v>
      </c>
      <c r="AM112">
        <f t="shared" si="19"/>
        <v>7.2315966582716049</v>
      </c>
      <c r="AP112" s="9"/>
      <c r="AQ112" s="22">
        <v>1.3163800000000001</v>
      </c>
      <c r="AR112" s="22">
        <v>25.096</v>
      </c>
      <c r="AS112" s="22">
        <v>-1.3815300000000001E-2</v>
      </c>
      <c r="AT112" s="22">
        <v>102</v>
      </c>
      <c r="AU112" s="22">
        <v>1.3156099999999999</v>
      </c>
      <c r="AV112">
        <f t="shared" si="20"/>
        <v>17.055925925925926</v>
      </c>
      <c r="AW112">
        <f t="shared" si="21"/>
        <v>22.452079770370371</v>
      </c>
      <c r="AX112" s="9"/>
      <c r="AY112" s="22">
        <v>0.41366599999999998</v>
      </c>
      <c r="AZ112" s="22">
        <v>28.9756</v>
      </c>
      <c r="BA112" s="22">
        <v>-1.4163200000000001E-2</v>
      </c>
      <c r="BB112" s="22">
        <v>102</v>
      </c>
      <c r="BC112" s="22">
        <v>0.41293299999999999</v>
      </c>
      <c r="BD112">
        <f t="shared" si="22"/>
        <v>17.485432098765433</v>
      </c>
      <c r="BE112">
        <f t="shared" si="23"/>
        <v>7.2331287545679013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6.2026300000000001</v>
      </c>
      <c r="I113" s="22">
        <v>-1.36536E-2</v>
      </c>
      <c r="J113" s="22">
        <v>103</v>
      </c>
      <c r="K113" s="22">
        <v>1.3104199999999999</v>
      </c>
      <c r="L113">
        <f t="shared" si="12"/>
        <v>16.856296296296296</v>
      </c>
      <c r="M113">
        <f t="shared" si="13"/>
        <v>22.104335585185183</v>
      </c>
      <c r="N113" s="9"/>
      <c r="O113" s="22">
        <v>0.41870099999999999</v>
      </c>
      <c r="P113" s="22">
        <v>10.0823</v>
      </c>
      <c r="Q113" s="22">
        <v>-1.40839E-2</v>
      </c>
      <c r="R113" s="22">
        <v>103</v>
      </c>
      <c r="S113" s="22">
        <v>0.41799900000000001</v>
      </c>
      <c r="T113">
        <f t="shared" si="14"/>
        <v>17.387530864197529</v>
      </c>
      <c r="U113">
        <f t="shared" si="15"/>
        <v>7.2801765603703696</v>
      </c>
      <c r="X113" s="9"/>
      <c r="Y113" s="22">
        <v>1.31134</v>
      </c>
      <c r="Z113" s="22">
        <v>15.696899999999999</v>
      </c>
      <c r="AA113" s="22">
        <v>-1.37787E-2</v>
      </c>
      <c r="AB113" s="22">
        <v>103</v>
      </c>
      <c r="AC113" s="22">
        <v>1.3104199999999999</v>
      </c>
      <c r="AD113">
        <f t="shared" si="16"/>
        <v>17.01074074074074</v>
      </c>
      <c r="AE113">
        <f t="shared" si="17"/>
        <v>22.30686476296296</v>
      </c>
      <c r="AF113" s="9"/>
      <c r="AG113" s="22">
        <v>0.41870099999999999</v>
      </c>
      <c r="AH113" s="22">
        <v>19.576499999999999</v>
      </c>
      <c r="AI113" s="22">
        <v>-1.4163200000000001E-2</v>
      </c>
      <c r="AJ113" s="22">
        <v>103</v>
      </c>
      <c r="AK113" s="22">
        <v>0.41799900000000001</v>
      </c>
      <c r="AL113">
        <f t="shared" si="18"/>
        <v>17.485432098765433</v>
      </c>
      <c r="AM113">
        <f t="shared" si="19"/>
        <v>7.3211679051851855</v>
      </c>
      <c r="AP113" s="9"/>
      <c r="AQ113" s="22">
        <v>1.31134</v>
      </c>
      <c r="AR113" s="22">
        <v>25.106100000000001</v>
      </c>
      <c r="AS113" s="22">
        <v>-1.38275E-2</v>
      </c>
      <c r="AT113" s="22">
        <v>103</v>
      </c>
      <c r="AU113" s="22">
        <v>1.31012</v>
      </c>
      <c r="AV113">
        <f t="shared" si="20"/>
        <v>17.070987654320987</v>
      </c>
      <c r="AW113">
        <f t="shared" si="21"/>
        <v>22.385868950617283</v>
      </c>
      <c r="AX113" s="9"/>
      <c r="AY113" s="22">
        <v>0.41870099999999999</v>
      </c>
      <c r="AZ113" s="22">
        <v>28.985700000000001</v>
      </c>
      <c r="BA113" s="22">
        <v>-1.4151E-2</v>
      </c>
      <c r="BB113" s="22">
        <v>103</v>
      </c>
      <c r="BC113" s="22">
        <v>0.41793799999999998</v>
      </c>
      <c r="BD113">
        <f t="shared" si="22"/>
        <v>17.470370370370368</v>
      </c>
      <c r="BE113">
        <f t="shared" si="23"/>
        <v>7.3148615444444429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6.2127100000000004</v>
      </c>
      <c r="I114" s="22">
        <v>-1.36597E-2</v>
      </c>
      <c r="J114" s="22">
        <v>104</v>
      </c>
      <c r="K114" s="22">
        <v>1.30524</v>
      </c>
      <c r="L114">
        <f t="shared" si="12"/>
        <v>16.863827160493827</v>
      </c>
      <c r="M114">
        <f t="shared" si="13"/>
        <v>22.029217419753085</v>
      </c>
      <c r="N114" s="9"/>
      <c r="O114" s="22">
        <v>0.42373699999999997</v>
      </c>
      <c r="P114" s="22">
        <v>10.0923</v>
      </c>
      <c r="Q114" s="22">
        <v>-1.4093E-2</v>
      </c>
      <c r="R114" s="22">
        <v>104</v>
      </c>
      <c r="S114" s="22">
        <v>0.42300399999999999</v>
      </c>
      <c r="T114">
        <f t="shared" si="14"/>
        <v>17.398765432098763</v>
      </c>
      <c r="U114">
        <f t="shared" si="15"/>
        <v>7.3725006679012335</v>
      </c>
      <c r="X114" s="9"/>
      <c r="Y114" s="22">
        <v>1.3063</v>
      </c>
      <c r="Z114" s="22">
        <v>15.706899999999999</v>
      </c>
      <c r="AA114" s="22">
        <v>-1.37848E-2</v>
      </c>
      <c r="AB114" s="22">
        <v>104</v>
      </c>
      <c r="AC114" s="22">
        <v>1.3055399999999999</v>
      </c>
      <c r="AD114">
        <f t="shared" si="16"/>
        <v>17.018271604938271</v>
      </c>
      <c r="AE114">
        <f t="shared" si="17"/>
        <v>22.230968197530864</v>
      </c>
      <c r="AF114" s="9"/>
      <c r="AG114" s="22">
        <v>0.42373699999999997</v>
      </c>
      <c r="AH114" s="22">
        <v>19.586500000000001</v>
      </c>
      <c r="AI114" s="22">
        <v>-1.4154099999999999E-2</v>
      </c>
      <c r="AJ114" s="22">
        <v>104</v>
      </c>
      <c r="AK114" s="22">
        <v>0.42294300000000001</v>
      </c>
      <c r="AL114">
        <f t="shared" si="18"/>
        <v>17.474197530864195</v>
      </c>
      <c r="AM114">
        <f t="shared" si="19"/>
        <v>7.4044640391358012</v>
      </c>
      <c r="AP114" s="9"/>
      <c r="AQ114" s="22">
        <v>1.3063</v>
      </c>
      <c r="AR114" s="22">
        <v>25.116199999999999</v>
      </c>
      <c r="AS114" s="22">
        <v>-1.38336E-2</v>
      </c>
      <c r="AT114" s="22">
        <v>104</v>
      </c>
      <c r="AU114" s="22">
        <v>1.30524</v>
      </c>
      <c r="AV114">
        <f t="shared" si="20"/>
        <v>17.078518518518518</v>
      </c>
      <c r="AW114">
        <f t="shared" si="21"/>
        <v>22.30966874074074</v>
      </c>
      <c r="AX114" s="9"/>
      <c r="AY114" s="22">
        <v>0.42373699999999997</v>
      </c>
      <c r="AZ114" s="22">
        <v>28.995799999999999</v>
      </c>
      <c r="BA114" s="22">
        <v>-1.41479E-2</v>
      </c>
      <c r="BB114" s="22">
        <v>104</v>
      </c>
      <c r="BC114" s="22">
        <v>0.42306500000000002</v>
      </c>
      <c r="BD114">
        <f t="shared" si="22"/>
        <v>17.466543209876541</v>
      </c>
      <c r="BE114">
        <f t="shared" si="23"/>
        <v>7.4012206201234552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6.2227800000000002</v>
      </c>
      <c r="I115" s="22">
        <v>-1.36597E-2</v>
      </c>
      <c r="J115" s="22">
        <v>105</v>
      </c>
      <c r="K115" s="22">
        <v>1.3003499999999999</v>
      </c>
      <c r="L115">
        <f t="shared" si="12"/>
        <v>16.863827160493827</v>
      </c>
      <c r="M115">
        <f t="shared" si="13"/>
        <v>21.944392369135802</v>
      </c>
      <c r="N115" s="9"/>
      <c r="O115" s="22">
        <v>0.42877199999999999</v>
      </c>
      <c r="P115" s="22">
        <v>10.102399999999999</v>
      </c>
      <c r="Q115" s="22">
        <v>-1.40961E-2</v>
      </c>
      <c r="R115" s="22">
        <v>105</v>
      </c>
      <c r="S115" s="22">
        <v>0.427979</v>
      </c>
      <c r="T115">
        <f t="shared" si="14"/>
        <v>17.40259259259259</v>
      </c>
      <c r="U115">
        <f t="shared" si="15"/>
        <v>7.4617444311111099</v>
      </c>
      <c r="X115" s="9"/>
      <c r="Y115" s="22">
        <v>1.3012699999999999</v>
      </c>
      <c r="Z115" s="22">
        <v>15.717000000000001</v>
      </c>
      <c r="AA115" s="22">
        <v>-1.3781699999999999E-2</v>
      </c>
      <c r="AB115" s="22">
        <v>105</v>
      </c>
      <c r="AC115" s="22">
        <v>1.3006599999999999</v>
      </c>
      <c r="AD115">
        <f t="shared" si="16"/>
        <v>17.014444444444443</v>
      </c>
      <c r="AE115">
        <f t="shared" si="17"/>
        <v>22.140386122222218</v>
      </c>
      <c r="AF115" s="9"/>
      <c r="AG115" s="22">
        <v>0.42877199999999999</v>
      </c>
      <c r="AH115" s="22">
        <v>19.596599999999999</v>
      </c>
      <c r="AI115" s="22">
        <v>-1.41479E-2</v>
      </c>
      <c r="AJ115" s="22">
        <v>105</v>
      </c>
      <c r="AK115" s="22">
        <v>0.42800899999999997</v>
      </c>
      <c r="AL115">
        <f t="shared" si="18"/>
        <v>17.466543209876541</v>
      </c>
      <c r="AM115">
        <f t="shared" si="19"/>
        <v>7.489164665185184</v>
      </c>
      <c r="AP115" s="9"/>
      <c r="AQ115" s="22">
        <v>1.3012699999999999</v>
      </c>
      <c r="AR115" s="22">
        <v>25.126200000000001</v>
      </c>
      <c r="AS115" s="22">
        <v>-1.38336E-2</v>
      </c>
      <c r="AT115" s="22">
        <v>105</v>
      </c>
      <c r="AU115" s="22">
        <v>1.3006599999999999</v>
      </c>
      <c r="AV115">
        <f t="shared" si="20"/>
        <v>17.078518518518518</v>
      </c>
      <c r="AW115">
        <f t="shared" si="21"/>
        <v>22.223763792592589</v>
      </c>
      <c r="AX115" s="9"/>
      <c r="AY115" s="22">
        <v>0.42877199999999999</v>
      </c>
      <c r="AZ115" s="22">
        <v>29.005800000000001</v>
      </c>
      <c r="BA115" s="22">
        <v>-1.41602E-2</v>
      </c>
      <c r="BB115" s="22">
        <v>105</v>
      </c>
      <c r="BC115" s="22">
        <v>0.42803999999999998</v>
      </c>
      <c r="BD115">
        <f t="shared" si="22"/>
        <v>17.481728395061729</v>
      </c>
      <c r="BE115">
        <f t="shared" si="23"/>
        <v>7.495675647407408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6.23285</v>
      </c>
      <c r="I116" s="22">
        <v>-1.3650499999999999E-2</v>
      </c>
      <c r="J116" s="22">
        <v>106</v>
      </c>
      <c r="K116" s="22">
        <v>1.2954699999999999</v>
      </c>
      <c r="L116">
        <f t="shared" si="12"/>
        <v>16.852469135802469</v>
      </c>
      <c r="M116">
        <f t="shared" si="13"/>
        <v>21.844676067901233</v>
      </c>
      <c r="N116" s="9"/>
      <c r="O116" s="22">
        <v>0.433807</v>
      </c>
      <c r="P116" s="22">
        <v>10.112500000000001</v>
      </c>
      <c r="Q116" s="22">
        <v>-1.40991E-2</v>
      </c>
      <c r="R116" s="22">
        <v>106</v>
      </c>
      <c r="S116" s="22">
        <v>0.43316700000000002</v>
      </c>
      <c r="T116">
        <f t="shared" si="14"/>
        <v>17.406296296296293</v>
      </c>
      <c r="U116">
        <f t="shared" si="15"/>
        <v>7.550973177407406</v>
      </c>
      <c r="X116" s="9"/>
      <c r="Y116" s="22">
        <v>1.29623</v>
      </c>
      <c r="Z116" s="22">
        <v>15.7271</v>
      </c>
      <c r="AA116" s="22">
        <v>-1.3787799999999999E-2</v>
      </c>
      <c r="AB116" s="22">
        <v>106</v>
      </c>
      <c r="AC116" s="22">
        <v>1.2951699999999999</v>
      </c>
      <c r="AD116">
        <f t="shared" si="16"/>
        <v>17.021975308641974</v>
      </c>
      <c r="AE116">
        <f t="shared" si="17"/>
        <v>22.064395054320986</v>
      </c>
      <c r="AF116" s="9"/>
      <c r="AG116" s="22">
        <v>0.433807</v>
      </c>
      <c r="AH116" s="22">
        <v>19.6067</v>
      </c>
      <c r="AI116" s="22">
        <v>-1.41479E-2</v>
      </c>
      <c r="AJ116" s="22">
        <v>106</v>
      </c>
      <c r="AK116" s="22">
        <v>0.43307499999999999</v>
      </c>
      <c r="AL116">
        <f t="shared" si="18"/>
        <v>17.466543209876541</v>
      </c>
      <c r="AM116">
        <f t="shared" si="19"/>
        <v>7.5771087102469128</v>
      </c>
      <c r="AP116" s="9"/>
      <c r="AQ116" s="22">
        <v>1.29623</v>
      </c>
      <c r="AR116" s="22">
        <v>25.136299999999999</v>
      </c>
      <c r="AS116" s="22">
        <v>-1.38397E-2</v>
      </c>
      <c r="AT116" s="22">
        <v>106</v>
      </c>
      <c r="AU116" s="22">
        <v>1.2948599999999999</v>
      </c>
      <c r="AV116">
        <f t="shared" si="20"/>
        <v>17.086049382716048</v>
      </c>
      <c r="AW116">
        <f t="shared" si="21"/>
        <v>22.147449791358024</v>
      </c>
      <c r="AX116" s="9"/>
      <c r="AY116" s="22">
        <v>0.433807</v>
      </c>
      <c r="AZ116" s="22">
        <v>29.015899999999998</v>
      </c>
      <c r="BA116" s="22">
        <v>-1.41663E-2</v>
      </c>
      <c r="BB116" s="22">
        <v>106</v>
      </c>
      <c r="BC116" s="22">
        <v>0.43307499999999999</v>
      </c>
      <c r="BD116">
        <f t="shared" si="22"/>
        <v>17.489259259259256</v>
      </c>
      <c r="BE116">
        <f t="shared" si="23"/>
        <v>7.5869630914814801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6.2429199999999998</v>
      </c>
      <c r="I117" s="22">
        <v>-1.3644399999999999E-2</v>
      </c>
      <c r="J117" s="22">
        <v>107</v>
      </c>
      <c r="K117" s="22">
        <v>1.2905899999999999</v>
      </c>
      <c r="L117">
        <f t="shared" si="12"/>
        <v>16.844938271604939</v>
      </c>
      <c r="M117">
        <f t="shared" si="13"/>
        <v>21.750184296296293</v>
      </c>
      <c r="N117" s="9"/>
      <c r="O117" s="22">
        <v>0.43884299999999998</v>
      </c>
      <c r="P117" s="22">
        <v>10.1225</v>
      </c>
      <c r="Q117" s="22">
        <v>-1.4093E-2</v>
      </c>
      <c r="R117" s="22">
        <v>107</v>
      </c>
      <c r="S117" s="22">
        <v>0.43817099999999998</v>
      </c>
      <c r="T117">
        <f t="shared" si="14"/>
        <v>17.398765432098763</v>
      </c>
      <c r="U117">
        <f t="shared" si="15"/>
        <v>7.6353264185185168</v>
      </c>
      <c r="X117" s="9"/>
      <c r="Y117" s="22">
        <v>1.2911999999999999</v>
      </c>
      <c r="Z117" s="22">
        <v>15.7371</v>
      </c>
      <c r="AA117" s="22">
        <v>-1.38E-2</v>
      </c>
      <c r="AB117" s="22">
        <v>107</v>
      </c>
      <c r="AC117" s="22">
        <v>1.2902800000000001</v>
      </c>
      <c r="AD117">
        <f t="shared" si="16"/>
        <v>17.037037037037035</v>
      </c>
      <c r="AE117">
        <f t="shared" si="17"/>
        <v>21.998222222222218</v>
      </c>
      <c r="AF117" s="9"/>
      <c r="AG117" s="22">
        <v>0.43884299999999998</v>
      </c>
      <c r="AH117" s="22">
        <v>19.616800000000001</v>
      </c>
      <c r="AI117" s="22">
        <v>-1.4151E-2</v>
      </c>
      <c r="AJ117" s="22">
        <v>107</v>
      </c>
      <c r="AK117" s="22">
        <v>0.43811</v>
      </c>
      <c r="AL117">
        <f t="shared" si="18"/>
        <v>17.470370370370368</v>
      </c>
      <c r="AM117">
        <f t="shared" si="19"/>
        <v>7.6667497444444432</v>
      </c>
      <c r="AP117" s="9"/>
      <c r="AQ117" s="22">
        <v>1.2911999999999999</v>
      </c>
      <c r="AR117" s="22">
        <v>25.1464</v>
      </c>
      <c r="AS117" s="22">
        <v>-1.38336E-2</v>
      </c>
      <c r="AT117" s="22">
        <v>107</v>
      </c>
      <c r="AU117" s="22">
        <v>1.2908900000000001</v>
      </c>
      <c r="AV117">
        <f t="shared" si="20"/>
        <v>17.078518518518518</v>
      </c>
      <c r="AW117">
        <f t="shared" si="21"/>
        <v>22.05178311111111</v>
      </c>
      <c r="AX117" s="9"/>
      <c r="AY117" s="22">
        <v>0.43884299999999998</v>
      </c>
      <c r="AZ117" s="22">
        <v>29.026</v>
      </c>
      <c r="BA117" s="22">
        <v>-1.4175399999999999E-2</v>
      </c>
      <c r="BB117" s="22">
        <v>107</v>
      </c>
      <c r="BC117" s="22">
        <v>0.43808000000000002</v>
      </c>
      <c r="BD117">
        <f t="shared" si="22"/>
        <v>17.500493827160494</v>
      </c>
      <c r="BE117">
        <f t="shared" si="23"/>
        <v>7.6799692125925922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6.2529899999999996</v>
      </c>
      <c r="I118" s="22">
        <v>-1.3644399999999999E-2</v>
      </c>
      <c r="J118" s="22">
        <v>108</v>
      </c>
      <c r="K118" s="22">
        <v>1.2847900000000001</v>
      </c>
      <c r="L118">
        <f t="shared" si="12"/>
        <v>16.844938271604939</v>
      </c>
      <c r="M118">
        <f t="shared" si="13"/>
        <v>21.665285807407408</v>
      </c>
      <c r="N118" s="9"/>
      <c r="O118" s="22">
        <v>0.44387799999999999</v>
      </c>
      <c r="P118" s="22">
        <v>10.1326</v>
      </c>
      <c r="Q118" s="22">
        <v>-1.40991E-2</v>
      </c>
      <c r="R118" s="22">
        <v>108</v>
      </c>
      <c r="S118" s="22">
        <v>0.44317600000000001</v>
      </c>
      <c r="T118">
        <f t="shared" si="14"/>
        <v>17.406296296296293</v>
      </c>
      <c r="U118">
        <f t="shared" si="15"/>
        <v>7.7262719874074062</v>
      </c>
      <c r="X118" s="9"/>
      <c r="Y118" s="22">
        <v>1.28616</v>
      </c>
      <c r="Z118" s="22">
        <v>15.747199999999999</v>
      </c>
      <c r="AA118" s="22">
        <v>-1.38123E-2</v>
      </c>
      <c r="AB118" s="22">
        <v>108</v>
      </c>
      <c r="AC118" s="22">
        <v>1.2854000000000001</v>
      </c>
      <c r="AD118">
        <f t="shared" si="16"/>
        <v>17.052222222222223</v>
      </c>
      <c r="AE118">
        <f t="shared" si="17"/>
        <v>21.931886133333336</v>
      </c>
      <c r="AF118" s="9"/>
      <c r="AG118" s="22">
        <v>0.44387799999999999</v>
      </c>
      <c r="AH118" s="22">
        <v>19.626799999999999</v>
      </c>
      <c r="AI118" s="22">
        <v>-1.41479E-2</v>
      </c>
      <c r="AJ118" s="22">
        <v>108</v>
      </c>
      <c r="AK118" s="22">
        <v>0.44314599999999998</v>
      </c>
      <c r="AL118">
        <f t="shared" si="18"/>
        <v>17.466543209876541</v>
      </c>
      <c r="AM118">
        <f t="shared" si="19"/>
        <v>7.7530142669135786</v>
      </c>
      <c r="AP118" s="9"/>
      <c r="AQ118" s="22">
        <v>1.28616</v>
      </c>
      <c r="AR118" s="22">
        <v>25.156400000000001</v>
      </c>
      <c r="AS118" s="22">
        <v>-1.38367E-2</v>
      </c>
      <c r="AT118" s="22">
        <v>108</v>
      </c>
      <c r="AU118" s="22">
        <v>1.2847900000000001</v>
      </c>
      <c r="AV118">
        <f t="shared" si="20"/>
        <v>17.082345679012345</v>
      </c>
      <c r="AW118">
        <f t="shared" si="21"/>
        <v>21.970629718518516</v>
      </c>
      <c r="AX118" s="9"/>
      <c r="AY118" s="22">
        <v>0.44387799999999999</v>
      </c>
      <c r="AZ118" s="22">
        <v>29.036100000000001</v>
      </c>
      <c r="BA118" s="22">
        <v>-1.41724E-2</v>
      </c>
      <c r="BB118" s="22">
        <v>108</v>
      </c>
      <c r="BC118" s="22">
        <v>0.44308500000000001</v>
      </c>
      <c r="BD118">
        <f t="shared" si="22"/>
        <v>17.496790123456787</v>
      </c>
      <c r="BE118">
        <f t="shared" si="23"/>
        <v>7.7664402064197517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6.2630600000000003</v>
      </c>
      <c r="I119" s="22">
        <v>-1.36566E-2</v>
      </c>
      <c r="J119" s="22">
        <v>109</v>
      </c>
      <c r="K119" s="22">
        <v>1.2796000000000001</v>
      </c>
      <c r="L119">
        <f t="shared" si="12"/>
        <v>16.86</v>
      </c>
      <c r="M119">
        <f t="shared" si="13"/>
        <v>21.5998518</v>
      </c>
      <c r="N119" s="9"/>
      <c r="O119" s="22">
        <v>0.44891399999999998</v>
      </c>
      <c r="P119" s="22">
        <v>10.1427</v>
      </c>
      <c r="Q119" s="22">
        <v>-1.4108300000000001E-2</v>
      </c>
      <c r="R119" s="22">
        <v>109</v>
      </c>
      <c r="S119" s="22">
        <v>0.448212</v>
      </c>
      <c r="T119">
        <f t="shared" si="14"/>
        <v>17.417654320987655</v>
      </c>
      <c r="U119">
        <f t="shared" si="15"/>
        <v>7.8190288718518515</v>
      </c>
      <c r="X119" s="9"/>
      <c r="Y119" s="22">
        <v>1.2811300000000001</v>
      </c>
      <c r="Z119" s="22">
        <v>15.757300000000001</v>
      </c>
      <c r="AA119" s="22">
        <v>-1.38184E-2</v>
      </c>
      <c r="AB119" s="22">
        <v>109</v>
      </c>
      <c r="AC119" s="22">
        <v>1.2808200000000001</v>
      </c>
      <c r="AD119">
        <f t="shared" si="16"/>
        <v>17.05975308641975</v>
      </c>
      <c r="AE119">
        <f t="shared" si="17"/>
        <v>21.855761471604936</v>
      </c>
      <c r="AF119" s="9"/>
      <c r="AG119" s="22">
        <v>0.44891399999999998</v>
      </c>
      <c r="AH119" s="22">
        <v>19.636900000000001</v>
      </c>
      <c r="AI119" s="22">
        <v>-1.4151E-2</v>
      </c>
      <c r="AJ119" s="22">
        <v>109</v>
      </c>
      <c r="AK119" s="22">
        <v>0.44812000000000002</v>
      </c>
      <c r="AL119">
        <f t="shared" si="18"/>
        <v>17.470370370370368</v>
      </c>
      <c r="AM119">
        <f t="shared" si="19"/>
        <v>7.842693844444443</v>
      </c>
      <c r="AP119" s="9"/>
      <c r="AQ119" s="22">
        <v>1.2811300000000001</v>
      </c>
      <c r="AR119" s="22">
        <v>25.166499999999999</v>
      </c>
      <c r="AS119" s="22">
        <v>-1.3848900000000001E-2</v>
      </c>
      <c r="AT119" s="22">
        <v>109</v>
      </c>
      <c r="AU119" s="22">
        <v>1.2802100000000001</v>
      </c>
      <c r="AV119">
        <f t="shared" si="20"/>
        <v>17.09740740740741</v>
      </c>
      <c r="AW119">
        <f t="shared" si="21"/>
        <v>21.904001551851856</v>
      </c>
      <c r="AX119" s="9"/>
      <c r="AY119" s="22">
        <v>0.44891399999999998</v>
      </c>
      <c r="AZ119" s="22">
        <v>29.046099999999999</v>
      </c>
      <c r="BA119" s="22">
        <v>-1.41785E-2</v>
      </c>
      <c r="BB119" s="22">
        <v>109</v>
      </c>
      <c r="BC119" s="22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6.2731300000000001</v>
      </c>
      <c r="I120" s="22">
        <v>-1.36688E-2</v>
      </c>
      <c r="J120" s="22">
        <v>110</v>
      </c>
      <c r="K120" s="22">
        <v>1.27502</v>
      </c>
      <c r="L120">
        <f t="shared" si="12"/>
        <v>16.87506172839506</v>
      </c>
      <c r="M120">
        <f t="shared" si="13"/>
        <v>21.53409752098765</v>
      </c>
      <c r="N120" s="9"/>
      <c r="O120" s="22">
        <v>0.45394899999999999</v>
      </c>
      <c r="P120" s="22">
        <v>10.152699999999999</v>
      </c>
      <c r="Q120" s="22">
        <v>-1.41174E-2</v>
      </c>
      <c r="R120" s="22">
        <v>110</v>
      </c>
      <c r="S120" s="22">
        <v>0.45318599999999998</v>
      </c>
      <c r="T120">
        <f t="shared" si="14"/>
        <v>17.428888888888888</v>
      </c>
      <c r="U120">
        <f t="shared" si="15"/>
        <v>7.9118266822222223</v>
      </c>
      <c r="X120" s="9"/>
      <c r="Y120" s="22">
        <v>1.2760899999999999</v>
      </c>
      <c r="Z120" s="22">
        <v>15.7674</v>
      </c>
      <c r="AA120" s="22">
        <v>-1.38275E-2</v>
      </c>
      <c r="AB120" s="22">
        <v>110</v>
      </c>
      <c r="AC120" s="22">
        <v>1.27502</v>
      </c>
      <c r="AD120">
        <f t="shared" si="16"/>
        <v>17.070987654320987</v>
      </c>
      <c r="AE120">
        <f t="shared" si="17"/>
        <v>21.784116635802469</v>
      </c>
      <c r="AF120" s="9"/>
      <c r="AG120" s="22">
        <v>0.45394899999999999</v>
      </c>
      <c r="AH120" s="22">
        <v>19.646999999999998</v>
      </c>
      <c r="AI120" s="22">
        <v>-1.4157100000000001E-2</v>
      </c>
      <c r="AJ120" s="22">
        <v>110</v>
      </c>
      <c r="AK120" s="22">
        <v>0.45318599999999998</v>
      </c>
      <c r="AL120">
        <f t="shared" si="18"/>
        <v>17.477901234567902</v>
      </c>
      <c r="AM120">
        <f t="shared" si="19"/>
        <v>7.9340757875308645</v>
      </c>
      <c r="AP120" s="9"/>
      <c r="AQ120" s="22">
        <v>1.2760899999999999</v>
      </c>
      <c r="AR120" s="22">
        <v>25.176600000000001</v>
      </c>
      <c r="AS120" s="22">
        <v>-1.3848900000000001E-2</v>
      </c>
      <c r="AT120" s="22">
        <v>110</v>
      </c>
      <c r="AU120" s="22">
        <v>1.27563</v>
      </c>
      <c r="AV120">
        <f t="shared" si="20"/>
        <v>17.09740740740741</v>
      </c>
      <c r="AW120">
        <f t="shared" si="21"/>
        <v>21.817830618518521</v>
      </c>
      <c r="AX120" s="9"/>
      <c r="AY120" s="22">
        <v>0.45394899999999999</v>
      </c>
      <c r="AZ120" s="22">
        <v>29.0562</v>
      </c>
      <c r="BA120" s="22">
        <v>-1.41846E-2</v>
      </c>
      <c r="BB120" s="22">
        <v>110</v>
      </c>
      <c r="BC120" s="22">
        <v>0.45318599999999998</v>
      </c>
      <c r="BD120">
        <f t="shared" si="22"/>
        <v>17.511851851851851</v>
      </c>
      <c r="BE120">
        <f t="shared" si="23"/>
        <v>7.9494876362962961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6.2831999999999999</v>
      </c>
      <c r="I121" s="22">
        <v>-1.3681E-2</v>
      </c>
      <c r="J121" s="22">
        <v>111</v>
      </c>
      <c r="K121" s="22">
        <v>1.2698400000000001</v>
      </c>
      <c r="L121">
        <f t="shared" si="12"/>
        <v>16.890123456790121</v>
      </c>
      <c r="M121">
        <f t="shared" si="13"/>
        <v>21.468360320987653</v>
      </c>
      <c r="N121" s="9"/>
      <c r="O121" s="22">
        <v>0.458984</v>
      </c>
      <c r="P121" s="22">
        <v>10.162800000000001</v>
      </c>
      <c r="Q121" s="22">
        <v>-1.4120499999999999E-2</v>
      </c>
      <c r="R121" s="22">
        <v>111</v>
      </c>
      <c r="S121" s="22">
        <v>0.45822099999999999</v>
      </c>
      <c r="T121">
        <f t="shared" si="14"/>
        <v>17.432716049382716</v>
      </c>
      <c r="U121">
        <f t="shared" si="15"/>
        <v>8.0013377432098771</v>
      </c>
      <c r="X121" s="9"/>
      <c r="Y121" s="22">
        <v>1.2710600000000001</v>
      </c>
      <c r="Z121" s="22">
        <v>15.7774</v>
      </c>
      <c r="AA121" s="22">
        <v>-1.38367E-2</v>
      </c>
      <c r="AB121" s="22">
        <v>111</v>
      </c>
      <c r="AC121" s="22">
        <v>1.27014</v>
      </c>
      <c r="AD121">
        <f t="shared" si="16"/>
        <v>17.082345679012345</v>
      </c>
      <c r="AE121">
        <f t="shared" si="17"/>
        <v>21.712686298765433</v>
      </c>
      <c r="AF121" s="9"/>
      <c r="AG121" s="22">
        <v>0.458984</v>
      </c>
      <c r="AH121" s="22">
        <v>19.657</v>
      </c>
      <c r="AI121" s="22">
        <v>-1.4163200000000001E-2</v>
      </c>
      <c r="AJ121" s="22">
        <v>111</v>
      </c>
      <c r="AK121" s="22">
        <v>0.45822099999999999</v>
      </c>
      <c r="AL121">
        <f t="shared" si="18"/>
        <v>17.485432098765433</v>
      </c>
      <c r="AM121">
        <f t="shared" si="19"/>
        <v>8.0255335664197531</v>
      </c>
      <c r="AP121" s="9"/>
      <c r="AQ121" s="22">
        <v>1.2710600000000001</v>
      </c>
      <c r="AR121" s="22">
        <v>25.186699999999998</v>
      </c>
      <c r="AS121" s="22">
        <v>-1.38458E-2</v>
      </c>
      <c r="AT121" s="22">
        <v>111</v>
      </c>
      <c r="AU121" s="22">
        <v>1.27014</v>
      </c>
      <c r="AV121">
        <f t="shared" si="20"/>
        <v>17.093580246913579</v>
      </c>
      <c r="AW121">
        <f t="shared" si="21"/>
        <v>21.726966108641975</v>
      </c>
      <c r="AX121" s="9"/>
      <c r="AY121" s="22">
        <v>0.458984</v>
      </c>
      <c r="AZ121" s="22">
        <v>29.066299999999998</v>
      </c>
      <c r="BA121" s="22">
        <v>-1.41846E-2</v>
      </c>
      <c r="BB121" s="22">
        <v>111</v>
      </c>
      <c r="BC121" s="22">
        <v>0.45828200000000002</v>
      </c>
      <c r="BD121">
        <f t="shared" si="22"/>
        <v>17.511851851851851</v>
      </c>
      <c r="BE121">
        <f t="shared" si="23"/>
        <v>8.0376598103703696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6.2932699999999997</v>
      </c>
      <c r="I122" s="22">
        <v>-1.3687100000000001E-2</v>
      </c>
      <c r="J122" s="22">
        <v>112</v>
      </c>
      <c r="K122" s="22">
        <v>1.26495</v>
      </c>
      <c r="L122">
        <f t="shared" si="12"/>
        <v>16.897654320987655</v>
      </c>
      <c r="M122">
        <f t="shared" si="13"/>
        <v>21.392768323456789</v>
      </c>
      <c r="N122" s="9"/>
      <c r="O122" s="22">
        <v>0.46401999999999999</v>
      </c>
      <c r="P122" s="22">
        <v>10.1729</v>
      </c>
      <c r="Q122" s="22">
        <v>-1.41174E-2</v>
      </c>
      <c r="R122" s="22">
        <v>112</v>
      </c>
      <c r="S122" s="22">
        <v>0.46334799999999998</v>
      </c>
      <c r="T122">
        <f t="shared" si="14"/>
        <v>17.428888888888888</v>
      </c>
      <c r="U122">
        <f t="shared" si="15"/>
        <v>8.0873530222222225</v>
      </c>
      <c r="X122" s="9"/>
      <c r="Y122" s="22">
        <v>1.2660199999999999</v>
      </c>
      <c r="Z122" s="22">
        <v>15.7875</v>
      </c>
      <c r="AA122" s="22">
        <v>-1.3842800000000001E-2</v>
      </c>
      <c r="AB122" s="22">
        <v>112</v>
      </c>
      <c r="AC122" s="22">
        <v>1.26495</v>
      </c>
      <c r="AD122">
        <f t="shared" si="16"/>
        <v>17.089876543209876</v>
      </c>
      <c r="AE122">
        <f t="shared" si="17"/>
        <v>21.636125501234567</v>
      </c>
      <c r="AF122" s="9"/>
      <c r="AG122" s="22">
        <v>0.46401999999999999</v>
      </c>
      <c r="AH122" s="22">
        <v>19.667100000000001</v>
      </c>
      <c r="AI122" s="22">
        <v>-1.41602E-2</v>
      </c>
      <c r="AJ122" s="22">
        <v>112</v>
      </c>
      <c r="AK122" s="22">
        <v>0.46331800000000001</v>
      </c>
      <c r="AL122">
        <f t="shared" si="18"/>
        <v>17.481728395061729</v>
      </c>
      <c r="AM122">
        <f t="shared" si="19"/>
        <v>8.1118716098765429</v>
      </c>
      <c r="AP122" s="9"/>
      <c r="AQ122" s="22">
        <v>1.2660199999999999</v>
      </c>
      <c r="AR122" s="22">
        <v>25.1967</v>
      </c>
      <c r="AS122" s="22">
        <v>-1.3858000000000001E-2</v>
      </c>
      <c r="AT122" s="22">
        <v>112</v>
      </c>
      <c r="AU122" s="22">
        <v>1.2646500000000001</v>
      </c>
      <c r="AV122">
        <f t="shared" si="20"/>
        <v>17.10864197530864</v>
      </c>
      <c r="AW122">
        <f t="shared" si="21"/>
        <v>21.659882913580244</v>
      </c>
      <c r="AX122" s="9"/>
      <c r="AY122" s="22">
        <v>0.46401999999999999</v>
      </c>
      <c r="AZ122" s="22">
        <v>29.0763</v>
      </c>
      <c r="BA122" s="22">
        <v>-1.41815E-2</v>
      </c>
      <c r="BB122" s="22">
        <v>112</v>
      </c>
      <c r="BC122" s="22">
        <v>0.46325699999999997</v>
      </c>
      <c r="BD122">
        <f t="shared" si="22"/>
        <v>17.508024691358024</v>
      </c>
      <c r="BE122">
        <f t="shared" si="23"/>
        <v>8.1240736172839494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6.3033400000000004</v>
      </c>
      <c r="I123" s="22">
        <v>-1.36902E-2</v>
      </c>
      <c r="J123" s="22">
        <v>113</v>
      </c>
      <c r="K123" s="22">
        <v>1.2603800000000001</v>
      </c>
      <c r="L123">
        <f t="shared" si="12"/>
        <v>16.901481481481479</v>
      </c>
      <c r="M123">
        <f t="shared" si="13"/>
        <v>21.312599133333332</v>
      </c>
      <c r="N123" s="9"/>
      <c r="O123" s="22">
        <v>0.469055</v>
      </c>
      <c r="P123" s="22">
        <v>10.183</v>
      </c>
      <c r="Q123" s="22">
        <v>-1.41174E-2</v>
      </c>
      <c r="R123" s="22">
        <v>113</v>
      </c>
      <c r="S123" s="22">
        <v>0.46838400000000002</v>
      </c>
      <c r="T123">
        <f t="shared" si="14"/>
        <v>17.428888888888888</v>
      </c>
      <c r="U123">
        <f t="shared" si="15"/>
        <v>8.175107477777777</v>
      </c>
      <c r="X123" s="9"/>
      <c r="Y123" s="22">
        <v>1.2609900000000001</v>
      </c>
      <c r="Z123" s="22">
        <v>15.797599999999999</v>
      </c>
      <c r="AA123" s="22">
        <v>-1.38458E-2</v>
      </c>
      <c r="AB123" s="22">
        <v>113</v>
      </c>
      <c r="AC123" s="22">
        <v>1.26007</v>
      </c>
      <c r="AD123">
        <f t="shared" si="16"/>
        <v>17.093580246913579</v>
      </c>
      <c r="AE123">
        <f t="shared" si="17"/>
        <v>21.554833755555556</v>
      </c>
      <c r="AF123" s="9"/>
      <c r="AG123" s="22">
        <v>0.469055</v>
      </c>
      <c r="AH123" s="22">
        <v>19.677199999999999</v>
      </c>
      <c r="AI123" s="22">
        <v>-1.4154099999999999E-2</v>
      </c>
      <c r="AJ123" s="22">
        <v>113</v>
      </c>
      <c r="AK123" s="22">
        <v>0.46832299999999999</v>
      </c>
      <c r="AL123">
        <f t="shared" si="18"/>
        <v>17.474197530864195</v>
      </c>
      <c r="AM123">
        <f t="shared" si="19"/>
        <v>8.1963597228395049</v>
      </c>
      <c r="AP123" s="9"/>
      <c r="AQ123" s="22">
        <v>1.2609900000000001</v>
      </c>
      <c r="AR123" s="22">
        <v>25.206800000000001</v>
      </c>
      <c r="AS123" s="22">
        <v>-1.3870199999999999E-2</v>
      </c>
      <c r="AT123" s="22">
        <v>113</v>
      </c>
      <c r="AU123" s="22">
        <v>1.25946</v>
      </c>
      <c r="AV123">
        <f t="shared" si="20"/>
        <v>17.123703703703701</v>
      </c>
      <c r="AW123">
        <f t="shared" si="21"/>
        <v>21.592819133333329</v>
      </c>
      <c r="AX123" s="9"/>
      <c r="AY123" s="22">
        <v>0.469055</v>
      </c>
      <c r="AZ123" s="22">
        <v>29.086400000000001</v>
      </c>
      <c r="BA123" s="22">
        <v>-1.4175399999999999E-2</v>
      </c>
      <c r="BB123" s="22">
        <v>113</v>
      </c>
      <c r="BC123" s="22">
        <v>0.46835300000000002</v>
      </c>
      <c r="BD123">
        <f t="shared" si="22"/>
        <v>17.500493827160494</v>
      </c>
      <c r="BE123">
        <f t="shared" si="23"/>
        <v>8.2086941320987652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6.3134199999999998</v>
      </c>
      <c r="I124" s="22">
        <v>-1.3699299999999999E-2</v>
      </c>
      <c r="J124" s="22">
        <v>114</v>
      </c>
      <c r="K124" s="22">
        <v>1.25549</v>
      </c>
      <c r="L124">
        <f t="shared" si="12"/>
        <v>16.912716049382716</v>
      </c>
      <c r="M124">
        <f t="shared" si="13"/>
        <v>21.241525722222221</v>
      </c>
      <c r="N124" s="9"/>
      <c r="O124" s="22">
        <v>0.47409099999999998</v>
      </c>
      <c r="P124" s="22">
        <v>10.193</v>
      </c>
      <c r="Q124" s="22">
        <v>-1.41174E-2</v>
      </c>
      <c r="R124" s="22">
        <v>114</v>
      </c>
      <c r="S124" s="22">
        <v>0.473358</v>
      </c>
      <c r="T124">
        <f t="shared" si="14"/>
        <v>17.428888888888888</v>
      </c>
      <c r="U124">
        <f t="shared" si="15"/>
        <v>8.2628793622222219</v>
      </c>
      <c r="X124" s="9"/>
      <c r="Y124" s="22">
        <v>1.2559499999999999</v>
      </c>
      <c r="Z124" s="22">
        <v>15.807600000000001</v>
      </c>
      <c r="AA124" s="22">
        <v>-1.38519E-2</v>
      </c>
      <c r="AB124" s="22">
        <v>114</v>
      </c>
      <c r="AC124" s="22">
        <v>1.25458</v>
      </c>
      <c r="AD124">
        <f t="shared" si="16"/>
        <v>17.101111111111113</v>
      </c>
      <c r="AE124">
        <f t="shared" si="17"/>
        <v>21.478140499999999</v>
      </c>
      <c r="AF124" s="9"/>
      <c r="AG124" s="22">
        <v>0.47409099999999998</v>
      </c>
      <c r="AH124" s="22">
        <v>19.6873</v>
      </c>
      <c r="AI124" s="22">
        <v>-1.41449E-2</v>
      </c>
      <c r="AJ124" s="22">
        <v>114</v>
      </c>
      <c r="AK124" s="22">
        <v>0.47329700000000002</v>
      </c>
      <c r="AL124">
        <f t="shared" si="18"/>
        <v>17.462839506172838</v>
      </c>
      <c r="AM124">
        <f t="shared" si="19"/>
        <v>8.2789750443209869</v>
      </c>
      <c r="AP124" s="9"/>
      <c r="AQ124" s="22">
        <v>1.2559499999999999</v>
      </c>
      <c r="AR124" s="22">
        <v>25.216899999999999</v>
      </c>
      <c r="AS124" s="22">
        <v>-1.38794E-2</v>
      </c>
      <c r="AT124" s="22">
        <v>114</v>
      </c>
      <c r="AU124" s="22">
        <v>1.25488</v>
      </c>
      <c r="AV124">
        <f t="shared" si="20"/>
        <v>17.135061728395058</v>
      </c>
      <c r="AW124">
        <f t="shared" si="21"/>
        <v>21.520780777777773</v>
      </c>
      <c r="AX124" s="9"/>
      <c r="AY124" s="22">
        <v>0.47409099999999998</v>
      </c>
      <c r="AZ124" s="22">
        <v>29.096499999999999</v>
      </c>
      <c r="BA124" s="22">
        <v>-1.41785E-2</v>
      </c>
      <c r="BB124" s="22">
        <v>114</v>
      </c>
      <c r="BC124" s="22">
        <v>0.47332800000000003</v>
      </c>
      <c r="BD124">
        <f t="shared" si="22"/>
        <v>17.504320987654321</v>
      </c>
      <c r="BE124">
        <f t="shared" si="23"/>
        <v>8.2986410413580245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6.3234899999999996</v>
      </c>
      <c r="I125" s="22">
        <v>-1.37115E-2</v>
      </c>
      <c r="J125" s="22">
        <v>115</v>
      </c>
      <c r="K125" s="22">
        <v>1.24969</v>
      </c>
      <c r="L125">
        <f t="shared" si="12"/>
        <v>16.927777777777777</v>
      </c>
      <c r="M125">
        <f t="shared" si="13"/>
        <v>21.175295777777777</v>
      </c>
      <c r="N125" s="9"/>
      <c r="O125" s="22">
        <v>0.479126</v>
      </c>
      <c r="P125" s="22">
        <v>10.203099999999999</v>
      </c>
      <c r="Q125" s="22">
        <v>-1.41174E-2</v>
      </c>
      <c r="R125" s="22">
        <v>115</v>
      </c>
      <c r="S125" s="22">
        <v>0.47836299999999998</v>
      </c>
      <c r="T125">
        <f t="shared" si="14"/>
        <v>17.428888888888888</v>
      </c>
      <c r="U125">
        <f t="shared" si="15"/>
        <v>8.3506338177777781</v>
      </c>
      <c r="X125" s="9"/>
      <c r="Y125" s="22">
        <v>1.25092</v>
      </c>
      <c r="Z125" s="22">
        <v>15.8177</v>
      </c>
      <c r="AA125" s="22">
        <v>-1.3854999999999999E-2</v>
      </c>
      <c r="AB125" s="22">
        <v>115</v>
      </c>
      <c r="AC125" s="22">
        <v>1.24969</v>
      </c>
      <c r="AD125">
        <f t="shared" si="16"/>
        <v>17.104938271604937</v>
      </c>
      <c r="AE125">
        <f t="shared" si="17"/>
        <v>21.396909382716046</v>
      </c>
      <c r="AF125" s="9"/>
      <c r="AG125" s="22">
        <v>0.479126</v>
      </c>
      <c r="AH125" s="22">
        <v>19.697299999999998</v>
      </c>
      <c r="AI125" s="22">
        <v>-1.4135699999999999E-2</v>
      </c>
      <c r="AJ125" s="22">
        <v>115</v>
      </c>
      <c r="AK125" s="22">
        <v>0.47833300000000001</v>
      </c>
      <c r="AL125">
        <f t="shared" si="18"/>
        <v>17.45148148148148</v>
      </c>
      <c r="AM125">
        <f t="shared" si="19"/>
        <v>8.3614585162962953</v>
      </c>
      <c r="AP125" s="9"/>
      <c r="AQ125" s="22">
        <v>1.25092</v>
      </c>
      <c r="AR125" s="22">
        <v>25.226900000000001</v>
      </c>
      <c r="AS125" s="22">
        <v>-1.38885E-2</v>
      </c>
      <c r="AT125" s="22">
        <v>115</v>
      </c>
      <c r="AU125" s="22">
        <v>1.25</v>
      </c>
      <c r="AV125">
        <f t="shared" si="20"/>
        <v>17.146296296296295</v>
      </c>
      <c r="AW125">
        <f t="shared" si="21"/>
        <v>21.448644962962963</v>
      </c>
      <c r="AX125" s="9"/>
      <c r="AY125" s="22">
        <v>0.479126</v>
      </c>
      <c r="AZ125" s="22">
        <v>29.1066</v>
      </c>
      <c r="BA125" s="22">
        <v>-1.41785E-2</v>
      </c>
      <c r="BB125" s="22">
        <v>115</v>
      </c>
      <c r="BC125" s="22">
        <v>0.47842400000000002</v>
      </c>
      <c r="BD125">
        <f t="shared" si="22"/>
        <v>17.504320987654321</v>
      </c>
      <c r="BE125">
        <f t="shared" si="23"/>
        <v>8.386775297530864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6.3335600000000003</v>
      </c>
      <c r="I126" s="22">
        <v>-1.37238E-2</v>
      </c>
      <c r="J126" s="22">
        <v>116</v>
      </c>
      <c r="K126" s="22">
        <v>1.24542</v>
      </c>
      <c r="L126">
        <f t="shared" si="12"/>
        <v>16.942962962962962</v>
      </c>
      <c r="M126">
        <f t="shared" si="13"/>
        <v>21.108898696296297</v>
      </c>
      <c r="N126" s="9"/>
      <c r="O126" s="22">
        <v>0.48416100000000001</v>
      </c>
      <c r="P126" s="22">
        <v>10.213200000000001</v>
      </c>
      <c r="Q126" s="22">
        <v>-1.41113E-2</v>
      </c>
      <c r="R126" s="22">
        <v>116</v>
      </c>
      <c r="S126" s="22">
        <v>0.48336800000000002</v>
      </c>
      <c r="T126">
        <f t="shared" si="14"/>
        <v>17.421358024691358</v>
      </c>
      <c r="U126">
        <f t="shared" si="15"/>
        <v>8.434742122592592</v>
      </c>
      <c r="X126" s="9"/>
      <c r="Y126" s="22">
        <v>1.2458800000000001</v>
      </c>
      <c r="Z126" s="22">
        <v>15.8278</v>
      </c>
      <c r="AA126" s="22">
        <v>-1.3858000000000001E-2</v>
      </c>
      <c r="AB126" s="22">
        <v>116</v>
      </c>
      <c r="AC126" s="22">
        <v>1.24542</v>
      </c>
      <c r="AD126">
        <f t="shared" si="16"/>
        <v>17.10864197530864</v>
      </c>
      <c r="AE126">
        <f t="shared" si="17"/>
        <v>21.315314864197529</v>
      </c>
      <c r="AF126" s="9"/>
      <c r="AG126" s="22">
        <v>0.48416100000000001</v>
      </c>
      <c r="AH126" s="22">
        <v>19.7074</v>
      </c>
      <c r="AI126" s="22">
        <v>-1.41479E-2</v>
      </c>
      <c r="AJ126" s="22">
        <v>116</v>
      </c>
      <c r="AK126" s="22">
        <v>0.48339799999999999</v>
      </c>
      <c r="AL126">
        <f t="shared" si="18"/>
        <v>17.466543209876541</v>
      </c>
      <c r="AM126">
        <f t="shared" si="19"/>
        <v>8.4566190270370356</v>
      </c>
      <c r="AP126" s="9"/>
      <c r="AQ126" s="22">
        <v>1.2458800000000001</v>
      </c>
      <c r="AR126" s="22">
        <v>25.236999999999998</v>
      </c>
      <c r="AS126" s="22">
        <v>-1.3897700000000001E-2</v>
      </c>
      <c r="AT126" s="22">
        <v>116</v>
      </c>
      <c r="AU126" s="22">
        <v>1.24542</v>
      </c>
      <c r="AV126">
        <f t="shared" si="20"/>
        <v>17.157654320987653</v>
      </c>
      <c r="AW126">
        <f t="shared" si="21"/>
        <v>21.3763783654321</v>
      </c>
      <c r="AX126" s="9"/>
      <c r="AY126" s="22">
        <v>0.48416100000000001</v>
      </c>
      <c r="AZ126" s="22">
        <v>29.116599999999998</v>
      </c>
      <c r="BA126" s="22">
        <v>-1.41785E-2</v>
      </c>
      <c r="BB126" s="22">
        <v>116</v>
      </c>
      <c r="BC126" s="22">
        <v>0.48336800000000002</v>
      </c>
      <c r="BD126">
        <f t="shared" si="22"/>
        <v>17.504320987654321</v>
      </c>
      <c r="BE126">
        <f t="shared" si="23"/>
        <v>8.4749095537037036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6.3436300000000001</v>
      </c>
      <c r="I127" s="22">
        <v>-1.3732899999999999E-2</v>
      </c>
      <c r="J127" s="22">
        <v>117</v>
      </c>
      <c r="K127" s="22">
        <v>1.23993</v>
      </c>
      <c r="L127">
        <f t="shared" si="12"/>
        <v>16.954197530864196</v>
      </c>
      <c r="M127">
        <f t="shared" si="13"/>
        <v>21.037446464197529</v>
      </c>
      <c r="N127" s="9"/>
      <c r="O127" s="22">
        <v>0.48919699999999999</v>
      </c>
      <c r="P127" s="22">
        <v>10.2232</v>
      </c>
      <c r="Q127" s="22">
        <v>-1.41022E-2</v>
      </c>
      <c r="R127" s="22">
        <v>117</v>
      </c>
      <c r="S127" s="22">
        <v>0.48840299999999998</v>
      </c>
      <c r="T127">
        <f t="shared" si="14"/>
        <v>17.410123456790124</v>
      </c>
      <c r="U127">
        <f t="shared" si="15"/>
        <v>8.5169801646913577</v>
      </c>
      <c r="X127" s="9"/>
      <c r="Y127" s="22">
        <v>1.2408399999999999</v>
      </c>
      <c r="Z127" s="22">
        <v>15.837899999999999</v>
      </c>
      <c r="AA127" s="22">
        <v>-1.38672E-2</v>
      </c>
      <c r="AB127" s="22">
        <v>117</v>
      </c>
      <c r="AC127" s="22">
        <v>1.2402299999999999</v>
      </c>
      <c r="AD127">
        <f t="shared" si="16"/>
        <v>17.12</v>
      </c>
      <c r="AE127">
        <f t="shared" si="17"/>
        <v>21.243180800000001</v>
      </c>
      <c r="AF127" s="9"/>
      <c r="AG127" s="22">
        <v>0.48919699999999999</v>
      </c>
      <c r="AH127" s="22">
        <v>19.717500000000001</v>
      </c>
      <c r="AI127" s="22">
        <v>-1.41602E-2</v>
      </c>
      <c r="AJ127" s="22">
        <v>117</v>
      </c>
      <c r="AK127" s="22">
        <v>0.48840299999999998</v>
      </c>
      <c r="AL127">
        <f t="shared" si="18"/>
        <v>17.481728395061729</v>
      </c>
      <c r="AM127">
        <f t="shared" si="19"/>
        <v>8.5520090856790123</v>
      </c>
      <c r="AP127" s="9"/>
      <c r="AQ127" s="22">
        <v>1.2408399999999999</v>
      </c>
      <c r="AR127" s="22">
        <v>25.2471</v>
      </c>
      <c r="AS127" s="22">
        <v>-1.3897700000000001E-2</v>
      </c>
      <c r="AT127" s="22">
        <v>117</v>
      </c>
      <c r="AU127" s="22">
        <v>1.2396199999999999</v>
      </c>
      <c r="AV127">
        <f t="shared" si="20"/>
        <v>17.157654320987653</v>
      </c>
      <c r="AW127">
        <f t="shared" si="21"/>
        <v>21.289903787654318</v>
      </c>
      <c r="AX127" s="9"/>
      <c r="AY127" s="22">
        <v>0.48919699999999999</v>
      </c>
      <c r="AZ127" s="22">
        <v>29.1267</v>
      </c>
      <c r="BA127" s="22">
        <v>-1.41663E-2</v>
      </c>
      <c r="BB127" s="22">
        <v>117</v>
      </c>
      <c r="BC127" s="22">
        <v>0.48849500000000001</v>
      </c>
      <c r="BD127">
        <f t="shared" si="22"/>
        <v>17.489259259259256</v>
      </c>
      <c r="BE127">
        <f t="shared" si="23"/>
        <v>8.5556931618518508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6.3536999999999999</v>
      </c>
      <c r="I128" s="22">
        <v>-1.3738999999999999E-2</v>
      </c>
      <c r="J128" s="22">
        <v>118</v>
      </c>
      <c r="K128" s="22">
        <v>1.2341299999999999</v>
      </c>
      <c r="L128">
        <f t="shared" si="12"/>
        <v>16.961728395061726</v>
      </c>
      <c r="M128">
        <f t="shared" si="13"/>
        <v>20.961473567901233</v>
      </c>
      <c r="N128" s="9"/>
      <c r="O128" s="22">
        <v>0.494232</v>
      </c>
      <c r="P128" s="22">
        <v>10.2333</v>
      </c>
      <c r="Q128" s="22">
        <v>-1.40991E-2</v>
      </c>
      <c r="R128" s="22">
        <v>118</v>
      </c>
      <c r="S128" s="22">
        <v>0.49349999999999999</v>
      </c>
      <c r="T128">
        <f t="shared" si="14"/>
        <v>17.406296296296293</v>
      </c>
      <c r="U128">
        <f t="shared" si="15"/>
        <v>8.6027486311111101</v>
      </c>
      <c r="X128" s="9"/>
      <c r="Y128" s="22">
        <v>1.2358100000000001</v>
      </c>
      <c r="Z128" s="22">
        <v>15.847899999999999</v>
      </c>
      <c r="AA128" s="22">
        <v>-1.38733E-2</v>
      </c>
      <c r="AB128" s="22">
        <v>118</v>
      </c>
      <c r="AC128" s="22">
        <v>1.2353499999999999</v>
      </c>
      <c r="AD128">
        <f t="shared" si="16"/>
        <v>17.127530864197528</v>
      </c>
      <c r="AE128">
        <f t="shared" si="17"/>
        <v>21.166373917283948</v>
      </c>
      <c r="AF128" s="9"/>
      <c r="AG128" s="22">
        <v>0.494232</v>
      </c>
      <c r="AH128" s="22">
        <v>19.727499999999999</v>
      </c>
      <c r="AI128" s="22">
        <v>-1.4163200000000001E-2</v>
      </c>
      <c r="AJ128" s="22">
        <v>118</v>
      </c>
      <c r="AK128" s="22">
        <v>0.49353000000000002</v>
      </c>
      <c r="AL128">
        <f t="shared" si="18"/>
        <v>17.485432098765433</v>
      </c>
      <c r="AM128">
        <f t="shared" si="19"/>
        <v>8.6418600770370375</v>
      </c>
      <c r="AP128" s="9"/>
      <c r="AQ128" s="22">
        <v>1.2358100000000001</v>
      </c>
      <c r="AR128" s="22">
        <v>25.257200000000001</v>
      </c>
      <c r="AS128" s="22">
        <v>-1.39069E-2</v>
      </c>
      <c r="AT128" s="22">
        <v>118</v>
      </c>
      <c r="AU128" s="22">
        <v>1.2353499999999999</v>
      </c>
      <c r="AV128">
        <f t="shared" si="20"/>
        <v>17.169012345679011</v>
      </c>
      <c r="AW128">
        <f t="shared" si="21"/>
        <v>21.217637146913582</v>
      </c>
      <c r="AX128" s="9"/>
      <c r="AY128" s="22">
        <v>0.494232</v>
      </c>
      <c r="AZ128" s="22">
        <v>29.136800000000001</v>
      </c>
      <c r="BA128" s="22">
        <v>-1.41602E-2</v>
      </c>
      <c r="BB128" s="22">
        <v>118</v>
      </c>
      <c r="BC128" s="22">
        <v>0.49353000000000002</v>
      </c>
      <c r="BD128">
        <f t="shared" si="22"/>
        <v>17.481728395061729</v>
      </c>
      <c r="BE128">
        <f t="shared" si="23"/>
        <v>8.640029588148149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6.3637699999999997</v>
      </c>
      <c r="I129" s="22">
        <v>-1.37512E-2</v>
      </c>
      <c r="J129" s="22">
        <v>119</v>
      </c>
      <c r="K129" s="22">
        <v>1.2295499999999999</v>
      </c>
      <c r="L129">
        <f t="shared" si="12"/>
        <v>16.976790123456787</v>
      </c>
      <c r="M129">
        <f t="shared" si="13"/>
        <v>20.894523980246909</v>
      </c>
      <c r="N129" s="9"/>
      <c r="O129" s="22">
        <v>0.49926799999999999</v>
      </c>
      <c r="P129" s="22">
        <v>10.243399999999999</v>
      </c>
      <c r="Q129" s="22">
        <v>-1.40961E-2</v>
      </c>
      <c r="R129" s="22">
        <v>119</v>
      </c>
      <c r="S129" s="22">
        <v>0.49847399999999997</v>
      </c>
      <c r="T129">
        <f t="shared" si="14"/>
        <v>17.40259259259259</v>
      </c>
      <c r="U129">
        <f t="shared" si="15"/>
        <v>8.6885575985185177</v>
      </c>
      <c r="X129" s="9"/>
      <c r="Y129" s="22">
        <v>1.2307699999999999</v>
      </c>
      <c r="Z129" s="22">
        <v>15.858000000000001</v>
      </c>
      <c r="AA129" s="22">
        <v>-1.38824E-2</v>
      </c>
      <c r="AB129" s="22">
        <v>119</v>
      </c>
      <c r="AC129" s="22">
        <v>1.2295499999999999</v>
      </c>
      <c r="AD129">
        <f t="shared" si="16"/>
        <v>17.138765432098765</v>
      </c>
      <c r="AE129">
        <f t="shared" si="17"/>
        <v>21.093878330864197</v>
      </c>
      <c r="AF129" s="9"/>
      <c r="AG129" s="22">
        <v>0.49926799999999999</v>
      </c>
      <c r="AH129" s="22">
        <v>19.7376</v>
      </c>
      <c r="AI129" s="22">
        <v>-1.4157100000000001E-2</v>
      </c>
      <c r="AJ129" s="22">
        <v>119</v>
      </c>
      <c r="AK129" s="22">
        <v>0.49850499999999998</v>
      </c>
      <c r="AL129">
        <f t="shared" si="18"/>
        <v>17.477901234567902</v>
      </c>
      <c r="AM129">
        <f t="shared" si="19"/>
        <v>8.7261567935802464</v>
      </c>
      <c r="AP129" s="9"/>
      <c r="AQ129" s="22">
        <v>1.2307699999999999</v>
      </c>
      <c r="AR129" s="22">
        <v>25.267199999999999</v>
      </c>
      <c r="AS129" s="22">
        <v>-1.3913E-2</v>
      </c>
      <c r="AT129" s="22">
        <v>119</v>
      </c>
      <c r="AU129" s="22">
        <v>1.2295499999999999</v>
      </c>
      <c r="AV129">
        <f t="shared" si="20"/>
        <v>17.176543209876542</v>
      </c>
      <c r="AW129">
        <f t="shared" si="21"/>
        <v>21.140374086419751</v>
      </c>
      <c r="AX129" s="9"/>
      <c r="AY129" s="22">
        <v>0.49926799999999999</v>
      </c>
      <c r="AZ129" s="22">
        <v>29.146799999999999</v>
      </c>
      <c r="BA129" s="22">
        <v>-1.4163200000000001E-2</v>
      </c>
      <c r="BB129" s="22">
        <v>119</v>
      </c>
      <c r="BC129" s="22">
        <v>0.49853500000000001</v>
      </c>
      <c r="BD129">
        <f t="shared" si="22"/>
        <v>17.485432098765433</v>
      </c>
      <c r="BE129">
        <f t="shared" si="23"/>
        <v>8.7299167130864195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6.3738400000000004</v>
      </c>
      <c r="I130" s="22">
        <v>-1.37482E-2</v>
      </c>
      <c r="J130" s="22">
        <v>120</v>
      </c>
      <c r="K130" s="22">
        <v>1.2246699999999999</v>
      </c>
      <c r="L130">
        <f t="shared" si="12"/>
        <v>16.973086419753084</v>
      </c>
      <c r="M130">
        <f t="shared" si="13"/>
        <v>20.804590948148146</v>
      </c>
      <c r="N130" s="9"/>
      <c r="O130" s="22">
        <v>0.50430299999999995</v>
      </c>
      <c r="P130" s="22">
        <v>10.253500000000001</v>
      </c>
      <c r="Q130" s="22">
        <v>-1.40991E-2</v>
      </c>
      <c r="R130" s="22">
        <v>120</v>
      </c>
      <c r="S130" s="22">
        <v>0.50347900000000001</v>
      </c>
      <c r="T130">
        <f t="shared" si="14"/>
        <v>17.406296296296293</v>
      </c>
      <c r="U130">
        <f t="shared" si="15"/>
        <v>8.7780474411111094</v>
      </c>
      <c r="X130" s="9"/>
      <c r="Y130" s="22">
        <v>1.2257400000000001</v>
      </c>
      <c r="Z130" s="22">
        <v>15.8681</v>
      </c>
      <c r="AA130" s="22">
        <v>-1.3894699999999999E-2</v>
      </c>
      <c r="AB130" s="22">
        <v>120</v>
      </c>
      <c r="AC130" s="22">
        <v>1.2246699999999999</v>
      </c>
      <c r="AD130">
        <f t="shared" si="16"/>
        <v>17.153950617283947</v>
      </c>
      <c r="AE130">
        <f t="shared" si="17"/>
        <v>21.026283429629625</v>
      </c>
      <c r="AF130" s="9"/>
      <c r="AG130" s="22">
        <v>0.50430299999999995</v>
      </c>
      <c r="AH130" s="22">
        <v>19.747699999999998</v>
      </c>
      <c r="AI130" s="22">
        <v>-1.4154099999999999E-2</v>
      </c>
      <c r="AJ130" s="22">
        <v>120</v>
      </c>
      <c r="AK130" s="22">
        <v>0.50353999999999999</v>
      </c>
      <c r="AL130">
        <f t="shared" si="18"/>
        <v>17.474197530864195</v>
      </c>
      <c r="AM130">
        <f t="shared" si="19"/>
        <v>8.8122902374074048</v>
      </c>
      <c r="AP130" s="9"/>
      <c r="AQ130" s="22">
        <v>1.2257400000000001</v>
      </c>
      <c r="AR130" s="22">
        <v>25.2773</v>
      </c>
      <c r="AS130" s="22">
        <v>-1.3916E-2</v>
      </c>
      <c r="AT130" s="22">
        <v>120</v>
      </c>
      <c r="AU130" s="22">
        <v>1.22437</v>
      </c>
      <c r="AV130">
        <f t="shared" si="20"/>
        <v>17.180246913580245</v>
      </c>
      <c r="AW130">
        <f t="shared" si="21"/>
        <v>21.058515851851851</v>
      </c>
      <c r="AX130" s="9"/>
      <c r="AY130" s="22">
        <v>0.50430299999999995</v>
      </c>
      <c r="AZ130" s="22">
        <v>29.1569</v>
      </c>
      <c r="BA130" s="22">
        <v>-1.4163200000000001E-2</v>
      </c>
      <c r="BB130" s="22">
        <v>120</v>
      </c>
      <c r="BC130" s="22">
        <v>0.50351000000000001</v>
      </c>
      <c r="BD130">
        <f t="shared" si="22"/>
        <v>17.485432098765433</v>
      </c>
      <c r="BE130">
        <f t="shared" si="23"/>
        <v>8.8179558637037037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6.3839100000000002</v>
      </c>
      <c r="I131" s="22">
        <v>-1.37512E-2</v>
      </c>
      <c r="J131" s="22">
        <v>121</v>
      </c>
      <c r="K131" s="22">
        <v>1.2194799999999999</v>
      </c>
      <c r="L131">
        <f t="shared" si="12"/>
        <v>16.976790123456787</v>
      </c>
      <c r="M131">
        <f t="shared" si="13"/>
        <v>20.723567703703697</v>
      </c>
      <c r="N131" s="9"/>
      <c r="O131" s="22">
        <v>0.50933799999999996</v>
      </c>
      <c r="P131" s="22">
        <v>10.263500000000001</v>
      </c>
      <c r="Q131" s="22">
        <v>-1.409E-2</v>
      </c>
      <c r="R131" s="22">
        <v>121</v>
      </c>
      <c r="S131" s="22">
        <v>0.50854500000000002</v>
      </c>
      <c r="T131">
        <f t="shared" si="14"/>
        <v>17.39506172839506</v>
      </c>
      <c r="U131">
        <f t="shared" si="15"/>
        <v>8.8599659506172816</v>
      </c>
      <c r="X131" s="9"/>
      <c r="Y131" s="22">
        <v>1.2206999999999999</v>
      </c>
      <c r="Z131" s="22">
        <v>15.8781</v>
      </c>
      <c r="AA131" s="22">
        <v>-1.39008E-2</v>
      </c>
      <c r="AB131" s="22">
        <v>121</v>
      </c>
      <c r="AC131" s="22">
        <v>1.2197899999999999</v>
      </c>
      <c r="AD131">
        <f t="shared" si="16"/>
        <v>17.161481481481481</v>
      </c>
      <c r="AE131">
        <f t="shared" si="17"/>
        <v>20.949020444444443</v>
      </c>
      <c r="AF131" s="9"/>
      <c r="AG131" s="22">
        <v>0.50933799999999996</v>
      </c>
      <c r="AH131" s="22">
        <v>19.7577</v>
      </c>
      <c r="AI131" s="22">
        <v>-1.41602E-2</v>
      </c>
      <c r="AJ131" s="22">
        <v>121</v>
      </c>
      <c r="AK131" s="22">
        <v>0.50863599999999998</v>
      </c>
      <c r="AL131">
        <f t="shared" si="18"/>
        <v>17.481728395061729</v>
      </c>
      <c r="AM131">
        <f t="shared" si="19"/>
        <v>8.9041085772839512</v>
      </c>
      <c r="AP131" s="9"/>
      <c r="AQ131" s="22">
        <v>1.2206999999999999</v>
      </c>
      <c r="AR131" s="22">
        <v>25.287400000000002</v>
      </c>
      <c r="AS131" s="22">
        <v>-1.39252E-2</v>
      </c>
      <c r="AT131" s="22">
        <v>121</v>
      </c>
      <c r="AU131" s="22">
        <v>1.2197899999999999</v>
      </c>
      <c r="AV131">
        <f t="shared" si="20"/>
        <v>17.191604938271606</v>
      </c>
      <c r="AW131">
        <f t="shared" si="21"/>
        <v>20.985792148148146</v>
      </c>
      <c r="AX131" s="9"/>
      <c r="AY131" s="22">
        <v>0.50933799999999996</v>
      </c>
      <c r="AZ131" s="22">
        <v>29.167000000000002</v>
      </c>
      <c r="BA131" s="22">
        <v>-1.41602E-2</v>
      </c>
      <c r="BB131" s="22">
        <v>121</v>
      </c>
      <c r="BC131" s="22">
        <v>0.50851400000000002</v>
      </c>
      <c r="BD131">
        <f t="shared" si="22"/>
        <v>17.481728395061729</v>
      </c>
      <c r="BE131">
        <f t="shared" si="23"/>
        <v>8.9041085772839512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6.39398</v>
      </c>
      <c r="I132" s="22">
        <v>-1.3760400000000001E-2</v>
      </c>
      <c r="J132" s="22">
        <v>122</v>
      </c>
      <c r="K132" s="22">
        <v>1.2145999999999999</v>
      </c>
      <c r="L132">
        <f t="shared" si="12"/>
        <v>16.988148148148149</v>
      </c>
      <c r="M132">
        <f t="shared" si="13"/>
        <v>20.651982059259261</v>
      </c>
      <c r="N132" s="9"/>
      <c r="O132" s="22">
        <v>0.514374</v>
      </c>
      <c r="P132" s="22">
        <v>10.2736</v>
      </c>
      <c r="Q132" s="22">
        <v>-1.4080799999999999E-2</v>
      </c>
      <c r="R132" s="22">
        <v>122</v>
      </c>
      <c r="S132" s="22">
        <v>0.51354999999999995</v>
      </c>
      <c r="T132">
        <f t="shared" si="14"/>
        <v>17.383703703703702</v>
      </c>
      <c r="U132">
        <f t="shared" si="15"/>
        <v>8.9417252088888883</v>
      </c>
      <c r="X132" s="9"/>
      <c r="Y132" s="22">
        <v>1.21567</v>
      </c>
      <c r="Z132" s="22">
        <v>15.888199999999999</v>
      </c>
      <c r="AA132" s="22">
        <v>-1.3916E-2</v>
      </c>
      <c r="AB132" s="22">
        <v>122</v>
      </c>
      <c r="AC132" s="22">
        <v>1.2145999999999999</v>
      </c>
      <c r="AD132">
        <f t="shared" si="16"/>
        <v>17.180246913580245</v>
      </c>
      <c r="AE132">
        <f t="shared" si="17"/>
        <v>20.885510765432098</v>
      </c>
      <c r="AF132" s="9"/>
      <c r="AG132" s="22">
        <v>0.514374</v>
      </c>
      <c r="AH132" s="22">
        <v>19.767800000000001</v>
      </c>
      <c r="AI132" s="22">
        <v>-1.4154099999999999E-2</v>
      </c>
      <c r="AJ132" s="22">
        <v>122</v>
      </c>
      <c r="AK132" s="22">
        <v>0.51358000000000004</v>
      </c>
      <c r="AL132">
        <f t="shared" si="18"/>
        <v>17.474197530864195</v>
      </c>
      <c r="AM132">
        <f t="shared" si="19"/>
        <v>8.9882728807407393</v>
      </c>
      <c r="AP132" s="9"/>
      <c r="AQ132" s="22">
        <v>1.21567</v>
      </c>
      <c r="AR132" s="22">
        <v>25.2974</v>
      </c>
      <c r="AS132" s="22">
        <v>-1.3931300000000001E-2</v>
      </c>
      <c r="AT132" s="22">
        <v>122</v>
      </c>
      <c r="AU132" s="22">
        <v>1.2145999999999999</v>
      </c>
      <c r="AV132">
        <f t="shared" si="20"/>
        <v>17.199135802469137</v>
      </c>
      <c r="AW132">
        <f t="shared" si="21"/>
        <v>20.908473420987654</v>
      </c>
      <c r="AX132" s="9"/>
      <c r="AY132" s="22">
        <v>0.514374</v>
      </c>
      <c r="AZ132" s="22">
        <v>29.177099999999999</v>
      </c>
      <c r="BA132" s="22">
        <v>-1.41663E-2</v>
      </c>
      <c r="BB132" s="22">
        <v>122</v>
      </c>
      <c r="BC132" s="22">
        <v>0.51364100000000001</v>
      </c>
      <c r="BD132">
        <f t="shared" si="22"/>
        <v>17.489259259259256</v>
      </c>
      <c r="BE132">
        <f t="shared" si="23"/>
        <v>8.9960202422222206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6.4040499999999998</v>
      </c>
      <c r="I133" s="22">
        <v>-1.37695E-2</v>
      </c>
      <c r="J133" s="22">
        <v>123</v>
      </c>
      <c r="K133" s="22">
        <v>1.2094100000000001</v>
      </c>
      <c r="L133">
        <f t="shared" si="12"/>
        <v>16.999382716049382</v>
      </c>
      <c r="M133">
        <f t="shared" si="13"/>
        <v>20.579962697530867</v>
      </c>
      <c r="N133" s="9"/>
      <c r="O133" s="22">
        <v>0.51940900000000001</v>
      </c>
      <c r="P133" s="22">
        <v>10.2837</v>
      </c>
      <c r="Q133" s="22">
        <v>-1.4071699999999999E-2</v>
      </c>
      <c r="R133" s="22">
        <v>123</v>
      </c>
      <c r="S133" s="22">
        <v>0.51855499999999999</v>
      </c>
      <c r="T133">
        <f t="shared" si="14"/>
        <v>17.372469135802469</v>
      </c>
      <c r="U133">
        <f t="shared" si="15"/>
        <v>9.0234168213580244</v>
      </c>
      <c r="X133" s="9"/>
      <c r="Y133" s="22">
        <v>1.2106300000000001</v>
      </c>
      <c r="Z133" s="22">
        <v>15.898300000000001</v>
      </c>
      <c r="AA133" s="22">
        <v>-1.39252E-2</v>
      </c>
      <c r="AB133" s="22">
        <v>123</v>
      </c>
      <c r="AC133" s="22">
        <v>1.2100200000000001</v>
      </c>
      <c r="AD133">
        <f t="shared" si="16"/>
        <v>17.191604938271606</v>
      </c>
      <c r="AE133">
        <f t="shared" si="17"/>
        <v>20.812672686419756</v>
      </c>
      <c r="AF133" s="9"/>
      <c r="AG133" s="22">
        <v>0.51940900000000001</v>
      </c>
      <c r="AH133" s="22">
        <v>19.777899999999999</v>
      </c>
      <c r="AI133" s="22">
        <v>-1.41449E-2</v>
      </c>
      <c r="AJ133" s="22">
        <v>123</v>
      </c>
      <c r="AK133" s="22">
        <v>0.51861599999999997</v>
      </c>
      <c r="AL133">
        <f t="shared" si="18"/>
        <v>17.462839506172838</v>
      </c>
      <c r="AM133">
        <f t="shared" si="19"/>
        <v>9.0703560050617273</v>
      </c>
      <c r="AP133" s="9"/>
      <c r="AQ133" s="22">
        <v>1.2106300000000001</v>
      </c>
      <c r="AR133" s="22">
        <v>25.307500000000001</v>
      </c>
      <c r="AS133" s="22">
        <v>-1.3937400000000001E-2</v>
      </c>
      <c r="AT133" s="22">
        <v>123</v>
      </c>
      <c r="AU133" s="22">
        <v>1.2100200000000001</v>
      </c>
      <c r="AV133">
        <f t="shared" si="20"/>
        <v>17.206666666666667</v>
      </c>
      <c r="AW133">
        <f t="shared" si="21"/>
        <v>20.83090686666667</v>
      </c>
      <c r="AX133" s="9"/>
      <c r="AY133" s="22">
        <v>0.51940900000000001</v>
      </c>
      <c r="AZ133" s="22">
        <v>29.187100000000001</v>
      </c>
      <c r="BA133" s="22">
        <v>-1.41785E-2</v>
      </c>
      <c r="BB133" s="22">
        <v>123</v>
      </c>
      <c r="BC133" s="22">
        <v>0.51864600000000005</v>
      </c>
      <c r="BD133">
        <f t="shared" si="22"/>
        <v>17.504320987654321</v>
      </c>
      <c r="BE133">
        <f t="shared" si="23"/>
        <v>9.0919018598765433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6.4141300000000001</v>
      </c>
      <c r="I134" s="22">
        <v>-1.37787E-2</v>
      </c>
      <c r="J134" s="22">
        <v>124</v>
      </c>
      <c r="K134" s="22">
        <v>1.2042200000000001</v>
      </c>
      <c r="L134">
        <f t="shared" si="12"/>
        <v>17.01074074074074</v>
      </c>
      <c r="M134">
        <f t="shared" si="13"/>
        <v>20.508149037037036</v>
      </c>
      <c r="N134" s="9"/>
      <c r="O134" s="22">
        <v>0.52444500000000005</v>
      </c>
      <c r="P134" s="22">
        <v>10.293699999999999</v>
      </c>
      <c r="Q134" s="22">
        <v>-1.40594E-2</v>
      </c>
      <c r="R134" s="22">
        <v>124</v>
      </c>
      <c r="S134" s="22">
        <v>0.52359</v>
      </c>
      <c r="T134">
        <f t="shared" si="14"/>
        <v>17.357283950617283</v>
      </c>
      <c r="U134">
        <f t="shared" si="15"/>
        <v>9.1029407814814824</v>
      </c>
      <c r="X134" s="9"/>
      <c r="Y134" s="22">
        <v>1.2056</v>
      </c>
      <c r="Z134" s="22">
        <v>15.908300000000001</v>
      </c>
      <c r="AA134" s="22">
        <v>-1.3931300000000001E-2</v>
      </c>
      <c r="AB134" s="22">
        <v>124</v>
      </c>
      <c r="AC134" s="22">
        <v>1.2048300000000001</v>
      </c>
      <c r="AD134">
        <f t="shared" si="16"/>
        <v>17.199135802469137</v>
      </c>
      <c r="AE134">
        <f t="shared" si="17"/>
        <v>20.735278123456791</v>
      </c>
      <c r="AF134" s="9"/>
      <c r="AG134" s="22">
        <v>0.52444500000000005</v>
      </c>
      <c r="AH134" s="22">
        <v>19.788</v>
      </c>
      <c r="AI134" s="22">
        <v>-1.41388E-2</v>
      </c>
      <c r="AJ134" s="22">
        <v>124</v>
      </c>
      <c r="AK134" s="22">
        <v>0.52365099999999998</v>
      </c>
      <c r="AL134">
        <f t="shared" si="18"/>
        <v>17.455308641975307</v>
      </c>
      <c r="AM134">
        <f t="shared" si="19"/>
        <v>9.1543493407407404</v>
      </c>
      <c r="AP134" s="9"/>
      <c r="AQ134" s="22">
        <v>1.2056</v>
      </c>
      <c r="AR134" s="22">
        <v>25.317599999999999</v>
      </c>
      <c r="AS134" s="22">
        <v>-1.3937400000000001E-2</v>
      </c>
      <c r="AT134" s="22">
        <v>124</v>
      </c>
      <c r="AU134" s="22">
        <v>1.2048300000000001</v>
      </c>
      <c r="AV134">
        <f t="shared" si="20"/>
        <v>17.206666666666667</v>
      </c>
      <c r="AW134">
        <f t="shared" si="21"/>
        <v>20.744357333333333</v>
      </c>
      <c r="AX134" s="9"/>
      <c r="AY134" s="22">
        <v>0.52444500000000005</v>
      </c>
      <c r="AZ134" s="22">
        <v>29.197199999999999</v>
      </c>
      <c r="BA134" s="22">
        <v>-1.4190700000000001E-2</v>
      </c>
      <c r="BB134" s="22">
        <v>124</v>
      </c>
      <c r="BC134" s="22">
        <v>0.523621</v>
      </c>
      <c r="BD134">
        <f t="shared" si="22"/>
        <v>17.519382716049382</v>
      </c>
      <c r="BE134">
        <f t="shared" si="23"/>
        <v>9.1879526685185198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6.4241999999999999</v>
      </c>
      <c r="I135" s="22">
        <v>-1.3775600000000001E-2</v>
      </c>
      <c r="J135" s="22">
        <v>125</v>
      </c>
      <c r="K135" s="22">
        <v>1.1996500000000001</v>
      </c>
      <c r="L135">
        <f t="shared" si="12"/>
        <v>17.006913580246916</v>
      </c>
      <c r="M135">
        <f t="shared" si="13"/>
        <v>20.41782016790124</v>
      </c>
      <c r="N135" s="9"/>
      <c r="O135" s="22">
        <v>0.52947999999999995</v>
      </c>
      <c r="P135" s="22">
        <v>10.303800000000001</v>
      </c>
      <c r="Q135" s="22">
        <v>-1.4065599999999999E-2</v>
      </c>
      <c r="R135" s="22">
        <v>125</v>
      </c>
      <c r="S135" s="22">
        <v>0.52856400000000003</v>
      </c>
      <c r="T135">
        <f t="shared" si="14"/>
        <v>17.364938271604938</v>
      </c>
      <c r="U135">
        <f t="shared" si="15"/>
        <v>9.1943875160493818</v>
      </c>
      <c r="X135" s="9"/>
      <c r="Y135" s="22">
        <v>1.2005600000000001</v>
      </c>
      <c r="Z135" s="22">
        <v>15.9184</v>
      </c>
      <c r="AA135" s="22">
        <v>-1.3931300000000001E-2</v>
      </c>
      <c r="AB135" s="22">
        <v>125</v>
      </c>
      <c r="AC135" s="22">
        <v>1.1999500000000001</v>
      </c>
      <c r="AD135">
        <f t="shared" si="16"/>
        <v>17.199135802469137</v>
      </c>
      <c r="AE135">
        <f t="shared" si="17"/>
        <v>20.648594479012349</v>
      </c>
      <c r="AF135" s="9"/>
      <c r="AG135" s="22">
        <v>0.52947999999999995</v>
      </c>
      <c r="AH135" s="22">
        <v>19.797999999999998</v>
      </c>
      <c r="AI135" s="22">
        <v>-1.4135699999999999E-2</v>
      </c>
      <c r="AJ135" s="22">
        <v>125</v>
      </c>
      <c r="AK135" s="22">
        <v>0.52865600000000001</v>
      </c>
      <c r="AL135">
        <f t="shared" si="18"/>
        <v>17.45148148148148</v>
      </c>
      <c r="AM135">
        <f t="shared" si="19"/>
        <v>9.240210414814813</v>
      </c>
      <c r="AP135" s="9"/>
      <c r="AQ135" s="22">
        <v>1.2005600000000001</v>
      </c>
      <c r="AR135" s="22">
        <v>25.3277</v>
      </c>
      <c r="AS135" s="22">
        <v>-1.3943499999999999E-2</v>
      </c>
      <c r="AT135" s="22">
        <v>125</v>
      </c>
      <c r="AU135" s="22">
        <v>1.1993400000000001</v>
      </c>
      <c r="AV135">
        <f t="shared" si="20"/>
        <v>17.214197530864197</v>
      </c>
      <c r="AW135">
        <f t="shared" si="21"/>
        <v>20.666676987654323</v>
      </c>
      <c r="AX135" s="9"/>
      <c r="AY135" s="22">
        <v>0.52947999999999995</v>
      </c>
      <c r="AZ135" s="22">
        <v>29.2073</v>
      </c>
      <c r="BA135" s="22">
        <v>-1.4202899999999999E-2</v>
      </c>
      <c r="BB135" s="22">
        <v>125</v>
      </c>
      <c r="BC135" s="22">
        <v>0.52868700000000002</v>
      </c>
      <c r="BD135">
        <f t="shared" si="22"/>
        <v>17.534444444444443</v>
      </c>
      <c r="BE135">
        <f t="shared" si="23"/>
        <v>9.2841376444444421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6.4342699999999997</v>
      </c>
      <c r="I136" s="22">
        <v>-1.3772599999999999E-2</v>
      </c>
      <c r="J136" s="22">
        <v>126</v>
      </c>
      <c r="K136" s="22">
        <v>1.1944600000000001</v>
      </c>
      <c r="L136">
        <f t="shared" si="12"/>
        <v>17.00320987654321</v>
      </c>
      <c r="M136">
        <f t="shared" si="13"/>
        <v>20.327847503703705</v>
      </c>
      <c r="N136" s="9"/>
      <c r="O136" s="22">
        <v>0.53451499999999996</v>
      </c>
      <c r="P136" s="22">
        <v>10.3139</v>
      </c>
      <c r="Q136" s="22">
        <v>-1.4065599999999999E-2</v>
      </c>
      <c r="R136" s="22">
        <v>126</v>
      </c>
      <c r="S136" s="22">
        <v>0.533752</v>
      </c>
      <c r="T136">
        <f t="shared" si="14"/>
        <v>17.364938271604938</v>
      </c>
      <c r="U136">
        <f t="shared" si="15"/>
        <v>9.2818199802469135</v>
      </c>
      <c r="X136" s="9"/>
      <c r="Y136" s="22">
        <v>1.19553</v>
      </c>
      <c r="Z136" s="22">
        <v>15.9285</v>
      </c>
      <c r="AA136" s="22">
        <v>-1.39282E-2</v>
      </c>
      <c r="AB136" s="22">
        <v>126</v>
      </c>
      <c r="AC136" s="22">
        <v>1.19415</v>
      </c>
      <c r="AD136">
        <f t="shared" si="16"/>
        <v>17.195308641975309</v>
      </c>
      <c r="AE136">
        <f t="shared" si="17"/>
        <v>20.557507340740742</v>
      </c>
      <c r="AF136" s="9"/>
      <c r="AG136" s="22">
        <v>0.53451499999999996</v>
      </c>
      <c r="AH136" s="22">
        <v>19.8081</v>
      </c>
      <c r="AI136" s="22">
        <v>-1.4129600000000001E-2</v>
      </c>
      <c r="AJ136" s="22">
        <v>126</v>
      </c>
      <c r="AK136" s="22">
        <v>0.53372200000000003</v>
      </c>
      <c r="AL136">
        <f t="shared" si="18"/>
        <v>17.443950617283949</v>
      </c>
      <c r="AM136">
        <f t="shared" si="19"/>
        <v>9.3240532641975289</v>
      </c>
      <c r="AP136" s="9"/>
      <c r="AQ136" s="22">
        <v>1.19553</v>
      </c>
      <c r="AR136" s="22">
        <v>25.337700000000002</v>
      </c>
      <c r="AS136" s="22">
        <v>-1.39496E-2</v>
      </c>
      <c r="AT136" s="22">
        <v>126</v>
      </c>
      <c r="AU136" s="22">
        <v>1.1944600000000001</v>
      </c>
      <c r="AV136">
        <f t="shared" si="20"/>
        <v>17.221728395061724</v>
      </c>
      <c r="AW136">
        <f t="shared" si="21"/>
        <v>20.589092948148142</v>
      </c>
      <c r="AX136" s="9"/>
      <c r="AY136" s="22">
        <v>0.53451499999999996</v>
      </c>
      <c r="AZ136" s="22">
        <v>29.217300000000002</v>
      </c>
      <c r="BA136" s="22">
        <v>-1.4212000000000001E-2</v>
      </c>
      <c r="BB136" s="22">
        <v>126</v>
      </c>
      <c r="BC136" s="22">
        <v>0.53366100000000005</v>
      </c>
      <c r="BD136">
        <f t="shared" si="22"/>
        <v>17.54567901234568</v>
      </c>
      <c r="BE136">
        <f t="shared" si="23"/>
        <v>9.3784286172839497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6.4443400000000004</v>
      </c>
      <c r="I137" s="22">
        <v>-1.3775600000000001E-2</v>
      </c>
      <c r="J137" s="22">
        <v>127</v>
      </c>
      <c r="K137" s="22">
        <v>1.18988</v>
      </c>
      <c r="L137">
        <f t="shared" si="12"/>
        <v>17.006913580246916</v>
      </c>
      <c r="M137">
        <f t="shared" si="13"/>
        <v>20.246560548148153</v>
      </c>
      <c r="N137" s="9"/>
      <c r="O137" s="22">
        <v>0.539551</v>
      </c>
      <c r="P137" s="22">
        <v>10.324</v>
      </c>
      <c r="Q137" s="22">
        <v>-1.40778E-2</v>
      </c>
      <c r="R137" s="22">
        <v>127</v>
      </c>
      <c r="S137" s="22">
        <v>0.53872699999999996</v>
      </c>
      <c r="T137">
        <f t="shared" si="14"/>
        <v>17.38</v>
      </c>
      <c r="U137">
        <f t="shared" si="15"/>
        <v>9.3773963799999986</v>
      </c>
      <c r="X137" s="9"/>
      <c r="Y137" s="22">
        <v>1.19049</v>
      </c>
      <c r="Z137" s="22">
        <v>15.938599999999999</v>
      </c>
      <c r="AA137" s="22">
        <v>-1.39191E-2</v>
      </c>
      <c r="AB137" s="22">
        <v>127</v>
      </c>
      <c r="AC137" s="22">
        <v>1.18927</v>
      </c>
      <c r="AD137">
        <f t="shared" si="16"/>
        <v>17.184074074074076</v>
      </c>
      <c r="AE137">
        <f t="shared" si="17"/>
        <v>20.457468344444447</v>
      </c>
      <c r="AF137" s="9"/>
      <c r="AG137" s="22">
        <v>0.539551</v>
      </c>
      <c r="AH137" s="22">
        <v>19.818200000000001</v>
      </c>
      <c r="AI137" s="22">
        <v>-1.4120499999999999E-2</v>
      </c>
      <c r="AJ137" s="22">
        <v>127</v>
      </c>
      <c r="AK137" s="22">
        <v>0.53878800000000004</v>
      </c>
      <c r="AL137">
        <f t="shared" si="18"/>
        <v>17.432716049382716</v>
      </c>
      <c r="AM137">
        <f t="shared" si="19"/>
        <v>9.4058393771604933</v>
      </c>
      <c r="AP137" s="9"/>
      <c r="AQ137" s="22">
        <v>1.19049</v>
      </c>
      <c r="AR137" s="22">
        <v>25.347799999999999</v>
      </c>
      <c r="AS137" s="22">
        <v>-1.3952600000000001E-2</v>
      </c>
      <c r="AT137" s="22">
        <v>127</v>
      </c>
      <c r="AU137" s="22">
        <v>1.18896</v>
      </c>
      <c r="AV137">
        <f t="shared" si="20"/>
        <v>17.225432098765431</v>
      </c>
      <c r="AW137">
        <f t="shared" si="21"/>
        <v>20.50670465925926</v>
      </c>
      <c r="AX137" s="9"/>
      <c r="AY137" s="22">
        <v>0.539551</v>
      </c>
      <c r="AZ137" s="22">
        <v>29.227399999999999</v>
      </c>
      <c r="BA137" s="22">
        <v>-1.42212E-2</v>
      </c>
      <c r="BB137" s="22">
        <v>127</v>
      </c>
      <c r="BC137" s="22">
        <v>0.53878800000000004</v>
      </c>
      <c r="BD137">
        <f t="shared" si="22"/>
        <v>17.557037037037034</v>
      </c>
      <c r="BE137">
        <f t="shared" si="23"/>
        <v>9.4729168903703691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6.4544100000000002</v>
      </c>
      <c r="I138" s="22">
        <v>-1.37787E-2</v>
      </c>
      <c r="J138" s="22">
        <v>128</v>
      </c>
      <c r="K138" s="22">
        <v>1.18469</v>
      </c>
      <c r="L138">
        <f t="shared" si="12"/>
        <v>17.01074074074074</v>
      </c>
      <c r="M138">
        <f t="shared" si="13"/>
        <v>20.165552718518516</v>
      </c>
      <c r="N138" s="9"/>
      <c r="O138" s="22">
        <v>0.54458600000000001</v>
      </c>
      <c r="P138" s="22">
        <v>10.334</v>
      </c>
      <c r="Q138" s="22">
        <v>-1.40839E-2</v>
      </c>
      <c r="R138" s="22">
        <v>128</v>
      </c>
      <c r="S138" s="22">
        <v>0.54379299999999997</v>
      </c>
      <c r="T138">
        <f t="shared" si="14"/>
        <v>17.387530864197529</v>
      </c>
      <c r="U138">
        <f t="shared" si="15"/>
        <v>9.469005883209876</v>
      </c>
      <c r="X138" s="9"/>
      <c r="Y138" s="22">
        <v>1.18546</v>
      </c>
      <c r="Z138" s="22">
        <v>15.948600000000001</v>
      </c>
      <c r="AA138" s="22">
        <v>-1.3909899999999999E-2</v>
      </c>
      <c r="AB138" s="22">
        <v>128</v>
      </c>
      <c r="AC138" s="22">
        <v>1.18408</v>
      </c>
      <c r="AD138">
        <f t="shared" si="16"/>
        <v>17.172716049382714</v>
      </c>
      <c r="AE138">
        <f t="shared" si="17"/>
        <v>20.357567967901232</v>
      </c>
      <c r="AF138" s="9"/>
      <c r="AG138" s="22">
        <v>0.54458600000000001</v>
      </c>
      <c r="AH138" s="22">
        <v>19.828199999999999</v>
      </c>
      <c r="AI138" s="22">
        <v>-1.4114399999999999E-2</v>
      </c>
      <c r="AJ138" s="22">
        <v>128</v>
      </c>
      <c r="AK138" s="22">
        <v>0.54382299999999995</v>
      </c>
      <c r="AL138">
        <f t="shared" si="18"/>
        <v>17.425185185185182</v>
      </c>
      <c r="AM138">
        <f t="shared" si="19"/>
        <v>9.4895118992592575</v>
      </c>
      <c r="AP138" s="9"/>
      <c r="AQ138" s="22">
        <v>1.18546</v>
      </c>
      <c r="AR138" s="22">
        <v>25.357900000000001</v>
      </c>
      <c r="AS138" s="22">
        <v>-1.39557E-2</v>
      </c>
      <c r="AT138" s="22">
        <v>128</v>
      </c>
      <c r="AU138" s="22">
        <v>1.18408</v>
      </c>
      <c r="AV138">
        <f t="shared" si="20"/>
        <v>17.229259259259258</v>
      </c>
      <c r="AW138">
        <f t="shared" si="21"/>
        <v>20.42459768148148</v>
      </c>
      <c r="AX138" s="9"/>
      <c r="AY138" s="22">
        <v>0.54458600000000001</v>
      </c>
      <c r="AZ138" s="22">
        <v>29.237500000000001</v>
      </c>
      <c r="BA138" s="22">
        <v>-1.4218099999999999E-2</v>
      </c>
      <c r="BB138" s="22">
        <v>128</v>
      </c>
      <c r="BC138" s="22">
        <v>0.54373199999999999</v>
      </c>
      <c r="BD138">
        <f t="shared" si="22"/>
        <v>17.553209876543207</v>
      </c>
      <c r="BE138">
        <f t="shared" si="23"/>
        <v>9.5592323538271593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6.46448</v>
      </c>
      <c r="I139" s="22">
        <v>-1.37848E-2</v>
      </c>
      <c r="J139" s="22">
        <v>129</v>
      </c>
      <c r="K139" s="22">
        <v>1.17889</v>
      </c>
      <c r="L139">
        <f t="shared" si="12"/>
        <v>17.018271604938271</v>
      </c>
      <c r="M139">
        <f t="shared" si="13"/>
        <v>20.088708167901235</v>
      </c>
      <c r="N139" s="9"/>
      <c r="O139" s="22">
        <v>0.54962200000000005</v>
      </c>
      <c r="P139" s="22">
        <v>10.344099999999999</v>
      </c>
      <c r="Q139" s="22">
        <v>-1.40961E-2</v>
      </c>
      <c r="R139" s="22">
        <v>129</v>
      </c>
      <c r="S139" s="22">
        <v>0.54885899999999999</v>
      </c>
      <c r="T139">
        <f t="shared" si="14"/>
        <v>17.40259259259259</v>
      </c>
      <c r="U139">
        <f t="shared" si="15"/>
        <v>9.5648477459259258</v>
      </c>
      <c r="X139" s="9"/>
      <c r="Y139" s="22">
        <v>1.18042</v>
      </c>
      <c r="Z139" s="22">
        <v>15.9587</v>
      </c>
      <c r="AA139" s="22">
        <v>-1.3916E-2</v>
      </c>
      <c r="AB139" s="22">
        <v>129</v>
      </c>
      <c r="AC139" s="22">
        <v>1.1795</v>
      </c>
      <c r="AD139">
        <f t="shared" si="16"/>
        <v>17.180246913580245</v>
      </c>
      <c r="AE139">
        <f t="shared" si="17"/>
        <v>20.279907061728395</v>
      </c>
      <c r="AF139" s="9"/>
      <c r="AG139" s="22">
        <v>0.54962200000000005</v>
      </c>
      <c r="AH139" s="22">
        <v>19.8383</v>
      </c>
      <c r="AI139" s="22">
        <v>-1.41174E-2</v>
      </c>
      <c r="AJ139" s="22">
        <v>129</v>
      </c>
      <c r="AK139" s="22">
        <v>0.54891999999999996</v>
      </c>
      <c r="AL139">
        <f t="shared" si="18"/>
        <v>17.428888888888888</v>
      </c>
      <c r="AM139">
        <f t="shared" si="19"/>
        <v>9.5793007688888903</v>
      </c>
      <c r="AP139" s="9"/>
      <c r="AQ139" s="22">
        <v>1.18042</v>
      </c>
      <c r="AR139" s="22">
        <v>25.367899999999999</v>
      </c>
      <c r="AS139" s="22">
        <v>-1.39618E-2</v>
      </c>
      <c r="AT139" s="22">
        <v>129</v>
      </c>
      <c r="AU139" s="22">
        <v>1.1795</v>
      </c>
      <c r="AV139">
        <f t="shared" si="20"/>
        <v>17.236790123456789</v>
      </c>
      <c r="AW139">
        <f t="shared" si="21"/>
        <v>20.346651797530864</v>
      </c>
      <c r="AX139" s="9"/>
      <c r="AY139" s="22">
        <v>0.54962200000000005</v>
      </c>
      <c r="AZ139" s="22">
        <v>29.247499999999999</v>
      </c>
      <c r="BA139" s="22">
        <v>-1.4224199999999999E-2</v>
      </c>
      <c r="BB139" s="22">
        <v>129</v>
      </c>
      <c r="BC139" s="22">
        <v>0.54891999999999996</v>
      </c>
      <c r="BD139">
        <f t="shared" si="22"/>
        <v>17.560740740740737</v>
      </c>
      <c r="BE139">
        <f t="shared" si="23"/>
        <v>9.6517694474074069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6.4745499999999998</v>
      </c>
      <c r="I140" s="22">
        <v>-1.3787799999999999E-2</v>
      </c>
      <c r="J140" s="22">
        <v>130</v>
      </c>
      <c r="K140" s="22">
        <v>1.17462</v>
      </c>
      <c r="L140">
        <f t="shared" ref="L140:L203" si="24">-I140/$F$2*1000</f>
        <v>17.021975308641974</v>
      </c>
      <c r="M140">
        <f t="shared" ref="M140:M203" si="25">L140*G140</f>
        <v>20.007289338271605</v>
      </c>
      <c r="N140" s="9"/>
      <c r="O140" s="22">
        <v>0.55465699999999996</v>
      </c>
      <c r="P140" s="22">
        <v>10.354200000000001</v>
      </c>
      <c r="Q140" s="22">
        <v>-1.41052E-2</v>
      </c>
      <c r="R140" s="22">
        <v>130</v>
      </c>
      <c r="S140" s="22">
        <v>0.55380200000000002</v>
      </c>
      <c r="T140">
        <f t="shared" ref="T140:T203" si="26">-Q140/$F$2*1000</f>
        <v>17.413827160493828</v>
      </c>
      <c r="U140">
        <f t="shared" ref="U140:U203" si="27">T140*O140</f>
        <v>9.6587011313580238</v>
      </c>
      <c r="X140" s="9"/>
      <c r="Y140" s="22">
        <v>1.1753800000000001</v>
      </c>
      <c r="Z140" s="22">
        <v>15.9688</v>
      </c>
      <c r="AA140" s="22">
        <v>-1.39252E-2</v>
      </c>
      <c r="AB140" s="22">
        <v>130</v>
      </c>
      <c r="AC140" s="22">
        <v>1.17401</v>
      </c>
      <c r="AD140">
        <f t="shared" ref="AD140:AD203" si="28">-AA140/$F$2*1000</f>
        <v>17.191604938271606</v>
      </c>
      <c r="AE140">
        <f t="shared" ref="AE140:AE203" si="29">AD140*Y140</f>
        <v>20.20666861234568</v>
      </c>
      <c r="AF140" s="9"/>
      <c r="AG140" s="22">
        <v>0.55465699999999996</v>
      </c>
      <c r="AH140" s="22">
        <v>19.848400000000002</v>
      </c>
      <c r="AI140" s="22">
        <v>-1.41266E-2</v>
      </c>
      <c r="AJ140" s="22">
        <v>130</v>
      </c>
      <c r="AK140" s="22">
        <v>0.55383300000000002</v>
      </c>
      <c r="AL140">
        <f t="shared" ref="AL140:AL203" si="30">-AI140/$F$2*1000</f>
        <v>17.440246913580246</v>
      </c>
      <c r="AM140">
        <f t="shared" ref="AM140:AM203" si="31">AL140*AG140</f>
        <v>9.6733550323456772</v>
      </c>
      <c r="AP140" s="9"/>
      <c r="AQ140" s="22">
        <v>1.1753800000000001</v>
      </c>
      <c r="AR140" s="22">
        <v>25.378</v>
      </c>
      <c r="AS140" s="22">
        <v>-1.3974E-2</v>
      </c>
      <c r="AT140" s="22">
        <v>130</v>
      </c>
      <c r="AU140" s="22">
        <v>1.17462</v>
      </c>
      <c r="AV140">
        <f t="shared" ref="AV140:AV203" si="32">-AS140/$F$2*1000</f>
        <v>17.251851851851853</v>
      </c>
      <c r="AW140">
        <f t="shared" ref="AW140:AW203" si="33">AV140*AQ140</f>
        <v>20.277481629629634</v>
      </c>
      <c r="AX140" s="9"/>
      <c r="AY140" s="22">
        <v>0.55465699999999996</v>
      </c>
      <c r="AZ140" s="22">
        <v>29.2576</v>
      </c>
      <c r="BA140" s="22">
        <v>-1.42273E-2</v>
      </c>
      <c r="BB140" s="22">
        <v>130</v>
      </c>
      <c r="BC140" s="22">
        <v>0.55395499999999998</v>
      </c>
      <c r="BD140">
        <f t="shared" ref="BD140:BD203" si="34">-BA140/$F$2*1000</f>
        <v>17.564567901234565</v>
      </c>
      <c r="BE140">
        <f t="shared" ref="BE140:BE203" si="35">BD140*AY140</f>
        <v>9.7423105383950599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6.4846199999999996</v>
      </c>
      <c r="I141" s="22">
        <v>-1.37939E-2</v>
      </c>
      <c r="J141" s="22">
        <v>131</v>
      </c>
      <c r="K141" s="22">
        <v>1.16943</v>
      </c>
      <c r="L141">
        <f t="shared" si="24"/>
        <v>17.029506172839504</v>
      </c>
      <c r="M141">
        <f t="shared" si="25"/>
        <v>19.930482549382713</v>
      </c>
      <c r="N141" s="9"/>
      <c r="O141" s="22">
        <v>0.55969199999999997</v>
      </c>
      <c r="P141" s="22">
        <v>10.3642</v>
      </c>
      <c r="Q141" s="22">
        <v>-1.41022E-2</v>
      </c>
      <c r="R141" s="22">
        <v>131</v>
      </c>
      <c r="S141" s="22">
        <v>0.55892900000000001</v>
      </c>
      <c r="T141">
        <f t="shared" si="26"/>
        <v>17.410123456790124</v>
      </c>
      <c r="U141">
        <f t="shared" si="27"/>
        <v>9.7443068177777779</v>
      </c>
      <c r="X141" s="9"/>
      <c r="Y141" s="22">
        <v>1.17035</v>
      </c>
      <c r="Z141" s="22">
        <v>15.9788</v>
      </c>
      <c r="AA141" s="22">
        <v>-1.3937400000000001E-2</v>
      </c>
      <c r="AB141" s="22">
        <v>131</v>
      </c>
      <c r="AC141" s="22">
        <v>1.16913</v>
      </c>
      <c r="AD141">
        <f t="shared" si="28"/>
        <v>17.206666666666667</v>
      </c>
      <c r="AE141">
        <f t="shared" si="29"/>
        <v>20.137822333333332</v>
      </c>
      <c r="AF141" s="9"/>
      <c r="AG141" s="22">
        <v>0.55969199999999997</v>
      </c>
      <c r="AH141" s="22">
        <v>19.858499999999999</v>
      </c>
      <c r="AI141" s="22">
        <v>-1.4129600000000001E-2</v>
      </c>
      <c r="AJ141" s="22">
        <v>131</v>
      </c>
      <c r="AK141" s="22">
        <v>0.55889900000000003</v>
      </c>
      <c r="AL141">
        <f t="shared" si="30"/>
        <v>17.443950617283949</v>
      </c>
      <c r="AM141">
        <f t="shared" si="31"/>
        <v>9.7632396088888882</v>
      </c>
      <c r="AP141" s="9"/>
      <c r="AQ141" s="22">
        <v>1.17035</v>
      </c>
      <c r="AR141" s="22">
        <v>25.388100000000001</v>
      </c>
      <c r="AS141" s="22">
        <v>-1.3977099999999999E-2</v>
      </c>
      <c r="AT141" s="22">
        <v>131</v>
      </c>
      <c r="AU141" s="22">
        <v>1.16882</v>
      </c>
      <c r="AV141">
        <f t="shared" si="32"/>
        <v>17.255679012345677</v>
      </c>
      <c r="AW141">
        <f t="shared" si="33"/>
        <v>20.195183932098765</v>
      </c>
      <c r="AX141" s="9"/>
      <c r="AY141" s="22">
        <v>0.55969199999999997</v>
      </c>
      <c r="AZ141" s="22">
        <v>29.267700000000001</v>
      </c>
      <c r="BA141" s="22">
        <v>-1.42334E-2</v>
      </c>
      <c r="BB141" s="22">
        <v>131</v>
      </c>
      <c r="BC141" s="22">
        <v>0.55892900000000001</v>
      </c>
      <c r="BD141">
        <f t="shared" si="34"/>
        <v>17.572098765432099</v>
      </c>
      <c r="BE141">
        <f t="shared" si="35"/>
        <v>9.8349631022222219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6.4946900000000003</v>
      </c>
      <c r="I142" s="22">
        <v>-1.38E-2</v>
      </c>
      <c r="J142" s="22">
        <v>132</v>
      </c>
      <c r="K142" s="22">
        <v>1.16394</v>
      </c>
      <c r="L142">
        <f t="shared" si="24"/>
        <v>17.037037037037035</v>
      </c>
      <c r="M142">
        <f t="shared" si="25"/>
        <v>19.853429629629627</v>
      </c>
      <c r="N142" s="9"/>
      <c r="O142" s="22">
        <v>0.56472800000000001</v>
      </c>
      <c r="P142" s="22">
        <v>10.3743</v>
      </c>
      <c r="Q142" s="22">
        <v>-1.4108300000000001E-2</v>
      </c>
      <c r="R142" s="22">
        <v>132</v>
      </c>
      <c r="S142" s="22">
        <v>0.56393400000000005</v>
      </c>
      <c r="T142">
        <f t="shared" si="26"/>
        <v>17.417654320987655</v>
      </c>
      <c r="U142">
        <f t="shared" si="27"/>
        <v>9.8362370893827169</v>
      </c>
      <c r="X142" s="9"/>
      <c r="Y142" s="22">
        <v>1.1653100000000001</v>
      </c>
      <c r="Z142" s="22">
        <v>15.988899999999999</v>
      </c>
      <c r="AA142" s="22">
        <v>-1.39496E-2</v>
      </c>
      <c r="AB142" s="22">
        <v>132</v>
      </c>
      <c r="AC142" s="22">
        <v>1.16425</v>
      </c>
      <c r="AD142">
        <f t="shared" si="28"/>
        <v>17.221728395061724</v>
      </c>
      <c r="AE142">
        <f t="shared" si="29"/>
        <v>20.068652316049381</v>
      </c>
      <c r="AF142" s="9"/>
      <c r="AG142" s="22">
        <v>0.56472800000000001</v>
      </c>
      <c r="AH142" s="22">
        <v>19.868500000000001</v>
      </c>
      <c r="AI142" s="22">
        <v>-1.4135699999999999E-2</v>
      </c>
      <c r="AJ142" s="22">
        <v>132</v>
      </c>
      <c r="AK142" s="22">
        <v>0.56396500000000005</v>
      </c>
      <c r="AL142">
        <f t="shared" si="30"/>
        <v>17.45148148148148</v>
      </c>
      <c r="AM142">
        <f t="shared" si="31"/>
        <v>9.8553402340740739</v>
      </c>
      <c r="AP142" s="9"/>
      <c r="AQ142" s="22">
        <v>1.1653100000000001</v>
      </c>
      <c r="AR142" s="22">
        <v>25.398099999999999</v>
      </c>
      <c r="AS142" s="22">
        <v>-1.3980100000000001E-2</v>
      </c>
      <c r="AT142" s="22">
        <v>132</v>
      </c>
      <c r="AU142" s="22">
        <v>1.16364</v>
      </c>
      <c r="AV142">
        <f t="shared" si="32"/>
        <v>17.259382716049384</v>
      </c>
      <c r="AW142">
        <f t="shared" si="33"/>
        <v>20.112531272839508</v>
      </c>
      <c r="AX142" s="9"/>
      <c r="AY142" s="22">
        <v>0.56472800000000001</v>
      </c>
      <c r="AZ142" s="22">
        <v>29.277799999999999</v>
      </c>
      <c r="BA142" s="22">
        <v>-1.4224199999999999E-2</v>
      </c>
      <c r="BB142" s="22">
        <v>132</v>
      </c>
      <c r="BC142" s="22">
        <v>0.56390399999999996</v>
      </c>
      <c r="BD142">
        <f t="shared" si="34"/>
        <v>17.560740740740737</v>
      </c>
      <c r="BE142">
        <f t="shared" si="35"/>
        <v>9.9170419970370354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6.5047600000000001</v>
      </c>
      <c r="I143" s="22">
        <v>-1.3815300000000001E-2</v>
      </c>
      <c r="J143" s="22">
        <v>133</v>
      </c>
      <c r="K143" s="22">
        <v>1.1593599999999999</v>
      </c>
      <c r="L143">
        <f t="shared" si="24"/>
        <v>17.055925925925926</v>
      </c>
      <c r="M143">
        <f t="shared" si="25"/>
        <v>19.789649733333334</v>
      </c>
      <c r="N143" s="9"/>
      <c r="O143" s="22">
        <v>0.56976300000000002</v>
      </c>
      <c r="P143" s="22">
        <v>10.384399999999999</v>
      </c>
      <c r="Q143" s="22">
        <v>-1.4108300000000001E-2</v>
      </c>
      <c r="R143" s="22">
        <v>133</v>
      </c>
      <c r="S143" s="22">
        <v>0.56896999999999998</v>
      </c>
      <c r="T143">
        <f t="shared" si="26"/>
        <v>17.417654320987655</v>
      </c>
      <c r="U143">
        <f t="shared" si="27"/>
        <v>9.9239349788888891</v>
      </c>
      <c r="X143" s="9"/>
      <c r="Y143" s="22">
        <v>1.16028</v>
      </c>
      <c r="Z143" s="22">
        <v>15.999000000000001</v>
      </c>
      <c r="AA143" s="22">
        <v>-1.39557E-2</v>
      </c>
      <c r="AB143" s="22">
        <v>133</v>
      </c>
      <c r="AC143" s="22">
        <v>1.15967</v>
      </c>
      <c r="AD143">
        <f t="shared" si="28"/>
        <v>17.229259259259258</v>
      </c>
      <c r="AE143">
        <f t="shared" si="29"/>
        <v>19.990764933333331</v>
      </c>
      <c r="AF143" s="9"/>
      <c r="AG143" s="22">
        <v>0.56976300000000002</v>
      </c>
      <c r="AH143" s="22">
        <v>19.878599999999999</v>
      </c>
      <c r="AI143" s="22">
        <v>-1.41388E-2</v>
      </c>
      <c r="AJ143" s="22">
        <v>133</v>
      </c>
      <c r="AK143" s="22">
        <v>0.56899999999999995</v>
      </c>
      <c r="AL143">
        <f t="shared" si="30"/>
        <v>17.455308641975307</v>
      </c>
      <c r="AM143">
        <f t="shared" si="31"/>
        <v>9.945389017777778</v>
      </c>
      <c r="AP143" s="9"/>
      <c r="AQ143" s="22">
        <v>1.16028</v>
      </c>
      <c r="AR143" s="22">
        <v>25.408200000000001</v>
      </c>
      <c r="AS143" s="22">
        <v>-1.3977099999999999E-2</v>
      </c>
      <c r="AT143" s="22">
        <v>133</v>
      </c>
      <c r="AU143" s="22">
        <v>1.1593599999999999</v>
      </c>
      <c r="AV143">
        <f t="shared" si="32"/>
        <v>17.255679012345677</v>
      </c>
      <c r="AW143">
        <f t="shared" si="33"/>
        <v>20.021419244444441</v>
      </c>
      <c r="AX143" s="9"/>
      <c r="AY143" s="22">
        <v>0.56976300000000002</v>
      </c>
      <c r="AZ143" s="22">
        <v>29.287800000000001</v>
      </c>
      <c r="BA143" s="22">
        <v>-1.4218099999999999E-2</v>
      </c>
      <c r="BB143" s="22">
        <v>133</v>
      </c>
      <c r="BC143" s="22">
        <v>0.56896999999999998</v>
      </c>
      <c r="BD143">
        <f t="shared" si="34"/>
        <v>17.553209876543207</v>
      </c>
      <c r="BE143">
        <f t="shared" si="35"/>
        <v>10.001169518888888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6.5148400000000004</v>
      </c>
      <c r="I144" s="22">
        <v>-1.38245E-2</v>
      </c>
      <c r="J144" s="22">
        <v>134</v>
      </c>
      <c r="K144" s="22">
        <v>1.1541699999999999</v>
      </c>
      <c r="L144">
        <f t="shared" si="24"/>
        <v>17.067283950617281</v>
      </c>
      <c r="M144">
        <f t="shared" si="25"/>
        <v>19.716809111111107</v>
      </c>
      <c r="N144" s="9"/>
      <c r="O144" s="22">
        <v>0.57479899999999995</v>
      </c>
      <c r="P144" s="22">
        <v>10.394500000000001</v>
      </c>
      <c r="Q144" s="22">
        <v>-1.41052E-2</v>
      </c>
      <c r="R144" s="22">
        <v>134</v>
      </c>
      <c r="S144" s="22">
        <v>0.57397500000000001</v>
      </c>
      <c r="T144">
        <f t="shared" si="26"/>
        <v>17.413827160493828</v>
      </c>
      <c r="U144">
        <f t="shared" si="27"/>
        <v>10.009450438024691</v>
      </c>
      <c r="X144" s="9"/>
      <c r="Y144" s="22">
        <v>1.15524</v>
      </c>
      <c r="Z144" s="22">
        <v>16.0091</v>
      </c>
      <c r="AA144" s="22">
        <v>-1.3964799999999999E-2</v>
      </c>
      <c r="AB144" s="22">
        <v>134</v>
      </c>
      <c r="AC144" s="22">
        <v>1.15509</v>
      </c>
      <c r="AD144">
        <f t="shared" si="28"/>
        <v>17.240493827160492</v>
      </c>
      <c r="AE144">
        <f t="shared" si="29"/>
        <v>19.916908088888889</v>
      </c>
      <c r="AF144" s="9"/>
      <c r="AG144" s="22">
        <v>0.57479899999999995</v>
      </c>
      <c r="AH144" s="22">
        <v>19.8887</v>
      </c>
      <c r="AI144" s="22">
        <v>-1.4135699999999999E-2</v>
      </c>
      <c r="AJ144" s="22">
        <v>134</v>
      </c>
      <c r="AK144" s="22">
        <v>0.57400499999999999</v>
      </c>
      <c r="AL144">
        <f t="shared" si="30"/>
        <v>17.45148148148148</v>
      </c>
      <c r="AM144">
        <f t="shared" si="31"/>
        <v>10.031094104074072</v>
      </c>
      <c r="AP144" s="9"/>
      <c r="AQ144" s="22">
        <v>1.15524</v>
      </c>
      <c r="AR144" s="22">
        <v>25.418299999999999</v>
      </c>
      <c r="AS144" s="22">
        <v>-1.3980100000000001E-2</v>
      </c>
      <c r="AT144" s="22">
        <v>134</v>
      </c>
      <c r="AU144" s="22">
        <v>1.1541699999999999</v>
      </c>
      <c r="AV144">
        <f t="shared" si="32"/>
        <v>17.259382716049384</v>
      </c>
      <c r="AW144">
        <f t="shared" si="33"/>
        <v>19.93872928888889</v>
      </c>
      <c r="AX144" s="9"/>
      <c r="AY144" s="22">
        <v>0.57479899999999995</v>
      </c>
      <c r="AZ144" s="22">
        <v>29.297899999999998</v>
      </c>
      <c r="BA144" s="22">
        <v>-1.4218099999999999E-2</v>
      </c>
      <c r="BB144" s="22">
        <v>134</v>
      </c>
      <c r="BC144" s="22">
        <v>0.57394400000000001</v>
      </c>
      <c r="BD144">
        <f t="shared" si="34"/>
        <v>17.553209876543207</v>
      </c>
      <c r="BE144">
        <f t="shared" si="35"/>
        <v>10.089567483827159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6.5249100000000002</v>
      </c>
      <c r="I145" s="22">
        <v>-1.38245E-2</v>
      </c>
      <c r="J145" s="22">
        <v>135</v>
      </c>
      <c r="K145" s="22">
        <v>1.1496</v>
      </c>
      <c r="L145">
        <f t="shared" si="24"/>
        <v>17.067283950617281</v>
      </c>
      <c r="M145">
        <f t="shared" si="25"/>
        <v>19.630960672839503</v>
      </c>
      <c r="N145" s="9"/>
      <c r="O145" s="22">
        <v>0.57983399999999996</v>
      </c>
      <c r="P145" s="22">
        <v>10.404500000000001</v>
      </c>
      <c r="Q145" s="22">
        <v>-1.40961E-2</v>
      </c>
      <c r="R145" s="22">
        <v>135</v>
      </c>
      <c r="S145" s="22">
        <v>0.57901000000000002</v>
      </c>
      <c r="T145">
        <f t="shared" si="26"/>
        <v>17.40259259259259</v>
      </c>
      <c r="U145">
        <f t="shared" si="27"/>
        <v>10.090614873333331</v>
      </c>
      <c r="X145" s="9"/>
      <c r="Y145" s="22">
        <v>1.15021</v>
      </c>
      <c r="Z145" s="22">
        <v>16.019100000000002</v>
      </c>
      <c r="AA145" s="22">
        <v>-1.3964799999999999E-2</v>
      </c>
      <c r="AB145" s="22">
        <v>135</v>
      </c>
      <c r="AC145" s="22">
        <v>1.1492899999999999</v>
      </c>
      <c r="AD145">
        <f t="shared" si="28"/>
        <v>17.240493827160492</v>
      </c>
      <c r="AE145">
        <f t="shared" si="29"/>
        <v>19.830188404938269</v>
      </c>
      <c r="AF145" s="9"/>
      <c r="AG145" s="22">
        <v>0.57983399999999996</v>
      </c>
      <c r="AH145" s="22">
        <v>19.898700000000002</v>
      </c>
      <c r="AI145" s="22">
        <v>-1.4135699999999999E-2</v>
      </c>
      <c r="AJ145" s="22">
        <v>135</v>
      </c>
      <c r="AK145" s="22">
        <v>0.57897900000000002</v>
      </c>
      <c r="AL145">
        <f t="shared" si="30"/>
        <v>17.45148148148148</v>
      </c>
      <c r="AM145">
        <f t="shared" si="31"/>
        <v>10.118962313333332</v>
      </c>
      <c r="AP145" s="9"/>
      <c r="AQ145" s="22">
        <v>1.15021</v>
      </c>
      <c r="AR145" s="22">
        <v>25.4284</v>
      </c>
      <c r="AS145" s="22">
        <v>-1.3980100000000001E-2</v>
      </c>
      <c r="AT145" s="22">
        <v>135</v>
      </c>
      <c r="AU145" s="22">
        <v>1.14899</v>
      </c>
      <c r="AV145">
        <f t="shared" si="32"/>
        <v>17.259382716049384</v>
      </c>
      <c r="AW145">
        <f t="shared" si="33"/>
        <v>19.851914593827161</v>
      </c>
      <c r="AX145" s="9"/>
      <c r="AY145" s="22">
        <v>0.57983399999999996</v>
      </c>
      <c r="AZ145" s="22">
        <v>29.308</v>
      </c>
      <c r="BA145" s="22">
        <v>-1.4212000000000001E-2</v>
      </c>
      <c r="BB145" s="22">
        <v>135</v>
      </c>
      <c r="BC145" s="22">
        <v>0.579071</v>
      </c>
      <c r="BD145">
        <f t="shared" si="34"/>
        <v>17.54567901234568</v>
      </c>
      <c r="BE145">
        <f t="shared" si="35"/>
        <v>10.173581244444444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6.53498</v>
      </c>
      <c r="I146" s="22">
        <v>-1.38306E-2</v>
      </c>
      <c r="J146" s="22">
        <v>136</v>
      </c>
      <c r="K146" s="22">
        <v>1.1444099999999999</v>
      </c>
      <c r="L146">
        <f t="shared" si="24"/>
        <v>17.074814814814815</v>
      </c>
      <c r="M146">
        <f t="shared" si="25"/>
        <v>19.55356568148148</v>
      </c>
      <c r="N146" s="9"/>
      <c r="O146" s="22">
        <v>0.58486899999999997</v>
      </c>
      <c r="P146" s="22">
        <v>10.4146</v>
      </c>
      <c r="Q146" s="22">
        <v>-1.409E-2</v>
      </c>
      <c r="R146" s="22">
        <v>136</v>
      </c>
      <c r="S146" s="22">
        <v>0.58407600000000004</v>
      </c>
      <c r="T146">
        <f t="shared" si="26"/>
        <v>17.39506172839506</v>
      </c>
      <c r="U146">
        <f t="shared" si="27"/>
        <v>10.17383235802469</v>
      </c>
      <c r="X146" s="9"/>
      <c r="Y146" s="22">
        <v>1.14517</v>
      </c>
      <c r="Z146" s="22">
        <v>16.029199999999999</v>
      </c>
      <c r="AA146" s="22">
        <v>-1.39679E-2</v>
      </c>
      <c r="AB146" s="22">
        <v>136</v>
      </c>
      <c r="AC146" s="22">
        <v>1.1434899999999999</v>
      </c>
      <c r="AD146">
        <f t="shared" si="28"/>
        <v>17.244320987654319</v>
      </c>
      <c r="AE146">
        <f t="shared" si="29"/>
        <v>19.747679065432099</v>
      </c>
      <c r="AF146" s="9"/>
      <c r="AG146" s="22">
        <v>0.58486899999999997</v>
      </c>
      <c r="AH146" s="22">
        <v>19.908799999999999</v>
      </c>
      <c r="AI146" s="22">
        <v>-1.41388E-2</v>
      </c>
      <c r="AJ146" s="22">
        <v>136</v>
      </c>
      <c r="AK146" s="22">
        <v>0.58407600000000004</v>
      </c>
      <c r="AL146">
        <f t="shared" si="30"/>
        <v>17.455308641975307</v>
      </c>
      <c r="AM146">
        <f t="shared" si="31"/>
        <v>10.209068910123456</v>
      </c>
      <c r="AP146" s="9"/>
      <c r="AQ146" s="22">
        <v>1.14517</v>
      </c>
      <c r="AR146" s="22">
        <v>25.438400000000001</v>
      </c>
      <c r="AS146" s="22">
        <v>-1.3980100000000001E-2</v>
      </c>
      <c r="AT146" s="22">
        <v>136</v>
      </c>
      <c r="AU146" s="22">
        <v>1.1440999999999999</v>
      </c>
      <c r="AV146">
        <f t="shared" si="32"/>
        <v>17.259382716049384</v>
      </c>
      <c r="AW146">
        <f t="shared" si="33"/>
        <v>19.764927304938272</v>
      </c>
      <c r="AX146" s="9"/>
      <c r="AY146" s="22">
        <v>0.58486899999999997</v>
      </c>
      <c r="AZ146" s="22">
        <v>29.318000000000001</v>
      </c>
      <c r="BA146" s="22">
        <v>-1.4202899999999999E-2</v>
      </c>
      <c r="BB146" s="22">
        <v>136</v>
      </c>
      <c r="BC146" s="22">
        <v>0.58407600000000004</v>
      </c>
      <c r="BD146">
        <f t="shared" si="34"/>
        <v>17.534444444444443</v>
      </c>
      <c r="BE146">
        <f t="shared" si="35"/>
        <v>10.255352987777776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6.5450499999999998</v>
      </c>
      <c r="I147" s="22">
        <v>-1.38367E-2</v>
      </c>
      <c r="J147" s="22">
        <v>137</v>
      </c>
      <c r="K147" s="22">
        <v>1.1395299999999999</v>
      </c>
      <c r="L147">
        <f t="shared" si="24"/>
        <v>17.082345679012345</v>
      </c>
      <c r="M147">
        <f t="shared" si="25"/>
        <v>19.476265602469134</v>
      </c>
      <c r="N147" s="9"/>
      <c r="O147" s="22">
        <v>0.58990500000000001</v>
      </c>
      <c r="P147" s="22">
        <v>10.4247</v>
      </c>
      <c r="Q147" s="22">
        <v>-1.40991E-2</v>
      </c>
      <c r="R147" s="22">
        <v>137</v>
      </c>
      <c r="S147" s="22">
        <v>0.58911100000000005</v>
      </c>
      <c r="T147">
        <f t="shared" si="26"/>
        <v>17.406296296296293</v>
      </c>
      <c r="U147">
        <f t="shared" si="27"/>
        <v>10.268061216666664</v>
      </c>
      <c r="X147" s="9"/>
      <c r="Y147" s="22">
        <v>1.1401399999999999</v>
      </c>
      <c r="Z147" s="22">
        <v>16.039300000000001</v>
      </c>
      <c r="AA147" s="22">
        <v>-1.39709E-2</v>
      </c>
      <c r="AB147" s="22">
        <v>137</v>
      </c>
      <c r="AC147" s="22">
        <v>1.1392199999999999</v>
      </c>
      <c r="AD147">
        <f t="shared" si="28"/>
        <v>17.248024691358022</v>
      </c>
      <c r="AE147">
        <f t="shared" si="29"/>
        <v>19.665162871604934</v>
      </c>
      <c r="AF147" s="9"/>
      <c r="AG147" s="22">
        <v>0.58990500000000001</v>
      </c>
      <c r="AH147" s="22">
        <v>19.918900000000001</v>
      </c>
      <c r="AI147" s="22">
        <v>-1.41388E-2</v>
      </c>
      <c r="AJ147" s="22">
        <v>137</v>
      </c>
      <c r="AK147" s="22">
        <v>0.58917200000000003</v>
      </c>
      <c r="AL147">
        <f t="shared" si="30"/>
        <v>17.455308641975307</v>
      </c>
      <c r="AM147">
        <f t="shared" si="31"/>
        <v>10.296973844444445</v>
      </c>
      <c r="AP147" s="9"/>
      <c r="AQ147" s="22">
        <v>1.1401399999999999</v>
      </c>
      <c r="AR147" s="22">
        <v>25.448499999999999</v>
      </c>
      <c r="AS147" s="22">
        <v>-1.3977099999999999E-2</v>
      </c>
      <c r="AT147" s="22">
        <v>137</v>
      </c>
      <c r="AU147" s="22">
        <v>1.1392199999999999</v>
      </c>
      <c r="AV147">
        <f t="shared" si="32"/>
        <v>17.255679012345677</v>
      </c>
      <c r="AW147">
        <f t="shared" si="33"/>
        <v>19.673889869135799</v>
      </c>
      <c r="AX147" s="9"/>
      <c r="AY147" s="22">
        <v>0.58990500000000001</v>
      </c>
      <c r="AZ147" s="22">
        <v>29.328099999999999</v>
      </c>
      <c r="BA147" s="22">
        <v>-1.4196800000000001E-2</v>
      </c>
      <c r="BB147" s="22">
        <v>137</v>
      </c>
      <c r="BC147" s="22">
        <v>0.58908099999999997</v>
      </c>
      <c r="BD147">
        <f t="shared" si="34"/>
        <v>17.526913580246916</v>
      </c>
      <c r="BE147">
        <f t="shared" si="35"/>
        <v>10.339213955555557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6.5551199999999996</v>
      </c>
      <c r="I148" s="22">
        <v>-1.3848900000000001E-2</v>
      </c>
      <c r="J148" s="22">
        <v>138</v>
      </c>
      <c r="K148" s="22">
        <v>1.1343399999999999</v>
      </c>
      <c r="L148">
        <f t="shared" si="24"/>
        <v>17.09740740740741</v>
      </c>
      <c r="M148">
        <f t="shared" si="25"/>
        <v>19.407267148148151</v>
      </c>
      <c r="N148" s="9"/>
      <c r="O148" s="22">
        <v>0.59494000000000002</v>
      </c>
      <c r="P148" s="22">
        <v>10.434699999999999</v>
      </c>
      <c r="Q148" s="22">
        <v>-1.40961E-2</v>
      </c>
      <c r="R148" s="22">
        <v>138</v>
      </c>
      <c r="S148" s="22">
        <v>0.594055</v>
      </c>
      <c r="T148">
        <f t="shared" si="26"/>
        <v>17.40259259259259</v>
      </c>
      <c r="U148">
        <f t="shared" si="27"/>
        <v>10.353498437037036</v>
      </c>
      <c r="X148" s="9"/>
      <c r="Y148" s="22">
        <v>1.1351</v>
      </c>
      <c r="Z148" s="22">
        <v>16.049299999999999</v>
      </c>
      <c r="AA148" s="22">
        <v>-1.39679E-2</v>
      </c>
      <c r="AB148" s="22">
        <v>138</v>
      </c>
      <c r="AC148" s="22">
        <v>1.1343399999999999</v>
      </c>
      <c r="AD148">
        <f t="shared" si="28"/>
        <v>17.244320987654319</v>
      </c>
      <c r="AE148">
        <f t="shared" si="29"/>
        <v>19.574028753086417</v>
      </c>
      <c r="AF148" s="9"/>
      <c r="AG148" s="22">
        <v>0.59494000000000002</v>
      </c>
      <c r="AH148" s="22">
        <v>19.928999999999998</v>
      </c>
      <c r="AI148" s="22">
        <v>-1.41388E-2</v>
      </c>
      <c r="AJ148" s="22">
        <v>138</v>
      </c>
      <c r="AK148" s="22">
        <v>0.59417699999999996</v>
      </c>
      <c r="AL148">
        <f t="shared" si="30"/>
        <v>17.455308641975307</v>
      </c>
      <c r="AM148">
        <f t="shared" si="31"/>
        <v>10.384861323456789</v>
      </c>
      <c r="AP148" s="9"/>
      <c r="AQ148" s="22">
        <v>1.1351</v>
      </c>
      <c r="AR148" s="22">
        <v>25.458600000000001</v>
      </c>
      <c r="AS148" s="22">
        <v>-1.3983199999999999E-2</v>
      </c>
      <c r="AT148" s="22">
        <v>138</v>
      </c>
      <c r="AU148" s="22">
        <v>1.1346400000000001</v>
      </c>
      <c r="AV148">
        <f t="shared" si="32"/>
        <v>17.263209876543208</v>
      </c>
      <c r="AW148">
        <f t="shared" si="33"/>
        <v>19.595469530864197</v>
      </c>
      <c r="AX148" s="9"/>
      <c r="AY148" s="22">
        <v>0.59494000000000002</v>
      </c>
      <c r="AZ148" s="22">
        <v>29.338200000000001</v>
      </c>
      <c r="BA148" s="22">
        <v>-1.4190700000000001E-2</v>
      </c>
      <c r="BB148" s="22">
        <v>138</v>
      </c>
      <c r="BC148" s="22">
        <v>0.594086</v>
      </c>
      <c r="BD148">
        <f t="shared" si="34"/>
        <v>17.519382716049382</v>
      </c>
      <c r="BE148">
        <f t="shared" si="35"/>
        <v>10.422981553086419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6.5651900000000003</v>
      </c>
      <c r="I149" s="22">
        <v>-1.3848900000000001E-2</v>
      </c>
      <c r="J149" s="22">
        <v>139</v>
      </c>
      <c r="K149" s="22">
        <v>1.1291500000000001</v>
      </c>
      <c r="L149">
        <f t="shared" si="24"/>
        <v>17.09740740740741</v>
      </c>
      <c r="M149">
        <f t="shared" si="25"/>
        <v>19.321267188888889</v>
      </c>
      <c r="N149" s="9"/>
      <c r="O149" s="22">
        <v>0.59997599999999995</v>
      </c>
      <c r="P149" s="22">
        <v>10.444800000000001</v>
      </c>
      <c r="Q149" s="22">
        <v>-1.409E-2</v>
      </c>
      <c r="R149" s="22">
        <v>139</v>
      </c>
      <c r="S149" s="22">
        <v>0.59927399999999997</v>
      </c>
      <c r="T149">
        <f t="shared" si="26"/>
        <v>17.39506172839506</v>
      </c>
      <c r="U149">
        <f t="shared" si="27"/>
        <v>10.436619555555554</v>
      </c>
      <c r="X149" s="9"/>
      <c r="Y149" s="22">
        <v>1.1300699999999999</v>
      </c>
      <c r="Z149" s="22">
        <v>16.0594</v>
      </c>
      <c r="AA149" s="22">
        <v>-1.3964799999999999E-2</v>
      </c>
      <c r="AB149" s="22">
        <v>139</v>
      </c>
      <c r="AC149" s="22">
        <v>1.1291500000000001</v>
      </c>
      <c r="AD149">
        <f t="shared" si="28"/>
        <v>17.240493827160492</v>
      </c>
      <c r="AE149">
        <f t="shared" si="29"/>
        <v>19.482964859259255</v>
      </c>
      <c r="AF149" s="9"/>
      <c r="AG149" s="22">
        <v>0.59997599999999995</v>
      </c>
      <c r="AH149" s="22">
        <v>19.939</v>
      </c>
      <c r="AI149" s="22">
        <v>-1.41418E-2</v>
      </c>
      <c r="AJ149" s="22">
        <v>139</v>
      </c>
      <c r="AK149" s="22">
        <v>0.59912100000000001</v>
      </c>
      <c r="AL149">
        <f t="shared" si="30"/>
        <v>17.45901234567901</v>
      </c>
      <c r="AM149">
        <f t="shared" si="31"/>
        <v>10.474988391111109</v>
      </c>
      <c r="AP149" s="9"/>
      <c r="AQ149" s="22">
        <v>1.1300699999999999</v>
      </c>
      <c r="AR149" s="22">
        <v>25.468599999999999</v>
      </c>
      <c r="AS149" s="22">
        <v>-1.3986200000000001E-2</v>
      </c>
      <c r="AT149" s="22">
        <v>139</v>
      </c>
      <c r="AU149" s="22">
        <v>1.1288499999999999</v>
      </c>
      <c r="AV149">
        <f t="shared" si="32"/>
        <v>17.266913580246914</v>
      </c>
      <c r="AW149">
        <f t="shared" si="33"/>
        <v>19.512821029629627</v>
      </c>
      <c r="AX149" s="9"/>
      <c r="AY149" s="22">
        <v>0.59997599999999995</v>
      </c>
      <c r="AZ149" s="22">
        <v>29.348299999999998</v>
      </c>
      <c r="BA149" s="22">
        <v>-1.41815E-2</v>
      </c>
      <c r="BB149" s="22">
        <v>139</v>
      </c>
      <c r="BC149" s="22">
        <v>0.59924299999999997</v>
      </c>
      <c r="BD149">
        <f t="shared" si="34"/>
        <v>17.508024691358024</v>
      </c>
      <c r="BE149">
        <f t="shared" si="35"/>
        <v>10.504394622222222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6.5752600000000001</v>
      </c>
      <c r="I150" s="22">
        <v>-1.3848900000000001E-2</v>
      </c>
      <c r="J150" s="22">
        <v>140</v>
      </c>
      <c r="K150" s="22">
        <v>1.1236600000000001</v>
      </c>
      <c r="L150">
        <f t="shared" si="24"/>
        <v>17.09740740740741</v>
      </c>
      <c r="M150">
        <f t="shared" si="25"/>
        <v>19.235096255555558</v>
      </c>
      <c r="N150" s="9"/>
      <c r="O150" s="22">
        <v>0.60501099999999997</v>
      </c>
      <c r="P150" s="22">
        <v>10.4549</v>
      </c>
      <c r="Q150" s="22">
        <v>-1.409E-2</v>
      </c>
      <c r="R150" s="22">
        <v>140</v>
      </c>
      <c r="S150" s="22">
        <v>0.60424800000000001</v>
      </c>
      <c r="T150">
        <f t="shared" si="26"/>
        <v>17.39506172839506</v>
      </c>
      <c r="U150">
        <f t="shared" si="27"/>
        <v>10.524203691358023</v>
      </c>
      <c r="X150" s="9"/>
      <c r="Y150" s="22">
        <v>1.12503</v>
      </c>
      <c r="Z150" s="22">
        <v>16.069500000000001</v>
      </c>
      <c r="AA150" s="22">
        <v>-1.39709E-2</v>
      </c>
      <c r="AB150" s="22">
        <v>140</v>
      </c>
      <c r="AC150" s="22">
        <v>1.1245700000000001</v>
      </c>
      <c r="AD150">
        <f t="shared" si="28"/>
        <v>17.248024691358022</v>
      </c>
      <c r="AE150">
        <f t="shared" si="29"/>
        <v>19.404545218518514</v>
      </c>
      <c r="AF150" s="9"/>
      <c r="AG150" s="22">
        <v>0.60501099999999997</v>
      </c>
      <c r="AH150" s="22">
        <v>19.949100000000001</v>
      </c>
      <c r="AI150" s="22">
        <v>-1.41418E-2</v>
      </c>
      <c r="AJ150" s="22">
        <v>140</v>
      </c>
      <c r="AK150" s="22">
        <v>0.60418700000000003</v>
      </c>
      <c r="AL150">
        <f t="shared" si="30"/>
        <v>17.45901234567901</v>
      </c>
      <c r="AM150">
        <f t="shared" si="31"/>
        <v>10.562894518271603</v>
      </c>
      <c r="AP150" s="9"/>
      <c r="AQ150" s="22">
        <v>1.12503</v>
      </c>
      <c r="AR150" s="22">
        <v>25.4787</v>
      </c>
      <c r="AS150" s="22">
        <v>-1.39893E-2</v>
      </c>
      <c r="AT150" s="22">
        <v>140</v>
      </c>
      <c r="AU150" s="22">
        <v>1.1239600000000001</v>
      </c>
      <c r="AV150">
        <f t="shared" si="32"/>
        <v>17.270740740740738</v>
      </c>
      <c r="AW150">
        <f t="shared" si="33"/>
        <v>19.430101455555551</v>
      </c>
      <c r="AX150" s="9"/>
      <c r="AY150" s="22">
        <v>0.60501099999999997</v>
      </c>
      <c r="AZ150" s="22">
        <v>29.3583</v>
      </c>
      <c r="BA150" s="22">
        <v>-1.41724E-2</v>
      </c>
      <c r="BB150" s="22">
        <v>140</v>
      </c>
      <c r="BC150" s="22">
        <v>0.60424800000000001</v>
      </c>
      <c r="BD150">
        <f t="shared" si="34"/>
        <v>17.496790123456787</v>
      </c>
      <c r="BE150">
        <f t="shared" si="35"/>
        <v>10.585750489382713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6.5853299999999999</v>
      </c>
      <c r="I151" s="22">
        <v>-1.38519E-2</v>
      </c>
      <c r="J151" s="22">
        <v>141</v>
      </c>
      <c r="K151" s="22">
        <v>1.11877</v>
      </c>
      <c r="L151">
        <f t="shared" si="24"/>
        <v>17.101111111111113</v>
      </c>
      <c r="M151">
        <f t="shared" si="25"/>
        <v>19.153244444444447</v>
      </c>
      <c r="N151" s="9"/>
      <c r="O151" s="22">
        <v>0.61004599999999998</v>
      </c>
      <c r="P151" s="22">
        <v>10.4649</v>
      </c>
      <c r="Q151" s="22">
        <v>-1.409E-2</v>
      </c>
      <c r="R151" s="22">
        <v>141</v>
      </c>
      <c r="S151" s="22">
        <v>0.60919199999999996</v>
      </c>
      <c r="T151">
        <f t="shared" si="26"/>
        <v>17.39506172839506</v>
      </c>
      <c r="U151">
        <f t="shared" si="27"/>
        <v>10.611787827160493</v>
      </c>
      <c r="X151" s="9"/>
      <c r="Y151" s="22">
        <v>1.1200000000000001</v>
      </c>
      <c r="Z151" s="22">
        <v>16.079599999999999</v>
      </c>
      <c r="AA151" s="22">
        <v>-1.3986200000000001E-2</v>
      </c>
      <c r="AB151" s="22">
        <v>141</v>
      </c>
      <c r="AC151" s="22">
        <v>1.1196900000000001</v>
      </c>
      <c r="AD151">
        <f t="shared" si="28"/>
        <v>17.266913580246914</v>
      </c>
      <c r="AE151">
        <f t="shared" si="29"/>
        <v>19.338943209876547</v>
      </c>
      <c r="AF151" s="9"/>
      <c r="AG151" s="22">
        <v>0.61004599999999998</v>
      </c>
      <c r="AH151" s="22">
        <v>19.959199999999999</v>
      </c>
      <c r="AI151" s="22">
        <v>-1.41327E-2</v>
      </c>
      <c r="AJ151" s="22">
        <v>141</v>
      </c>
      <c r="AK151" s="22">
        <v>0.60922200000000004</v>
      </c>
      <c r="AL151">
        <f t="shared" si="30"/>
        <v>17.447777777777777</v>
      </c>
      <c r="AM151">
        <f t="shared" si="31"/>
        <v>10.643947042222221</v>
      </c>
      <c r="AP151" s="9"/>
      <c r="AQ151" s="22">
        <v>1.1200000000000001</v>
      </c>
      <c r="AR151" s="22">
        <v>25.488800000000001</v>
      </c>
      <c r="AS151" s="22">
        <v>-1.39954E-2</v>
      </c>
      <c r="AT151" s="22">
        <v>141</v>
      </c>
      <c r="AU151" s="22">
        <v>1.1184700000000001</v>
      </c>
      <c r="AV151">
        <f t="shared" si="32"/>
        <v>17.278271604938272</v>
      </c>
      <c r="AW151">
        <f t="shared" si="33"/>
        <v>19.351664197530866</v>
      </c>
      <c r="AX151" s="9"/>
      <c r="AY151" s="22">
        <v>0.61004599999999998</v>
      </c>
      <c r="AZ151" s="22">
        <v>29.368400000000001</v>
      </c>
      <c r="BA151" s="22">
        <v>-1.41724E-2</v>
      </c>
      <c r="BB151" s="22">
        <v>141</v>
      </c>
      <c r="BC151" s="22">
        <v>0.60922200000000004</v>
      </c>
      <c r="BD151">
        <f t="shared" si="34"/>
        <v>17.496790123456787</v>
      </c>
      <c r="BE151">
        <f t="shared" si="35"/>
        <v>10.673846827654319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6.5953999999999997</v>
      </c>
      <c r="I152" s="22">
        <v>-1.3858000000000001E-2</v>
      </c>
      <c r="J152" s="22">
        <v>142</v>
      </c>
      <c r="K152" s="22">
        <v>1.1142000000000001</v>
      </c>
      <c r="L152">
        <f t="shared" si="24"/>
        <v>17.10864197530864</v>
      </c>
      <c r="M152">
        <f t="shared" si="25"/>
        <v>19.07545145679012</v>
      </c>
      <c r="N152" s="9"/>
      <c r="O152" s="22">
        <v>0.61508200000000002</v>
      </c>
      <c r="P152" s="22">
        <v>10.475</v>
      </c>
      <c r="Q152" s="22">
        <v>-1.40961E-2</v>
      </c>
      <c r="R152" s="22">
        <v>142</v>
      </c>
      <c r="S152" s="22">
        <v>0.61425799999999997</v>
      </c>
      <c r="T152">
        <f t="shared" si="26"/>
        <v>17.40259259259259</v>
      </c>
      <c r="U152">
        <f t="shared" si="27"/>
        <v>10.704021457037037</v>
      </c>
      <c r="X152" s="9"/>
      <c r="Y152" s="22">
        <v>1.11496</v>
      </c>
      <c r="Z152" s="22">
        <v>16.089600000000001</v>
      </c>
      <c r="AA152" s="22">
        <v>-1.3998399999999999E-2</v>
      </c>
      <c r="AB152" s="22">
        <v>142</v>
      </c>
      <c r="AC152" s="22">
        <v>1.1129800000000001</v>
      </c>
      <c r="AD152">
        <f t="shared" si="28"/>
        <v>17.281975308641975</v>
      </c>
      <c r="AE152">
        <f t="shared" si="29"/>
        <v>19.268711190123454</v>
      </c>
      <c r="AF152" s="9"/>
      <c r="AG152" s="22">
        <v>0.61508200000000002</v>
      </c>
      <c r="AH152" s="22">
        <v>19.969200000000001</v>
      </c>
      <c r="AI152" s="22">
        <v>-1.4129600000000001E-2</v>
      </c>
      <c r="AJ152" s="22">
        <v>142</v>
      </c>
      <c r="AK152" s="22">
        <v>0.61428799999999995</v>
      </c>
      <c r="AL152">
        <f t="shared" si="30"/>
        <v>17.443950617283949</v>
      </c>
      <c r="AM152">
        <f t="shared" si="31"/>
        <v>10.729460033580246</v>
      </c>
      <c r="AP152" s="9"/>
      <c r="AQ152" s="22">
        <v>1.11496</v>
      </c>
      <c r="AR152" s="22">
        <v>25.498899999999999</v>
      </c>
      <c r="AS152" s="22">
        <v>-1.40045E-2</v>
      </c>
      <c r="AT152" s="22">
        <v>142</v>
      </c>
      <c r="AU152" s="22">
        <v>1.11389</v>
      </c>
      <c r="AV152">
        <f t="shared" si="32"/>
        <v>17.289506172839506</v>
      </c>
      <c r="AW152">
        <f t="shared" si="33"/>
        <v>19.277107802469136</v>
      </c>
      <c r="AX152" s="9"/>
      <c r="AY152" s="22">
        <v>0.61508200000000002</v>
      </c>
      <c r="AZ152" s="22">
        <v>29.378499999999999</v>
      </c>
      <c r="BA152" s="22">
        <v>-1.4163200000000001E-2</v>
      </c>
      <c r="BB152" s="22">
        <v>142</v>
      </c>
      <c r="BC152" s="22">
        <v>0.61431899999999995</v>
      </c>
      <c r="BD152">
        <f t="shared" si="34"/>
        <v>17.485432098765433</v>
      </c>
      <c r="BE152">
        <f t="shared" si="35"/>
        <v>10.754974546172841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6.6054700000000004</v>
      </c>
      <c r="I153" s="22">
        <v>-1.3870199999999999E-2</v>
      </c>
      <c r="J153" s="22">
        <v>143</v>
      </c>
      <c r="K153" s="22">
        <v>1.1084000000000001</v>
      </c>
      <c r="L153">
        <f t="shared" si="24"/>
        <v>17.123703703703701</v>
      </c>
      <c r="M153">
        <f t="shared" si="25"/>
        <v>19.005941214814811</v>
      </c>
      <c r="N153" s="9"/>
      <c r="O153" s="22">
        <v>0.62011700000000003</v>
      </c>
      <c r="P153" s="22">
        <v>10.485099999999999</v>
      </c>
      <c r="Q153" s="22">
        <v>-1.40991E-2</v>
      </c>
      <c r="R153" s="22">
        <v>143</v>
      </c>
      <c r="S153" s="22">
        <v>0.61935399999999996</v>
      </c>
      <c r="T153">
        <f t="shared" si="26"/>
        <v>17.406296296296293</v>
      </c>
      <c r="U153">
        <f t="shared" si="27"/>
        <v>10.79394024037037</v>
      </c>
      <c r="X153" s="9"/>
      <c r="Y153" s="22">
        <v>1.10992</v>
      </c>
      <c r="Z153" s="22">
        <v>16.099699999999999</v>
      </c>
      <c r="AA153" s="22">
        <v>-1.40076E-2</v>
      </c>
      <c r="AB153" s="22">
        <v>143</v>
      </c>
      <c r="AC153" s="22">
        <v>1.10931</v>
      </c>
      <c r="AD153">
        <f t="shared" si="28"/>
        <v>17.293333333333333</v>
      </c>
      <c r="AE153">
        <f t="shared" si="29"/>
        <v>19.194216533333332</v>
      </c>
      <c r="AF153" s="9"/>
      <c r="AG153" s="22">
        <v>0.62011700000000003</v>
      </c>
      <c r="AH153" s="22">
        <v>19.979299999999999</v>
      </c>
      <c r="AI153" s="22">
        <v>-1.41327E-2</v>
      </c>
      <c r="AJ153" s="22">
        <v>143</v>
      </c>
      <c r="AK153" s="22">
        <v>0.61941500000000005</v>
      </c>
      <c r="AL153">
        <f t="shared" si="30"/>
        <v>17.447777777777777</v>
      </c>
      <c r="AM153">
        <f t="shared" si="31"/>
        <v>10.819663612222222</v>
      </c>
      <c r="AP153" s="9"/>
      <c r="AQ153" s="22">
        <v>1.10992</v>
      </c>
      <c r="AR153" s="22">
        <v>25.508900000000001</v>
      </c>
      <c r="AS153" s="22">
        <v>-1.40137E-2</v>
      </c>
      <c r="AT153" s="22">
        <v>143</v>
      </c>
      <c r="AU153" s="22">
        <v>1.10931</v>
      </c>
      <c r="AV153">
        <f t="shared" si="32"/>
        <v>17.300864197530863</v>
      </c>
      <c r="AW153">
        <f t="shared" si="33"/>
        <v>19.202575190123458</v>
      </c>
      <c r="AX153" s="9"/>
      <c r="AY153" s="22">
        <v>0.62011700000000003</v>
      </c>
      <c r="AZ153" s="22">
        <v>29.388500000000001</v>
      </c>
      <c r="BA153" s="22">
        <v>-1.41602E-2</v>
      </c>
      <c r="BB153" s="22">
        <v>143</v>
      </c>
      <c r="BC153" s="22">
        <v>0.61932399999999999</v>
      </c>
      <c r="BD153">
        <f t="shared" si="34"/>
        <v>17.481728395061729</v>
      </c>
      <c r="BE153">
        <f t="shared" si="35"/>
        <v>10.840716967160494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6.6155499999999998</v>
      </c>
      <c r="I154" s="22">
        <v>-1.38672E-2</v>
      </c>
      <c r="J154" s="22">
        <v>144</v>
      </c>
      <c r="K154" s="22">
        <v>1.1041300000000001</v>
      </c>
      <c r="L154">
        <f t="shared" si="24"/>
        <v>17.12</v>
      </c>
      <c r="M154">
        <f t="shared" si="25"/>
        <v>18.915716799999998</v>
      </c>
      <c r="N154" s="9"/>
      <c r="O154" s="22">
        <v>0.62515299999999996</v>
      </c>
      <c r="P154" s="22">
        <v>10.495200000000001</v>
      </c>
      <c r="Q154" s="22">
        <v>-1.40991E-2</v>
      </c>
      <c r="R154" s="22">
        <v>144</v>
      </c>
      <c r="S154" s="22">
        <v>0.62432900000000002</v>
      </c>
      <c r="T154">
        <f t="shared" si="26"/>
        <v>17.406296296296293</v>
      </c>
      <c r="U154">
        <f t="shared" si="27"/>
        <v>10.881598348518516</v>
      </c>
      <c r="X154" s="9"/>
      <c r="Y154" s="22">
        <v>1.1048899999999999</v>
      </c>
      <c r="Z154" s="22">
        <v>16.1098</v>
      </c>
      <c r="AA154" s="22">
        <v>-1.40076E-2</v>
      </c>
      <c r="AB154" s="22">
        <v>144</v>
      </c>
      <c r="AC154" s="22">
        <v>1.10321</v>
      </c>
      <c r="AD154">
        <f t="shared" si="28"/>
        <v>17.293333333333333</v>
      </c>
      <c r="AE154">
        <f t="shared" si="29"/>
        <v>19.107231066666664</v>
      </c>
      <c r="AF154" s="9"/>
      <c r="AG154" s="22">
        <v>0.62515299999999996</v>
      </c>
      <c r="AH154" s="22">
        <v>19.9894</v>
      </c>
      <c r="AI154" s="22">
        <v>-1.41388E-2</v>
      </c>
      <c r="AJ154" s="22">
        <v>144</v>
      </c>
      <c r="AK154" s="22">
        <v>0.62441999999999998</v>
      </c>
      <c r="AL154">
        <f t="shared" si="30"/>
        <v>17.455308641975307</v>
      </c>
      <c r="AM154">
        <f t="shared" si="31"/>
        <v>10.912238563456789</v>
      </c>
      <c r="AP154" s="9"/>
      <c r="AQ154" s="22">
        <v>1.1048899999999999</v>
      </c>
      <c r="AR154" s="22">
        <v>25.518999999999998</v>
      </c>
      <c r="AS154" s="22">
        <v>-1.40167E-2</v>
      </c>
      <c r="AT154" s="22">
        <v>144</v>
      </c>
      <c r="AU154" s="22">
        <v>1.10321</v>
      </c>
      <c r="AV154">
        <f t="shared" si="32"/>
        <v>17.304567901234567</v>
      </c>
      <c r="AW154">
        <f t="shared" si="33"/>
        <v>19.119644028395058</v>
      </c>
      <c r="AX154" s="9"/>
      <c r="AY154" s="22">
        <v>0.62515299999999996</v>
      </c>
      <c r="AZ154" s="22">
        <v>29.398599999999998</v>
      </c>
      <c r="BA154" s="22">
        <v>-1.4163200000000001E-2</v>
      </c>
      <c r="BB154" s="22">
        <v>144</v>
      </c>
      <c r="BC154" s="22">
        <v>0.624359</v>
      </c>
      <c r="BD154">
        <f t="shared" si="34"/>
        <v>17.485432098765433</v>
      </c>
      <c r="BE154">
        <f t="shared" si="35"/>
        <v>10.931070332839505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6.6256199999999996</v>
      </c>
      <c r="I155" s="22">
        <v>-1.3876299999999999E-2</v>
      </c>
      <c r="J155" s="22">
        <v>145</v>
      </c>
      <c r="K155" s="22">
        <v>1.09894</v>
      </c>
      <c r="L155">
        <f t="shared" si="24"/>
        <v>17.131234567901231</v>
      </c>
      <c r="M155">
        <f t="shared" si="25"/>
        <v>18.84178833950617</v>
      </c>
      <c r="N155" s="9"/>
      <c r="O155" s="22">
        <v>0.63018799999999997</v>
      </c>
      <c r="P155" s="22">
        <v>10.5052</v>
      </c>
      <c r="Q155" s="22">
        <v>-1.40961E-2</v>
      </c>
      <c r="R155" s="22">
        <v>145</v>
      </c>
      <c r="S155" s="22">
        <v>0.62939500000000004</v>
      </c>
      <c r="T155">
        <f t="shared" si="26"/>
        <v>17.40259259259259</v>
      </c>
      <c r="U155">
        <f t="shared" si="27"/>
        <v>10.966905020740739</v>
      </c>
      <c r="X155" s="9"/>
      <c r="Y155" s="22">
        <v>1.09985</v>
      </c>
      <c r="Z155" s="22">
        <v>16.119800000000001</v>
      </c>
      <c r="AA155" s="22">
        <v>-1.40076E-2</v>
      </c>
      <c r="AB155" s="22">
        <v>145</v>
      </c>
      <c r="AC155" s="22">
        <v>1.09894</v>
      </c>
      <c r="AD155">
        <f t="shared" si="28"/>
        <v>17.293333333333333</v>
      </c>
      <c r="AE155">
        <f t="shared" si="29"/>
        <v>19.020072666666668</v>
      </c>
      <c r="AF155" s="9"/>
      <c r="AG155" s="22">
        <v>0.63018799999999997</v>
      </c>
      <c r="AH155" s="22">
        <v>19.999500000000001</v>
      </c>
      <c r="AI155" s="22">
        <v>-1.41327E-2</v>
      </c>
      <c r="AJ155" s="22">
        <v>145</v>
      </c>
      <c r="AK155" s="22">
        <v>0.62942500000000001</v>
      </c>
      <c r="AL155">
        <f t="shared" si="30"/>
        <v>17.447777777777777</v>
      </c>
      <c r="AM155">
        <f t="shared" si="31"/>
        <v>10.99538018222222</v>
      </c>
      <c r="AP155" s="9"/>
      <c r="AQ155" s="22">
        <v>1.09985</v>
      </c>
      <c r="AR155" s="22">
        <v>25.5291</v>
      </c>
      <c r="AS155" s="22">
        <v>-1.4019800000000001E-2</v>
      </c>
      <c r="AT155" s="22">
        <v>145</v>
      </c>
      <c r="AU155" s="22">
        <v>1.09924</v>
      </c>
      <c r="AV155">
        <f t="shared" si="32"/>
        <v>17.308395061728394</v>
      </c>
      <c r="AW155">
        <f t="shared" si="33"/>
        <v>19.036638308641972</v>
      </c>
      <c r="AX155" s="9"/>
      <c r="AY155" s="22">
        <v>0.63018799999999997</v>
      </c>
      <c r="AZ155" s="22">
        <v>29.4087</v>
      </c>
      <c r="BA155" s="22">
        <v>-1.4175399999999999E-2</v>
      </c>
      <c r="BB155" s="22">
        <v>145</v>
      </c>
      <c r="BC155" s="22">
        <v>0.62945600000000002</v>
      </c>
      <c r="BD155">
        <f t="shared" si="34"/>
        <v>17.500493827160494</v>
      </c>
      <c r="BE155">
        <f t="shared" si="35"/>
        <v>11.028601203950616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6.6356900000000003</v>
      </c>
      <c r="I156" s="22">
        <v>-1.38794E-2</v>
      </c>
      <c r="J156" s="22">
        <v>146</v>
      </c>
      <c r="K156" s="22">
        <v>1.09375</v>
      </c>
      <c r="L156">
        <f t="shared" si="24"/>
        <v>17.135061728395058</v>
      </c>
      <c r="M156">
        <f t="shared" si="25"/>
        <v>18.759808281481476</v>
      </c>
      <c r="N156" s="9"/>
      <c r="O156" s="22">
        <v>0.63522299999999998</v>
      </c>
      <c r="P156" s="22">
        <v>10.5153</v>
      </c>
      <c r="Q156" s="22">
        <v>-1.4093E-2</v>
      </c>
      <c r="R156" s="22">
        <v>146</v>
      </c>
      <c r="S156" s="22">
        <v>0.63446000000000002</v>
      </c>
      <c r="T156">
        <f t="shared" si="26"/>
        <v>17.398765432098763</v>
      </c>
      <c r="U156">
        <f t="shared" si="27"/>
        <v>11.052095974074073</v>
      </c>
      <c r="X156" s="9"/>
      <c r="Y156" s="22">
        <v>1.0948199999999999</v>
      </c>
      <c r="Z156" s="22">
        <v>16.129899999999999</v>
      </c>
      <c r="AA156" s="22">
        <v>-1.40045E-2</v>
      </c>
      <c r="AB156" s="22">
        <v>146</v>
      </c>
      <c r="AC156" s="22">
        <v>1.09344</v>
      </c>
      <c r="AD156">
        <f t="shared" si="28"/>
        <v>17.289506172839506</v>
      </c>
      <c r="AE156">
        <f t="shared" si="29"/>
        <v>18.928897148148145</v>
      </c>
      <c r="AF156" s="9"/>
      <c r="AG156" s="22">
        <v>0.63522299999999998</v>
      </c>
      <c r="AH156" s="22">
        <v>20.009499999999999</v>
      </c>
      <c r="AI156" s="22">
        <v>-1.41266E-2</v>
      </c>
      <c r="AJ156" s="22">
        <v>146</v>
      </c>
      <c r="AK156" s="22">
        <v>0.63436899999999996</v>
      </c>
      <c r="AL156">
        <f t="shared" si="30"/>
        <v>17.440246913580246</v>
      </c>
      <c r="AM156">
        <f t="shared" si="31"/>
        <v>11.078445965185184</v>
      </c>
      <c r="AP156" s="9"/>
      <c r="AQ156" s="22">
        <v>1.0948199999999999</v>
      </c>
      <c r="AR156" s="22">
        <v>25.539100000000001</v>
      </c>
      <c r="AS156" s="22">
        <v>-1.40228E-2</v>
      </c>
      <c r="AT156" s="22">
        <v>146</v>
      </c>
      <c r="AU156" s="22">
        <v>1.09344</v>
      </c>
      <c r="AV156">
        <f t="shared" si="32"/>
        <v>17.312098765432097</v>
      </c>
      <c r="AW156">
        <f t="shared" si="33"/>
        <v>18.953631970370367</v>
      </c>
      <c r="AX156" s="9"/>
      <c r="AY156" s="22">
        <v>0.63522299999999998</v>
      </c>
      <c r="AZ156" s="22">
        <v>29.418800000000001</v>
      </c>
      <c r="BA156" s="22">
        <v>-1.41846E-2</v>
      </c>
      <c r="BB156" s="22">
        <v>146</v>
      </c>
      <c r="BC156" s="22">
        <v>0.63439900000000005</v>
      </c>
      <c r="BD156">
        <f t="shared" si="34"/>
        <v>17.511851851851851</v>
      </c>
      <c r="BE156">
        <f t="shared" si="35"/>
        <v>11.123931068888888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6.6457600000000001</v>
      </c>
      <c r="I157" s="22">
        <v>-1.3876299999999999E-2</v>
      </c>
      <c r="J157" s="22">
        <v>147</v>
      </c>
      <c r="K157" s="22">
        <v>1.08856</v>
      </c>
      <c r="L157">
        <f t="shared" si="24"/>
        <v>17.131234567901231</v>
      </c>
      <c r="M157">
        <f t="shared" si="25"/>
        <v>18.669276807407403</v>
      </c>
      <c r="N157" s="9"/>
      <c r="O157" s="22">
        <v>0.64025900000000002</v>
      </c>
      <c r="P157" s="22">
        <v>10.525399999999999</v>
      </c>
      <c r="Q157" s="22">
        <v>-1.4093E-2</v>
      </c>
      <c r="R157" s="22">
        <v>147</v>
      </c>
      <c r="S157" s="22">
        <v>0.63949599999999995</v>
      </c>
      <c r="T157">
        <f t="shared" si="26"/>
        <v>17.398765432098763</v>
      </c>
      <c r="U157">
        <f t="shared" si="27"/>
        <v>11.139716156790122</v>
      </c>
      <c r="X157" s="9"/>
      <c r="Y157" s="22">
        <v>1.08978</v>
      </c>
      <c r="Z157" s="22">
        <v>16.14</v>
      </c>
      <c r="AA157" s="22">
        <v>-1.3998399999999999E-2</v>
      </c>
      <c r="AB157" s="22">
        <v>147</v>
      </c>
      <c r="AC157" s="22">
        <v>1.08826</v>
      </c>
      <c r="AD157">
        <f t="shared" si="28"/>
        <v>17.281975308641975</v>
      </c>
      <c r="AE157">
        <f t="shared" si="29"/>
        <v>18.833551051851853</v>
      </c>
      <c r="AF157" s="9"/>
      <c r="AG157" s="22">
        <v>0.64025900000000002</v>
      </c>
      <c r="AH157" s="22">
        <v>20.019600000000001</v>
      </c>
      <c r="AI157" s="22">
        <v>-1.4120499999999999E-2</v>
      </c>
      <c r="AJ157" s="22">
        <v>147</v>
      </c>
      <c r="AK157" s="22">
        <v>0.63946499999999995</v>
      </c>
      <c r="AL157">
        <f t="shared" si="30"/>
        <v>17.432716049382716</v>
      </c>
      <c r="AM157">
        <f t="shared" si="31"/>
        <v>11.161453345061728</v>
      </c>
      <c r="AP157" s="9"/>
      <c r="AQ157" s="22">
        <v>1.08978</v>
      </c>
      <c r="AR157" s="22">
        <v>25.549199999999999</v>
      </c>
      <c r="AS157" s="22">
        <v>-1.40289E-2</v>
      </c>
      <c r="AT157" s="22">
        <v>147</v>
      </c>
      <c r="AU157" s="22">
        <v>1.08856</v>
      </c>
      <c r="AV157">
        <f t="shared" si="32"/>
        <v>17.319629629629631</v>
      </c>
      <c r="AW157">
        <f t="shared" si="33"/>
        <v>18.87458597777778</v>
      </c>
      <c r="AX157" s="9"/>
      <c r="AY157" s="22">
        <v>0.64025900000000002</v>
      </c>
      <c r="AZ157" s="22">
        <v>29.428799999999999</v>
      </c>
      <c r="BA157" s="22">
        <v>-1.4190700000000001E-2</v>
      </c>
      <c r="BB157" s="22">
        <v>147</v>
      </c>
      <c r="BC157" s="22">
        <v>0.63946499999999995</v>
      </c>
      <c r="BD157">
        <f t="shared" si="34"/>
        <v>17.519382716049382</v>
      </c>
      <c r="BE157">
        <f t="shared" si="35"/>
        <v>11.216942458395062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6.6558299999999999</v>
      </c>
      <c r="I158" s="22">
        <v>-1.38824E-2</v>
      </c>
      <c r="J158" s="22">
        <v>148</v>
      </c>
      <c r="K158" s="22">
        <v>1.08307</v>
      </c>
      <c r="L158">
        <f t="shared" si="24"/>
        <v>17.138765432098765</v>
      </c>
      <c r="M158">
        <f t="shared" si="25"/>
        <v>18.591275802469138</v>
      </c>
      <c r="N158" s="9"/>
      <c r="O158" s="22">
        <v>0.64529400000000003</v>
      </c>
      <c r="P158" s="22">
        <v>10.535399999999999</v>
      </c>
      <c r="Q158" s="22">
        <v>-1.40961E-2</v>
      </c>
      <c r="R158" s="22">
        <v>148</v>
      </c>
      <c r="S158" s="22">
        <v>0.64450099999999999</v>
      </c>
      <c r="T158">
        <f t="shared" si="26"/>
        <v>17.40259259259259</v>
      </c>
      <c r="U158">
        <f t="shared" si="27"/>
        <v>11.229788584444444</v>
      </c>
      <c r="X158" s="9"/>
      <c r="Y158" s="22">
        <v>1.0847500000000001</v>
      </c>
      <c r="Z158" s="22">
        <v>16.150099999999998</v>
      </c>
      <c r="AA158" s="22">
        <v>-1.3992299999999999E-2</v>
      </c>
      <c r="AB158" s="22">
        <v>148</v>
      </c>
      <c r="AC158" s="22">
        <v>1.0839799999999999</v>
      </c>
      <c r="AD158">
        <f t="shared" si="28"/>
        <v>17.274444444444445</v>
      </c>
      <c r="AE158">
        <f t="shared" si="29"/>
        <v>18.738453611111112</v>
      </c>
      <c r="AF158" s="9"/>
      <c r="AG158" s="22">
        <v>0.64529400000000003</v>
      </c>
      <c r="AH158" s="22">
        <v>20.029699999999998</v>
      </c>
      <c r="AI158" s="22">
        <v>-1.41022E-2</v>
      </c>
      <c r="AJ158" s="22">
        <v>148</v>
      </c>
      <c r="AK158" s="22">
        <v>0.64450099999999999</v>
      </c>
      <c r="AL158">
        <f t="shared" si="30"/>
        <v>17.410123456790124</v>
      </c>
      <c r="AM158">
        <f t="shared" si="31"/>
        <v>11.234648205925927</v>
      </c>
      <c r="AP158" s="9"/>
      <c r="AQ158" s="22">
        <v>1.0847500000000001</v>
      </c>
      <c r="AR158" s="22">
        <v>25.5593</v>
      </c>
      <c r="AS158" s="22">
        <v>-1.4031999999999999E-2</v>
      </c>
      <c r="AT158" s="22">
        <v>148</v>
      </c>
      <c r="AU158" s="22">
        <v>1.0833699999999999</v>
      </c>
      <c r="AV158">
        <f t="shared" si="32"/>
        <v>17.323456790123455</v>
      </c>
      <c r="AW158">
        <f t="shared" si="33"/>
        <v>18.791619753086419</v>
      </c>
      <c r="AX158" s="9"/>
      <c r="AY158" s="22">
        <v>0.64529400000000003</v>
      </c>
      <c r="AZ158" s="22">
        <v>29.4389</v>
      </c>
      <c r="BA158" s="22">
        <v>-1.4202899999999999E-2</v>
      </c>
      <c r="BB158" s="22">
        <v>148</v>
      </c>
      <c r="BC158" s="22">
        <v>0.64446999999999999</v>
      </c>
      <c r="BD158">
        <f t="shared" si="34"/>
        <v>17.534444444444443</v>
      </c>
      <c r="BE158">
        <f t="shared" si="35"/>
        <v>11.314871793333333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6.6658999999999997</v>
      </c>
      <c r="I159" s="22">
        <v>-1.38794E-2</v>
      </c>
      <c r="J159" s="22">
        <v>149</v>
      </c>
      <c r="K159" s="22">
        <v>1.0784899999999999</v>
      </c>
      <c r="L159">
        <f t="shared" si="24"/>
        <v>17.135061728395058</v>
      </c>
      <c r="M159">
        <f t="shared" si="25"/>
        <v>18.500897498765429</v>
      </c>
      <c r="N159" s="9"/>
      <c r="O159" s="22">
        <v>0.65032999999999996</v>
      </c>
      <c r="P159" s="22">
        <v>10.545500000000001</v>
      </c>
      <c r="Q159" s="22">
        <v>-1.40961E-2</v>
      </c>
      <c r="R159" s="22">
        <v>149</v>
      </c>
      <c r="S159" s="22">
        <v>0.649536</v>
      </c>
      <c r="T159">
        <f t="shared" si="26"/>
        <v>17.40259259259259</v>
      </c>
      <c r="U159">
        <f t="shared" si="27"/>
        <v>11.317428040740738</v>
      </c>
      <c r="X159" s="9"/>
      <c r="Y159" s="22">
        <v>1.0797099999999999</v>
      </c>
      <c r="Z159" s="22">
        <v>16.1601</v>
      </c>
      <c r="AA159" s="22">
        <v>-1.3980100000000001E-2</v>
      </c>
      <c r="AB159" s="22">
        <v>149</v>
      </c>
      <c r="AC159" s="22">
        <v>1.0784899999999999</v>
      </c>
      <c r="AD159">
        <f t="shared" si="28"/>
        <v>17.259382716049384</v>
      </c>
      <c r="AE159">
        <f t="shared" si="29"/>
        <v>18.635128112345679</v>
      </c>
      <c r="AF159" s="9"/>
      <c r="AG159" s="22">
        <v>0.65032999999999996</v>
      </c>
      <c r="AH159" s="22">
        <v>20.0397</v>
      </c>
      <c r="AI159" s="22">
        <v>-1.41022E-2</v>
      </c>
      <c r="AJ159" s="22">
        <v>149</v>
      </c>
      <c r="AK159" s="22">
        <v>0.649536</v>
      </c>
      <c r="AL159">
        <f t="shared" si="30"/>
        <v>17.410123456790124</v>
      </c>
      <c r="AM159">
        <f t="shared" si="31"/>
        <v>11.322325587654321</v>
      </c>
      <c r="AP159" s="9"/>
      <c r="AQ159" s="22">
        <v>1.0797099999999999</v>
      </c>
      <c r="AR159" s="22">
        <v>25.569400000000002</v>
      </c>
      <c r="AS159" s="22">
        <v>-1.4035000000000001E-2</v>
      </c>
      <c r="AT159" s="22">
        <v>149</v>
      </c>
      <c r="AU159" s="22">
        <v>1.0784899999999999</v>
      </c>
      <c r="AV159">
        <f t="shared" si="32"/>
        <v>17.327160493827162</v>
      </c>
      <c r="AW159">
        <f t="shared" si="33"/>
        <v>18.708308456790125</v>
      </c>
      <c r="AX159" s="9"/>
      <c r="AY159" s="22">
        <v>0.65032999999999996</v>
      </c>
      <c r="AZ159" s="22">
        <v>29.449000000000002</v>
      </c>
      <c r="BA159" s="22">
        <v>-1.4212000000000001E-2</v>
      </c>
      <c r="BB159" s="22">
        <v>149</v>
      </c>
      <c r="BC159" s="22">
        <v>0.64959699999999998</v>
      </c>
      <c r="BD159">
        <f t="shared" si="34"/>
        <v>17.54567901234568</v>
      </c>
      <c r="BE159">
        <f t="shared" si="35"/>
        <v>11.410481432098765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6.6759700000000004</v>
      </c>
      <c r="I160" s="22">
        <v>-1.38855E-2</v>
      </c>
      <c r="J160" s="22">
        <v>150</v>
      </c>
      <c r="K160" s="22">
        <v>1.07361</v>
      </c>
      <c r="L160">
        <f t="shared" si="24"/>
        <v>17.142592592592592</v>
      </c>
      <c r="M160">
        <f t="shared" si="25"/>
        <v>18.422801407407409</v>
      </c>
      <c r="N160" s="9"/>
      <c r="O160" s="22">
        <v>0.65536499999999998</v>
      </c>
      <c r="P160" s="22">
        <v>10.5556</v>
      </c>
      <c r="Q160" s="22">
        <v>-1.40961E-2</v>
      </c>
      <c r="R160" s="22">
        <v>150</v>
      </c>
      <c r="S160" s="22">
        <v>0.65460200000000002</v>
      </c>
      <c r="T160">
        <f t="shared" si="26"/>
        <v>17.40259259259259</v>
      </c>
      <c r="U160">
        <f t="shared" si="27"/>
        <v>11.405050094444443</v>
      </c>
      <c r="X160" s="9"/>
      <c r="Y160" s="22">
        <v>1.0746800000000001</v>
      </c>
      <c r="Z160" s="22">
        <v>16.170200000000001</v>
      </c>
      <c r="AA160" s="22">
        <v>-1.3974E-2</v>
      </c>
      <c r="AB160" s="22">
        <v>150</v>
      </c>
      <c r="AC160" s="22">
        <v>1.07361</v>
      </c>
      <c r="AD160">
        <f t="shared" si="28"/>
        <v>17.251851851851853</v>
      </c>
      <c r="AE160">
        <f t="shared" si="29"/>
        <v>18.540220148148151</v>
      </c>
      <c r="AF160" s="9"/>
      <c r="AG160" s="22">
        <v>0.65536499999999998</v>
      </c>
      <c r="AH160" s="22">
        <v>20.049800000000001</v>
      </c>
      <c r="AI160" s="22">
        <v>-1.41113E-2</v>
      </c>
      <c r="AJ160" s="22">
        <v>150</v>
      </c>
      <c r="AK160" s="22">
        <v>0.65457200000000004</v>
      </c>
      <c r="AL160">
        <f t="shared" si="30"/>
        <v>17.421358024691358</v>
      </c>
      <c r="AM160">
        <f t="shared" si="31"/>
        <v>11.417348301851851</v>
      </c>
      <c r="AP160" s="9"/>
      <c r="AQ160" s="22">
        <v>1.0746800000000001</v>
      </c>
      <c r="AR160" s="22">
        <v>25.5794</v>
      </c>
      <c r="AS160" s="22">
        <v>-1.40381E-2</v>
      </c>
      <c r="AT160" s="22">
        <v>150</v>
      </c>
      <c r="AU160" s="22">
        <v>1.0732999999999999</v>
      </c>
      <c r="AV160">
        <f t="shared" si="32"/>
        <v>17.330987654320985</v>
      </c>
      <c r="AW160">
        <f t="shared" si="33"/>
        <v>18.625265812345678</v>
      </c>
      <c r="AX160" s="9"/>
      <c r="AY160" s="22">
        <v>0.65536499999999998</v>
      </c>
      <c r="AZ160" s="22">
        <v>29.459</v>
      </c>
      <c r="BA160" s="22">
        <v>-1.42151E-2</v>
      </c>
      <c r="BB160" s="22">
        <v>150</v>
      </c>
      <c r="BC160" s="22">
        <v>0.65460200000000002</v>
      </c>
      <c r="BD160">
        <f t="shared" si="34"/>
        <v>17.549506172839507</v>
      </c>
      <c r="BE160">
        <f t="shared" si="35"/>
        <v>11.501332112962963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6.6860400000000002</v>
      </c>
      <c r="I161" s="22">
        <v>-1.3897700000000001E-2</v>
      </c>
      <c r="J161" s="22">
        <v>151</v>
      </c>
      <c r="K161" s="22">
        <v>1.06934</v>
      </c>
      <c r="L161">
        <f t="shared" si="24"/>
        <v>17.157654320987653</v>
      </c>
      <c r="M161">
        <f t="shared" si="25"/>
        <v>18.352513367901231</v>
      </c>
      <c r="N161" s="9"/>
      <c r="O161" s="22">
        <v>0.66039999999999999</v>
      </c>
      <c r="P161" s="22">
        <v>10.5657</v>
      </c>
      <c r="Q161" s="22">
        <v>-1.41022E-2</v>
      </c>
      <c r="R161" s="22">
        <v>151</v>
      </c>
      <c r="S161" s="22">
        <v>0.65960700000000005</v>
      </c>
      <c r="T161">
        <f t="shared" si="26"/>
        <v>17.410123456790124</v>
      </c>
      <c r="U161">
        <f t="shared" si="27"/>
        <v>11.497645530864197</v>
      </c>
      <c r="X161" s="9"/>
      <c r="Y161" s="22">
        <v>1.0696399999999999</v>
      </c>
      <c r="Z161" s="22">
        <v>16.180299999999999</v>
      </c>
      <c r="AA161" s="22">
        <v>-1.3977099999999999E-2</v>
      </c>
      <c r="AB161" s="22">
        <v>151</v>
      </c>
      <c r="AC161" s="22">
        <v>1.0690299999999999</v>
      </c>
      <c r="AD161">
        <f t="shared" si="28"/>
        <v>17.255679012345677</v>
      </c>
      <c r="AE161">
        <f t="shared" si="29"/>
        <v>18.457364498765429</v>
      </c>
      <c r="AF161" s="9"/>
      <c r="AG161" s="22">
        <v>0.66039999999999999</v>
      </c>
      <c r="AH161" s="22">
        <v>20.059899999999999</v>
      </c>
      <c r="AI161" s="22">
        <v>-1.41174E-2</v>
      </c>
      <c r="AJ161" s="22">
        <v>151</v>
      </c>
      <c r="AK161" s="22">
        <v>0.65954599999999997</v>
      </c>
      <c r="AL161">
        <f t="shared" si="30"/>
        <v>17.428888888888888</v>
      </c>
      <c r="AM161">
        <f t="shared" si="31"/>
        <v>11.510038222222221</v>
      </c>
      <c r="AP161" s="9"/>
      <c r="AQ161" s="22">
        <v>1.0696399999999999</v>
      </c>
      <c r="AR161" s="22">
        <v>25.589500000000001</v>
      </c>
      <c r="AS161" s="22">
        <v>-1.4041100000000001E-2</v>
      </c>
      <c r="AT161" s="22">
        <v>151</v>
      </c>
      <c r="AU161" s="22">
        <v>1.06812</v>
      </c>
      <c r="AV161">
        <f t="shared" si="32"/>
        <v>17.334691358024692</v>
      </c>
      <c r="AW161">
        <f t="shared" si="33"/>
        <v>18.541879264197529</v>
      </c>
      <c r="AX161" s="9"/>
      <c r="AY161" s="22">
        <v>0.66039999999999999</v>
      </c>
      <c r="AZ161" s="22">
        <v>29.469100000000001</v>
      </c>
      <c r="BA161" s="22">
        <v>-1.4212000000000001E-2</v>
      </c>
      <c r="BB161" s="22">
        <v>151</v>
      </c>
      <c r="BC161" s="22">
        <v>0.65957600000000005</v>
      </c>
      <c r="BD161">
        <f t="shared" si="34"/>
        <v>17.54567901234568</v>
      </c>
      <c r="BE161">
        <f t="shared" si="35"/>
        <v>11.587166419753087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6.69611</v>
      </c>
      <c r="I162" s="22">
        <v>-1.3909899999999999E-2</v>
      </c>
      <c r="J162" s="22">
        <v>152</v>
      </c>
      <c r="K162" s="22">
        <v>1.0635399999999999</v>
      </c>
      <c r="L162">
        <f t="shared" si="24"/>
        <v>17.172716049382714</v>
      </c>
      <c r="M162">
        <f t="shared" si="25"/>
        <v>18.282245233333331</v>
      </c>
      <c r="N162" s="9"/>
      <c r="O162" s="22">
        <v>0.66543600000000003</v>
      </c>
      <c r="P162" s="22">
        <v>10.575699999999999</v>
      </c>
      <c r="Q162" s="22">
        <v>-1.4108300000000001E-2</v>
      </c>
      <c r="R162" s="22">
        <v>152</v>
      </c>
      <c r="S162" s="22">
        <v>0.66467299999999996</v>
      </c>
      <c r="T162">
        <f t="shared" si="26"/>
        <v>17.417654320987655</v>
      </c>
      <c r="U162">
        <f t="shared" si="27"/>
        <v>11.590334220740742</v>
      </c>
      <c r="X162" s="9"/>
      <c r="Y162" s="22">
        <v>1.0646100000000001</v>
      </c>
      <c r="Z162" s="22">
        <v>16.190300000000001</v>
      </c>
      <c r="AA162" s="22">
        <v>-1.3983199999999999E-2</v>
      </c>
      <c r="AB162" s="22">
        <v>152</v>
      </c>
      <c r="AC162" s="22">
        <v>1.0635399999999999</v>
      </c>
      <c r="AD162">
        <f t="shared" si="28"/>
        <v>17.263209876543208</v>
      </c>
      <c r="AE162">
        <f t="shared" si="29"/>
        <v>18.378585866666665</v>
      </c>
      <c r="AF162" s="9"/>
      <c r="AG162" s="22">
        <v>0.66543600000000003</v>
      </c>
      <c r="AH162" s="22">
        <v>20.069900000000001</v>
      </c>
      <c r="AI162" s="22">
        <v>-1.41174E-2</v>
      </c>
      <c r="AJ162" s="22">
        <v>152</v>
      </c>
      <c r="AK162" s="22">
        <v>0.66473400000000005</v>
      </c>
      <c r="AL162">
        <f t="shared" si="30"/>
        <v>17.428888888888888</v>
      </c>
      <c r="AM162">
        <f t="shared" si="31"/>
        <v>11.597810106666667</v>
      </c>
      <c r="AP162" s="9"/>
      <c r="AQ162" s="22">
        <v>1.0646100000000001</v>
      </c>
      <c r="AR162" s="22">
        <v>25.599599999999999</v>
      </c>
      <c r="AS162" s="22">
        <v>-1.4047199999999999E-2</v>
      </c>
      <c r="AT162" s="22">
        <v>152</v>
      </c>
      <c r="AU162" s="22">
        <v>1.0635399999999999</v>
      </c>
      <c r="AV162">
        <f t="shared" si="32"/>
        <v>17.342222222222222</v>
      </c>
      <c r="AW162">
        <f t="shared" si="33"/>
        <v>18.4627032</v>
      </c>
      <c r="AX162" s="9"/>
      <c r="AY162" s="22">
        <v>0.66543600000000003</v>
      </c>
      <c r="AZ162" s="22">
        <v>29.479199999999999</v>
      </c>
      <c r="BA162" s="22">
        <v>-1.42059E-2</v>
      </c>
      <c r="BB162" s="22">
        <v>152</v>
      </c>
      <c r="BC162" s="22">
        <v>0.66467299999999996</v>
      </c>
      <c r="BD162">
        <f t="shared" si="34"/>
        <v>17.538148148148146</v>
      </c>
      <c r="BE162">
        <f t="shared" si="35"/>
        <v>11.670515151111109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6.7061799999999998</v>
      </c>
      <c r="I163" s="22">
        <v>-1.3916E-2</v>
      </c>
      <c r="J163" s="22">
        <v>153</v>
      </c>
      <c r="K163" s="22">
        <v>1.0586500000000001</v>
      </c>
      <c r="L163">
        <f t="shared" si="24"/>
        <v>17.180246913580245</v>
      </c>
      <c r="M163">
        <f t="shared" si="25"/>
        <v>18.203674222222219</v>
      </c>
      <c r="N163" s="9"/>
      <c r="O163" s="22">
        <v>0.67047100000000004</v>
      </c>
      <c r="P163" s="22">
        <v>10.585800000000001</v>
      </c>
      <c r="Q163" s="22">
        <v>-1.41022E-2</v>
      </c>
      <c r="R163" s="22">
        <v>153</v>
      </c>
      <c r="S163" s="22">
        <v>0.66964699999999999</v>
      </c>
      <c r="T163">
        <f t="shared" si="26"/>
        <v>17.410123456790124</v>
      </c>
      <c r="U163">
        <f t="shared" si="27"/>
        <v>11.672982884197532</v>
      </c>
      <c r="X163" s="9"/>
      <c r="Y163" s="22">
        <v>1.0595699999999999</v>
      </c>
      <c r="Z163" s="22">
        <v>16.200399999999998</v>
      </c>
      <c r="AA163" s="22">
        <v>-1.39893E-2</v>
      </c>
      <c r="AB163" s="22">
        <v>153</v>
      </c>
      <c r="AC163" s="22">
        <v>1.0580400000000001</v>
      </c>
      <c r="AD163">
        <f t="shared" si="28"/>
        <v>17.270740740740738</v>
      </c>
      <c r="AE163">
        <f t="shared" si="29"/>
        <v>18.299558766666664</v>
      </c>
      <c r="AF163" s="9"/>
      <c r="AG163" s="22">
        <v>0.67047100000000004</v>
      </c>
      <c r="AH163" s="22">
        <v>20.079999999999998</v>
      </c>
      <c r="AI163" s="22">
        <v>-1.4129600000000001E-2</v>
      </c>
      <c r="AJ163" s="22">
        <v>153</v>
      </c>
      <c r="AK163" s="22">
        <v>0.669678</v>
      </c>
      <c r="AL163">
        <f t="shared" si="30"/>
        <v>17.443950617283949</v>
      </c>
      <c r="AM163">
        <f t="shared" si="31"/>
        <v>11.695663014320987</v>
      </c>
      <c r="AP163" s="9"/>
      <c r="AQ163" s="22">
        <v>1.0595699999999999</v>
      </c>
      <c r="AR163" s="22">
        <v>25.6096</v>
      </c>
      <c r="AS163" s="22">
        <v>-1.4053299999999999E-2</v>
      </c>
      <c r="AT163" s="22">
        <v>153</v>
      </c>
      <c r="AU163" s="22">
        <v>1.0586500000000001</v>
      </c>
      <c r="AV163">
        <f t="shared" si="32"/>
        <v>17.349753086419753</v>
      </c>
      <c r="AW163">
        <f t="shared" si="33"/>
        <v>18.383277877777775</v>
      </c>
      <c r="AX163" s="9"/>
      <c r="AY163" s="22">
        <v>0.67047100000000004</v>
      </c>
      <c r="AZ163" s="22">
        <v>29.4893</v>
      </c>
      <c r="BA163" s="22">
        <v>-1.4196800000000001E-2</v>
      </c>
      <c r="BB163" s="22">
        <v>153</v>
      </c>
      <c r="BC163" s="22">
        <v>0.66964699999999999</v>
      </c>
      <c r="BD163">
        <f t="shared" si="34"/>
        <v>17.526913580246916</v>
      </c>
      <c r="BE163">
        <f t="shared" si="35"/>
        <v>11.751287275061731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6.7162600000000001</v>
      </c>
      <c r="I164" s="22">
        <v>-1.39191E-2</v>
      </c>
      <c r="J164" s="22">
        <v>154</v>
      </c>
      <c r="K164" s="22">
        <v>1.0534699999999999</v>
      </c>
      <c r="L164">
        <f t="shared" si="24"/>
        <v>17.184074074074076</v>
      </c>
      <c r="M164">
        <f t="shared" si="25"/>
        <v>18.121121633333335</v>
      </c>
      <c r="N164" s="9"/>
      <c r="O164" s="22">
        <v>0.67550699999999997</v>
      </c>
      <c r="P164" s="22">
        <v>10.5959</v>
      </c>
      <c r="Q164" s="22">
        <v>-1.40991E-2</v>
      </c>
      <c r="R164" s="22">
        <v>154</v>
      </c>
      <c r="S164" s="22">
        <v>0.67468300000000003</v>
      </c>
      <c r="T164">
        <f t="shared" si="26"/>
        <v>17.406296296296293</v>
      </c>
      <c r="U164">
        <f t="shared" si="27"/>
        <v>11.75807499222222</v>
      </c>
      <c r="X164" s="9"/>
      <c r="Y164" s="22">
        <v>1.05453</v>
      </c>
      <c r="Z164" s="22">
        <v>16.2105</v>
      </c>
      <c r="AA164" s="22">
        <v>-1.39954E-2</v>
      </c>
      <c r="AB164" s="22">
        <v>154</v>
      </c>
      <c r="AC164" s="22">
        <v>1.0531600000000001</v>
      </c>
      <c r="AD164">
        <f t="shared" si="28"/>
        <v>17.278271604938272</v>
      </c>
      <c r="AE164">
        <f t="shared" si="29"/>
        <v>18.220455755555555</v>
      </c>
      <c r="AF164" s="9"/>
      <c r="AG164" s="22">
        <v>0.67550699999999997</v>
      </c>
      <c r="AH164" s="22">
        <v>20.0901</v>
      </c>
      <c r="AI164" s="22">
        <v>-1.41388E-2</v>
      </c>
      <c r="AJ164" s="22">
        <v>154</v>
      </c>
      <c r="AK164" s="22">
        <v>0.67471300000000001</v>
      </c>
      <c r="AL164">
        <f t="shared" si="30"/>
        <v>17.455308641975307</v>
      </c>
      <c r="AM164">
        <f t="shared" si="31"/>
        <v>11.791183174814813</v>
      </c>
      <c r="AP164" s="9"/>
      <c r="AQ164" s="22">
        <v>1.05453</v>
      </c>
      <c r="AR164" s="22">
        <v>25.619700000000002</v>
      </c>
      <c r="AS164" s="22">
        <v>-1.40594E-2</v>
      </c>
      <c r="AT164" s="22">
        <v>154</v>
      </c>
      <c r="AU164" s="22">
        <v>1.0534699999999999</v>
      </c>
      <c r="AV164">
        <f t="shared" si="32"/>
        <v>17.357283950617283</v>
      </c>
      <c r="AW164">
        <f t="shared" si="33"/>
        <v>18.303776644444444</v>
      </c>
      <c r="AX164" s="9"/>
      <c r="AY164" s="22">
        <v>0.67550699999999997</v>
      </c>
      <c r="AZ164" s="22">
        <v>29.499300000000002</v>
      </c>
      <c r="BA164" s="22">
        <v>-1.41937E-2</v>
      </c>
      <c r="BB164" s="22">
        <v>154</v>
      </c>
      <c r="BC164" s="22">
        <v>0.67465200000000003</v>
      </c>
      <c r="BD164">
        <f t="shared" si="34"/>
        <v>17.523086419753085</v>
      </c>
      <c r="BE164">
        <f t="shared" si="35"/>
        <v>11.836967538148146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6.7263299999999999</v>
      </c>
      <c r="I165" s="22">
        <v>-1.39221E-2</v>
      </c>
      <c r="J165" s="22">
        <v>155</v>
      </c>
      <c r="K165" s="22">
        <v>1.0485800000000001</v>
      </c>
      <c r="L165">
        <f t="shared" si="24"/>
        <v>17.187777777777779</v>
      </c>
      <c r="M165">
        <f t="shared" si="25"/>
        <v>18.03857277777778</v>
      </c>
      <c r="N165" s="9"/>
      <c r="O165" s="22">
        <v>0.68054199999999998</v>
      </c>
      <c r="P165" s="22">
        <v>10.6059</v>
      </c>
      <c r="Q165" s="22">
        <v>-1.4093E-2</v>
      </c>
      <c r="R165" s="22">
        <v>155</v>
      </c>
      <c r="S165" s="22">
        <v>0.67977900000000002</v>
      </c>
      <c r="T165">
        <f t="shared" si="26"/>
        <v>17.398765432098763</v>
      </c>
      <c r="U165">
        <f t="shared" si="27"/>
        <v>11.840590624691355</v>
      </c>
      <c r="X165" s="9"/>
      <c r="Y165" s="22">
        <v>1.0495000000000001</v>
      </c>
      <c r="Z165" s="22">
        <v>16.220500000000001</v>
      </c>
      <c r="AA165" s="22">
        <v>-1.40076E-2</v>
      </c>
      <c r="AB165" s="22">
        <v>155</v>
      </c>
      <c r="AC165" s="22">
        <v>1.0479700000000001</v>
      </c>
      <c r="AD165">
        <f t="shared" si="28"/>
        <v>17.293333333333333</v>
      </c>
      <c r="AE165">
        <f t="shared" si="29"/>
        <v>18.149353333333334</v>
      </c>
      <c r="AF165" s="9"/>
      <c r="AG165" s="22">
        <v>0.68054199999999998</v>
      </c>
      <c r="AH165" s="22">
        <v>20.100200000000001</v>
      </c>
      <c r="AI165" s="22">
        <v>-1.4135699999999999E-2</v>
      </c>
      <c r="AJ165" s="22">
        <v>155</v>
      </c>
      <c r="AK165" s="22">
        <v>0.67965699999999996</v>
      </c>
      <c r="AL165">
        <f t="shared" si="30"/>
        <v>17.45148148148148</v>
      </c>
      <c r="AM165">
        <f t="shared" si="31"/>
        <v>11.876466110370369</v>
      </c>
      <c r="AP165" s="9"/>
      <c r="AQ165" s="22">
        <v>1.0495000000000001</v>
      </c>
      <c r="AR165" s="22">
        <v>25.629799999999999</v>
      </c>
      <c r="AS165" s="22">
        <v>-1.40564E-2</v>
      </c>
      <c r="AT165" s="22">
        <v>155</v>
      </c>
      <c r="AU165" s="22">
        <v>1.0485800000000001</v>
      </c>
      <c r="AV165">
        <f t="shared" si="32"/>
        <v>17.35358024691358</v>
      </c>
      <c r="AW165">
        <f t="shared" si="33"/>
        <v>18.212582469135803</v>
      </c>
      <c r="AX165" s="9"/>
      <c r="AY165" s="22">
        <v>0.68054199999999998</v>
      </c>
      <c r="AZ165" s="22">
        <v>29.509399999999999</v>
      </c>
      <c r="BA165" s="22">
        <v>-1.4196800000000001E-2</v>
      </c>
      <c r="BB165" s="22">
        <v>155</v>
      </c>
      <c r="BC165" s="22">
        <v>0.67971800000000004</v>
      </c>
      <c r="BD165">
        <f t="shared" si="34"/>
        <v>17.526913580246916</v>
      </c>
      <c r="BE165">
        <f t="shared" si="35"/>
        <v>11.927800821728397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6.7363999999999997</v>
      </c>
      <c r="I166" s="22">
        <v>-1.39282E-2</v>
      </c>
      <c r="J166" s="22">
        <v>156</v>
      </c>
      <c r="K166" s="22">
        <v>1.0427900000000001</v>
      </c>
      <c r="L166">
        <f t="shared" si="24"/>
        <v>17.195308641975309</v>
      </c>
      <c r="M166">
        <f t="shared" si="25"/>
        <v>17.959812064197532</v>
      </c>
      <c r="N166" s="9"/>
      <c r="O166" s="22">
        <v>0.68557699999999999</v>
      </c>
      <c r="P166" s="22">
        <v>10.616</v>
      </c>
      <c r="Q166" s="22">
        <v>-1.409E-2</v>
      </c>
      <c r="R166" s="22">
        <v>156</v>
      </c>
      <c r="S166" s="22">
        <v>0.68472299999999997</v>
      </c>
      <c r="T166">
        <f t="shared" si="26"/>
        <v>17.39506172839506</v>
      </c>
      <c r="U166">
        <f t="shared" si="27"/>
        <v>11.925654234567899</v>
      </c>
      <c r="X166" s="9"/>
      <c r="Y166" s="22">
        <v>1.0444599999999999</v>
      </c>
      <c r="Z166" s="22">
        <v>16.230599999999999</v>
      </c>
      <c r="AA166" s="22">
        <v>-1.40137E-2</v>
      </c>
      <c r="AB166" s="22">
        <v>156</v>
      </c>
      <c r="AC166" s="22">
        <v>1.0434000000000001</v>
      </c>
      <c r="AD166">
        <f t="shared" si="28"/>
        <v>17.300864197530863</v>
      </c>
      <c r="AE166">
        <f t="shared" si="29"/>
        <v>18.070060619753086</v>
      </c>
      <c r="AF166" s="9"/>
      <c r="AG166" s="22">
        <v>0.68557699999999999</v>
      </c>
      <c r="AH166" s="22">
        <v>20.110199999999999</v>
      </c>
      <c r="AI166" s="22">
        <v>-1.41327E-2</v>
      </c>
      <c r="AJ166" s="22">
        <v>156</v>
      </c>
      <c r="AK166" s="22">
        <v>0.68475299999999995</v>
      </c>
      <c r="AL166">
        <f t="shared" si="30"/>
        <v>17.447777777777777</v>
      </c>
      <c r="AM166">
        <f t="shared" si="31"/>
        <v>11.961795145555556</v>
      </c>
      <c r="AP166" s="9"/>
      <c r="AQ166" s="22">
        <v>1.0444599999999999</v>
      </c>
      <c r="AR166" s="22">
        <v>25.639900000000001</v>
      </c>
      <c r="AS166" s="22">
        <v>-1.40564E-2</v>
      </c>
      <c r="AT166" s="22">
        <v>156</v>
      </c>
      <c r="AU166" s="22">
        <v>1.0437000000000001</v>
      </c>
      <c r="AV166">
        <f t="shared" si="32"/>
        <v>17.35358024691358</v>
      </c>
      <c r="AW166">
        <f t="shared" si="33"/>
        <v>18.125120424691357</v>
      </c>
      <c r="AX166" s="9"/>
      <c r="AY166" s="22">
        <v>0.68557699999999999</v>
      </c>
      <c r="AZ166" s="22">
        <v>29.519500000000001</v>
      </c>
      <c r="BA166" s="22">
        <v>-1.4196800000000001E-2</v>
      </c>
      <c r="BB166" s="22">
        <v>156</v>
      </c>
      <c r="BC166" s="22">
        <v>0.68478399999999995</v>
      </c>
      <c r="BD166">
        <f t="shared" si="34"/>
        <v>17.526913580246916</v>
      </c>
      <c r="BE166">
        <f t="shared" si="35"/>
        <v>12.016048831604939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6.7464700000000004</v>
      </c>
      <c r="I167" s="22">
        <v>-1.39343E-2</v>
      </c>
      <c r="J167" s="22">
        <v>157</v>
      </c>
      <c r="K167" s="22">
        <v>1.0388200000000001</v>
      </c>
      <c r="L167">
        <f t="shared" si="24"/>
        <v>17.202839506172836</v>
      </c>
      <c r="M167">
        <f t="shared" si="25"/>
        <v>17.881147467901233</v>
      </c>
      <c r="N167" s="9"/>
      <c r="O167" s="22">
        <v>0.69061300000000003</v>
      </c>
      <c r="P167" s="22">
        <v>10.626099999999999</v>
      </c>
      <c r="Q167" s="22">
        <v>-1.409E-2</v>
      </c>
      <c r="R167" s="22">
        <v>157</v>
      </c>
      <c r="S167" s="22">
        <v>0.68978899999999999</v>
      </c>
      <c r="T167">
        <f t="shared" si="26"/>
        <v>17.39506172839506</v>
      </c>
      <c r="U167">
        <f t="shared" si="27"/>
        <v>12.013255765432097</v>
      </c>
      <c r="X167" s="9"/>
      <c r="Y167" s="22">
        <v>1.0394300000000001</v>
      </c>
      <c r="Z167" s="22">
        <v>16.2407</v>
      </c>
      <c r="AA167" s="22">
        <v>-1.40167E-2</v>
      </c>
      <c r="AB167" s="22">
        <v>157</v>
      </c>
      <c r="AC167" s="22">
        <v>1.0379</v>
      </c>
      <c r="AD167">
        <f t="shared" si="28"/>
        <v>17.304567901234567</v>
      </c>
      <c r="AE167">
        <f t="shared" si="29"/>
        <v>17.986887013580247</v>
      </c>
      <c r="AF167" s="9"/>
      <c r="AG167" s="22">
        <v>0.69061300000000003</v>
      </c>
      <c r="AH167" s="22">
        <v>20.1203</v>
      </c>
      <c r="AI167" s="22">
        <v>-1.4123500000000001E-2</v>
      </c>
      <c r="AJ167" s="22">
        <v>157</v>
      </c>
      <c r="AK167" s="22">
        <v>0.68972800000000001</v>
      </c>
      <c r="AL167">
        <f t="shared" si="30"/>
        <v>17.436419753086419</v>
      </c>
      <c r="AM167">
        <f t="shared" si="31"/>
        <v>12.041818154938271</v>
      </c>
      <c r="AP167" s="9"/>
      <c r="AQ167" s="22">
        <v>1.0394300000000001</v>
      </c>
      <c r="AR167" s="22">
        <v>25.649899999999999</v>
      </c>
      <c r="AS167" s="22">
        <v>-1.40594E-2</v>
      </c>
      <c r="AT167" s="22">
        <v>157</v>
      </c>
      <c r="AU167" s="22">
        <v>1.0382100000000001</v>
      </c>
      <c r="AV167">
        <f t="shared" si="32"/>
        <v>17.357283950617283</v>
      </c>
      <c r="AW167">
        <f t="shared" si="33"/>
        <v>18.041681656790125</v>
      </c>
      <c r="AX167" s="9"/>
      <c r="AY167" s="22">
        <v>0.69061300000000003</v>
      </c>
      <c r="AZ167" s="22">
        <v>29.529499999999999</v>
      </c>
      <c r="BA167" s="22">
        <v>-1.41846E-2</v>
      </c>
      <c r="BB167" s="22">
        <v>157</v>
      </c>
      <c r="BC167" s="22">
        <v>0.68972800000000001</v>
      </c>
      <c r="BD167">
        <f t="shared" si="34"/>
        <v>17.511851851851851</v>
      </c>
      <c r="BE167">
        <f t="shared" si="35"/>
        <v>12.093912542962963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6.7565400000000002</v>
      </c>
      <c r="I168" s="22">
        <v>-1.39404E-2</v>
      </c>
      <c r="J168" s="22">
        <v>158</v>
      </c>
      <c r="K168" s="22">
        <v>1.0333300000000001</v>
      </c>
      <c r="L168">
        <f t="shared" si="24"/>
        <v>17.21037037037037</v>
      </c>
      <c r="M168">
        <f t="shared" si="25"/>
        <v>17.802235007407404</v>
      </c>
      <c r="N168" s="9"/>
      <c r="O168" s="22">
        <v>0.69564800000000004</v>
      </c>
      <c r="P168" s="22">
        <v>10.636200000000001</v>
      </c>
      <c r="Q168" s="22">
        <v>-1.409E-2</v>
      </c>
      <c r="R168" s="22">
        <v>158</v>
      </c>
      <c r="S168" s="22">
        <v>0.69488499999999997</v>
      </c>
      <c r="T168">
        <f t="shared" si="26"/>
        <v>17.39506172839506</v>
      </c>
      <c r="U168">
        <f t="shared" si="27"/>
        <v>12.100839901234567</v>
      </c>
      <c r="X168" s="9"/>
      <c r="Y168" s="22">
        <v>1.0343899999999999</v>
      </c>
      <c r="Z168" s="22">
        <v>16.250800000000002</v>
      </c>
      <c r="AA168" s="22">
        <v>-1.4019800000000001E-2</v>
      </c>
      <c r="AB168" s="22">
        <v>158</v>
      </c>
      <c r="AC168" s="22">
        <v>1.03363</v>
      </c>
      <c r="AD168">
        <f t="shared" si="28"/>
        <v>17.308395061728394</v>
      </c>
      <c r="AE168">
        <f t="shared" si="29"/>
        <v>17.90363076790123</v>
      </c>
      <c r="AF168" s="9"/>
      <c r="AG168" s="22">
        <v>0.69564800000000004</v>
      </c>
      <c r="AH168" s="22">
        <v>20.130400000000002</v>
      </c>
      <c r="AI168" s="22">
        <v>-1.4114399999999999E-2</v>
      </c>
      <c r="AJ168" s="22">
        <v>158</v>
      </c>
      <c r="AK168" s="22">
        <v>0.694855</v>
      </c>
      <c r="AL168">
        <f t="shared" si="30"/>
        <v>17.425185185185182</v>
      </c>
      <c r="AM168">
        <f t="shared" si="31"/>
        <v>12.121795223703701</v>
      </c>
      <c r="AP168" s="9"/>
      <c r="AQ168" s="22">
        <v>1.0343899999999999</v>
      </c>
      <c r="AR168" s="22">
        <v>25.66</v>
      </c>
      <c r="AS168" s="22">
        <v>-1.40594E-2</v>
      </c>
      <c r="AT168" s="22">
        <v>158</v>
      </c>
      <c r="AU168" s="22">
        <v>1.0333300000000001</v>
      </c>
      <c r="AV168">
        <f t="shared" si="32"/>
        <v>17.357283950617283</v>
      </c>
      <c r="AW168">
        <f t="shared" si="33"/>
        <v>17.954200945679009</v>
      </c>
      <c r="AX168" s="9"/>
      <c r="AY168" s="22">
        <v>0.69564800000000004</v>
      </c>
      <c r="AZ168" s="22">
        <v>29.5396</v>
      </c>
      <c r="BA168" s="22">
        <v>-1.41846E-2</v>
      </c>
      <c r="BB168" s="22">
        <v>158</v>
      </c>
      <c r="BC168" s="22">
        <v>0.69476300000000002</v>
      </c>
      <c r="BD168">
        <f t="shared" si="34"/>
        <v>17.511851851851851</v>
      </c>
      <c r="BE168">
        <f t="shared" si="35"/>
        <v>12.182084717037037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6.76661</v>
      </c>
      <c r="I169" s="22">
        <v>-1.3946500000000001E-2</v>
      </c>
      <c r="J169" s="22">
        <v>159</v>
      </c>
      <c r="K169" s="22">
        <v>1.02844</v>
      </c>
      <c r="L169">
        <f t="shared" si="24"/>
        <v>17.217901234567901</v>
      </c>
      <c r="M169">
        <f t="shared" si="25"/>
        <v>17.723418814814814</v>
      </c>
      <c r="N169" s="9"/>
      <c r="O169" s="22">
        <v>0.70068399999999997</v>
      </c>
      <c r="P169" s="22">
        <v>10.6462</v>
      </c>
      <c r="Q169" s="22">
        <v>-1.4080799999999999E-2</v>
      </c>
      <c r="R169" s="22">
        <v>159</v>
      </c>
      <c r="S169" s="22">
        <v>0.69989000000000001</v>
      </c>
      <c r="T169">
        <f t="shared" si="26"/>
        <v>17.383703703703702</v>
      </c>
      <c r="U169">
        <f t="shared" si="27"/>
        <v>12.180483045925925</v>
      </c>
      <c r="X169" s="9"/>
      <c r="Y169" s="22">
        <v>1.0293600000000001</v>
      </c>
      <c r="Z169" s="22">
        <v>16.2608</v>
      </c>
      <c r="AA169" s="22">
        <v>-1.40137E-2</v>
      </c>
      <c r="AB169" s="22">
        <v>159</v>
      </c>
      <c r="AC169" s="22">
        <v>1.0281400000000001</v>
      </c>
      <c r="AD169">
        <f t="shared" si="28"/>
        <v>17.300864197530863</v>
      </c>
      <c r="AE169">
        <f t="shared" si="29"/>
        <v>17.808817570370369</v>
      </c>
      <c r="AF169" s="9"/>
      <c r="AG169" s="22">
        <v>0.70068399999999997</v>
      </c>
      <c r="AH169" s="22">
        <v>20.1404</v>
      </c>
      <c r="AI169" s="22">
        <v>-1.41022E-2</v>
      </c>
      <c r="AJ169" s="22">
        <v>159</v>
      </c>
      <c r="AK169" s="22">
        <v>0.69986000000000004</v>
      </c>
      <c r="AL169">
        <f t="shared" si="30"/>
        <v>17.410123456790124</v>
      </c>
      <c r="AM169">
        <f t="shared" si="31"/>
        <v>12.198994944197532</v>
      </c>
      <c r="AP169" s="9"/>
      <c r="AQ169" s="22">
        <v>1.0293600000000001</v>
      </c>
      <c r="AR169" s="22">
        <v>25.670100000000001</v>
      </c>
      <c r="AS169" s="22">
        <v>-1.40594E-2</v>
      </c>
      <c r="AT169" s="22">
        <v>159</v>
      </c>
      <c r="AU169" s="22">
        <v>1.0281400000000001</v>
      </c>
      <c r="AV169">
        <f t="shared" si="32"/>
        <v>17.357283950617283</v>
      </c>
      <c r="AW169">
        <f t="shared" si="33"/>
        <v>17.866893807407408</v>
      </c>
      <c r="AX169" s="9"/>
      <c r="AY169" s="22">
        <v>0.70068399999999997</v>
      </c>
      <c r="AZ169" s="22">
        <v>29.549700000000001</v>
      </c>
      <c r="BA169" s="22">
        <v>-1.41815E-2</v>
      </c>
      <c r="BB169" s="22">
        <v>159</v>
      </c>
      <c r="BC169" s="22">
        <v>0.69982900000000003</v>
      </c>
      <c r="BD169">
        <f t="shared" si="34"/>
        <v>17.508024691358024</v>
      </c>
      <c r="BE169">
        <f t="shared" si="35"/>
        <v>12.267592772839505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6.7766799999999998</v>
      </c>
      <c r="I170" s="22">
        <v>-1.3952600000000001E-2</v>
      </c>
      <c r="J170" s="22">
        <v>160</v>
      </c>
      <c r="K170" s="22">
        <v>1.02325</v>
      </c>
      <c r="L170">
        <f t="shared" si="24"/>
        <v>17.225432098765431</v>
      </c>
      <c r="M170">
        <f t="shared" si="25"/>
        <v>17.644354607407404</v>
      </c>
      <c r="N170" s="9"/>
      <c r="O170" s="22">
        <v>0.70571899999999999</v>
      </c>
      <c r="P170" s="22">
        <v>10.6563</v>
      </c>
      <c r="Q170" s="22">
        <v>-1.4074700000000001E-2</v>
      </c>
      <c r="R170" s="22">
        <v>160</v>
      </c>
      <c r="S170" s="22">
        <v>0.70498700000000003</v>
      </c>
      <c r="T170">
        <f t="shared" si="26"/>
        <v>17.376172839506172</v>
      </c>
      <c r="U170">
        <f t="shared" si="27"/>
        <v>12.262695320123456</v>
      </c>
      <c r="X170" s="9"/>
      <c r="Y170" s="22">
        <v>1.0243199999999999</v>
      </c>
      <c r="Z170" s="22">
        <v>16.270900000000001</v>
      </c>
      <c r="AA170" s="22">
        <v>-1.4019800000000001E-2</v>
      </c>
      <c r="AB170" s="22">
        <v>160</v>
      </c>
      <c r="AC170" s="22">
        <v>1.02325</v>
      </c>
      <c r="AD170">
        <f t="shared" si="28"/>
        <v>17.308395061728394</v>
      </c>
      <c r="AE170">
        <f t="shared" si="29"/>
        <v>17.729335229629626</v>
      </c>
      <c r="AF170" s="9"/>
      <c r="AG170" s="22">
        <v>0.70571899999999999</v>
      </c>
      <c r="AH170" s="22">
        <v>20.150500000000001</v>
      </c>
      <c r="AI170" s="22">
        <v>-1.41022E-2</v>
      </c>
      <c r="AJ170" s="22">
        <v>160</v>
      </c>
      <c r="AK170" s="22">
        <v>0.70489500000000005</v>
      </c>
      <c r="AL170">
        <f t="shared" si="30"/>
        <v>17.410123456790124</v>
      </c>
      <c r="AM170">
        <f t="shared" si="31"/>
        <v>12.286654915802469</v>
      </c>
      <c r="AP170" s="9"/>
      <c r="AQ170" s="22">
        <v>1.0243199999999999</v>
      </c>
      <c r="AR170" s="22">
        <v>25.680099999999999</v>
      </c>
      <c r="AS170" s="22">
        <v>-1.4053299999999999E-2</v>
      </c>
      <c r="AT170" s="22">
        <v>160</v>
      </c>
      <c r="AU170" s="22">
        <v>1.02295</v>
      </c>
      <c r="AV170">
        <f t="shared" si="32"/>
        <v>17.349753086419753</v>
      </c>
      <c r="AW170">
        <f t="shared" si="33"/>
        <v>17.771699081481479</v>
      </c>
      <c r="AX170" s="9"/>
      <c r="AY170" s="22">
        <v>0.70571899999999999</v>
      </c>
      <c r="AZ170" s="22">
        <v>29.559799999999999</v>
      </c>
      <c r="BA170" s="22">
        <v>-1.41785E-2</v>
      </c>
      <c r="BB170" s="22">
        <v>160</v>
      </c>
      <c r="BC170" s="22">
        <v>0.705017</v>
      </c>
      <c r="BD170">
        <f t="shared" si="34"/>
        <v>17.504320987654321</v>
      </c>
      <c r="BE170">
        <f t="shared" si="35"/>
        <v>12.353131903086419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6.7867499999999996</v>
      </c>
      <c r="I171" s="22">
        <v>-1.3952600000000001E-2</v>
      </c>
      <c r="J171" s="22">
        <v>161</v>
      </c>
      <c r="K171" s="22">
        <v>1.01837</v>
      </c>
      <c r="L171">
        <f t="shared" si="24"/>
        <v>17.225432098765431</v>
      </c>
      <c r="M171">
        <f t="shared" si="25"/>
        <v>17.557710683950617</v>
      </c>
      <c r="N171" s="9"/>
      <c r="O171" s="22">
        <v>0.710754</v>
      </c>
      <c r="P171" s="22">
        <v>10.666399999999999</v>
      </c>
      <c r="Q171" s="22">
        <v>-1.40778E-2</v>
      </c>
      <c r="R171" s="22">
        <v>161</v>
      </c>
      <c r="S171" s="22">
        <v>0.70989999999999998</v>
      </c>
      <c r="T171">
        <f t="shared" si="26"/>
        <v>17.38</v>
      </c>
      <c r="U171">
        <f t="shared" si="27"/>
        <v>12.352904519999999</v>
      </c>
      <c r="X171" s="9"/>
      <c r="Y171" s="22">
        <v>1.01929</v>
      </c>
      <c r="Z171" s="22">
        <v>16.280999999999999</v>
      </c>
      <c r="AA171" s="22">
        <v>-1.4025900000000001E-2</v>
      </c>
      <c r="AB171" s="22">
        <v>161</v>
      </c>
      <c r="AC171" s="22">
        <v>1.01837</v>
      </c>
      <c r="AD171">
        <f t="shared" si="28"/>
        <v>17.315925925925924</v>
      </c>
      <c r="AE171">
        <f t="shared" si="29"/>
        <v>17.649950137037035</v>
      </c>
      <c r="AF171" s="9"/>
      <c r="AG171" s="22">
        <v>0.710754</v>
      </c>
      <c r="AH171" s="22">
        <v>20.160599999999999</v>
      </c>
      <c r="AI171" s="22">
        <v>-1.41052E-2</v>
      </c>
      <c r="AJ171" s="22">
        <v>161</v>
      </c>
      <c r="AK171" s="22">
        <v>0.70996099999999995</v>
      </c>
      <c r="AL171">
        <f t="shared" si="30"/>
        <v>17.413827160493828</v>
      </c>
      <c r="AM171">
        <f t="shared" si="31"/>
        <v>12.37694730962963</v>
      </c>
      <c r="AP171" s="9"/>
      <c r="AQ171" s="22">
        <v>1.01929</v>
      </c>
      <c r="AR171" s="22">
        <v>25.690200000000001</v>
      </c>
      <c r="AS171" s="22">
        <v>-1.4053299999999999E-2</v>
      </c>
      <c r="AT171" s="22">
        <v>161</v>
      </c>
      <c r="AU171" s="22">
        <v>1.01807</v>
      </c>
      <c r="AV171">
        <f t="shared" si="32"/>
        <v>17.349753086419753</v>
      </c>
      <c r="AW171">
        <f t="shared" si="33"/>
        <v>17.684429823456789</v>
      </c>
      <c r="AX171" s="9"/>
      <c r="AY171" s="22">
        <v>0.710754</v>
      </c>
      <c r="AZ171" s="22">
        <v>29.569800000000001</v>
      </c>
      <c r="BA171" s="22">
        <v>-1.41785E-2</v>
      </c>
      <c r="BB171" s="22">
        <v>161</v>
      </c>
      <c r="BC171" s="22">
        <v>0.70996099999999995</v>
      </c>
      <c r="BD171">
        <f t="shared" si="34"/>
        <v>17.504320987654321</v>
      </c>
      <c r="BE171">
        <f t="shared" si="35"/>
        <v>12.441266159259259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6.7968200000000003</v>
      </c>
      <c r="I172" s="22">
        <v>-1.3952600000000001E-2</v>
      </c>
      <c r="J172" s="22">
        <v>162</v>
      </c>
      <c r="K172" s="22">
        <v>1.01257</v>
      </c>
      <c r="L172">
        <f t="shared" si="24"/>
        <v>17.225432098765431</v>
      </c>
      <c r="M172">
        <f t="shared" si="25"/>
        <v>17.47089450617284</v>
      </c>
      <c r="N172" s="9"/>
      <c r="O172" s="22">
        <v>0.71579000000000004</v>
      </c>
      <c r="P172" s="22">
        <v>10.676399999999999</v>
      </c>
      <c r="Q172" s="22">
        <v>-1.4074700000000001E-2</v>
      </c>
      <c r="R172" s="22">
        <v>162</v>
      </c>
      <c r="S172" s="22">
        <v>0.71505700000000005</v>
      </c>
      <c r="T172">
        <f t="shared" si="26"/>
        <v>17.376172839506172</v>
      </c>
      <c r="U172">
        <f t="shared" si="27"/>
        <v>12.437690756790124</v>
      </c>
      <c r="X172" s="9"/>
      <c r="Y172" s="22">
        <v>1.0142500000000001</v>
      </c>
      <c r="Z172" s="22">
        <v>16.291</v>
      </c>
      <c r="AA172" s="22">
        <v>-1.40289E-2</v>
      </c>
      <c r="AB172" s="22">
        <v>162</v>
      </c>
      <c r="AC172" s="22">
        <v>1.01288</v>
      </c>
      <c r="AD172">
        <f t="shared" si="28"/>
        <v>17.319629629629631</v>
      </c>
      <c r="AE172">
        <f t="shared" si="29"/>
        <v>17.566434351851854</v>
      </c>
      <c r="AF172" s="9"/>
      <c r="AG172" s="22">
        <v>0.71579000000000004</v>
      </c>
      <c r="AH172" s="22">
        <v>20.1707</v>
      </c>
      <c r="AI172" s="22">
        <v>-1.41052E-2</v>
      </c>
      <c r="AJ172" s="22">
        <v>162</v>
      </c>
      <c r="AK172" s="22">
        <v>0.71505700000000005</v>
      </c>
      <c r="AL172">
        <f t="shared" si="30"/>
        <v>17.413827160493828</v>
      </c>
      <c r="AM172">
        <f t="shared" si="31"/>
        <v>12.464643343209877</v>
      </c>
      <c r="AP172" s="9"/>
      <c r="AQ172" s="22">
        <v>1.0142500000000001</v>
      </c>
      <c r="AR172" s="22">
        <v>25.700299999999999</v>
      </c>
      <c r="AS172" s="22">
        <v>-1.40564E-2</v>
      </c>
      <c r="AT172" s="22">
        <v>162</v>
      </c>
      <c r="AU172" s="22">
        <v>1.01349</v>
      </c>
      <c r="AV172">
        <f t="shared" si="32"/>
        <v>17.35358024691358</v>
      </c>
      <c r="AW172">
        <f t="shared" si="33"/>
        <v>17.6008687654321</v>
      </c>
      <c r="AX172" s="9"/>
      <c r="AY172" s="22">
        <v>0.71579000000000004</v>
      </c>
      <c r="AZ172" s="22">
        <v>29.579899999999999</v>
      </c>
      <c r="BA172" s="22">
        <v>-1.4175399999999999E-2</v>
      </c>
      <c r="BB172" s="22">
        <v>162</v>
      </c>
      <c r="BC172" s="22">
        <v>0.71502699999999997</v>
      </c>
      <c r="BD172">
        <f t="shared" si="34"/>
        <v>17.500493827160494</v>
      </c>
      <c r="BE172">
        <f t="shared" si="35"/>
        <v>12.526678476543211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6.8068900000000001</v>
      </c>
      <c r="I173" s="22">
        <v>-1.39496E-2</v>
      </c>
      <c r="J173" s="22">
        <v>163</v>
      </c>
      <c r="K173" s="22">
        <v>1.00739</v>
      </c>
      <c r="L173">
        <f t="shared" si="24"/>
        <v>17.221728395061724</v>
      </c>
      <c r="M173">
        <f t="shared" si="25"/>
        <v>17.380512730864194</v>
      </c>
      <c r="N173" s="9"/>
      <c r="O173" s="22">
        <v>0.72082500000000005</v>
      </c>
      <c r="P173" s="22">
        <v>10.686500000000001</v>
      </c>
      <c r="Q173" s="22">
        <v>-1.4068600000000001E-2</v>
      </c>
      <c r="R173" s="22">
        <v>163</v>
      </c>
      <c r="S173" s="22">
        <v>0.720001</v>
      </c>
      <c r="T173">
        <f t="shared" si="26"/>
        <v>17.368641975308641</v>
      </c>
      <c r="U173">
        <f t="shared" si="27"/>
        <v>12.519751351851852</v>
      </c>
      <c r="X173" s="9"/>
      <c r="Y173" s="22">
        <v>1.00922</v>
      </c>
      <c r="Z173" s="22">
        <v>16.301100000000002</v>
      </c>
      <c r="AA173" s="22">
        <v>-1.40381E-2</v>
      </c>
      <c r="AB173" s="22">
        <v>163</v>
      </c>
      <c r="AC173" s="22">
        <v>1.008</v>
      </c>
      <c r="AD173">
        <f t="shared" si="28"/>
        <v>17.330987654320985</v>
      </c>
      <c r="AE173">
        <f t="shared" si="29"/>
        <v>17.490779360493825</v>
      </c>
      <c r="AF173" s="9"/>
      <c r="AG173" s="22">
        <v>0.72082500000000005</v>
      </c>
      <c r="AH173" s="22">
        <v>20.180700000000002</v>
      </c>
      <c r="AI173" s="22">
        <v>-1.41052E-2</v>
      </c>
      <c r="AJ173" s="22">
        <v>163</v>
      </c>
      <c r="AK173" s="22">
        <v>0.71997100000000003</v>
      </c>
      <c r="AL173">
        <f t="shared" si="30"/>
        <v>17.413827160493828</v>
      </c>
      <c r="AM173">
        <f t="shared" si="31"/>
        <v>12.552321962962964</v>
      </c>
      <c r="AP173" s="9"/>
      <c r="AQ173" s="22">
        <v>1.00922</v>
      </c>
      <c r="AR173" s="22">
        <v>25.7103</v>
      </c>
      <c r="AS173" s="22">
        <v>-1.4065599999999999E-2</v>
      </c>
      <c r="AT173" s="22">
        <v>163</v>
      </c>
      <c r="AU173" s="22">
        <v>1.0083</v>
      </c>
      <c r="AV173">
        <f t="shared" si="32"/>
        <v>17.364938271604938</v>
      </c>
      <c r="AW173">
        <f t="shared" si="33"/>
        <v>17.525043002469136</v>
      </c>
      <c r="AX173" s="9"/>
      <c r="AY173" s="22">
        <v>0.72082500000000005</v>
      </c>
      <c r="AZ173" s="22">
        <v>29.59</v>
      </c>
      <c r="BA173" s="22">
        <v>-1.41602E-2</v>
      </c>
      <c r="BB173" s="22">
        <v>163</v>
      </c>
      <c r="BC173" s="22">
        <v>0.72006199999999998</v>
      </c>
      <c r="BD173">
        <f t="shared" si="34"/>
        <v>17.481728395061729</v>
      </c>
      <c r="BE173">
        <f t="shared" si="35"/>
        <v>12.601266870370372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6.8169700000000004</v>
      </c>
      <c r="I174" s="22">
        <v>-1.39496E-2</v>
      </c>
      <c r="J174" s="22">
        <v>164</v>
      </c>
      <c r="K174" s="22">
        <v>1.0031099999999999</v>
      </c>
      <c r="L174">
        <f t="shared" si="24"/>
        <v>17.221728395061724</v>
      </c>
      <c r="M174">
        <f t="shared" si="25"/>
        <v>17.293715219753082</v>
      </c>
      <c r="N174" s="9"/>
      <c r="O174" s="22">
        <v>0.72586099999999998</v>
      </c>
      <c r="P174" s="22">
        <v>10.6966</v>
      </c>
      <c r="Q174" s="22">
        <v>-1.4068600000000001E-2</v>
      </c>
      <c r="R174" s="22">
        <v>164</v>
      </c>
      <c r="S174" s="22">
        <v>0.72503700000000004</v>
      </c>
      <c r="T174">
        <f t="shared" si="26"/>
        <v>17.368641975308641</v>
      </c>
      <c r="U174">
        <f t="shared" si="27"/>
        <v>12.607219832839505</v>
      </c>
      <c r="X174" s="9"/>
      <c r="Y174" s="22">
        <v>1.0041800000000001</v>
      </c>
      <c r="Z174" s="22">
        <v>16.311199999999999</v>
      </c>
      <c r="AA174" s="22">
        <v>-1.40503E-2</v>
      </c>
      <c r="AB174" s="22">
        <v>164</v>
      </c>
      <c r="AC174" s="22">
        <v>1.00281</v>
      </c>
      <c r="AD174">
        <f t="shared" si="28"/>
        <v>17.34604938271605</v>
      </c>
      <c r="AE174">
        <f t="shared" si="29"/>
        <v>17.418555869135805</v>
      </c>
      <c r="AF174" s="9"/>
      <c r="AG174" s="22">
        <v>0.72586099999999998</v>
      </c>
      <c r="AH174" s="22">
        <v>20.190799999999999</v>
      </c>
      <c r="AI174" s="22">
        <v>-1.41022E-2</v>
      </c>
      <c r="AJ174" s="22">
        <v>164</v>
      </c>
      <c r="AK174" s="22">
        <v>0.72509800000000002</v>
      </c>
      <c r="AL174">
        <f t="shared" si="30"/>
        <v>17.410123456790124</v>
      </c>
      <c r="AM174">
        <f t="shared" si="31"/>
        <v>12.637329622469137</v>
      </c>
      <c r="AP174" s="9"/>
      <c r="AQ174" s="22">
        <v>1.0041800000000001</v>
      </c>
      <c r="AR174" s="22">
        <v>25.720400000000001</v>
      </c>
      <c r="AS174" s="22">
        <v>-1.4080799999999999E-2</v>
      </c>
      <c r="AT174" s="22">
        <v>164</v>
      </c>
      <c r="AU174" s="22">
        <v>1.00281</v>
      </c>
      <c r="AV174">
        <f t="shared" si="32"/>
        <v>17.383703703703702</v>
      </c>
      <c r="AW174">
        <f t="shared" si="33"/>
        <v>17.456367585185184</v>
      </c>
      <c r="AX174" s="9"/>
      <c r="AY174" s="22">
        <v>0.72586099999999998</v>
      </c>
      <c r="AZ174" s="22">
        <v>29.6</v>
      </c>
      <c r="BA174" s="22">
        <v>-1.41449E-2</v>
      </c>
      <c r="BB174" s="22">
        <v>164</v>
      </c>
      <c r="BC174" s="22">
        <v>0.72503700000000004</v>
      </c>
      <c r="BD174">
        <f t="shared" si="34"/>
        <v>17.462839506172838</v>
      </c>
      <c r="BE174">
        <f t="shared" si="35"/>
        <v>12.675594146790122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6.8270400000000002</v>
      </c>
      <c r="I175" s="22">
        <v>-1.3946500000000001E-2</v>
      </c>
      <c r="J175" s="22">
        <v>165</v>
      </c>
      <c r="K175" s="22">
        <v>0.99822999999999995</v>
      </c>
      <c r="L175">
        <f t="shared" si="24"/>
        <v>17.217901234567901</v>
      </c>
      <c r="M175">
        <f t="shared" si="25"/>
        <v>17.203197146913578</v>
      </c>
      <c r="N175" s="9"/>
      <c r="O175" s="22">
        <v>0.73089599999999999</v>
      </c>
      <c r="P175" s="22">
        <v>10.7067</v>
      </c>
      <c r="Q175" s="22">
        <v>-1.4071699999999999E-2</v>
      </c>
      <c r="R175" s="22">
        <v>165</v>
      </c>
      <c r="S175" s="22">
        <v>0.73013300000000003</v>
      </c>
      <c r="T175">
        <f t="shared" si="26"/>
        <v>17.372469135802469</v>
      </c>
      <c r="U175">
        <f t="shared" si="27"/>
        <v>12.697468201481481</v>
      </c>
      <c r="X175" s="9"/>
      <c r="Y175" s="22">
        <v>0.99914599999999998</v>
      </c>
      <c r="Z175" s="22">
        <v>16.321300000000001</v>
      </c>
      <c r="AA175" s="22">
        <v>-1.40594E-2</v>
      </c>
      <c r="AB175" s="22">
        <v>165</v>
      </c>
      <c r="AC175" s="22">
        <v>0.99792499999999995</v>
      </c>
      <c r="AD175">
        <f t="shared" si="28"/>
        <v>17.357283950617283</v>
      </c>
      <c r="AE175">
        <f t="shared" si="29"/>
        <v>17.342460830123457</v>
      </c>
      <c r="AF175" s="9"/>
      <c r="AG175" s="22">
        <v>0.73089599999999999</v>
      </c>
      <c r="AH175" s="22">
        <v>20.200900000000001</v>
      </c>
      <c r="AI175" s="22">
        <v>-1.40991E-2</v>
      </c>
      <c r="AJ175" s="22">
        <v>165</v>
      </c>
      <c r="AK175" s="22">
        <v>0.73007200000000005</v>
      </c>
      <c r="AL175">
        <f t="shared" si="30"/>
        <v>17.406296296296293</v>
      </c>
      <c r="AM175">
        <f t="shared" si="31"/>
        <v>12.722192337777775</v>
      </c>
      <c r="AP175" s="9"/>
      <c r="AQ175" s="22">
        <v>0.99914599999999998</v>
      </c>
      <c r="AR175" s="22">
        <v>25.730499999999999</v>
      </c>
      <c r="AS175" s="22">
        <v>-1.4086899999999999E-2</v>
      </c>
      <c r="AT175" s="22">
        <v>165</v>
      </c>
      <c r="AU175" s="22">
        <v>0.99822999999999995</v>
      </c>
      <c r="AV175">
        <f t="shared" si="32"/>
        <v>17.391234567901233</v>
      </c>
      <c r="AW175">
        <f t="shared" si="33"/>
        <v>17.376382453580245</v>
      </c>
      <c r="AX175" s="9"/>
      <c r="AY175" s="22">
        <v>0.73089599999999999</v>
      </c>
      <c r="AZ175" s="22">
        <v>29.610099999999999</v>
      </c>
      <c r="BA175" s="22">
        <v>-1.41418E-2</v>
      </c>
      <c r="BB175" s="22">
        <v>165</v>
      </c>
      <c r="BC175" s="22">
        <v>0.73010299999999995</v>
      </c>
      <c r="BD175">
        <f t="shared" si="34"/>
        <v>17.45901234567901</v>
      </c>
      <c r="BE175">
        <f t="shared" si="35"/>
        <v>12.760722287407406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6.83711</v>
      </c>
      <c r="I176" s="22">
        <v>-1.3946500000000001E-2</v>
      </c>
      <c r="J176" s="22">
        <v>166</v>
      </c>
      <c r="K176" s="22">
        <v>0.99273699999999998</v>
      </c>
      <c r="L176">
        <f t="shared" si="24"/>
        <v>17.217901234567901</v>
      </c>
      <c r="M176">
        <f t="shared" si="25"/>
        <v>17.116487796296298</v>
      </c>
      <c r="N176" s="9"/>
      <c r="O176" s="22">
        <v>0.735931</v>
      </c>
      <c r="P176" s="22">
        <v>10.716699999999999</v>
      </c>
      <c r="Q176" s="22">
        <v>-1.40778E-2</v>
      </c>
      <c r="R176" s="22">
        <v>166</v>
      </c>
      <c r="S176" s="22">
        <v>0.73519900000000005</v>
      </c>
      <c r="T176">
        <f t="shared" si="26"/>
        <v>17.38</v>
      </c>
      <c r="U176">
        <f t="shared" si="27"/>
        <v>12.790480779999999</v>
      </c>
      <c r="X176" s="9"/>
      <c r="Y176" s="22">
        <v>0.99411000000000005</v>
      </c>
      <c r="Z176" s="22">
        <v>16.331299999999999</v>
      </c>
      <c r="AA176" s="22">
        <v>-1.4068600000000001E-2</v>
      </c>
      <c r="AB176" s="22">
        <v>166</v>
      </c>
      <c r="AC176" s="22">
        <v>0.99273699999999998</v>
      </c>
      <c r="AD176">
        <f t="shared" si="28"/>
        <v>17.368641975308641</v>
      </c>
      <c r="AE176">
        <f t="shared" si="29"/>
        <v>17.266340674074073</v>
      </c>
      <c r="AF176" s="9"/>
      <c r="AG176" s="22">
        <v>0.735931</v>
      </c>
      <c r="AH176" s="22">
        <v>20.210899999999999</v>
      </c>
      <c r="AI176" s="22">
        <v>-1.4093E-2</v>
      </c>
      <c r="AJ176" s="22">
        <v>166</v>
      </c>
      <c r="AK176" s="22">
        <v>0.73510699999999995</v>
      </c>
      <c r="AL176">
        <f t="shared" si="30"/>
        <v>17.398765432098763</v>
      </c>
      <c r="AM176">
        <f t="shared" si="31"/>
        <v>12.804290843209875</v>
      </c>
      <c r="AP176" s="9"/>
      <c r="AQ176" s="22">
        <v>0.99411000000000005</v>
      </c>
      <c r="AR176" s="22">
        <v>25.740600000000001</v>
      </c>
      <c r="AS176" s="22">
        <v>-1.4093E-2</v>
      </c>
      <c r="AT176" s="22">
        <v>166</v>
      </c>
      <c r="AU176" s="22">
        <v>0.99304199999999998</v>
      </c>
      <c r="AV176">
        <f t="shared" si="32"/>
        <v>17.398765432098763</v>
      </c>
      <c r="AW176">
        <f t="shared" si="33"/>
        <v>17.296286703703704</v>
      </c>
      <c r="AX176" s="9"/>
      <c r="AY176" s="22">
        <v>0.735931</v>
      </c>
      <c r="AZ176" s="22">
        <v>29.620200000000001</v>
      </c>
      <c r="BA176" s="22">
        <v>-1.41388E-2</v>
      </c>
      <c r="BB176" s="22">
        <v>166</v>
      </c>
      <c r="BC176" s="22">
        <v>0.73510699999999995</v>
      </c>
      <c r="BD176">
        <f t="shared" si="34"/>
        <v>17.455308641975307</v>
      </c>
      <c r="BE176">
        <f t="shared" si="35"/>
        <v>12.845902744197529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6.8471799999999998</v>
      </c>
      <c r="I177" s="22">
        <v>-1.3946500000000001E-2</v>
      </c>
      <c r="J177" s="22">
        <v>167</v>
      </c>
      <c r="K177" s="22">
        <v>0.98815900000000001</v>
      </c>
      <c r="L177">
        <f t="shared" si="24"/>
        <v>17.217901234567901</v>
      </c>
      <c r="M177">
        <f t="shared" si="25"/>
        <v>17.029795663580249</v>
      </c>
      <c r="N177" s="9"/>
      <c r="O177" s="22">
        <v>0.74096700000000004</v>
      </c>
      <c r="P177" s="22">
        <v>10.726800000000001</v>
      </c>
      <c r="Q177" s="22">
        <v>-1.4080799999999999E-2</v>
      </c>
      <c r="R177" s="22">
        <v>167</v>
      </c>
      <c r="S177" s="22">
        <v>0.740143</v>
      </c>
      <c r="T177">
        <f t="shared" si="26"/>
        <v>17.383703703703702</v>
      </c>
      <c r="U177">
        <f t="shared" si="27"/>
        <v>12.880750782222222</v>
      </c>
      <c r="X177" s="9"/>
      <c r="Y177" s="22">
        <v>0.98907500000000004</v>
      </c>
      <c r="Z177" s="22">
        <v>16.3414</v>
      </c>
      <c r="AA177" s="22">
        <v>-1.4065599999999999E-2</v>
      </c>
      <c r="AB177" s="22">
        <v>167</v>
      </c>
      <c r="AC177" s="22">
        <v>0.98846400000000001</v>
      </c>
      <c r="AD177">
        <f t="shared" si="28"/>
        <v>17.364938271604938</v>
      </c>
      <c r="AE177">
        <f t="shared" si="29"/>
        <v>17.175226320987655</v>
      </c>
      <c r="AF177" s="9"/>
      <c r="AG177" s="22">
        <v>0.74096700000000004</v>
      </c>
      <c r="AH177" s="22">
        <v>20.221</v>
      </c>
      <c r="AI177" s="22">
        <v>-1.4086899999999999E-2</v>
      </c>
      <c r="AJ177" s="22">
        <v>167</v>
      </c>
      <c r="AK177" s="22">
        <v>0.74017299999999997</v>
      </c>
      <c r="AL177">
        <f t="shared" si="30"/>
        <v>17.391234567901233</v>
      </c>
      <c r="AM177">
        <f t="shared" si="31"/>
        <v>12.886330904074073</v>
      </c>
      <c r="AP177" s="9"/>
      <c r="AQ177" s="22">
        <v>0.98907500000000004</v>
      </c>
      <c r="AR177" s="22">
        <v>25.750599999999999</v>
      </c>
      <c r="AS177" s="22">
        <v>-1.4093E-2</v>
      </c>
      <c r="AT177" s="22">
        <v>167</v>
      </c>
      <c r="AU177" s="22">
        <v>0.98785400000000001</v>
      </c>
      <c r="AV177">
        <f t="shared" si="32"/>
        <v>17.398765432098763</v>
      </c>
      <c r="AW177">
        <f t="shared" si="33"/>
        <v>17.208683919753085</v>
      </c>
      <c r="AX177" s="9"/>
      <c r="AY177" s="22">
        <v>0.74096700000000004</v>
      </c>
      <c r="AZ177" s="22">
        <v>29.630199999999999</v>
      </c>
      <c r="BA177" s="22">
        <v>-1.41479E-2</v>
      </c>
      <c r="BB177" s="22">
        <v>167</v>
      </c>
      <c r="BC177" s="22">
        <v>0.74008200000000002</v>
      </c>
      <c r="BD177">
        <f t="shared" si="34"/>
        <v>17.466543209876541</v>
      </c>
      <c r="BE177">
        <f t="shared" si="35"/>
        <v>12.942132122592591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6.8572499999999996</v>
      </c>
      <c r="I178" s="22">
        <v>-1.39404E-2</v>
      </c>
      <c r="J178" s="22">
        <v>168</v>
      </c>
      <c r="K178" s="22">
        <v>0.98297100000000004</v>
      </c>
      <c r="L178">
        <f t="shared" si="24"/>
        <v>17.21037037037037</v>
      </c>
      <c r="M178">
        <f t="shared" si="25"/>
        <v>16.935675648888889</v>
      </c>
      <c r="N178" s="9"/>
      <c r="O178" s="22">
        <v>0.74600200000000005</v>
      </c>
      <c r="P178" s="22">
        <v>10.7369</v>
      </c>
      <c r="Q178" s="22">
        <v>-1.40778E-2</v>
      </c>
      <c r="R178" s="22">
        <v>168</v>
      </c>
      <c r="S178" s="22">
        <v>0.74523899999999998</v>
      </c>
      <c r="T178">
        <f t="shared" si="26"/>
        <v>17.38</v>
      </c>
      <c r="U178">
        <f t="shared" si="27"/>
        <v>12.96551476</v>
      </c>
      <c r="X178" s="9"/>
      <c r="Y178" s="22">
        <v>0.984039</v>
      </c>
      <c r="Z178" s="22">
        <v>16.351500000000001</v>
      </c>
      <c r="AA178" s="22">
        <v>-1.4065599999999999E-2</v>
      </c>
      <c r="AB178" s="22">
        <v>168</v>
      </c>
      <c r="AC178" s="22">
        <v>0.98327600000000004</v>
      </c>
      <c r="AD178">
        <f t="shared" si="28"/>
        <v>17.364938271604938</v>
      </c>
      <c r="AE178">
        <f t="shared" si="29"/>
        <v>17.087776491851852</v>
      </c>
      <c r="AF178" s="9"/>
      <c r="AG178" s="22">
        <v>0.74600200000000005</v>
      </c>
      <c r="AH178" s="22">
        <v>20.231100000000001</v>
      </c>
      <c r="AI178" s="22">
        <v>-1.40839E-2</v>
      </c>
      <c r="AJ178" s="22">
        <v>168</v>
      </c>
      <c r="AK178" s="22">
        <v>0.74526999999999999</v>
      </c>
      <c r="AL178">
        <f t="shared" si="30"/>
        <v>17.387530864197529</v>
      </c>
      <c r="AM178">
        <f t="shared" si="31"/>
        <v>12.971132799753086</v>
      </c>
      <c r="AP178" s="9"/>
      <c r="AQ178" s="22">
        <v>0.984039</v>
      </c>
      <c r="AR178" s="22">
        <v>25.7607</v>
      </c>
      <c r="AS178" s="22">
        <v>-1.40961E-2</v>
      </c>
      <c r="AT178" s="22">
        <v>168</v>
      </c>
      <c r="AU178" s="22">
        <v>0.98327600000000004</v>
      </c>
      <c r="AV178">
        <f t="shared" si="32"/>
        <v>17.40259259259259</v>
      </c>
      <c r="AW178">
        <f t="shared" si="33"/>
        <v>17.12482981222222</v>
      </c>
      <c r="AX178" s="9"/>
      <c r="AY178" s="22">
        <v>0.74600200000000005</v>
      </c>
      <c r="AZ178" s="22">
        <v>29.6403</v>
      </c>
      <c r="BA178" s="22">
        <v>-1.4154099999999999E-2</v>
      </c>
      <c r="BB178" s="22">
        <v>168</v>
      </c>
      <c r="BC178" s="22">
        <v>0.74520900000000001</v>
      </c>
      <c r="BD178">
        <f t="shared" si="34"/>
        <v>17.474197530864195</v>
      </c>
      <c r="BE178">
        <f t="shared" si="35"/>
        <v>13.035786306419752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6.8673200000000003</v>
      </c>
      <c r="I179" s="22">
        <v>-1.3931300000000001E-2</v>
      </c>
      <c r="J179" s="22">
        <v>169</v>
      </c>
      <c r="K179" s="22">
        <v>0.97747799999999996</v>
      </c>
      <c r="L179">
        <f t="shared" si="24"/>
        <v>17.199135802469137</v>
      </c>
      <c r="M179">
        <f t="shared" si="25"/>
        <v>16.838022747160494</v>
      </c>
      <c r="N179" s="9"/>
      <c r="O179" s="22">
        <v>0.75103799999999998</v>
      </c>
      <c r="P179" s="22">
        <v>10.7469</v>
      </c>
      <c r="Q179" s="22">
        <v>-1.40778E-2</v>
      </c>
      <c r="R179" s="22">
        <v>169</v>
      </c>
      <c r="S179" s="22">
        <v>0.75024400000000002</v>
      </c>
      <c r="T179">
        <f t="shared" si="26"/>
        <v>17.38</v>
      </c>
      <c r="U179">
        <f t="shared" si="27"/>
        <v>13.053040439999998</v>
      </c>
      <c r="X179" s="9"/>
      <c r="Y179" s="22">
        <v>0.97900399999999999</v>
      </c>
      <c r="Z179" s="22">
        <v>16.361499999999999</v>
      </c>
      <c r="AA179" s="22">
        <v>-1.4068600000000001E-2</v>
      </c>
      <c r="AB179" s="22">
        <v>169</v>
      </c>
      <c r="AC179" s="22">
        <v>0.97839399999999999</v>
      </c>
      <c r="AD179">
        <f t="shared" si="28"/>
        <v>17.368641975308641</v>
      </c>
      <c r="AE179">
        <f t="shared" si="29"/>
        <v>17.003969968395062</v>
      </c>
      <c r="AF179" s="9"/>
      <c r="AG179" s="22">
        <v>0.75103799999999998</v>
      </c>
      <c r="AH179" s="22">
        <v>20.241199999999999</v>
      </c>
      <c r="AI179" s="22">
        <v>-1.40839E-2</v>
      </c>
      <c r="AJ179" s="22">
        <v>169</v>
      </c>
      <c r="AK179" s="22">
        <v>0.75015299999999996</v>
      </c>
      <c r="AL179">
        <f t="shared" si="30"/>
        <v>17.387530864197529</v>
      </c>
      <c r="AM179">
        <f t="shared" si="31"/>
        <v>13.058696405185184</v>
      </c>
      <c r="AP179" s="9"/>
      <c r="AQ179" s="22">
        <v>0.97900399999999999</v>
      </c>
      <c r="AR179" s="22">
        <v>25.770800000000001</v>
      </c>
      <c r="AS179" s="22">
        <v>-1.40991E-2</v>
      </c>
      <c r="AT179" s="22">
        <v>169</v>
      </c>
      <c r="AU179" s="22">
        <v>0.97808799999999996</v>
      </c>
      <c r="AV179">
        <f t="shared" si="32"/>
        <v>17.406296296296293</v>
      </c>
      <c r="AW179">
        <f t="shared" si="33"/>
        <v>17.040833699259256</v>
      </c>
      <c r="AX179" s="9"/>
      <c r="AY179" s="22">
        <v>0.75103799999999998</v>
      </c>
      <c r="AZ179" s="22">
        <v>29.650400000000001</v>
      </c>
      <c r="BA179" s="22">
        <v>-1.41602E-2</v>
      </c>
      <c r="BB179" s="22">
        <v>169</v>
      </c>
      <c r="BC179" s="22">
        <v>0.75015299999999996</v>
      </c>
      <c r="BD179">
        <f t="shared" si="34"/>
        <v>17.481728395061729</v>
      </c>
      <c r="BE179">
        <f t="shared" si="35"/>
        <v>13.12944233037037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6.8773900000000001</v>
      </c>
      <c r="I180" s="22">
        <v>-1.39282E-2</v>
      </c>
      <c r="J180" s="22">
        <v>170</v>
      </c>
      <c r="K180" s="22">
        <v>0.97289999999999999</v>
      </c>
      <c r="L180">
        <f t="shared" si="24"/>
        <v>17.195308641975309</v>
      </c>
      <c r="M180">
        <f t="shared" si="25"/>
        <v>16.747697562716048</v>
      </c>
      <c r="N180" s="9"/>
      <c r="O180" s="22">
        <v>0.756073</v>
      </c>
      <c r="P180" s="22">
        <v>10.757</v>
      </c>
      <c r="Q180" s="22">
        <v>-1.40839E-2</v>
      </c>
      <c r="R180" s="22">
        <v>170</v>
      </c>
      <c r="S180" s="22">
        <v>0.75531000000000004</v>
      </c>
      <c r="T180">
        <f t="shared" si="26"/>
        <v>17.387530864197529</v>
      </c>
      <c r="U180">
        <f t="shared" si="27"/>
        <v>13.146242623086419</v>
      </c>
      <c r="X180" s="9"/>
      <c r="Y180" s="22">
        <v>0.97396899999999997</v>
      </c>
      <c r="Z180" s="22">
        <v>16.371600000000001</v>
      </c>
      <c r="AA180" s="22">
        <v>-1.4068600000000001E-2</v>
      </c>
      <c r="AB180" s="22">
        <v>170</v>
      </c>
      <c r="AC180" s="22">
        <v>0.97320600000000002</v>
      </c>
      <c r="AD180">
        <f t="shared" si="28"/>
        <v>17.368641975308641</v>
      </c>
      <c r="AE180">
        <f t="shared" si="29"/>
        <v>16.916518856049382</v>
      </c>
      <c r="AF180" s="9"/>
      <c r="AG180" s="22">
        <v>0.756073</v>
      </c>
      <c r="AH180" s="22">
        <v>20.251200000000001</v>
      </c>
      <c r="AI180" s="22">
        <v>-1.40839E-2</v>
      </c>
      <c r="AJ180" s="22">
        <v>170</v>
      </c>
      <c r="AK180" s="22">
        <v>0.75561500000000004</v>
      </c>
      <c r="AL180">
        <f t="shared" si="30"/>
        <v>17.387530864197529</v>
      </c>
      <c r="AM180">
        <f t="shared" si="31"/>
        <v>13.146242623086419</v>
      </c>
      <c r="AP180" s="9"/>
      <c r="AQ180" s="22">
        <v>0.97396899999999997</v>
      </c>
      <c r="AR180" s="22">
        <v>25.780799999999999</v>
      </c>
      <c r="AS180" s="22">
        <v>-1.40991E-2</v>
      </c>
      <c r="AT180" s="22">
        <v>170</v>
      </c>
      <c r="AU180" s="22">
        <v>0.97289999999999999</v>
      </c>
      <c r="AV180">
        <f t="shared" si="32"/>
        <v>17.406296296296293</v>
      </c>
      <c r="AW180">
        <f t="shared" si="33"/>
        <v>16.953192997407402</v>
      </c>
      <c r="AX180" s="9"/>
      <c r="AY180" s="22">
        <v>0.756073</v>
      </c>
      <c r="AZ180" s="22">
        <v>29.660499999999999</v>
      </c>
      <c r="BA180" s="22">
        <v>-1.41602E-2</v>
      </c>
      <c r="BB180" s="22">
        <v>170</v>
      </c>
      <c r="BC180" s="22">
        <v>0.75561500000000004</v>
      </c>
      <c r="BD180">
        <f t="shared" si="34"/>
        <v>17.481728395061729</v>
      </c>
      <c r="BE180">
        <f t="shared" si="35"/>
        <v>13.217462832839507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6.8874599999999999</v>
      </c>
      <c r="I181" s="22">
        <v>-1.39252E-2</v>
      </c>
      <c r="J181" s="22">
        <v>171</v>
      </c>
      <c r="K181" s="22">
        <v>0.96801800000000005</v>
      </c>
      <c r="L181">
        <f t="shared" si="24"/>
        <v>17.191604938271606</v>
      </c>
      <c r="M181">
        <f t="shared" si="25"/>
        <v>16.657513347654323</v>
      </c>
      <c r="N181" s="9"/>
      <c r="O181" s="22">
        <v>0.76110800000000001</v>
      </c>
      <c r="P181" s="22">
        <v>10.767099999999999</v>
      </c>
      <c r="Q181" s="22">
        <v>-1.4086899999999999E-2</v>
      </c>
      <c r="R181" s="22">
        <v>171</v>
      </c>
      <c r="S181" s="22">
        <v>0.75988800000000001</v>
      </c>
      <c r="T181">
        <f t="shared" si="26"/>
        <v>17.391234567901233</v>
      </c>
      <c r="U181">
        <f t="shared" si="27"/>
        <v>13.236607759506171</v>
      </c>
      <c r="X181" s="9"/>
      <c r="Y181" s="22">
        <v>0.96893300000000004</v>
      </c>
      <c r="Z181" s="22">
        <v>16.381699999999999</v>
      </c>
      <c r="AA181" s="22">
        <v>-1.4068600000000001E-2</v>
      </c>
      <c r="AB181" s="22">
        <v>171</v>
      </c>
      <c r="AC181" s="22">
        <v>0.96801800000000005</v>
      </c>
      <c r="AD181">
        <f t="shared" si="28"/>
        <v>17.368641975308641</v>
      </c>
      <c r="AE181">
        <f t="shared" si="29"/>
        <v>16.82905037506173</v>
      </c>
      <c r="AF181" s="9"/>
      <c r="AG181" s="22">
        <v>0.76110800000000001</v>
      </c>
      <c r="AH181" s="22">
        <v>20.261299999999999</v>
      </c>
      <c r="AI181" s="22">
        <v>-1.40839E-2</v>
      </c>
      <c r="AJ181" s="22">
        <v>171</v>
      </c>
      <c r="AK181" s="22">
        <v>0.76019300000000001</v>
      </c>
      <c r="AL181">
        <f t="shared" si="30"/>
        <v>17.387530864197529</v>
      </c>
      <c r="AM181">
        <f t="shared" si="31"/>
        <v>13.233788840987653</v>
      </c>
      <c r="AP181" s="9"/>
      <c r="AQ181" s="22">
        <v>0.96893300000000004</v>
      </c>
      <c r="AR181" s="22">
        <v>25.790900000000001</v>
      </c>
      <c r="AS181" s="22">
        <v>-1.40961E-2</v>
      </c>
      <c r="AT181" s="22">
        <v>171</v>
      </c>
      <c r="AU181" s="22">
        <v>0.96832300000000004</v>
      </c>
      <c r="AV181">
        <f t="shared" si="32"/>
        <v>17.40259259259259</v>
      </c>
      <c r="AW181">
        <f t="shared" si="33"/>
        <v>16.861946248518517</v>
      </c>
      <c r="AX181" s="9"/>
      <c r="AY181" s="22">
        <v>0.76110800000000001</v>
      </c>
      <c r="AZ181" s="22">
        <v>29.670500000000001</v>
      </c>
      <c r="BA181" s="22">
        <v>-1.41663E-2</v>
      </c>
      <c r="BB181" s="22">
        <v>171</v>
      </c>
      <c r="BC181" s="22">
        <v>0.75988800000000001</v>
      </c>
      <c r="BD181">
        <f t="shared" si="34"/>
        <v>17.489259259259256</v>
      </c>
      <c r="BE181">
        <f t="shared" si="35"/>
        <v>13.311215136296294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6.8975299999999997</v>
      </c>
      <c r="I182" s="22">
        <v>-1.39343E-2</v>
      </c>
      <c r="J182" s="22">
        <v>172</v>
      </c>
      <c r="K182" s="22">
        <v>0.96282999999999996</v>
      </c>
      <c r="L182">
        <f t="shared" si="24"/>
        <v>17.202839506172836</v>
      </c>
      <c r="M182">
        <f t="shared" si="25"/>
        <v>16.581782594320984</v>
      </c>
      <c r="N182" s="9"/>
      <c r="O182" s="22">
        <v>0.76614400000000005</v>
      </c>
      <c r="P182" s="22">
        <v>10.777200000000001</v>
      </c>
      <c r="Q182" s="22">
        <v>-1.4074700000000001E-2</v>
      </c>
      <c r="R182" s="22">
        <v>172</v>
      </c>
      <c r="S182" s="22">
        <v>0.76538099999999998</v>
      </c>
      <c r="T182">
        <f t="shared" si="26"/>
        <v>17.376172839506172</v>
      </c>
      <c r="U182">
        <f t="shared" si="27"/>
        <v>13.312650563950617</v>
      </c>
      <c r="X182" s="9"/>
      <c r="Y182" s="22">
        <v>0.96389800000000003</v>
      </c>
      <c r="Z182" s="22">
        <v>16.3918</v>
      </c>
      <c r="AA182" s="22">
        <v>-1.4068600000000001E-2</v>
      </c>
      <c r="AB182" s="22">
        <v>172</v>
      </c>
      <c r="AC182" s="22">
        <v>0.96343999999999996</v>
      </c>
      <c r="AD182">
        <f t="shared" si="28"/>
        <v>17.368641975308641</v>
      </c>
      <c r="AE182">
        <f t="shared" si="29"/>
        <v>16.741599262716051</v>
      </c>
      <c r="AF182" s="9"/>
      <c r="AG182" s="22">
        <v>0.76614400000000005</v>
      </c>
      <c r="AH182" s="22">
        <v>20.2714</v>
      </c>
      <c r="AI182" s="22">
        <v>-1.40778E-2</v>
      </c>
      <c r="AJ182" s="22">
        <v>172</v>
      </c>
      <c r="AK182" s="22">
        <v>0.76446499999999995</v>
      </c>
      <c r="AL182">
        <f t="shared" si="30"/>
        <v>17.38</v>
      </c>
      <c r="AM182">
        <f t="shared" si="31"/>
        <v>13.31558272</v>
      </c>
      <c r="AP182" s="9"/>
      <c r="AQ182" s="22">
        <v>0.96389800000000003</v>
      </c>
      <c r="AR182" s="22">
        <v>25.800999999999998</v>
      </c>
      <c r="AS182" s="22">
        <v>-1.4093E-2</v>
      </c>
      <c r="AT182" s="22">
        <v>172</v>
      </c>
      <c r="AU182" s="22">
        <v>0.96221900000000005</v>
      </c>
      <c r="AV182">
        <f t="shared" si="32"/>
        <v>17.398765432098763</v>
      </c>
      <c r="AW182">
        <f t="shared" si="33"/>
        <v>16.770635202469133</v>
      </c>
      <c r="AX182" s="9"/>
      <c r="AY182" s="22">
        <v>0.76614400000000005</v>
      </c>
      <c r="AZ182" s="22">
        <v>29.680599999999998</v>
      </c>
      <c r="BA182" s="22">
        <v>-1.41785E-2</v>
      </c>
      <c r="BB182" s="22">
        <v>172</v>
      </c>
      <c r="BC182" s="22">
        <v>0.76477099999999998</v>
      </c>
      <c r="BD182">
        <f t="shared" si="34"/>
        <v>17.504320987654321</v>
      </c>
      <c r="BE182">
        <f t="shared" si="35"/>
        <v>13.410830498765433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6.9076000000000004</v>
      </c>
      <c r="I183" s="22">
        <v>-1.39404E-2</v>
      </c>
      <c r="J183" s="22">
        <v>173</v>
      </c>
      <c r="K183" s="22">
        <v>0.95764199999999999</v>
      </c>
      <c r="L183">
        <f t="shared" si="24"/>
        <v>17.21037037037037</v>
      </c>
      <c r="M183">
        <f t="shared" si="25"/>
        <v>16.502370154074075</v>
      </c>
      <c r="N183" s="9"/>
      <c r="O183" s="22">
        <v>0.77117899999999995</v>
      </c>
      <c r="P183" s="22">
        <v>10.7872</v>
      </c>
      <c r="Q183" s="22">
        <v>-1.4068600000000001E-2</v>
      </c>
      <c r="R183" s="22">
        <v>173</v>
      </c>
      <c r="S183" s="22">
        <v>0.77026399999999995</v>
      </c>
      <c r="T183">
        <f t="shared" si="26"/>
        <v>17.368641975308641</v>
      </c>
      <c r="U183">
        <f t="shared" si="27"/>
        <v>13.394331949876541</v>
      </c>
      <c r="X183" s="9"/>
      <c r="Y183" s="22">
        <v>0.95886199999999999</v>
      </c>
      <c r="Z183" s="22">
        <v>16.401800000000001</v>
      </c>
      <c r="AA183" s="22">
        <v>-1.4065599999999999E-2</v>
      </c>
      <c r="AB183" s="22">
        <v>173</v>
      </c>
      <c r="AC183" s="22">
        <v>0.95794699999999999</v>
      </c>
      <c r="AD183">
        <f t="shared" si="28"/>
        <v>17.364938271604938</v>
      </c>
      <c r="AE183">
        <f t="shared" si="29"/>
        <v>16.650579440987656</v>
      </c>
      <c r="AF183" s="9"/>
      <c r="AG183" s="22">
        <v>0.77117899999999995</v>
      </c>
      <c r="AH183" s="22">
        <v>20.281400000000001</v>
      </c>
      <c r="AI183" s="22">
        <v>-1.4071699999999999E-2</v>
      </c>
      <c r="AJ183" s="22">
        <v>173</v>
      </c>
      <c r="AK183" s="22">
        <v>0.77056899999999995</v>
      </c>
      <c r="AL183">
        <f t="shared" si="30"/>
        <v>17.372469135802469</v>
      </c>
      <c r="AM183">
        <f t="shared" si="31"/>
        <v>13.397283375679011</v>
      </c>
      <c r="AP183" s="9"/>
      <c r="AQ183" s="22">
        <v>0.95886199999999999</v>
      </c>
      <c r="AR183" s="22">
        <v>25.8111</v>
      </c>
      <c r="AS183" s="22">
        <v>-1.40961E-2</v>
      </c>
      <c r="AT183" s="22">
        <v>173</v>
      </c>
      <c r="AU183" s="22">
        <v>0.95764199999999999</v>
      </c>
      <c r="AV183">
        <f t="shared" si="32"/>
        <v>17.40259259259259</v>
      </c>
      <c r="AW183">
        <f t="shared" si="33"/>
        <v>16.686684738518515</v>
      </c>
      <c r="AX183" s="9"/>
      <c r="AY183" s="22">
        <v>0.77117899999999995</v>
      </c>
      <c r="AZ183" s="22">
        <v>29.6907</v>
      </c>
      <c r="BA183" s="22">
        <v>-1.41846E-2</v>
      </c>
      <c r="BB183" s="22">
        <v>173</v>
      </c>
      <c r="BC183" s="22">
        <v>0.77026399999999995</v>
      </c>
      <c r="BD183">
        <f t="shared" si="34"/>
        <v>17.511851851851851</v>
      </c>
      <c r="BE183">
        <f t="shared" si="35"/>
        <v>13.504772399259258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6.9176799999999998</v>
      </c>
      <c r="I184" s="22">
        <v>-1.39557E-2</v>
      </c>
      <c r="J184" s="22">
        <v>174</v>
      </c>
      <c r="K184" s="22">
        <v>0.95275900000000002</v>
      </c>
      <c r="L184">
        <f t="shared" si="24"/>
        <v>17.229259259259258</v>
      </c>
      <c r="M184">
        <f t="shared" si="25"/>
        <v>16.433732671481479</v>
      </c>
      <c r="N184" s="9"/>
      <c r="O184" s="22">
        <v>0.77621499999999999</v>
      </c>
      <c r="P184" s="22">
        <v>10.7973</v>
      </c>
      <c r="Q184" s="22">
        <v>-1.40564E-2</v>
      </c>
      <c r="R184" s="22">
        <v>174</v>
      </c>
      <c r="S184" s="22">
        <v>0.774841</v>
      </c>
      <c r="T184">
        <f t="shared" si="26"/>
        <v>17.35358024691358</v>
      </c>
      <c r="U184">
        <f t="shared" si="27"/>
        <v>13.470109291358025</v>
      </c>
      <c r="X184" s="9"/>
      <c r="Y184" s="22">
        <v>0.95382699999999998</v>
      </c>
      <c r="Z184" s="22">
        <v>16.411899999999999</v>
      </c>
      <c r="AA184" s="22">
        <v>-1.4071699999999999E-2</v>
      </c>
      <c r="AB184" s="22">
        <v>174</v>
      </c>
      <c r="AC184" s="22">
        <v>0.95275900000000002</v>
      </c>
      <c r="AD184">
        <f t="shared" si="28"/>
        <v>17.372469135802469</v>
      </c>
      <c r="AE184">
        <f t="shared" si="29"/>
        <v>16.570330118395059</v>
      </c>
      <c r="AF184" s="9"/>
      <c r="AG184" s="22">
        <v>0.77621499999999999</v>
      </c>
      <c r="AH184" s="22">
        <v>20.291499999999999</v>
      </c>
      <c r="AI184" s="22">
        <v>-1.40625E-2</v>
      </c>
      <c r="AJ184" s="22">
        <v>174</v>
      </c>
      <c r="AK184" s="22">
        <v>0.774841</v>
      </c>
      <c r="AL184">
        <f t="shared" si="30"/>
        <v>17.361111111111111</v>
      </c>
      <c r="AM184">
        <f t="shared" si="31"/>
        <v>13.475954861111111</v>
      </c>
      <c r="AP184" s="9"/>
      <c r="AQ184" s="22">
        <v>0.95382699999999998</v>
      </c>
      <c r="AR184" s="22">
        <v>25.821100000000001</v>
      </c>
      <c r="AS184" s="22">
        <v>-1.41022E-2</v>
      </c>
      <c r="AT184" s="22">
        <v>174</v>
      </c>
      <c r="AU184" s="22">
        <v>0.95245400000000002</v>
      </c>
      <c r="AV184">
        <f t="shared" si="32"/>
        <v>17.410123456790124</v>
      </c>
      <c r="AW184">
        <f t="shared" si="33"/>
        <v>16.606245826419755</v>
      </c>
      <c r="AX184" s="9"/>
      <c r="AY184" s="22">
        <v>0.77621499999999999</v>
      </c>
      <c r="AZ184" s="22">
        <v>29.700700000000001</v>
      </c>
      <c r="BA184" s="22">
        <v>-1.41876E-2</v>
      </c>
      <c r="BB184" s="22">
        <v>174</v>
      </c>
      <c r="BC184" s="22">
        <v>0.774841</v>
      </c>
      <c r="BD184">
        <f t="shared" si="34"/>
        <v>17.515555555555554</v>
      </c>
      <c r="BE184">
        <f t="shared" si="35"/>
        <v>13.595836955555555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6.9277499999999996</v>
      </c>
      <c r="I185" s="22">
        <v>-1.3964799999999999E-2</v>
      </c>
      <c r="J185" s="22">
        <v>175</v>
      </c>
      <c r="K185" s="22">
        <v>0.94757100000000005</v>
      </c>
      <c r="L185">
        <f t="shared" si="24"/>
        <v>17.240493827160492</v>
      </c>
      <c r="M185">
        <f t="shared" si="25"/>
        <v>16.357642619259256</v>
      </c>
      <c r="N185" s="9"/>
      <c r="O185" s="22">
        <v>0.78125</v>
      </c>
      <c r="P185" s="22">
        <v>10.807399999999999</v>
      </c>
      <c r="Q185" s="22">
        <v>-1.40442E-2</v>
      </c>
      <c r="R185" s="22">
        <v>175</v>
      </c>
      <c r="S185" s="22">
        <v>0.78002899999999997</v>
      </c>
      <c r="T185">
        <f t="shared" si="26"/>
        <v>17.338518518518516</v>
      </c>
      <c r="U185">
        <f t="shared" si="27"/>
        <v>13.54571759259259</v>
      </c>
      <c r="X185" s="9"/>
      <c r="Y185" s="22">
        <v>0.94879199999999997</v>
      </c>
      <c r="Z185" s="22">
        <v>16.422000000000001</v>
      </c>
      <c r="AA185" s="22">
        <v>-1.4080799999999999E-2</v>
      </c>
      <c r="AB185" s="22">
        <v>175</v>
      </c>
      <c r="AC185" s="22">
        <v>0.94757100000000005</v>
      </c>
      <c r="AD185">
        <f t="shared" si="28"/>
        <v>17.383703703703702</v>
      </c>
      <c r="AE185">
        <f t="shared" si="29"/>
        <v>16.493519004444444</v>
      </c>
      <c r="AF185" s="9"/>
      <c r="AG185" s="22">
        <v>0.78125</v>
      </c>
      <c r="AH185" s="22">
        <v>20.301600000000001</v>
      </c>
      <c r="AI185" s="22">
        <v>-1.4053299999999999E-2</v>
      </c>
      <c r="AJ185" s="22">
        <v>175</v>
      </c>
      <c r="AK185" s="22">
        <v>0.78033399999999997</v>
      </c>
      <c r="AL185">
        <f t="shared" si="30"/>
        <v>17.349753086419753</v>
      </c>
      <c r="AM185">
        <f t="shared" si="31"/>
        <v>13.554494598765432</v>
      </c>
      <c r="AP185" s="9"/>
      <c r="AQ185" s="22">
        <v>0.94879199999999997</v>
      </c>
      <c r="AR185" s="22">
        <v>25.831199999999999</v>
      </c>
      <c r="AS185" s="22">
        <v>-1.41052E-2</v>
      </c>
      <c r="AT185" s="22">
        <v>175</v>
      </c>
      <c r="AU185" s="22">
        <v>0.94818100000000005</v>
      </c>
      <c r="AV185">
        <f t="shared" si="32"/>
        <v>17.413827160493828</v>
      </c>
      <c r="AW185">
        <f t="shared" si="33"/>
        <v>16.52209989925926</v>
      </c>
      <c r="AX185" s="9"/>
      <c r="AY185" s="22">
        <v>0.78125</v>
      </c>
      <c r="AZ185" s="22">
        <v>29.710799999999999</v>
      </c>
      <c r="BA185" s="22">
        <v>-1.41876E-2</v>
      </c>
      <c r="BB185" s="22">
        <v>175</v>
      </c>
      <c r="BC185" s="22">
        <v>0.78033399999999997</v>
      </c>
      <c r="BD185">
        <f t="shared" si="34"/>
        <v>17.515555555555554</v>
      </c>
      <c r="BE185">
        <f t="shared" si="35"/>
        <v>13.684027777777777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6.9378200000000003</v>
      </c>
      <c r="I186" s="22">
        <v>-1.3977099999999999E-2</v>
      </c>
      <c r="J186" s="22">
        <v>176</v>
      </c>
      <c r="K186" s="22">
        <v>0.94299299999999997</v>
      </c>
      <c r="L186">
        <f t="shared" si="24"/>
        <v>17.255679012345677</v>
      </c>
      <c r="M186">
        <f t="shared" si="25"/>
        <v>16.285150601975307</v>
      </c>
      <c r="N186" s="9"/>
      <c r="O186" s="22">
        <v>0.78628500000000001</v>
      </c>
      <c r="P186" s="22">
        <v>10.817399999999999</v>
      </c>
      <c r="Q186" s="22">
        <v>-1.40381E-2</v>
      </c>
      <c r="R186" s="22">
        <v>176</v>
      </c>
      <c r="S186" s="22">
        <v>0.78460700000000005</v>
      </c>
      <c r="T186">
        <f t="shared" si="26"/>
        <v>17.330987654320985</v>
      </c>
      <c r="U186">
        <f t="shared" si="27"/>
        <v>13.627095627777775</v>
      </c>
      <c r="X186" s="9"/>
      <c r="Y186" s="22">
        <v>0.94375600000000004</v>
      </c>
      <c r="Z186" s="22">
        <v>16.431999999999999</v>
      </c>
      <c r="AA186" s="22">
        <v>-1.4093E-2</v>
      </c>
      <c r="AB186" s="22">
        <v>176</v>
      </c>
      <c r="AC186" s="22">
        <v>0.94299299999999997</v>
      </c>
      <c r="AD186">
        <f t="shared" si="28"/>
        <v>17.398765432098763</v>
      </c>
      <c r="AE186">
        <f t="shared" si="29"/>
        <v>16.4201892691358</v>
      </c>
      <c r="AF186" s="9"/>
      <c r="AG186" s="22">
        <v>0.78628500000000001</v>
      </c>
      <c r="AH186" s="22">
        <v>20.311699999999998</v>
      </c>
      <c r="AI186" s="22">
        <v>-1.4053299999999999E-2</v>
      </c>
      <c r="AJ186" s="22">
        <v>176</v>
      </c>
      <c r="AK186" s="22">
        <v>0.78552200000000005</v>
      </c>
      <c r="AL186">
        <f t="shared" si="30"/>
        <v>17.349753086419753</v>
      </c>
      <c r="AM186">
        <f t="shared" si="31"/>
        <v>13.641850605555556</v>
      </c>
      <c r="AP186" s="9"/>
      <c r="AQ186" s="22">
        <v>0.94375600000000004</v>
      </c>
      <c r="AR186" s="22">
        <v>25.8413</v>
      </c>
      <c r="AS186" s="22">
        <v>-1.41113E-2</v>
      </c>
      <c r="AT186" s="22">
        <v>176</v>
      </c>
      <c r="AU186" s="22">
        <v>0.94268799999999997</v>
      </c>
      <c r="AV186">
        <f t="shared" si="32"/>
        <v>17.421358024691358</v>
      </c>
      <c r="AW186">
        <f t="shared" si="33"/>
        <v>16.441511163950619</v>
      </c>
      <c r="AX186" s="9"/>
      <c r="AY186" s="22">
        <v>0.78628500000000001</v>
      </c>
      <c r="AZ186" s="22">
        <v>29.7209</v>
      </c>
      <c r="BA186" s="22">
        <v>-1.41846E-2</v>
      </c>
      <c r="BB186" s="22">
        <v>176</v>
      </c>
      <c r="BC186" s="22">
        <v>0.78552200000000005</v>
      </c>
      <c r="BD186">
        <f t="shared" si="34"/>
        <v>17.511851851851851</v>
      </c>
      <c r="BE186">
        <f t="shared" si="35"/>
        <v>13.769306433333334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6.9478900000000001</v>
      </c>
      <c r="I187" s="22">
        <v>-1.3980100000000001E-2</v>
      </c>
      <c r="J187" s="22">
        <v>177</v>
      </c>
      <c r="K187" s="22">
        <v>0.9375</v>
      </c>
      <c r="L187">
        <f t="shared" si="24"/>
        <v>17.259382716049384</v>
      </c>
      <c r="M187">
        <f t="shared" si="25"/>
        <v>16.201745002592595</v>
      </c>
      <c r="N187" s="9"/>
      <c r="O187" s="22">
        <v>0.79132100000000005</v>
      </c>
      <c r="P187" s="22">
        <v>10.827500000000001</v>
      </c>
      <c r="Q187" s="22">
        <v>-1.40381E-2</v>
      </c>
      <c r="R187" s="22">
        <v>177</v>
      </c>
      <c r="S187" s="22">
        <v>0.79010000000000002</v>
      </c>
      <c r="T187">
        <f t="shared" si="26"/>
        <v>17.330987654320985</v>
      </c>
      <c r="U187">
        <f t="shared" si="27"/>
        <v>13.714374481604937</v>
      </c>
      <c r="X187" s="9"/>
      <c r="Y187" s="22">
        <v>0.93872100000000003</v>
      </c>
      <c r="Z187" s="22">
        <v>16.4421</v>
      </c>
      <c r="AA187" s="22">
        <v>-1.41052E-2</v>
      </c>
      <c r="AB187" s="22">
        <v>177</v>
      </c>
      <c r="AC187" s="22">
        <v>0.937195</v>
      </c>
      <c r="AD187">
        <f t="shared" si="28"/>
        <v>17.413827160493828</v>
      </c>
      <c r="AE187">
        <f t="shared" si="29"/>
        <v>16.346725245925928</v>
      </c>
      <c r="AF187" s="9"/>
      <c r="AG187" s="22">
        <v>0.79132100000000005</v>
      </c>
      <c r="AH187" s="22">
        <v>20.3217</v>
      </c>
      <c r="AI187" s="22">
        <v>-1.40594E-2</v>
      </c>
      <c r="AJ187" s="22">
        <v>177</v>
      </c>
      <c r="AK187" s="22">
        <v>0.79071000000000002</v>
      </c>
      <c r="AL187">
        <f t="shared" si="30"/>
        <v>17.357283950617283</v>
      </c>
      <c r="AM187">
        <f t="shared" si="31"/>
        <v>13.73518329308642</v>
      </c>
      <c r="AP187" s="9"/>
      <c r="AQ187" s="22">
        <v>0.93872100000000003</v>
      </c>
      <c r="AR187" s="22">
        <v>25.851299999999998</v>
      </c>
      <c r="AS187" s="22">
        <v>-1.4114399999999999E-2</v>
      </c>
      <c r="AT187" s="22">
        <v>177</v>
      </c>
      <c r="AU187" s="22">
        <v>0.9375</v>
      </c>
      <c r="AV187">
        <f t="shared" si="32"/>
        <v>17.425185185185182</v>
      </c>
      <c r="AW187">
        <f t="shared" si="33"/>
        <v>16.357387262222218</v>
      </c>
      <c r="AX187" s="9"/>
      <c r="AY187" s="22">
        <v>0.79132100000000005</v>
      </c>
      <c r="AZ187" s="22">
        <v>29.731000000000002</v>
      </c>
      <c r="BA187" s="22">
        <v>-1.41724E-2</v>
      </c>
      <c r="BB187" s="22">
        <v>177</v>
      </c>
      <c r="BC187" s="22">
        <v>0.78979500000000002</v>
      </c>
      <c r="BD187">
        <f t="shared" si="34"/>
        <v>17.496790123456787</v>
      </c>
      <c r="BE187">
        <f t="shared" si="35"/>
        <v>13.845577457283948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6.9579599999999999</v>
      </c>
      <c r="I188" s="22">
        <v>-1.3974E-2</v>
      </c>
      <c r="J188" s="22">
        <v>178</v>
      </c>
      <c r="K188" s="22">
        <v>0.93231200000000003</v>
      </c>
      <c r="L188">
        <f t="shared" si="24"/>
        <v>17.251851851851853</v>
      </c>
      <c r="M188">
        <f t="shared" si="25"/>
        <v>16.107795296296299</v>
      </c>
      <c r="N188" s="9"/>
      <c r="O188" s="22">
        <v>0.79635599999999995</v>
      </c>
      <c r="P188" s="22">
        <v>10.8376</v>
      </c>
      <c r="Q188" s="22">
        <v>-1.4035000000000001E-2</v>
      </c>
      <c r="R188" s="22">
        <v>178</v>
      </c>
      <c r="S188" s="22">
        <v>0.79559299999999999</v>
      </c>
      <c r="T188">
        <f t="shared" si="26"/>
        <v>17.327160493827162</v>
      </c>
      <c r="U188">
        <f t="shared" si="27"/>
        <v>13.798588222222222</v>
      </c>
      <c r="X188" s="9"/>
      <c r="Y188" s="22">
        <v>0.93368499999999999</v>
      </c>
      <c r="Z188" s="22">
        <v>16.452200000000001</v>
      </c>
      <c r="AA188" s="22">
        <v>-1.4114399999999999E-2</v>
      </c>
      <c r="AB188" s="22">
        <v>178</v>
      </c>
      <c r="AC188" s="22">
        <v>0.93261700000000003</v>
      </c>
      <c r="AD188">
        <f t="shared" si="28"/>
        <v>17.425185185185182</v>
      </c>
      <c r="AE188">
        <f t="shared" si="29"/>
        <v>16.269634029629625</v>
      </c>
      <c r="AF188" s="9"/>
      <c r="AG188" s="22">
        <v>0.79635599999999995</v>
      </c>
      <c r="AH188" s="22">
        <v>20.331800000000001</v>
      </c>
      <c r="AI188" s="22">
        <v>-1.4065599999999999E-2</v>
      </c>
      <c r="AJ188" s="22">
        <v>178</v>
      </c>
      <c r="AK188" s="22">
        <v>0.794983</v>
      </c>
      <c r="AL188">
        <f t="shared" si="30"/>
        <v>17.364938271604938</v>
      </c>
      <c r="AM188">
        <f t="shared" si="31"/>
        <v>13.82867278222222</v>
      </c>
      <c r="AP188" s="9"/>
      <c r="AQ188" s="22">
        <v>0.93368499999999999</v>
      </c>
      <c r="AR188" s="22">
        <v>25.8614</v>
      </c>
      <c r="AS188" s="22">
        <v>-1.41174E-2</v>
      </c>
      <c r="AT188" s="22">
        <v>178</v>
      </c>
      <c r="AU188" s="22">
        <v>0.93292200000000003</v>
      </c>
      <c r="AV188">
        <f t="shared" si="32"/>
        <v>17.428888888888888</v>
      </c>
      <c r="AW188">
        <f t="shared" si="33"/>
        <v>16.27309212222222</v>
      </c>
      <c r="AX188" s="9"/>
      <c r="AY188" s="22">
        <v>0.79635599999999995</v>
      </c>
      <c r="AZ188" s="22">
        <v>29.741</v>
      </c>
      <c r="BA188" s="22">
        <v>-1.4169299999999999E-2</v>
      </c>
      <c r="BB188" s="22">
        <v>178</v>
      </c>
      <c r="BC188" s="22">
        <v>0.79528799999999999</v>
      </c>
      <c r="BD188">
        <f t="shared" si="34"/>
        <v>17.492962962962959</v>
      </c>
      <c r="BE188">
        <f t="shared" si="35"/>
        <v>13.930626013333329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6.9680299999999997</v>
      </c>
      <c r="I189" s="22">
        <v>-1.39679E-2</v>
      </c>
      <c r="J189" s="22">
        <v>179</v>
      </c>
      <c r="K189" s="22">
        <v>0.92803999999999998</v>
      </c>
      <c r="L189">
        <f t="shared" si="24"/>
        <v>17.244320987654319</v>
      </c>
      <c r="M189">
        <f t="shared" si="25"/>
        <v>16.013938685185185</v>
      </c>
      <c r="N189" s="9"/>
      <c r="O189" s="22">
        <v>0.80139199999999999</v>
      </c>
      <c r="P189" s="22">
        <v>10.8476</v>
      </c>
      <c r="Q189" s="22">
        <v>-1.40289E-2</v>
      </c>
      <c r="R189" s="22">
        <v>179</v>
      </c>
      <c r="S189" s="22">
        <v>0.80017099999999997</v>
      </c>
      <c r="T189">
        <f t="shared" si="26"/>
        <v>17.319629629629631</v>
      </c>
      <c r="U189">
        <f t="shared" si="27"/>
        <v>13.87981262814815</v>
      </c>
      <c r="X189" s="9"/>
      <c r="Y189" s="22">
        <v>0.92864999999999998</v>
      </c>
      <c r="Z189" s="22">
        <v>16.462299999999999</v>
      </c>
      <c r="AA189" s="22">
        <v>-1.41174E-2</v>
      </c>
      <c r="AB189" s="22">
        <v>179</v>
      </c>
      <c r="AC189" s="22">
        <v>0.92834499999999998</v>
      </c>
      <c r="AD189">
        <f t="shared" si="28"/>
        <v>17.428888888888888</v>
      </c>
      <c r="AE189">
        <f t="shared" si="29"/>
        <v>16.185337666666666</v>
      </c>
      <c r="AF189" s="9"/>
      <c r="AG189" s="22">
        <v>0.80139199999999999</v>
      </c>
      <c r="AH189" s="22">
        <v>20.341899999999999</v>
      </c>
      <c r="AI189" s="22">
        <v>-1.40625E-2</v>
      </c>
      <c r="AJ189" s="22">
        <v>179</v>
      </c>
      <c r="AK189" s="22">
        <v>0.80047599999999997</v>
      </c>
      <c r="AL189">
        <f t="shared" si="30"/>
        <v>17.361111111111111</v>
      </c>
      <c r="AM189">
        <f t="shared" si="31"/>
        <v>13.913055555555555</v>
      </c>
      <c r="AP189" s="9"/>
      <c r="AQ189" s="22">
        <v>0.92864999999999998</v>
      </c>
      <c r="AR189" s="22">
        <v>25.871500000000001</v>
      </c>
      <c r="AS189" s="22">
        <v>-1.4120499999999999E-2</v>
      </c>
      <c r="AT189" s="22">
        <v>179</v>
      </c>
      <c r="AU189" s="22">
        <v>0.92773399999999995</v>
      </c>
      <c r="AV189">
        <f t="shared" si="32"/>
        <v>17.432716049382716</v>
      </c>
      <c r="AW189">
        <f t="shared" si="33"/>
        <v>16.18889175925926</v>
      </c>
      <c r="AX189" s="9"/>
      <c r="AY189" s="22">
        <v>0.80139199999999999</v>
      </c>
      <c r="AZ189" s="22">
        <v>29.751100000000001</v>
      </c>
      <c r="BA189" s="22">
        <v>-1.41602E-2</v>
      </c>
      <c r="BB189" s="22">
        <v>179</v>
      </c>
      <c r="BC189" s="22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6.9781000000000004</v>
      </c>
      <c r="I190" s="22">
        <v>-1.3964799999999999E-2</v>
      </c>
      <c r="J190" s="22">
        <v>180</v>
      </c>
      <c r="K190" s="22">
        <v>0.92285200000000001</v>
      </c>
      <c r="L190">
        <f t="shared" si="24"/>
        <v>17.240493827160492</v>
      </c>
      <c r="M190">
        <f t="shared" si="25"/>
        <v>15.923578706172837</v>
      </c>
      <c r="N190" s="9"/>
      <c r="O190" s="22">
        <v>0.806427</v>
      </c>
      <c r="P190" s="22">
        <v>10.857699999999999</v>
      </c>
      <c r="Q190" s="22">
        <v>-1.4025900000000001E-2</v>
      </c>
      <c r="R190" s="22">
        <v>180</v>
      </c>
      <c r="S190" s="22">
        <v>0.80566400000000005</v>
      </c>
      <c r="T190">
        <f t="shared" si="26"/>
        <v>17.315925925925924</v>
      </c>
      <c r="U190">
        <f t="shared" si="27"/>
        <v>13.964030196666666</v>
      </c>
      <c r="X190" s="9"/>
      <c r="Y190" s="22">
        <v>0.92361499999999996</v>
      </c>
      <c r="Z190" s="22">
        <v>16.472300000000001</v>
      </c>
      <c r="AA190" s="22">
        <v>-1.4114399999999999E-2</v>
      </c>
      <c r="AB190" s="22">
        <v>180</v>
      </c>
      <c r="AC190" s="22">
        <v>0.92193599999999998</v>
      </c>
      <c r="AD190">
        <f t="shared" si="28"/>
        <v>17.425185185185182</v>
      </c>
      <c r="AE190">
        <f t="shared" si="29"/>
        <v>16.094162414814811</v>
      </c>
      <c r="AF190" s="9"/>
      <c r="AG190" s="22">
        <v>0.806427</v>
      </c>
      <c r="AH190" s="22">
        <v>20.351900000000001</v>
      </c>
      <c r="AI190" s="22">
        <v>-1.4053299999999999E-2</v>
      </c>
      <c r="AJ190" s="22">
        <v>180</v>
      </c>
      <c r="AK190" s="22">
        <v>0.80535900000000005</v>
      </c>
      <c r="AL190">
        <f t="shared" si="30"/>
        <v>17.349753086419753</v>
      </c>
      <c r="AM190">
        <f t="shared" si="31"/>
        <v>13.991309332222222</v>
      </c>
      <c r="AP190" s="9"/>
      <c r="AQ190" s="22">
        <v>0.92361499999999996</v>
      </c>
      <c r="AR190" s="22">
        <v>25.881599999999999</v>
      </c>
      <c r="AS190" s="22">
        <v>-1.4123500000000001E-2</v>
      </c>
      <c r="AT190" s="22">
        <v>180</v>
      </c>
      <c r="AU190" s="22">
        <v>0.92346200000000001</v>
      </c>
      <c r="AV190">
        <f t="shared" si="32"/>
        <v>17.436419753086419</v>
      </c>
      <c r="AW190">
        <f t="shared" si="33"/>
        <v>16.104538830246913</v>
      </c>
      <c r="AX190" s="9"/>
      <c r="AY190" s="22">
        <v>0.806427</v>
      </c>
      <c r="AZ190" s="22">
        <v>29.761199999999999</v>
      </c>
      <c r="BA190" s="22">
        <v>-1.4154099999999999E-2</v>
      </c>
      <c r="BB190" s="22">
        <v>180</v>
      </c>
      <c r="BC190" s="22">
        <v>0.80566400000000005</v>
      </c>
      <c r="BD190">
        <f t="shared" si="34"/>
        <v>17.474197530864195</v>
      </c>
      <c r="BE190">
        <f t="shared" si="35"/>
        <v>14.091664692222221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6.9881700000000002</v>
      </c>
      <c r="I191" s="22">
        <v>-1.39618E-2</v>
      </c>
      <c r="J191" s="22">
        <v>181</v>
      </c>
      <c r="K191" s="22">
        <v>0.91796900000000003</v>
      </c>
      <c r="L191">
        <f t="shared" si="24"/>
        <v>17.236790123456789</v>
      </c>
      <c r="M191">
        <f t="shared" si="25"/>
        <v>15.833353434814814</v>
      </c>
      <c r="N191" s="9"/>
      <c r="O191" s="22">
        <v>0.81146200000000002</v>
      </c>
      <c r="P191" s="22">
        <v>10.867800000000001</v>
      </c>
      <c r="Q191" s="22">
        <v>-1.40167E-2</v>
      </c>
      <c r="R191" s="22">
        <v>181</v>
      </c>
      <c r="S191" s="22">
        <v>0.81024200000000002</v>
      </c>
      <c r="T191">
        <f t="shared" si="26"/>
        <v>17.304567901234567</v>
      </c>
      <c r="U191">
        <f t="shared" si="27"/>
        <v>14.041999278271604</v>
      </c>
      <c r="X191" s="9"/>
      <c r="Y191" s="22">
        <v>0.91857900000000003</v>
      </c>
      <c r="Z191" s="22">
        <v>16.482399999999998</v>
      </c>
      <c r="AA191" s="22">
        <v>-1.4108300000000001E-2</v>
      </c>
      <c r="AB191" s="22">
        <v>181</v>
      </c>
      <c r="AC191" s="22">
        <v>0.91735800000000001</v>
      </c>
      <c r="AD191">
        <f t="shared" si="28"/>
        <v>17.417654320987655</v>
      </c>
      <c r="AE191">
        <f t="shared" si="29"/>
        <v>15.999491488518519</v>
      </c>
      <c r="AF191" s="9"/>
      <c r="AG191" s="22">
        <v>0.81146200000000002</v>
      </c>
      <c r="AH191" s="22">
        <v>20.361999999999998</v>
      </c>
      <c r="AI191" s="22">
        <v>-1.4047199999999999E-2</v>
      </c>
      <c r="AJ191" s="22">
        <v>181</v>
      </c>
      <c r="AK191" s="22">
        <v>0.81054700000000002</v>
      </c>
      <c r="AL191">
        <f t="shared" si="30"/>
        <v>17.342222222222222</v>
      </c>
      <c r="AM191">
        <f t="shared" si="31"/>
        <v>14.07255432888889</v>
      </c>
      <c r="AP191" s="9"/>
      <c r="AQ191" s="22">
        <v>0.91857900000000003</v>
      </c>
      <c r="AR191" s="22">
        <v>25.8916</v>
      </c>
      <c r="AS191" s="22">
        <v>-1.4123500000000001E-2</v>
      </c>
      <c r="AT191" s="22">
        <v>181</v>
      </c>
      <c r="AU191" s="22">
        <v>0.91796900000000003</v>
      </c>
      <c r="AV191">
        <f t="shared" si="32"/>
        <v>17.436419753086419</v>
      </c>
      <c r="AW191">
        <f t="shared" si="33"/>
        <v>16.01672902037037</v>
      </c>
      <c r="AX191" s="9"/>
      <c r="AY191" s="22">
        <v>0.81146200000000002</v>
      </c>
      <c r="AZ191" s="22">
        <v>29.7712</v>
      </c>
      <c r="BA191" s="22">
        <v>-1.41479E-2</v>
      </c>
      <c r="BB191" s="22">
        <v>181</v>
      </c>
      <c r="BC191" s="22">
        <v>0.80993700000000002</v>
      </c>
      <c r="BD191">
        <f t="shared" si="34"/>
        <v>17.466543209876541</v>
      </c>
      <c r="BE191">
        <f t="shared" si="35"/>
        <v>14.173436086172838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6.99824</v>
      </c>
      <c r="I192" s="22">
        <v>-1.39557E-2</v>
      </c>
      <c r="J192" s="22">
        <v>182</v>
      </c>
      <c r="K192" s="22">
        <v>0.91217000000000004</v>
      </c>
      <c r="L192">
        <f t="shared" si="24"/>
        <v>17.229259259259258</v>
      </c>
      <c r="M192">
        <f t="shared" si="25"/>
        <v>15.739686420740741</v>
      </c>
      <c r="N192" s="9"/>
      <c r="O192" s="22">
        <v>0.81649799999999995</v>
      </c>
      <c r="P192" s="22">
        <v>10.8779</v>
      </c>
      <c r="Q192" s="22">
        <v>-1.40167E-2</v>
      </c>
      <c r="R192" s="22">
        <v>182</v>
      </c>
      <c r="S192" s="22">
        <v>0.81542999999999999</v>
      </c>
      <c r="T192">
        <f t="shared" si="26"/>
        <v>17.304567901234567</v>
      </c>
      <c r="U192">
        <f t="shared" si="27"/>
        <v>14.12914508222222</v>
      </c>
      <c r="X192" s="9"/>
      <c r="Y192" s="22">
        <v>0.91354400000000002</v>
      </c>
      <c r="Z192" s="22">
        <v>16.4925</v>
      </c>
      <c r="AA192" s="22">
        <v>-1.41022E-2</v>
      </c>
      <c r="AB192" s="22">
        <v>182</v>
      </c>
      <c r="AC192" s="22">
        <v>0.91278099999999995</v>
      </c>
      <c r="AD192">
        <f t="shared" si="28"/>
        <v>17.410123456790124</v>
      </c>
      <c r="AE192">
        <f t="shared" si="29"/>
        <v>15.904913823209878</v>
      </c>
      <c r="AF192" s="9"/>
      <c r="AG192" s="22">
        <v>0.81649799999999995</v>
      </c>
      <c r="AH192" s="22">
        <v>20.3721</v>
      </c>
      <c r="AI192" s="22">
        <v>-1.4041100000000001E-2</v>
      </c>
      <c r="AJ192" s="22">
        <v>182</v>
      </c>
      <c r="AK192" s="22">
        <v>0.81542999999999999</v>
      </c>
      <c r="AL192">
        <f t="shared" si="30"/>
        <v>17.334691358024692</v>
      </c>
      <c r="AM192">
        <f t="shared" si="31"/>
        <v>14.153740824444444</v>
      </c>
      <c r="AP192" s="9"/>
      <c r="AQ192" s="22">
        <v>0.91354400000000002</v>
      </c>
      <c r="AR192" s="22">
        <v>25.901700000000002</v>
      </c>
      <c r="AS192" s="22">
        <v>-1.41266E-2</v>
      </c>
      <c r="AT192" s="22">
        <v>182</v>
      </c>
      <c r="AU192" s="22">
        <v>0.91186500000000004</v>
      </c>
      <c r="AV192">
        <f t="shared" si="32"/>
        <v>17.440246913580246</v>
      </c>
      <c r="AW192">
        <f t="shared" si="33"/>
        <v>15.932432926419754</v>
      </c>
      <c r="AX192" s="9"/>
      <c r="AY192" s="22">
        <v>0.81649799999999995</v>
      </c>
      <c r="AZ192" s="22">
        <v>29.781300000000002</v>
      </c>
      <c r="BA192" s="22">
        <v>-1.41388E-2</v>
      </c>
      <c r="BB192" s="22">
        <v>182</v>
      </c>
      <c r="BC192" s="22">
        <v>0.81542999999999999</v>
      </c>
      <c r="BD192">
        <f t="shared" si="34"/>
        <v>17.455308641975307</v>
      </c>
      <c r="BE192">
        <f t="shared" si="35"/>
        <v>14.252224595555553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7.0083099999999998</v>
      </c>
      <c r="I193" s="22">
        <v>-1.3958699999999999E-2</v>
      </c>
      <c r="J193" s="22">
        <v>183</v>
      </c>
      <c r="K193" s="22">
        <v>0.90759299999999998</v>
      </c>
      <c r="L193">
        <f t="shared" si="24"/>
        <v>17.232962962962961</v>
      </c>
      <c r="M193">
        <f t="shared" si="25"/>
        <v>15.656284715555554</v>
      </c>
      <c r="N193" s="9"/>
      <c r="O193" s="22">
        <v>0.82153299999999996</v>
      </c>
      <c r="P193" s="22">
        <v>10.8879</v>
      </c>
      <c r="Q193" s="22">
        <v>-1.40228E-2</v>
      </c>
      <c r="R193" s="22">
        <v>183</v>
      </c>
      <c r="S193" s="22">
        <v>0.82000700000000004</v>
      </c>
      <c r="T193">
        <f t="shared" si="26"/>
        <v>17.312098765432097</v>
      </c>
      <c r="U193">
        <f t="shared" si="27"/>
        <v>14.222460435061727</v>
      </c>
      <c r="X193" s="9"/>
      <c r="Y193" s="22">
        <v>0.90850799999999998</v>
      </c>
      <c r="Z193" s="22">
        <v>16.502500000000001</v>
      </c>
      <c r="AA193" s="22">
        <v>-1.40961E-2</v>
      </c>
      <c r="AB193" s="22">
        <v>183</v>
      </c>
      <c r="AC193" s="22">
        <v>0.90759299999999998</v>
      </c>
      <c r="AD193">
        <f t="shared" si="28"/>
        <v>17.40259259259259</v>
      </c>
      <c r="AE193">
        <f t="shared" si="29"/>
        <v>15.810394591111109</v>
      </c>
      <c r="AF193" s="9"/>
      <c r="AG193" s="22">
        <v>0.82153299999999996</v>
      </c>
      <c r="AH193" s="22">
        <v>20.382200000000001</v>
      </c>
      <c r="AI193" s="22">
        <v>-1.4041100000000001E-2</v>
      </c>
      <c r="AJ193" s="22">
        <v>183</v>
      </c>
      <c r="AK193" s="22">
        <v>0.82092299999999996</v>
      </c>
      <c r="AL193">
        <f t="shared" si="30"/>
        <v>17.334691358024692</v>
      </c>
      <c r="AM193">
        <f t="shared" si="31"/>
        <v>14.241020995432098</v>
      </c>
      <c r="AP193" s="9"/>
      <c r="AQ193" s="22">
        <v>0.90850799999999998</v>
      </c>
      <c r="AR193" s="22">
        <v>25.911799999999999</v>
      </c>
      <c r="AS193" s="22">
        <v>-1.41266E-2</v>
      </c>
      <c r="AT193" s="22">
        <v>183</v>
      </c>
      <c r="AU193" s="22">
        <v>0.90759299999999998</v>
      </c>
      <c r="AV193">
        <f t="shared" si="32"/>
        <v>17.440246913580246</v>
      </c>
      <c r="AW193">
        <f t="shared" si="33"/>
        <v>15.844603842962963</v>
      </c>
      <c r="AX193" s="9"/>
      <c r="AY193" s="22">
        <v>0.82153299999999996</v>
      </c>
      <c r="AZ193" s="22">
        <v>29.791399999999999</v>
      </c>
      <c r="BA193" s="22">
        <v>-1.4129600000000001E-2</v>
      </c>
      <c r="BB193" s="22">
        <v>183</v>
      </c>
      <c r="BC193" s="22">
        <v>0.82122799999999996</v>
      </c>
      <c r="BD193">
        <f t="shared" si="34"/>
        <v>17.443950617283949</v>
      </c>
      <c r="BE193">
        <f t="shared" si="35"/>
        <v>14.330781082469134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7.0183900000000001</v>
      </c>
      <c r="I194" s="22">
        <v>-1.39679E-2</v>
      </c>
      <c r="J194" s="22">
        <v>184</v>
      </c>
      <c r="K194" s="22">
        <v>0.90240500000000001</v>
      </c>
      <c r="L194">
        <f t="shared" si="24"/>
        <v>17.244320987654319</v>
      </c>
      <c r="M194">
        <f t="shared" si="25"/>
        <v>15.57977841567901</v>
      </c>
      <c r="N194" s="9"/>
      <c r="O194" s="22">
        <v>0.826569</v>
      </c>
      <c r="P194" s="22">
        <v>10.898</v>
      </c>
      <c r="Q194" s="22">
        <v>-1.4025900000000001E-2</v>
      </c>
      <c r="R194" s="22">
        <v>184</v>
      </c>
      <c r="S194" s="22">
        <v>0.82580600000000004</v>
      </c>
      <c r="T194">
        <f t="shared" si="26"/>
        <v>17.315925925925924</v>
      </c>
      <c r="U194">
        <f t="shared" si="27"/>
        <v>14.312807576666666</v>
      </c>
      <c r="X194" s="9"/>
      <c r="Y194" s="22">
        <v>0.90347299999999997</v>
      </c>
      <c r="Z194" s="22">
        <v>16.512599999999999</v>
      </c>
      <c r="AA194" s="22">
        <v>-1.40991E-2</v>
      </c>
      <c r="AB194" s="22">
        <v>184</v>
      </c>
      <c r="AC194" s="22">
        <v>0.90240500000000001</v>
      </c>
      <c r="AD194">
        <f t="shared" si="28"/>
        <v>17.406296296296293</v>
      </c>
      <c r="AE194">
        <f t="shared" si="29"/>
        <v>15.7261187337037</v>
      </c>
      <c r="AF194" s="9"/>
      <c r="AG194" s="22">
        <v>0.826569</v>
      </c>
      <c r="AH194" s="22">
        <v>20.392199999999999</v>
      </c>
      <c r="AI194" s="22">
        <v>-1.40381E-2</v>
      </c>
      <c r="AJ194" s="22">
        <v>184</v>
      </c>
      <c r="AK194" s="22">
        <v>0.82550000000000001</v>
      </c>
      <c r="AL194">
        <f t="shared" si="30"/>
        <v>17.330987654320985</v>
      </c>
      <c r="AM194">
        <f t="shared" si="31"/>
        <v>14.325257134444442</v>
      </c>
      <c r="AP194" s="9"/>
      <c r="AQ194" s="22">
        <v>0.90347299999999997</v>
      </c>
      <c r="AR194" s="22">
        <v>25.921800000000001</v>
      </c>
      <c r="AS194" s="22">
        <v>-1.4129600000000001E-2</v>
      </c>
      <c r="AT194" s="22">
        <v>184</v>
      </c>
      <c r="AU194" s="22">
        <v>0.90240500000000001</v>
      </c>
      <c r="AV194">
        <f t="shared" si="32"/>
        <v>17.443950617283949</v>
      </c>
      <c r="AW194">
        <f t="shared" si="33"/>
        <v>15.760138396049381</v>
      </c>
      <c r="AX194" s="9"/>
      <c r="AY194" s="22">
        <v>0.826569</v>
      </c>
      <c r="AZ194" s="22">
        <v>29.801500000000001</v>
      </c>
      <c r="BA194" s="22">
        <v>-1.4120499999999999E-2</v>
      </c>
      <c r="BB194" s="22">
        <v>184</v>
      </c>
      <c r="BC194" s="22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7.0284599999999999</v>
      </c>
      <c r="I195" s="22">
        <v>-1.39679E-2</v>
      </c>
      <c r="J195" s="22">
        <v>185</v>
      </c>
      <c r="K195" s="22">
        <v>0.89721700000000004</v>
      </c>
      <c r="L195">
        <f t="shared" si="24"/>
        <v>17.244320987654319</v>
      </c>
      <c r="M195">
        <f t="shared" si="25"/>
        <v>15.492953259506171</v>
      </c>
      <c r="N195" s="9"/>
      <c r="O195" s="22">
        <v>0.83160400000000001</v>
      </c>
      <c r="P195" s="22">
        <v>10.908099999999999</v>
      </c>
      <c r="Q195" s="22">
        <v>-1.4035000000000001E-2</v>
      </c>
      <c r="R195" s="22">
        <v>185</v>
      </c>
      <c r="S195" s="22">
        <v>0.83068799999999998</v>
      </c>
      <c r="T195">
        <f t="shared" si="26"/>
        <v>17.327160493827162</v>
      </c>
      <c r="U195">
        <f t="shared" si="27"/>
        <v>14.409335975308643</v>
      </c>
      <c r="X195" s="9"/>
      <c r="Y195" s="22">
        <v>0.89843799999999996</v>
      </c>
      <c r="Z195" s="22">
        <v>16.5227</v>
      </c>
      <c r="AA195" s="22">
        <v>-1.40991E-2</v>
      </c>
      <c r="AB195" s="22">
        <v>185</v>
      </c>
      <c r="AC195" s="22">
        <v>0.89752200000000004</v>
      </c>
      <c r="AD195">
        <f t="shared" si="28"/>
        <v>17.406296296296293</v>
      </c>
      <c r="AE195">
        <f t="shared" si="29"/>
        <v>15.638478031851848</v>
      </c>
      <c r="AF195" s="9"/>
      <c r="AG195" s="22">
        <v>0.83160400000000001</v>
      </c>
      <c r="AH195" s="22">
        <v>20.4023</v>
      </c>
      <c r="AI195" s="22">
        <v>-1.4041100000000001E-2</v>
      </c>
      <c r="AJ195" s="22">
        <v>185</v>
      </c>
      <c r="AK195" s="22">
        <v>0.83099400000000001</v>
      </c>
      <c r="AL195">
        <f t="shared" si="30"/>
        <v>17.334691358024692</v>
      </c>
      <c r="AM195">
        <f t="shared" si="31"/>
        <v>14.415598672098765</v>
      </c>
      <c r="AP195" s="9"/>
      <c r="AQ195" s="22">
        <v>0.89843799999999996</v>
      </c>
      <c r="AR195" s="22">
        <v>25.931899999999999</v>
      </c>
      <c r="AS195" s="22">
        <v>-1.4129600000000001E-2</v>
      </c>
      <c r="AT195" s="22">
        <v>185</v>
      </c>
      <c r="AU195" s="22">
        <v>0.89721700000000004</v>
      </c>
      <c r="AV195">
        <f t="shared" si="32"/>
        <v>17.443950617283949</v>
      </c>
      <c r="AW195">
        <f t="shared" si="33"/>
        <v>15.672308104691357</v>
      </c>
      <c r="AX195" s="9"/>
      <c r="AY195" s="22">
        <v>0.83160400000000001</v>
      </c>
      <c r="AZ195" s="22">
        <v>29.811499999999999</v>
      </c>
      <c r="BA195" s="22">
        <v>-1.41022E-2</v>
      </c>
      <c r="BB195" s="22">
        <v>185</v>
      </c>
      <c r="BC195" s="22">
        <v>0.83099400000000001</v>
      </c>
      <c r="BD195">
        <f t="shared" si="34"/>
        <v>17.410123456790124</v>
      </c>
      <c r="BE195">
        <f t="shared" si="35"/>
        <v>14.478328307160496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7.0385299999999997</v>
      </c>
      <c r="I196" s="22">
        <v>-1.3977099999999999E-2</v>
      </c>
      <c r="J196" s="22">
        <v>186</v>
      </c>
      <c r="K196" s="22">
        <v>0.89233399999999996</v>
      </c>
      <c r="L196">
        <f t="shared" si="24"/>
        <v>17.255679012345677</v>
      </c>
      <c r="M196">
        <f t="shared" si="25"/>
        <v>15.416258140987653</v>
      </c>
      <c r="N196" s="9"/>
      <c r="O196" s="22">
        <v>0.83663900000000002</v>
      </c>
      <c r="P196" s="22">
        <v>10.918100000000001</v>
      </c>
      <c r="Q196" s="22">
        <v>-1.4035000000000001E-2</v>
      </c>
      <c r="R196" s="22">
        <v>186</v>
      </c>
      <c r="S196" s="22">
        <v>0.83587599999999995</v>
      </c>
      <c r="T196">
        <f t="shared" si="26"/>
        <v>17.327160493827162</v>
      </c>
      <c r="U196">
        <f t="shared" si="27"/>
        <v>14.496578228395062</v>
      </c>
      <c r="X196" s="9"/>
      <c r="Y196" s="22">
        <v>0.89340200000000003</v>
      </c>
      <c r="Z196" s="22">
        <v>16.532699999999998</v>
      </c>
      <c r="AA196" s="22">
        <v>-1.41022E-2</v>
      </c>
      <c r="AB196" s="22">
        <v>186</v>
      </c>
      <c r="AC196" s="22">
        <v>0.89233399999999996</v>
      </c>
      <c r="AD196">
        <f t="shared" si="28"/>
        <v>17.410123456790124</v>
      </c>
      <c r="AE196">
        <f t="shared" si="29"/>
        <v>15.554239116543211</v>
      </c>
      <c r="AF196" s="9"/>
      <c r="AG196" s="22">
        <v>0.83663900000000002</v>
      </c>
      <c r="AH196" s="22">
        <v>20.412400000000002</v>
      </c>
      <c r="AI196" s="22">
        <v>-1.40381E-2</v>
      </c>
      <c r="AJ196" s="22">
        <v>186</v>
      </c>
      <c r="AK196" s="22">
        <v>0.83526599999999995</v>
      </c>
      <c r="AL196">
        <f t="shared" si="30"/>
        <v>17.330987654320985</v>
      </c>
      <c r="AM196">
        <f t="shared" si="31"/>
        <v>14.499780180123455</v>
      </c>
      <c r="AP196" s="9"/>
      <c r="AQ196" s="22">
        <v>0.89340200000000003</v>
      </c>
      <c r="AR196" s="22">
        <v>25.942</v>
      </c>
      <c r="AS196" s="22">
        <v>-1.4135699999999999E-2</v>
      </c>
      <c r="AT196" s="22">
        <v>186</v>
      </c>
      <c r="AU196" s="22">
        <v>0.89233399999999996</v>
      </c>
      <c r="AV196">
        <f t="shared" si="32"/>
        <v>17.45148148148148</v>
      </c>
      <c r="AW196">
        <f t="shared" si="33"/>
        <v>15.591188458518518</v>
      </c>
      <c r="AX196" s="9"/>
      <c r="AY196" s="22">
        <v>0.83663900000000002</v>
      </c>
      <c r="AZ196" s="22">
        <v>29.8216</v>
      </c>
      <c r="BA196" s="22">
        <v>-1.4086899999999999E-2</v>
      </c>
      <c r="BB196" s="22">
        <v>186</v>
      </c>
      <c r="BC196" s="22">
        <v>0.83587599999999995</v>
      </c>
      <c r="BD196">
        <f t="shared" si="34"/>
        <v>17.391234567901233</v>
      </c>
      <c r="BE196">
        <f t="shared" si="35"/>
        <v>14.550185097654319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7.0486000000000004</v>
      </c>
      <c r="I197" s="22">
        <v>-1.3986200000000001E-2</v>
      </c>
      <c r="J197" s="22">
        <v>187</v>
      </c>
      <c r="K197" s="22">
        <v>0.88775599999999999</v>
      </c>
      <c r="L197">
        <f t="shared" si="24"/>
        <v>17.266913580246914</v>
      </c>
      <c r="M197">
        <f t="shared" si="25"/>
        <v>15.33935621654321</v>
      </c>
      <c r="N197" s="9"/>
      <c r="O197" s="22">
        <v>0.84167499999999995</v>
      </c>
      <c r="P197" s="22">
        <v>10.9282</v>
      </c>
      <c r="Q197" s="22">
        <v>-1.40381E-2</v>
      </c>
      <c r="R197" s="22">
        <v>187</v>
      </c>
      <c r="S197" s="22">
        <v>0.84045400000000003</v>
      </c>
      <c r="T197">
        <f t="shared" si="26"/>
        <v>17.330987654320985</v>
      </c>
      <c r="U197">
        <f t="shared" si="27"/>
        <v>14.587059033950615</v>
      </c>
      <c r="X197" s="9"/>
      <c r="Y197" s="22">
        <v>0.88836700000000002</v>
      </c>
      <c r="Z197" s="22">
        <v>16.5428</v>
      </c>
      <c r="AA197" s="22">
        <v>-1.41052E-2</v>
      </c>
      <c r="AB197" s="22">
        <v>187</v>
      </c>
      <c r="AC197" s="22">
        <v>0.88745099999999999</v>
      </c>
      <c r="AD197">
        <f t="shared" si="28"/>
        <v>17.413827160493828</v>
      </c>
      <c r="AE197">
        <f t="shared" si="29"/>
        <v>15.46986939308642</v>
      </c>
      <c r="AF197" s="9"/>
      <c r="AG197" s="22">
        <v>0.84167499999999995</v>
      </c>
      <c r="AH197" s="22">
        <v>20.4224</v>
      </c>
      <c r="AI197" s="22">
        <v>-1.4041100000000001E-2</v>
      </c>
      <c r="AJ197" s="22">
        <v>187</v>
      </c>
      <c r="AK197" s="22">
        <v>0.84075900000000003</v>
      </c>
      <c r="AL197">
        <f t="shared" si="30"/>
        <v>17.334691358024692</v>
      </c>
      <c r="AM197">
        <f t="shared" si="31"/>
        <v>14.590176348765432</v>
      </c>
      <c r="AP197" s="9"/>
      <c r="AQ197" s="22">
        <v>0.88836700000000002</v>
      </c>
      <c r="AR197" s="22">
        <v>25.952100000000002</v>
      </c>
      <c r="AS197" s="22">
        <v>-1.41388E-2</v>
      </c>
      <c r="AT197" s="22">
        <v>187</v>
      </c>
      <c r="AU197" s="22">
        <v>0.88714599999999999</v>
      </c>
      <c r="AV197">
        <f t="shared" si="32"/>
        <v>17.455308641975307</v>
      </c>
      <c r="AW197">
        <f t="shared" si="33"/>
        <v>15.506720172345679</v>
      </c>
      <c r="AX197" s="9"/>
      <c r="AY197" s="22">
        <v>0.84167499999999995</v>
      </c>
      <c r="AZ197" s="22">
        <v>29.831700000000001</v>
      </c>
      <c r="BA197" s="22">
        <v>-1.40778E-2</v>
      </c>
      <c r="BB197" s="22">
        <v>187</v>
      </c>
      <c r="BC197" s="22">
        <v>0.84136999999999995</v>
      </c>
      <c r="BD197">
        <f t="shared" si="34"/>
        <v>17.38</v>
      </c>
      <c r="BE197">
        <f t="shared" si="35"/>
        <v>14.628311499999999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7.0586700000000002</v>
      </c>
      <c r="I198" s="22">
        <v>-1.3992299999999999E-2</v>
      </c>
      <c r="J198" s="22">
        <v>188</v>
      </c>
      <c r="K198" s="22">
        <v>0.88256800000000002</v>
      </c>
      <c r="L198">
        <f t="shared" si="24"/>
        <v>17.274444444444445</v>
      </c>
      <c r="M198">
        <f t="shared" si="25"/>
        <v>15.259052285555555</v>
      </c>
      <c r="N198" s="9"/>
      <c r="O198" s="22">
        <v>0.84670999999999996</v>
      </c>
      <c r="P198" s="22">
        <v>10.9383</v>
      </c>
      <c r="Q198" s="22">
        <v>-1.4041100000000001E-2</v>
      </c>
      <c r="R198" s="22">
        <v>188</v>
      </c>
      <c r="S198" s="22">
        <v>0.845642</v>
      </c>
      <c r="T198">
        <f t="shared" si="26"/>
        <v>17.334691358024692</v>
      </c>
      <c r="U198">
        <f t="shared" si="27"/>
        <v>14.677456519753086</v>
      </c>
      <c r="X198" s="9"/>
      <c r="Y198" s="22">
        <v>0.88333099999999998</v>
      </c>
      <c r="Z198" s="22">
        <v>16.552900000000001</v>
      </c>
      <c r="AA198" s="22">
        <v>-1.41022E-2</v>
      </c>
      <c r="AB198" s="22">
        <v>188</v>
      </c>
      <c r="AC198" s="22">
        <v>0.88256800000000002</v>
      </c>
      <c r="AD198">
        <f t="shared" si="28"/>
        <v>17.410123456790124</v>
      </c>
      <c r="AE198">
        <f t="shared" si="29"/>
        <v>15.378901763209877</v>
      </c>
      <c r="AF198" s="9"/>
      <c r="AG198" s="22">
        <v>0.84670999999999996</v>
      </c>
      <c r="AH198" s="22">
        <v>20.432500000000001</v>
      </c>
      <c r="AI198" s="22">
        <v>-1.4047199999999999E-2</v>
      </c>
      <c r="AJ198" s="22">
        <v>188</v>
      </c>
      <c r="AK198" s="22">
        <v>0.845642</v>
      </c>
      <c r="AL198">
        <f t="shared" si="30"/>
        <v>17.342222222222222</v>
      </c>
      <c r="AM198">
        <f t="shared" si="31"/>
        <v>14.683832977777778</v>
      </c>
      <c r="AP198" s="9"/>
      <c r="AQ198" s="22">
        <v>0.88333099999999998</v>
      </c>
      <c r="AR198" s="22">
        <v>25.9621</v>
      </c>
      <c r="AS198" s="22">
        <v>-1.41418E-2</v>
      </c>
      <c r="AT198" s="22">
        <v>188</v>
      </c>
      <c r="AU198" s="22">
        <v>0.88165300000000002</v>
      </c>
      <c r="AV198">
        <f t="shared" si="32"/>
        <v>17.45901234567901</v>
      </c>
      <c r="AW198">
        <f t="shared" si="33"/>
        <v>15.422086834320986</v>
      </c>
      <c r="AX198" s="9"/>
      <c r="AY198" s="22">
        <v>0.84670999999999996</v>
      </c>
      <c r="AZ198" s="22">
        <v>29.841699999999999</v>
      </c>
      <c r="BA198" s="22">
        <v>-1.4080799999999999E-2</v>
      </c>
      <c r="BB198" s="22">
        <v>188</v>
      </c>
      <c r="BC198" s="22">
        <v>0.845642</v>
      </c>
      <c r="BD198">
        <f t="shared" si="34"/>
        <v>17.383703703703702</v>
      </c>
      <c r="BE198">
        <f t="shared" si="35"/>
        <v>14.718955762962961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7.06874</v>
      </c>
      <c r="I199" s="22">
        <v>-1.3992299999999999E-2</v>
      </c>
      <c r="J199" s="22">
        <v>189</v>
      </c>
      <c r="K199" s="22">
        <v>0.87768599999999997</v>
      </c>
      <c r="L199">
        <f t="shared" si="24"/>
        <v>17.274444444444445</v>
      </c>
      <c r="M199">
        <f t="shared" si="25"/>
        <v>15.172075457777778</v>
      </c>
      <c r="N199" s="9"/>
      <c r="O199" s="22">
        <v>0.851746</v>
      </c>
      <c r="P199" s="22">
        <v>10.948399999999999</v>
      </c>
      <c r="Q199" s="22">
        <v>-1.40381E-2</v>
      </c>
      <c r="R199" s="22">
        <v>189</v>
      </c>
      <c r="S199" s="22">
        <v>0.85052499999999998</v>
      </c>
      <c r="T199">
        <f t="shared" si="26"/>
        <v>17.330987654320985</v>
      </c>
      <c r="U199">
        <f t="shared" si="27"/>
        <v>14.761599410617283</v>
      </c>
      <c r="X199" s="9"/>
      <c r="Y199" s="22">
        <v>0.87829599999999997</v>
      </c>
      <c r="Z199" s="22">
        <v>16.562999999999999</v>
      </c>
      <c r="AA199" s="22">
        <v>-1.41022E-2</v>
      </c>
      <c r="AB199" s="22">
        <v>189</v>
      </c>
      <c r="AC199" s="22">
        <v>0.87707500000000005</v>
      </c>
      <c r="AD199">
        <f t="shared" si="28"/>
        <v>17.410123456790124</v>
      </c>
      <c r="AE199">
        <f t="shared" si="29"/>
        <v>15.291241791604939</v>
      </c>
      <c r="AF199" s="9"/>
      <c r="AG199" s="22">
        <v>0.851746</v>
      </c>
      <c r="AH199" s="22">
        <v>20.442599999999999</v>
      </c>
      <c r="AI199" s="22">
        <v>-1.40564E-2</v>
      </c>
      <c r="AJ199" s="22">
        <v>189</v>
      </c>
      <c r="AK199" s="22">
        <v>0.85052499999999998</v>
      </c>
      <c r="AL199">
        <f t="shared" si="30"/>
        <v>17.35358024691358</v>
      </c>
      <c r="AM199">
        <f t="shared" si="31"/>
        <v>14.780842560987654</v>
      </c>
      <c r="AP199" s="9"/>
      <c r="AQ199" s="22">
        <v>0.87829599999999997</v>
      </c>
      <c r="AR199" s="22">
        <v>25.972200000000001</v>
      </c>
      <c r="AS199" s="22">
        <v>-1.41449E-2</v>
      </c>
      <c r="AT199" s="22">
        <v>189</v>
      </c>
      <c r="AU199" s="22">
        <v>0.87707500000000005</v>
      </c>
      <c r="AV199">
        <f t="shared" si="32"/>
        <v>17.462839506172838</v>
      </c>
      <c r="AW199">
        <f t="shared" si="33"/>
        <v>15.337542086913578</v>
      </c>
      <c r="AX199" s="9"/>
      <c r="AY199" s="22">
        <v>0.851746</v>
      </c>
      <c r="AZ199" s="22">
        <v>29.851800000000001</v>
      </c>
      <c r="BA199" s="22">
        <v>-1.40778E-2</v>
      </c>
      <c r="BB199" s="22">
        <v>189</v>
      </c>
      <c r="BC199" s="22">
        <v>0.85082999999999998</v>
      </c>
      <c r="BD199">
        <f t="shared" si="34"/>
        <v>17.38</v>
      </c>
      <c r="BE199">
        <f t="shared" si="35"/>
        <v>14.803345479999999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7.0788099999999998</v>
      </c>
      <c r="I200" s="22">
        <v>-1.39893E-2</v>
      </c>
      <c r="J200" s="22">
        <v>190</v>
      </c>
      <c r="K200" s="22">
        <v>0.87188699999999997</v>
      </c>
      <c r="L200">
        <f t="shared" si="24"/>
        <v>17.270740740740738</v>
      </c>
      <c r="M200">
        <f t="shared" si="25"/>
        <v>15.081847059259257</v>
      </c>
      <c r="N200" s="9"/>
      <c r="O200" s="22">
        <v>0.85678100000000001</v>
      </c>
      <c r="P200" s="22">
        <v>10.958399999999999</v>
      </c>
      <c r="Q200" s="22">
        <v>-1.40381E-2</v>
      </c>
      <c r="R200" s="22">
        <v>190</v>
      </c>
      <c r="S200" s="22">
        <v>0.85571299999999995</v>
      </c>
      <c r="T200">
        <f t="shared" si="26"/>
        <v>17.330987654320985</v>
      </c>
      <c r="U200">
        <f t="shared" si="27"/>
        <v>14.848860933456788</v>
      </c>
      <c r="X200" s="9"/>
      <c r="Y200" s="22">
        <v>0.87326000000000004</v>
      </c>
      <c r="Z200" s="22">
        <v>16.573</v>
      </c>
      <c r="AA200" s="22">
        <v>-1.41022E-2</v>
      </c>
      <c r="AB200" s="22">
        <v>190</v>
      </c>
      <c r="AC200" s="22">
        <v>0.872803</v>
      </c>
      <c r="AD200">
        <f t="shared" si="28"/>
        <v>17.410123456790124</v>
      </c>
      <c r="AE200">
        <f t="shared" si="29"/>
        <v>15.203564409876545</v>
      </c>
      <c r="AF200" s="9"/>
      <c r="AG200" s="22">
        <v>0.85678100000000001</v>
      </c>
      <c r="AH200" s="22">
        <v>20.4526</v>
      </c>
      <c r="AI200" s="22">
        <v>-1.4068600000000001E-2</v>
      </c>
      <c r="AJ200" s="22">
        <v>190</v>
      </c>
      <c r="AK200" s="22">
        <v>0.85632299999999995</v>
      </c>
      <c r="AL200">
        <f t="shared" si="30"/>
        <v>17.368641975308641</v>
      </c>
      <c r="AM200">
        <f t="shared" si="31"/>
        <v>14.881122440246914</v>
      </c>
      <c r="AP200" s="9"/>
      <c r="AQ200" s="22">
        <v>0.87326000000000004</v>
      </c>
      <c r="AR200" s="22">
        <v>25.982299999999999</v>
      </c>
      <c r="AS200" s="22">
        <v>-1.4151E-2</v>
      </c>
      <c r="AT200" s="22">
        <v>190</v>
      </c>
      <c r="AU200" s="22">
        <v>0.87219199999999997</v>
      </c>
      <c r="AV200">
        <f t="shared" si="32"/>
        <v>17.470370370370368</v>
      </c>
      <c r="AW200">
        <f t="shared" si="33"/>
        <v>15.256175629629629</v>
      </c>
      <c r="AX200" s="9"/>
      <c r="AY200" s="22">
        <v>0.85678100000000001</v>
      </c>
      <c r="AZ200" s="22">
        <v>29.861899999999999</v>
      </c>
      <c r="BA200" s="22">
        <v>-1.40778E-2</v>
      </c>
      <c r="BB200" s="22">
        <v>190</v>
      </c>
      <c r="BC200" s="22">
        <v>0.85510299999999995</v>
      </c>
      <c r="BD200">
        <f t="shared" si="34"/>
        <v>17.38</v>
      </c>
      <c r="BE200">
        <f t="shared" si="35"/>
        <v>14.890853779999999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7.0888799999999996</v>
      </c>
      <c r="I201" s="22">
        <v>-1.3998399999999999E-2</v>
      </c>
      <c r="J201" s="22">
        <v>191</v>
      </c>
      <c r="K201" s="22">
        <v>0.867004</v>
      </c>
      <c r="L201">
        <f t="shared" si="24"/>
        <v>17.281975308641975</v>
      </c>
      <c r="M201">
        <f t="shared" si="25"/>
        <v>15.00464301234568</v>
      </c>
      <c r="N201" s="9"/>
      <c r="O201" s="22">
        <v>0.86181600000000003</v>
      </c>
      <c r="P201" s="22">
        <v>10.968500000000001</v>
      </c>
      <c r="Q201" s="22">
        <v>-1.4025900000000001E-2</v>
      </c>
      <c r="R201" s="22">
        <v>191</v>
      </c>
      <c r="S201" s="22">
        <v>0.86090100000000003</v>
      </c>
      <c r="T201">
        <f t="shared" si="26"/>
        <v>17.315925925925924</v>
      </c>
      <c r="U201">
        <f t="shared" si="27"/>
        <v>14.923142017777776</v>
      </c>
      <c r="X201" s="9"/>
      <c r="Y201" s="22">
        <v>0.86822500000000002</v>
      </c>
      <c r="Z201" s="22">
        <v>16.583100000000002</v>
      </c>
      <c r="AA201" s="22">
        <v>-1.40991E-2</v>
      </c>
      <c r="AB201" s="22">
        <v>191</v>
      </c>
      <c r="AC201" s="22">
        <v>0.86731000000000003</v>
      </c>
      <c r="AD201">
        <f t="shared" si="28"/>
        <v>17.406296296296293</v>
      </c>
      <c r="AE201">
        <f t="shared" si="29"/>
        <v>15.112581601851851</v>
      </c>
      <c r="AF201" s="9"/>
      <c r="AG201" s="22">
        <v>0.86181600000000003</v>
      </c>
      <c r="AH201" s="22">
        <v>20.462700000000002</v>
      </c>
      <c r="AI201" s="22">
        <v>-1.40778E-2</v>
      </c>
      <c r="AJ201" s="22">
        <v>191</v>
      </c>
      <c r="AK201" s="22">
        <v>0.86090100000000003</v>
      </c>
      <c r="AL201">
        <f t="shared" si="30"/>
        <v>17.38</v>
      </c>
      <c r="AM201">
        <f t="shared" si="31"/>
        <v>14.97836208</v>
      </c>
      <c r="AP201" s="9"/>
      <c r="AQ201" s="22">
        <v>0.86822500000000002</v>
      </c>
      <c r="AR201" s="22">
        <v>25.9923</v>
      </c>
      <c r="AS201" s="22">
        <v>-1.4154099999999999E-2</v>
      </c>
      <c r="AT201" s="22">
        <v>191</v>
      </c>
      <c r="AU201" s="22">
        <v>0.86731000000000003</v>
      </c>
      <c r="AV201">
        <f t="shared" si="32"/>
        <v>17.474197530864195</v>
      </c>
      <c r="AW201">
        <f t="shared" si="33"/>
        <v>15.171535151234567</v>
      </c>
      <c r="AX201" s="9"/>
      <c r="AY201" s="22">
        <v>0.86181600000000003</v>
      </c>
      <c r="AZ201" s="22">
        <v>29.872</v>
      </c>
      <c r="BA201" s="22">
        <v>-1.4080799999999999E-2</v>
      </c>
      <c r="BB201" s="22">
        <v>191</v>
      </c>
      <c r="BC201" s="22">
        <v>0.86120600000000003</v>
      </c>
      <c r="BD201">
        <f t="shared" si="34"/>
        <v>17.383703703703702</v>
      </c>
      <c r="BE201">
        <f t="shared" si="35"/>
        <v>14.98155399111111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7.0989500000000003</v>
      </c>
      <c r="I202" s="22">
        <v>-1.40015E-2</v>
      </c>
      <c r="J202" s="22">
        <v>192</v>
      </c>
      <c r="K202" s="22">
        <v>0.86181600000000003</v>
      </c>
      <c r="L202">
        <f t="shared" si="24"/>
        <v>17.285802469135803</v>
      </c>
      <c r="M202">
        <f t="shared" si="25"/>
        <v>14.920931833333334</v>
      </c>
      <c r="N202" s="9"/>
      <c r="O202" s="22">
        <v>0.86685199999999996</v>
      </c>
      <c r="P202" s="22">
        <v>10.9786</v>
      </c>
      <c r="Q202" s="22">
        <v>-1.4025900000000001E-2</v>
      </c>
      <c r="R202" s="22">
        <v>192</v>
      </c>
      <c r="S202" s="22">
        <v>0.86517299999999997</v>
      </c>
      <c r="T202">
        <f t="shared" si="26"/>
        <v>17.315925925925924</v>
      </c>
      <c r="U202">
        <f t="shared" si="27"/>
        <v>15.010345020740738</v>
      </c>
      <c r="X202" s="9"/>
      <c r="Y202" s="22">
        <v>0.86319000000000001</v>
      </c>
      <c r="Z202" s="22">
        <v>16.5932</v>
      </c>
      <c r="AA202" s="22">
        <v>-1.4093E-2</v>
      </c>
      <c r="AB202" s="22">
        <v>192</v>
      </c>
      <c r="AC202" s="22">
        <v>0.86181600000000003</v>
      </c>
      <c r="AD202">
        <f t="shared" si="28"/>
        <v>17.398765432098763</v>
      </c>
      <c r="AE202">
        <f t="shared" si="29"/>
        <v>15.018440333333331</v>
      </c>
      <c r="AF202" s="9"/>
      <c r="AG202" s="22">
        <v>0.86685199999999996</v>
      </c>
      <c r="AH202" s="22">
        <v>20.472799999999999</v>
      </c>
      <c r="AI202" s="22">
        <v>-1.4086899999999999E-2</v>
      </c>
      <c r="AJ202" s="22">
        <v>192</v>
      </c>
      <c r="AK202" s="22">
        <v>0.866089</v>
      </c>
      <c r="AL202">
        <f t="shared" si="30"/>
        <v>17.391234567901233</v>
      </c>
      <c r="AM202">
        <f t="shared" si="31"/>
        <v>15.075626467654319</v>
      </c>
      <c r="AP202" s="9"/>
      <c r="AQ202" s="22">
        <v>0.86319000000000001</v>
      </c>
      <c r="AR202" s="22">
        <v>26.002400000000002</v>
      </c>
      <c r="AS202" s="22">
        <v>-1.4157100000000001E-2</v>
      </c>
      <c r="AT202" s="22">
        <v>192</v>
      </c>
      <c r="AU202" s="22">
        <v>0.86181600000000003</v>
      </c>
      <c r="AV202">
        <f t="shared" si="32"/>
        <v>17.477901234567902</v>
      </c>
      <c r="AW202">
        <f t="shared" si="33"/>
        <v>15.086749566666668</v>
      </c>
      <c r="AX202" s="9"/>
      <c r="AY202" s="22">
        <v>0.86685199999999996</v>
      </c>
      <c r="AZ202" s="22">
        <v>29.882000000000001</v>
      </c>
      <c r="BA202" s="22">
        <v>-1.4086899999999999E-2</v>
      </c>
      <c r="BB202" s="22">
        <v>192</v>
      </c>
      <c r="BC202" s="22">
        <v>0.865784</v>
      </c>
      <c r="BD202">
        <f t="shared" si="34"/>
        <v>17.391234567901233</v>
      </c>
      <c r="BE202">
        <f t="shared" si="35"/>
        <v>15.075626467654319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7.1090200000000001</v>
      </c>
      <c r="I203" s="22">
        <v>-1.40045E-2</v>
      </c>
      <c r="J203" s="22">
        <v>193</v>
      </c>
      <c r="K203" s="22">
        <v>0.85723899999999997</v>
      </c>
      <c r="L203">
        <f t="shared" si="24"/>
        <v>17.289506172839506</v>
      </c>
      <c r="M203">
        <f t="shared" si="25"/>
        <v>14.837058880246913</v>
      </c>
      <c r="N203" s="9"/>
      <c r="O203" s="22">
        <v>0.87188699999999997</v>
      </c>
      <c r="P203" s="22">
        <v>10.9886</v>
      </c>
      <c r="Q203" s="22">
        <v>-1.4025900000000001E-2</v>
      </c>
      <c r="R203" s="22">
        <v>193</v>
      </c>
      <c r="S203" s="22">
        <v>0.87097199999999997</v>
      </c>
      <c r="T203">
        <f t="shared" si="26"/>
        <v>17.315925925925924</v>
      </c>
      <c r="U203">
        <f t="shared" si="27"/>
        <v>15.097530707777777</v>
      </c>
      <c r="X203" s="9"/>
      <c r="Y203" s="22">
        <v>0.85815399999999997</v>
      </c>
      <c r="Z203" s="22">
        <v>16.603200000000001</v>
      </c>
      <c r="AA203" s="22">
        <v>-1.4093E-2</v>
      </c>
      <c r="AB203" s="22">
        <v>193</v>
      </c>
      <c r="AC203" s="22">
        <v>0.85754399999999997</v>
      </c>
      <c r="AD203">
        <f t="shared" si="28"/>
        <v>17.398765432098763</v>
      </c>
      <c r="AE203">
        <f t="shared" si="29"/>
        <v>14.930820150617281</v>
      </c>
      <c r="AF203" s="9"/>
      <c r="AG203" s="22">
        <v>0.87188699999999997</v>
      </c>
      <c r="AH203" s="22">
        <v>20.482900000000001</v>
      </c>
      <c r="AI203" s="22">
        <v>-1.409E-2</v>
      </c>
      <c r="AJ203" s="22">
        <v>193</v>
      </c>
      <c r="AK203" s="22">
        <v>0.87097199999999997</v>
      </c>
      <c r="AL203">
        <f t="shared" si="30"/>
        <v>17.39506172839506</v>
      </c>
      <c r="AM203">
        <f t="shared" si="31"/>
        <v>15.166528185185182</v>
      </c>
      <c r="AP203" s="9"/>
      <c r="AQ203" s="22">
        <v>0.85815399999999997</v>
      </c>
      <c r="AR203" s="22">
        <v>26.012499999999999</v>
      </c>
      <c r="AS203" s="22">
        <v>-1.4157100000000001E-2</v>
      </c>
      <c r="AT203" s="22">
        <v>193</v>
      </c>
      <c r="AU203" s="22">
        <v>0.85723899999999997</v>
      </c>
      <c r="AV203">
        <f t="shared" si="32"/>
        <v>17.477901234567902</v>
      </c>
      <c r="AW203">
        <f t="shared" si="33"/>
        <v>14.998730856049383</v>
      </c>
      <c r="AX203" s="9"/>
      <c r="AY203" s="22">
        <v>0.87188699999999997</v>
      </c>
      <c r="AZ203" s="22">
        <v>29.892099999999999</v>
      </c>
      <c r="BA203" s="22">
        <v>-1.4086899999999999E-2</v>
      </c>
      <c r="BB203" s="22">
        <v>193</v>
      </c>
      <c r="BC203" s="22">
        <v>0.87097199999999997</v>
      </c>
      <c r="BD203">
        <f t="shared" si="34"/>
        <v>17.391234567901233</v>
      </c>
      <c r="BE203">
        <f t="shared" si="35"/>
        <v>15.163191333703701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7.1191000000000004</v>
      </c>
      <c r="I204" s="22">
        <v>-1.40167E-2</v>
      </c>
      <c r="J204" s="22">
        <v>194</v>
      </c>
      <c r="K204" s="22">
        <v>0.852356</v>
      </c>
      <c r="L204">
        <f t="shared" ref="L204:L267" si="36">-I204/$F$2*1000</f>
        <v>17.304567901234567</v>
      </c>
      <c r="M204">
        <f t="shared" ref="M204:M267" si="37">L204*G204</f>
        <v>14.762855663333331</v>
      </c>
      <c r="N204" s="9"/>
      <c r="O204" s="22">
        <v>0.87692300000000001</v>
      </c>
      <c r="P204" s="22">
        <v>10.998699999999999</v>
      </c>
      <c r="Q204" s="22">
        <v>-1.40167E-2</v>
      </c>
      <c r="R204" s="22">
        <v>194</v>
      </c>
      <c r="S204" s="22">
        <v>0.87585400000000002</v>
      </c>
      <c r="T204">
        <f t="shared" ref="T204:T267" si="38">-Q204/$F$2*1000</f>
        <v>17.304567901234567</v>
      </c>
      <c r="U204">
        <f t="shared" ref="U204:U267" si="39">T204*O204</f>
        <v>15.174773597654321</v>
      </c>
      <c r="X204" s="9"/>
      <c r="Y204" s="22">
        <v>0.85311899999999996</v>
      </c>
      <c r="Z204" s="22">
        <v>16.613299999999999</v>
      </c>
      <c r="AA204" s="22">
        <v>-1.409E-2</v>
      </c>
      <c r="AB204" s="22">
        <v>194</v>
      </c>
      <c r="AC204" s="22">
        <v>0.852051</v>
      </c>
      <c r="AD204">
        <f t="shared" ref="AD204:AD267" si="40">-AA204/$F$2*1000</f>
        <v>17.39506172839506</v>
      </c>
      <c r="AE204">
        <f t="shared" ref="AE204:AE267" si="41">AD204*Y204</f>
        <v>14.840057666666665</v>
      </c>
      <c r="AF204" s="9"/>
      <c r="AG204" s="22">
        <v>0.87692300000000001</v>
      </c>
      <c r="AH204" s="22">
        <v>20.492899999999999</v>
      </c>
      <c r="AI204" s="22">
        <v>-1.4093E-2</v>
      </c>
      <c r="AJ204" s="22">
        <v>194</v>
      </c>
      <c r="AK204" s="22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2">
        <v>0.85311899999999996</v>
      </c>
      <c r="AR204" s="22">
        <v>26.022500000000001</v>
      </c>
      <c r="AS204" s="22">
        <v>-1.4151E-2</v>
      </c>
      <c r="AT204" s="22">
        <v>194</v>
      </c>
      <c r="AU204" s="22">
        <v>0.852356</v>
      </c>
      <c r="AV204">
        <f t="shared" ref="AV204:AV267" si="44">-AS204/$F$2*1000</f>
        <v>17.470370370370368</v>
      </c>
      <c r="AW204">
        <f t="shared" ref="AW204:AW267" si="45">AV204*AQ204</f>
        <v>14.904304899999998</v>
      </c>
      <c r="AX204" s="9"/>
      <c r="AY204" s="22">
        <v>0.87692300000000001</v>
      </c>
      <c r="AZ204" s="22">
        <v>29.902200000000001</v>
      </c>
      <c r="BA204" s="22">
        <v>-1.40839E-2</v>
      </c>
      <c r="BB204" s="22">
        <v>194</v>
      </c>
      <c r="BC204" s="22">
        <v>0.87585400000000002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7.1291700000000002</v>
      </c>
      <c r="I205" s="22">
        <v>-1.4035000000000001E-2</v>
      </c>
      <c r="J205" s="22">
        <v>195</v>
      </c>
      <c r="K205" s="22">
        <v>0.84686300000000003</v>
      </c>
      <c r="L205">
        <f t="shared" si="36"/>
        <v>17.327160493827162</v>
      </c>
      <c r="M205">
        <f t="shared" si="37"/>
        <v>14.694870253086421</v>
      </c>
      <c r="N205" s="9"/>
      <c r="O205" s="22">
        <v>0.88195800000000002</v>
      </c>
      <c r="P205" s="22">
        <v>11.008800000000001</v>
      </c>
      <c r="Q205" s="22">
        <v>-1.40137E-2</v>
      </c>
      <c r="R205" s="22">
        <v>195</v>
      </c>
      <c r="S205" s="22">
        <v>0.88073699999999999</v>
      </c>
      <c r="T205">
        <f t="shared" si="38"/>
        <v>17.300864197530863</v>
      </c>
      <c r="U205">
        <f t="shared" si="39"/>
        <v>15.258635585925926</v>
      </c>
      <c r="X205" s="9"/>
      <c r="Y205" s="22">
        <v>0.84808300000000003</v>
      </c>
      <c r="Z205" s="22">
        <v>16.6234</v>
      </c>
      <c r="AA205" s="22">
        <v>-1.40961E-2</v>
      </c>
      <c r="AB205" s="22">
        <v>195</v>
      </c>
      <c r="AC205" s="22">
        <v>0.84686300000000003</v>
      </c>
      <c r="AD205">
        <f t="shared" si="40"/>
        <v>17.40259259259259</v>
      </c>
      <c r="AE205">
        <f t="shared" si="41"/>
        <v>14.758842933703702</v>
      </c>
      <c r="AF205" s="9"/>
      <c r="AG205" s="22">
        <v>0.88195800000000002</v>
      </c>
      <c r="AH205" s="22">
        <v>20.503</v>
      </c>
      <c r="AI205" s="22">
        <v>-1.4093E-2</v>
      </c>
      <c r="AJ205" s="22">
        <v>195</v>
      </c>
      <c r="AK205" s="22">
        <v>0.88043199999999999</v>
      </c>
      <c r="AL205">
        <f t="shared" si="42"/>
        <v>17.398765432098763</v>
      </c>
      <c r="AM205">
        <f t="shared" si="43"/>
        <v>15.344980362962961</v>
      </c>
      <c r="AP205" s="9"/>
      <c r="AQ205" s="22">
        <v>0.84808300000000003</v>
      </c>
      <c r="AR205" s="22">
        <v>26.032599999999999</v>
      </c>
      <c r="AS205" s="22">
        <v>-1.41449E-2</v>
      </c>
      <c r="AT205" s="22">
        <v>195</v>
      </c>
      <c r="AU205" s="22">
        <v>0.84716800000000003</v>
      </c>
      <c r="AV205">
        <f t="shared" si="44"/>
        <v>17.462839506172838</v>
      </c>
      <c r="AW205">
        <f t="shared" si="45"/>
        <v>14.80993731691358</v>
      </c>
      <c r="AX205" s="9"/>
      <c r="AY205" s="22">
        <v>0.88195800000000002</v>
      </c>
      <c r="AZ205" s="22">
        <v>29.912199999999999</v>
      </c>
      <c r="BA205" s="22">
        <v>-1.4086899999999999E-2</v>
      </c>
      <c r="BB205" s="22">
        <v>195</v>
      </c>
      <c r="BC205" s="22">
        <v>0.88134800000000002</v>
      </c>
      <c r="BD205">
        <f t="shared" si="46"/>
        <v>17.391234567901233</v>
      </c>
      <c r="BE205">
        <f t="shared" si="47"/>
        <v>15.338338457037036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7.13924</v>
      </c>
      <c r="I206" s="22">
        <v>-1.4047199999999999E-2</v>
      </c>
      <c r="J206" s="22">
        <v>196</v>
      </c>
      <c r="K206" s="22">
        <v>0.84167499999999995</v>
      </c>
      <c r="L206">
        <f t="shared" si="36"/>
        <v>17.342222222222222</v>
      </c>
      <c r="M206">
        <f t="shared" si="37"/>
        <v>14.62032576</v>
      </c>
      <c r="N206" s="9"/>
      <c r="O206" s="22">
        <v>0.88699300000000003</v>
      </c>
      <c r="P206" s="22">
        <v>11.0189</v>
      </c>
      <c r="Q206" s="22">
        <v>-1.40137E-2</v>
      </c>
      <c r="R206" s="22">
        <v>196</v>
      </c>
      <c r="S206" s="22">
        <v>0.88561999999999996</v>
      </c>
      <c r="T206">
        <f t="shared" si="38"/>
        <v>17.300864197530863</v>
      </c>
      <c r="U206">
        <f t="shared" si="39"/>
        <v>15.345745437160494</v>
      </c>
      <c r="X206" s="9"/>
      <c r="Y206" s="22">
        <v>0.84304800000000002</v>
      </c>
      <c r="Z206" s="22">
        <v>16.633500000000002</v>
      </c>
      <c r="AA206" s="22">
        <v>-1.40991E-2</v>
      </c>
      <c r="AB206" s="22">
        <v>196</v>
      </c>
      <c r="AC206" s="22">
        <v>0.84197999999999995</v>
      </c>
      <c r="AD206">
        <f t="shared" si="40"/>
        <v>17.406296296296293</v>
      </c>
      <c r="AE206">
        <f t="shared" si="41"/>
        <v>14.674343279999999</v>
      </c>
      <c r="AF206" s="9"/>
      <c r="AG206" s="22">
        <v>0.88699300000000003</v>
      </c>
      <c r="AH206" s="22">
        <v>20.513100000000001</v>
      </c>
      <c r="AI206" s="22">
        <v>-1.409E-2</v>
      </c>
      <c r="AJ206" s="22">
        <v>196</v>
      </c>
      <c r="AK206" s="22">
        <v>0.88561999999999996</v>
      </c>
      <c r="AL206">
        <f t="shared" si="42"/>
        <v>17.39506172839506</v>
      </c>
      <c r="AM206">
        <f t="shared" si="43"/>
        <v>15.429297987654319</v>
      </c>
      <c r="AP206" s="9"/>
      <c r="AQ206" s="22">
        <v>0.84304800000000002</v>
      </c>
      <c r="AR206" s="22">
        <v>26.0427</v>
      </c>
      <c r="AS206" s="22">
        <v>-1.41418E-2</v>
      </c>
      <c r="AT206" s="22">
        <v>196</v>
      </c>
      <c r="AU206" s="22">
        <v>0.84197999999999995</v>
      </c>
      <c r="AV206">
        <f t="shared" si="44"/>
        <v>17.45901234567901</v>
      </c>
      <c r="AW206">
        <f t="shared" si="45"/>
        <v>14.718785439999998</v>
      </c>
      <c r="AX206" s="9"/>
      <c r="AY206" s="22">
        <v>0.88699300000000003</v>
      </c>
      <c r="AZ206" s="22">
        <v>29.9223</v>
      </c>
      <c r="BA206" s="22">
        <v>-1.4086899999999999E-2</v>
      </c>
      <c r="BB206" s="22">
        <v>196</v>
      </c>
      <c r="BC206" s="22">
        <v>0.88561999999999996</v>
      </c>
      <c r="BD206">
        <f t="shared" si="46"/>
        <v>17.391234567901233</v>
      </c>
      <c r="BE206">
        <f t="shared" si="47"/>
        <v>15.425903323086418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7.1493099999999998</v>
      </c>
      <c r="I207" s="22">
        <v>-1.40503E-2</v>
      </c>
      <c r="J207" s="22">
        <v>197</v>
      </c>
      <c r="K207" s="22">
        <v>0.83679199999999998</v>
      </c>
      <c r="L207">
        <f t="shared" si="36"/>
        <v>17.34604938271605</v>
      </c>
      <c r="M207">
        <f t="shared" si="37"/>
        <v>14.536214881358026</v>
      </c>
      <c r="N207" s="9"/>
      <c r="O207" s="22">
        <v>0.89202899999999996</v>
      </c>
      <c r="P207" s="22">
        <v>11.0289</v>
      </c>
      <c r="Q207" s="22">
        <v>-1.40076E-2</v>
      </c>
      <c r="R207" s="22">
        <v>197</v>
      </c>
      <c r="S207" s="22">
        <v>0.89141800000000004</v>
      </c>
      <c r="T207">
        <f t="shared" si="38"/>
        <v>17.293333333333333</v>
      </c>
      <c r="U207">
        <f t="shared" si="39"/>
        <v>15.426154839999999</v>
      </c>
      <c r="X207" s="9"/>
      <c r="Y207" s="22">
        <v>0.83801300000000001</v>
      </c>
      <c r="Z207" s="22">
        <v>16.6435</v>
      </c>
      <c r="AA207" s="22">
        <v>-1.40991E-2</v>
      </c>
      <c r="AB207" s="22">
        <v>197</v>
      </c>
      <c r="AC207" s="22">
        <v>0.83679199999999998</v>
      </c>
      <c r="AD207">
        <f t="shared" si="40"/>
        <v>17.406296296296293</v>
      </c>
      <c r="AE207">
        <f t="shared" si="41"/>
        <v>14.586702578148145</v>
      </c>
      <c r="AF207" s="9"/>
      <c r="AG207" s="22">
        <v>0.89202899999999996</v>
      </c>
      <c r="AH207" s="22">
        <v>20.523099999999999</v>
      </c>
      <c r="AI207" s="22">
        <v>-1.4093E-2</v>
      </c>
      <c r="AJ207" s="22">
        <v>197</v>
      </c>
      <c r="AK207" s="22">
        <v>0.89172399999999996</v>
      </c>
      <c r="AL207">
        <f t="shared" si="42"/>
        <v>17.398765432098763</v>
      </c>
      <c r="AM207">
        <f t="shared" si="43"/>
        <v>15.520203329629627</v>
      </c>
      <c r="AP207" s="9"/>
      <c r="AQ207" s="22">
        <v>0.83801300000000001</v>
      </c>
      <c r="AR207" s="22">
        <v>26.052800000000001</v>
      </c>
      <c r="AS207" s="22">
        <v>-1.41327E-2</v>
      </c>
      <c r="AT207" s="22">
        <v>197</v>
      </c>
      <c r="AU207" s="22">
        <v>0.83709699999999998</v>
      </c>
      <c r="AV207">
        <f t="shared" si="44"/>
        <v>17.447777777777777</v>
      </c>
      <c r="AW207">
        <f t="shared" si="45"/>
        <v>14.621464598888888</v>
      </c>
      <c r="AX207" s="9"/>
      <c r="AY207" s="22">
        <v>0.89202899999999996</v>
      </c>
      <c r="AZ207" s="22">
        <v>29.932400000000001</v>
      </c>
      <c r="BA207" s="22">
        <v>-1.40839E-2</v>
      </c>
      <c r="BB207" s="22">
        <v>197</v>
      </c>
      <c r="BC207" s="22">
        <v>0.89019800000000004</v>
      </c>
      <c r="BD207">
        <f t="shared" si="46"/>
        <v>17.387530864197529</v>
      </c>
      <c r="BE207">
        <f t="shared" si="47"/>
        <v>15.510181769259257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7.1593799999999996</v>
      </c>
      <c r="I208" s="22">
        <v>-1.4053299999999999E-2</v>
      </c>
      <c r="J208" s="22">
        <v>198</v>
      </c>
      <c r="K208" s="22">
        <v>0.83221400000000001</v>
      </c>
      <c r="L208">
        <f t="shared" si="36"/>
        <v>17.349753086419753</v>
      </c>
      <c r="M208">
        <f t="shared" si="37"/>
        <v>14.451945276666667</v>
      </c>
      <c r="N208" s="9"/>
      <c r="O208" s="22">
        <v>0.89706399999999997</v>
      </c>
      <c r="P208" s="22">
        <v>11.039</v>
      </c>
      <c r="Q208" s="22">
        <v>-1.39954E-2</v>
      </c>
      <c r="R208" s="22">
        <v>198</v>
      </c>
      <c r="S208" s="22">
        <v>0.89599600000000001</v>
      </c>
      <c r="T208">
        <f t="shared" si="38"/>
        <v>17.278271604938272</v>
      </c>
      <c r="U208">
        <f t="shared" si="39"/>
        <v>15.499715439012345</v>
      </c>
      <c r="X208" s="9"/>
      <c r="Y208" s="22">
        <v>0.83297699999999997</v>
      </c>
      <c r="Z208" s="22">
        <v>16.653600000000001</v>
      </c>
      <c r="AA208" s="22">
        <v>-1.41022E-2</v>
      </c>
      <c r="AB208" s="22">
        <v>198</v>
      </c>
      <c r="AC208" s="22">
        <v>0.83190900000000001</v>
      </c>
      <c r="AD208">
        <f t="shared" si="40"/>
        <v>17.410123456790124</v>
      </c>
      <c r="AE208">
        <f t="shared" si="41"/>
        <v>14.502232406666668</v>
      </c>
      <c r="AF208" s="9"/>
      <c r="AG208" s="22">
        <v>0.89706399999999997</v>
      </c>
      <c r="AH208" s="22">
        <v>20.533200000000001</v>
      </c>
      <c r="AI208" s="22">
        <v>-1.4093E-2</v>
      </c>
      <c r="AJ208" s="22">
        <v>198</v>
      </c>
      <c r="AK208" s="22">
        <v>0.89569100000000001</v>
      </c>
      <c r="AL208">
        <f t="shared" si="42"/>
        <v>17.398765432098763</v>
      </c>
      <c r="AM208">
        <f t="shared" si="43"/>
        <v>15.607806113580244</v>
      </c>
      <c r="AP208" s="9"/>
      <c r="AQ208" s="22">
        <v>0.83297699999999997</v>
      </c>
      <c r="AR208" s="22">
        <v>26.062799999999999</v>
      </c>
      <c r="AS208" s="22">
        <v>-1.4129600000000001E-2</v>
      </c>
      <c r="AT208" s="22">
        <v>198</v>
      </c>
      <c r="AU208" s="22">
        <v>0.83160400000000001</v>
      </c>
      <c r="AV208">
        <f t="shared" si="44"/>
        <v>17.443950617283949</v>
      </c>
      <c r="AW208">
        <f t="shared" si="45"/>
        <v>14.530409653333331</v>
      </c>
      <c r="AX208" s="9"/>
      <c r="AY208" s="22">
        <v>0.89706399999999997</v>
      </c>
      <c r="AZ208" s="22">
        <v>29.942399999999999</v>
      </c>
      <c r="BA208" s="22">
        <v>-1.4080799999999999E-2</v>
      </c>
      <c r="BB208" s="22">
        <v>198</v>
      </c>
      <c r="BC208" s="22">
        <v>0.89569100000000001</v>
      </c>
      <c r="BD208">
        <f t="shared" si="46"/>
        <v>17.383703703703702</v>
      </c>
      <c r="BE208">
        <f t="shared" si="47"/>
        <v>15.594294779259258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7.1694500000000003</v>
      </c>
      <c r="I209" s="22">
        <v>-1.40564E-2</v>
      </c>
      <c r="J209" s="22">
        <v>199</v>
      </c>
      <c r="K209" s="22">
        <v>0.82641600000000004</v>
      </c>
      <c r="L209">
        <f t="shared" si="36"/>
        <v>17.35358024691358</v>
      </c>
      <c r="M209">
        <f t="shared" si="37"/>
        <v>14.367757936790122</v>
      </c>
      <c r="N209" s="9"/>
      <c r="O209" s="22">
        <v>0.90210000000000001</v>
      </c>
      <c r="P209" s="22">
        <v>11.049099999999999</v>
      </c>
      <c r="Q209" s="22">
        <v>-1.3986200000000001E-2</v>
      </c>
      <c r="R209" s="22">
        <v>199</v>
      </c>
      <c r="S209" s="22">
        <v>0.90118399999999999</v>
      </c>
      <c r="T209">
        <f t="shared" si="38"/>
        <v>17.266913580246914</v>
      </c>
      <c r="U209">
        <f t="shared" si="39"/>
        <v>15.576482740740742</v>
      </c>
      <c r="X209" s="9"/>
      <c r="Y209" s="22">
        <v>0.82794199999999996</v>
      </c>
      <c r="Z209" s="22">
        <v>16.663699999999999</v>
      </c>
      <c r="AA209" s="22">
        <v>-1.41052E-2</v>
      </c>
      <c r="AB209" s="22">
        <v>199</v>
      </c>
      <c r="AC209" s="22">
        <v>0.82702600000000004</v>
      </c>
      <c r="AD209">
        <f t="shared" si="40"/>
        <v>17.413827160493828</v>
      </c>
      <c r="AE209">
        <f t="shared" si="41"/>
        <v>14.417638886913579</v>
      </c>
      <c r="AF209" s="9"/>
      <c r="AG209" s="22">
        <v>0.90210000000000001</v>
      </c>
      <c r="AH209" s="22">
        <v>20.543299999999999</v>
      </c>
      <c r="AI209" s="22">
        <v>-1.409E-2</v>
      </c>
      <c r="AJ209" s="22">
        <v>199</v>
      </c>
      <c r="AK209" s="22">
        <v>0.90087899999999999</v>
      </c>
      <c r="AL209">
        <f t="shared" si="42"/>
        <v>17.39506172839506</v>
      </c>
      <c r="AM209">
        <f t="shared" si="43"/>
        <v>15.692085185185183</v>
      </c>
      <c r="AP209" s="9"/>
      <c r="AQ209" s="22">
        <v>0.82794199999999996</v>
      </c>
      <c r="AR209" s="22">
        <v>26.072900000000001</v>
      </c>
      <c r="AS209" s="22">
        <v>-1.41327E-2</v>
      </c>
      <c r="AT209" s="22">
        <v>199</v>
      </c>
      <c r="AU209" s="22">
        <v>0.82672100000000004</v>
      </c>
      <c r="AV209">
        <f t="shared" si="44"/>
        <v>17.447777777777777</v>
      </c>
      <c r="AW209">
        <f t="shared" si="45"/>
        <v>14.445748028888888</v>
      </c>
      <c r="AX209" s="9"/>
      <c r="AY209" s="22">
        <v>0.90210000000000001</v>
      </c>
      <c r="AZ209" s="22">
        <v>29.952500000000001</v>
      </c>
      <c r="BA209" s="22">
        <v>-1.40839E-2</v>
      </c>
      <c r="BB209" s="22">
        <v>199</v>
      </c>
      <c r="BC209" s="22">
        <v>0.90118399999999999</v>
      </c>
      <c r="BD209">
        <f t="shared" si="46"/>
        <v>17.387530864197529</v>
      </c>
      <c r="BE209">
        <f t="shared" si="47"/>
        <v>15.685291592592591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7.1795200000000001</v>
      </c>
      <c r="I210" s="22">
        <v>-1.40564E-2</v>
      </c>
      <c r="J210" s="22">
        <v>200</v>
      </c>
      <c r="K210" s="22">
        <v>0.82214399999999999</v>
      </c>
      <c r="L210">
        <f t="shared" si="36"/>
        <v>17.35358024691358</v>
      </c>
      <c r="M210">
        <f t="shared" si="37"/>
        <v>14.280365306666667</v>
      </c>
      <c r="N210" s="9"/>
      <c r="O210" s="22">
        <v>0.90713500000000002</v>
      </c>
      <c r="P210" s="22">
        <v>11.059100000000001</v>
      </c>
      <c r="Q210" s="22">
        <v>-1.3977099999999999E-2</v>
      </c>
      <c r="R210" s="22">
        <v>200</v>
      </c>
      <c r="S210" s="22">
        <v>0.90637199999999996</v>
      </c>
      <c r="T210">
        <f t="shared" si="38"/>
        <v>17.255679012345677</v>
      </c>
      <c r="U210">
        <f t="shared" si="39"/>
        <v>15.653230380864196</v>
      </c>
      <c r="X210" s="9"/>
      <c r="Y210" s="22">
        <v>0.82290600000000003</v>
      </c>
      <c r="Z210" s="22">
        <v>16.6737</v>
      </c>
      <c r="AA210" s="22">
        <v>-1.4108300000000001E-2</v>
      </c>
      <c r="AB210" s="22">
        <v>200</v>
      </c>
      <c r="AC210" s="22">
        <v>0.82183799999999996</v>
      </c>
      <c r="AD210">
        <f t="shared" si="40"/>
        <v>17.417654320987655</v>
      </c>
      <c r="AE210">
        <f t="shared" si="41"/>
        <v>14.333092246666668</v>
      </c>
      <c r="AF210" s="9"/>
      <c r="AG210" s="22">
        <v>0.90713500000000002</v>
      </c>
      <c r="AH210" s="22">
        <v>20.5534</v>
      </c>
      <c r="AI210" s="22">
        <v>-1.4086899999999999E-2</v>
      </c>
      <c r="AJ210" s="22">
        <v>200</v>
      </c>
      <c r="AK210" s="22">
        <v>0.90606699999999996</v>
      </c>
      <c r="AL210">
        <f t="shared" si="42"/>
        <v>17.391234567901233</v>
      </c>
      <c r="AM210">
        <f t="shared" si="43"/>
        <v>15.776197569753085</v>
      </c>
      <c r="AP210" s="9"/>
      <c r="AQ210" s="22">
        <v>0.82290600000000003</v>
      </c>
      <c r="AR210" s="22">
        <v>26.082999999999998</v>
      </c>
      <c r="AS210" s="22">
        <v>-1.41327E-2</v>
      </c>
      <c r="AT210" s="22">
        <v>200</v>
      </c>
      <c r="AU210" s="22">
        <v>0.82153299999999996</v>
      </c>
      <c r="AV210">
        <f t="shared" si="44"/>
        <v>17.447777777777777</v>
      </c>
      <c r="AW210">
        <f t="shared" si="45"/>
        <v>14.357881019999999</v>
      </c>
      <c r="AX210" s="9"/>
      <c r="AY210" s="22">
        <v>0.90713500000000002</v>
      </c>
      <c r="AZ210" s="22">
        <v>29.962599999999998</v>
      </c>
      <c r="BA210" s="22">
        <v>-1.40839E-2</v>
      </c>
      <c r="BB210" s="22">
        <v>200</v>
      </c>
      <c r="BC210" s="22">
        <v>0.90576199999999996</v>
      </c>
      <c r="BD210">
        <f t="shared" si="46"/>
        <v>17.387530864197529</v>
      </c>
      <c r="BE210">
        <f t="shared" si="47"/>
        <v>15.772837810493826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7.1895899999999999</v>
      </c>
      <c r="I211" s="22">
        <v>-1.40564E-2</v>
      </c>
      <c r="J211" s="22">
        <v>201</v>
      </c>
      <c r="K211" s="22">
        <v>0.81634499999999999</v>
      </c>
      <c r="L211">
        <f t="shared" si="36"/>
        <v>17.35358024691358</v>
      </c>
      <c r="M211">
        <f t="shared" si="37"/>
        <v>14.192990030123458</v>
      </c>
      <c r="N211" s="9"/>
      <c r="O211" s="22">
        <v>0.91217000000000004</v>
      </c>
      <c r="P211" s="22">
        <v>11.0692</v>
      </c>
      <c r="Q211" s="22">
        <v>-1.3974E-2</v>
      </c>
      <c r="R211" s="22">
        <v>201</v>
      </c>
      <c r="S211" s="22">
        <v>0.91125500000000004</v>
      </c>
      <c r="T211">
        <f t="shared" si="38"/>
        <v>17.251851851851853</v>
      </c>
      <c r="U211">
        <f t="shared" si="39"/>
        <v>15.736621703703706</v>
      </c>
      <c r="X211" s="9"/>
      <c r="Y211" s="22">
        <v>0.81787100000000001</v>
      </c>
      <c r="Z211" s="22">
        <v>16.683800000000002</v>
      </c>
      <c r="AA211" s="22">
        <v>-1.41174E-2</v>
      </c>
      <c r="AB211" s="22">
        <v>201</v>
      </c>
      <c r="AC211" s="22">
        <v>0.81726100000000002</v>
      </c>
      <c r="AD211">
        <f t="shared" si="40"/>
        <v>17.428888888888888</v>
      </c>
      <c r="AE211">
        <f t="shared" si="41"/>
        <v>14.254582784444445</v>
      </c>
      <c r="AF211" s="9"/>
      <c r="AG211" s="22">
        <v>0.91217000000000004</v>
      </c>
      <c r="AH211" s="22">
        <v>20.563400000000001</v>
      </c>
      <c r="AI211" s="22">
        <v>-1.40778E-2</v>
      </c>
      <c r="AJ211" s="22">
        <v>201</v>
      </c>
      <c r="AK211" s="22">
        <v>0.91064500000000004</v>
      </c>
      <c r="AL211">
        <f t="shared" si="42"/>
        <v>17.38</v>
      </c>
      <c r="AM211">
        <f t="shared" si="43"/>
        <v>15.8535146</v>
      </c>
      <c r="AP211" s="9"/>
      <c r="AQ211" s="22">
        <v>0.81787100000000001</v>
      </c>
      <c r="AR211" s="22">
        <v>26.093</v>
      </c>
      <c r="AS211" s="22">
        <v>-1.4123500000000001E-2</v>
      </c>
      <c r="AT211" s="22">
        <v>201</v>
      </c>
      <c r="AU211" s="22">
        <v>0.81695600000000002</v>
      </c>
      <c r="AV211">
        <f t="shared" si="44"/>
        <v>17.436419753086419</v>
      </c>
      <c r="AW211">
        <f t="shared" si="45"/>
        <v>14.260742059876543</v>
      </c>
      <c r="AX211" s="9"/>
      <c r="AY211" s="22">
        <v>0.91217000000000004</v>
      </c>
      <c r="AZ211" s="22">
        <v>29.9727</v>
      </c>
      <c r="BA211" s="22">
        <v>-1.4086899999999999E-2</v>
      </c>
      <c r="BB211" s="22">
        <v>201</v>
      </c>
      <c r="BC211" s="22">
        <v>0.91095000000000004</v>
      </c>
      <c r="BD211">
        <f t="shared" si="46"/>
        <v>17.391234567901233</v>
      </c>
      <c r="BE211">
        <f t="shared" si="47"/>
        <v>15.863762435802467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7.1996599999999997</v>
      </c>
      <c r="I212" s="22">
        <v>-1.40594E-2</v>
      </c>
      <c r="J212" s="22">
        <v>202</v>
      </c>
      <c r="K212" s="22">
        <v>0.81207300000000004</v>
      </c>
      <c r="L212">
        <f t="shared" si="36"/>
        <v>17.357283950617283</v>
      </c>
      <c r="M212">
        <f t="shared" si="37"/>
        <v>14.108625257283951</v>
      </c>
      <c r="N212" s="9"/>
      <c r="O212" s="22">
        <v>0.91720599999999997</v>
      </c>
      <c r="P212" s="22">
        <v>11.0793</v>
      </c>
      <c r="Q212" s="22">
        <v>-1.3977099999999999E-2</v>
      </c>
      <c r="R212" s="22">
        <v>202</v>
      </c>
      <c r="S212" s="22">
        <v>0.91613800000000001</v>
      </c>
      <c r="T212">
        <f t="shared" si="38"/>
        <v>17.255679012345677</v>
      </c>
      <c r="U212">
        <f t="shared" si="39"/>
        <v>15.827012324197529</v>
      </c>
      <c r="X212" s="9"/>
      <c r="Y212" s="22">
        <v>0.812836</v>
      </c>
      <c r="Z212" s="22">
        <v>16.693899999999999</v>
      </c>
      <c r="AA212" s="22">
        <v>-1.41174E-2</v>
      </c>
      <c r="AB212" s="22">
        <v>202</v>
      </c>
      <c r="AC212" s="22">
        <v>0.81146200000000002</v>
      </c>
      <c r="AD212">
        <f t="shared" si="40"/>
        <v>17.428888888888888</v>
      </c>
      <c r="AE212">
        <f t="shared" si="41"/>
        <v>14.166828328888888</v>
      </c>
      <c r="AF212" s="9"/>
      <c r="AG212" s="22">
        <v>0.91720599999999997</v>
      </c>
      <c r="AH212" s="22">
        <v>20.573499999999999</v>
      </c>
      <c r="AI212" s="22">
        <v>-1.4065599999999999E-2</v>
      </c>
      <c r="AJ212" s="22">
        <v>202</v>
      </c>
      <c r="AK212" s="22">
        <v>0.91613800000000001</v>
      </c>
      <c r="AL212">
        <f t="shared" si="42"/>
        <v>17.364938271604938</v>
      </c>
      <c r="AM212">
        <f t="shared" si="43"/>
        <v>15.927225572345678</v>
      </c>
      <c r="AP212" s="9"/>
      <c r="AQ212" s="22">
        <v>0.812836</v>
      </c>
      <c r="AR212" s="22">
        <v>26.103100000000001</v>
      </c>
      <c r="AS212" s="22">
        <v>-1.4120499999999999E-2</v>
      </c>
      <c r="AT212" s="22">
        <v>202</v>
      </c>
      <c r="AU212" s="22">
        <v>0.81207300000000004</v>
      </c>
      <c r="AV212">
        <f t="shared" si="44"/>
        <v>17.432716049382716</v>
      </c>
      <c r="AW212">
        <f t="shared" si="45"/>
        <v>14.16993918271605</v>
      </c>
      <c r="AX212" s="9"/>
      <c r="AY212" s="22">
        <v>0.91720599999999997</v>
      </c>
      <c r="AZ212" s="22">
        <v>29.982700000000001</v>
      </c>
      <c r="BA212" s="22">
        <v>-1.40778E-2</v>
      </c>
      <c r="BB212" s="22">
        <v>202</v>
      </c>
      <c r="BC212" s="22">
        <v>0.91644300000000001</v>
      </c>
      <c r="BD212">
        <f t="shared" si="46"/>
        <v>17.38</v>
      </c>
      <c r="BE212">
        <f t="shared" si="47"/>
        <v>15.941040279999999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7.2097300000000004</v>
      </c>
      <c r="I213" s="22">
        <v>-1.40625E-2</v>
      </c>
      <c r="J213" s="22">
        <v>203</v>
      </c>
      <c r="K213" s="22">
        <v>0.80718999999999996</v>
      </c>
      <c r="L213">
        <f t="shared" si="36"/>
        <v>17.361111111111111</v>
      </c>
      <c r="M213">
        <f t="shared" si="37"/>
        <v>14.024305555555555</v>
      </c>
      <c r="N213" s="9"/>
      <c r="O213" s="22">
        <v>0.92224099999999998</v>
      </c>
      <c r="P213" s="22">
        <v>11.089399999999999</v>
      </c>
      <c r="Q213" s="22">
        <v>-1.3983199999999999E-2</v>
      </c>
      <c r="R213" s="22">
        <v>203</v>
      </c>
      <c r="S213" s="22">
        <v>0.92040999999999995</v>
      </c>
      <c r="T213">
        <f t="shared" si="38"/>
        <v>17.263209876543208</v>
      </c>
      <c r="U213">
        <f t="shared" si="39"/>
        <v>15.920839939753083</v>
      </c>
      <c r="X213" s="9"/>
      <c r="Y213" s="22">
        <v>0.80779999999999996</v>
      </c>
      <c r="Z213" s="22">
        <v>16.704000000000001</v>
      </c>
      <c r="AA213" s="22">
        <v>-1.4120499999999999E-2</v>
      </c>
      <c r="AB213" s="22">
        <v>203</v>
      </c>
      <c r="AC213" s="22">
        <v>0.80718999999999996</v>
      </c>
      <c r="AD213">
        <f t="shared" si="40"/>
        <v>17.432716049382716</v>
      </c>
      <c r="AE213">
        <f t="shared" si="41"/>
        <v>14.082148024691357</v>
      </c>
      <c r="AF213" s="9"/>
      <c r="AG213" s="22">
        <v>0.92224099999999998</v>
      </c>
      <c r="AH213" s="22">
        <v>20.583600000000001</v>
      </c>
      <c r="AI213" s="22">
        <v>-1.40503E-2</v>
      </c>
      <c r="AJ213" s="22">
        <v>203</v>
      </c>
      <c r="AK213" s="22">
        <v>0.92132599999999998</v>
      </c>
      <c r="AL213">
        <f t="shared" si="42"/>
        <v>17.34604938271605</v>
      </c>
      <c r="AM213">
        <f t="shared" si="43"/>
        <v>15.997237928765433</v>
      </c>
      <c r="AP213" s="9"/>
      <c r="AQ213" s="22">
        <v>0.80779999999999996</v>
      </c>
      <c r="AR213" s="22">
        <v>26.113199999999999</v>
      </c>
      <c r="AS213" s="22">
        <v>-1.41113E-2</v>
      </c>
      <c r="AT213" s="22">
        <v>203</v>
      </c>
      <c r="AU213" s="22">
        <v>0.80627400000000005</v>
      </c>
      <c r="AV213">
        <f t="shared" si="44"/>
        <v>17.421358024691358</v>
      </c>
      <c r="AW213">
        <f t="shared" si="45"/>
        <v>14.072973012345678</v>
      </c>
      <c r="AX213" s="9"/>
      <c r="AY213" s="22">
        <v>0.92224099999999998</v>
      </c>
      <c r="AZ213" s="22">
        <v>29.992799999999999</v>
      </c>
      <c r="BA213" s="22">
        <v>-1.4071699999999999E-2</v>
      </c>
      <c r="BB213" s="22">
        <v>203</v>
      </c>
      <c r="BC213" s="22">
        <v>0.92132599999999998</v>
      </c>
      <c r="BD213">
        <f t="shared" si="46"/>
        <v>17.372469135802469</v>
      </c>
      <c r="BE213">
        <f t="shared" si="47"/>
        <v>16.021603308271605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7.2198099999999998</v>
      </c>
      <c r="I214" s="22">
        <v>-1.4053299999999999E-2</v>
      </c>
      <c r="J214" s="22">
        <v>204</v>
      </c>
      <c r="K214" s="22">
        <v>0.80139199999999999</v>
      </c>
      <c r="L214">
        <f t="shared" si="36"/>
        <v>17.349753086419753</v>
      </c>
      <c r="M214">
        <f t="shared" si="37"/>
        <v>13.927774536419752</v>
      </c>
      <c r="N214" s="9"/>
      <c r="O214" s="22">
        <v>0.92727700000000002</v>
      </c>
      <c r="P214" s="22">
        <v>11.099399999999999</v>
      </c>
      <c r="Q214" s="22">
        <v>-1.3986200000000001E-2</v>
      </c>
      <c r="R214" s="22">
        <v>204</v>
      </c>
      <c r="S214" s="22">
        <v>0.92651399999999995</v>
      </c>
      <c r="T214">
        <f t="shared" si="38"/>
        <v>17.266913580246914</v>
      </c>
      <c r="U214">
        <f t="shared" si="39"/>
        <v>16.011211823950617</v>
      </c>
      <c r="X214" s="9"/>
      <c r="Y214" s="22">
        <v>0.80276499999999995</v>
      </c>
      <c r="Z214" s="22">
        <v>16.713999999999999</v>
      </c>
      <c r="AA214" s="22">
        <v>-1.41174E-2</v>
      </c>
      <c r="AB214" s="22">
        <v>204</v>
      </c>
      <c r="AC214" s="22">
        <v>0.80169699999999999</v>
      </c>
      <c r="AD214">
        <f t="shared" si="40"/>
        <v>17.428888888888888</v>
      </c>
      <c r="AE214">
        <f t="shared" si="41"/>
        <v>13.991301988888887</v>
      </c>
      <c r="AF214" s="9"/>
      <c r="AG214" s="22">
        <v>0.92727700000000002</v>
      </c>
      <c r="AH214" s="22">
        <v>20.593599999999999</v>
      </c>
      <c r="AI214" s="22">
        <v>-1.4041100000000001E-2</v>
      </c>
      <c r="AJ214" s="22">
        <v>204</v>
      </c>
      <c r="AK214" s="22">
        <v>0.92651399999999995</v>
      </c>
      <c r="AL214">
        <f t="shared" si="42"/>
        <v>17.334691358024692</v>
      </c>
      <c r="AM214">
        <f t="shared" si="43"/>
        <v>16.074060598395061</v>
      </c>
      <c r="AP214" s="9"/>
      <c r="AQ214" s="22">
        <v>0.80276499999999995</v>
      </c>
      <c r="AR214" s="22">
        <v>26.1233</v>
      </c>
      <c r="AS214" s="22">
        <v>-1.41113E-2</v>
      </c>
      <c r="AT214" s="22">
        <v>204</v>
      </c>
      <c r="AU214" s="22">
        <v>0.80169699999999999</v>
      </c>
      <c r="AV214">
        <f t="shared" si="44"/>
        <v>17.421358024691358</v>
      </c>
      <c r="AW214">
        <f t="shared" si="45"/>
        <v>13.985256474691358</v>
      </c>
      <c r="AX214" s="9"/>
      <c r="AY214" s="22">
        <v>0.92727700000000002</v>
      </c>
      <c r="AZ214" s="22">
        <v>30.0029</v>
      </c>
      <c r="BA214" s="22">
        <v>-1.4068600000000001E-2</v>
      </c>
      <c r="BB214" s="22">
        <v>204</v>
      </c>
      <c r="BC214" s="22">
        <v>0.92620800000000003</v>
      </c>
      <c r="BD214">
        <f t="shared" si="46"/>
        <v>17.368641975308641</v>
      </c>
      <c r="BE214">
        <f t="shared" si="47"/>
        <v>16.105542224938272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7.2298799999999996</v>
      </c>
      <c r="I215" s="22">
        <v>-1.40503E-2</v>
      </c>
      <c r="J215" s="22">
        <v>205</v>
      </c>
      <c r="K215" s="22">
        <v>0.79681400000000002</v>
      </c>
      <c r="L215">
        <f t="shared" si="36"/>
        <v>17.34604938271605</v>
      </c>
      <c r="M215">
        <f t="shared" si="37"/>
        <v>13.837446628024692</v>
      </c>
      <c r="N215" s="9"/>
      <c r="O215" s="22">
        <v>0.93231200000000003</v>
      </c>
      <c r="P215" s="22">
        <v>11.109500000000001</v>
      </c>
      <c r="Q215" s="22">
        <v>-1.3986200000000001E-2</v>
      </c>
      <c r="R215" s="22">
        <v>205</v>
      </c>
      <c r="S215" s="22">
        <v>0.930786</v>
      </c>
      <c r="T215">
        <f t="shared" si="38"/>
        <v>17.266913580246914</v>
      </c>
      <c r="U215">
        <f t="shared" si="39"/>
        <v>16.098150733827161</v>
      </c>
      <c r="X215" s="9"/>
      <c r="Y215" s="22">
        <v>0.79772900000000002</v>
      </c>
      <c r="Z215" s="22">
        <v>16.7241</v>
      </c>
      <c r="AA215" s="22">
        <v>-1.41174E-2</v>
      </c>
      <c r="AB215" s="22">
        <v>205</v>
      </c>
      <c r="AC215" s="22">
        <v>0.79650900000000002</v>
      </c>
      <c r="AD215">
        <f t="shared" si="40"/>
        <v>17.428888888888888</v>
      </c>
      <c r="AE215">
        <f t="shared" si="41"/>
        <v>13.903530104444444</v>
      </c>
      <c r="AF215" s="9"/>
      <c r="AG215" s="22">
        <v>0.93231200000000003</v>
      </c>
      <c r="AH215" s="22">
        <v>20.6037</v>
      </c>
      <c r="AI215" s="22">
        <v>-1.40381E-2</v>
      </c>
      <c r="AJ215" s="22">
        <v>205</v>
      </c>
      <c r="AK215" s="22">
        <v>0.931091</v>
      </c>
      <c r="AL215">
        <f t="shared" si="42"/>
        <v>17.330987654320985</v>
      </c>
      <c r="AM215">
        <f t="shared" si="43"/>
        <v>16.157887761975307</v>
      </c>
      <c r="AP215" s="9"/>
      <c r="AQ215" s="22">
        <v>0.79772900000000002</v>
      </c>
      <c r="AR215" s="22">
        <v>26.133299999999998</v>
      </c>
      <c r="AS215" s="22">
        <v>-1.4120499999999999E-2</v>
      </c>
      <c r="AT215" s="22">
        <v>205</v>
      </c>
      <c r="AU215" s="22">
        <v>0.79681400000000002</v>
      </c>
      <c r="AV215">
        <f t="shared" si="44"/>
        <v>17.432716049382716</v>
      </c>
      <c r="AW215">
        <f t="shared" si="45"/>
        <v>13.906583141358025</v>
      </c>
      <c r="AX215" s="9"/>
      <c r="AY215" s="22">
        <v>0.93231200000000003</v>
      </c>
      <c r="AZ215" s="22">
        <v>30.012899999999998</v>
      </c>
      <c r="BA215" s="22">
        <v>-1.40625E-2</v>
      </c>
      <c r="BB215" s="22">
        <v>205</v>
      </c>
      <c r="BC215" s="22">
        <v>0.931396</v>
      </c>
      <c r="BD215">
        <f t="shared" si="46"/>
        <v>17.361111111111111</v>
      </c>
      <c r="BE215">
        <f t="shared" si="47"/>
        <v>16.185972222222222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7.2399500000000003</v>
      </c>
      <c r="I216" s="22">
        <v>-1.4047199999999999E-2</v>
      </c>
      <c r="J216" s="22">
        <v>206</v>
      </c>
      <c r="K216" s="22">
        <v>0.79193100000000005</v>
      </c>
      <c r="L216">
        <f t="shared" si="36"/>
        <v>17.342222222222222</v>
      </c>
      <c r="M216">
        <f t="shared" si="37"/>
        <v>13.747075502222222</v>
      </c>
      <c r="N216" s="9"/>
      <c r="O216" s="22">
        <v>0.93734700000000004</v>
      </c>
      <c r="P216" s="22">
        <v>11.1196</v>
      </c>
      <c r="Q216" s="22">
        <v>-1.3992299999999999E-2</v>
      </c>
      <c r="R216" s="22">
        <v>206</v>
      </c>
      <c r="S216" s="22">
        <v>0.93627899999999997</v>
      </c>
      <c r="T216">
        <f t="shared" si="38"/>
        <v>17.274444444444445</v>
      </c>
      <c r="U216">
        <f t="shared" si="39"/>
        <v>16.192148676666669</v>
      </c>
      <c r="X216" s="9"/>
      <c r="Y216" s="22">
        <v>0.79269400000000001</v>
      </c>
      <c r="Z216" s="22">
        <v>16.734200000000001</v>
      </c>
      <c r="AA216" s="22">
        <v>-1.4120499999999999E-2</v>
      </c>
      <c r="AB216" s="22">
        <v>206</v>
      </c>
      <c r="AC216" s="22">
        <v>0.79132100000000005</v>
      </c>
      <c r="AD216">
        <f t="shared" si="40"/>
        <v>17.432716049382716</v>
      </c>
      <c r="AE216">
        <f t="shared" si="41"/>
        <v>13.818809416049383</v>
      </c>
      <c r="AF216" s="9"/>
      <c r="AG216" s="22">
        <v>0.93734700000000004</v>
      </c>
      <c r="AH216" s="22">
        <v>20.613800000000001</v>
      </c>
      <c r="AI216" s="22">
        <v>-1.4035000000000001E-2</v>
      </c>
      <c r="AJ216" s="22">
        <v>206</v>
      </c>
      <c r="AK216" s="22">
        <v>0.93658399999999997</v>
      </c>
      <c r="AL216">
        <f t="shared" si="42"/>
        <v>17.327160493827162</v>
      </c>
      <c r="AM216">
        <f t="shared" si="43"/>
        <v>16.241561907407409</v>
      </c>
      <c r="AP216" s="9"/>
      <c r="AQ216" s="22">
        <v>0.79269400000000001</v>
      </c>
      <c r="AR216" s="22">
        <v>26.1434</v>
      </c>
      <c r="AS216" s="22">
        <v>-1.4123500000000001E-2</v>
      </c>
      <c r="AT216" s="22">
        <v>206</v>
      </c>
      <c r="AU216" s="22">
        <v>0.79223600000000005</v>
      </c>
      <c r="AV216">
        <f t="shared" si="44"/>
        <v>17.436419753086419</v>
      </c>
      <c r="AW216">
        <f t="shared" si="45"/>
        <v>13.821745319753086</v>
      </c>
      <c r="AX216" s="9"/>
      <c r="AY216" s="22">
        <v>0.93734700000000004</v>
      </c>
      <c r="AZ216" s="22">
        <v>30.023</v>
      </c>
      <c r="BA216" s="22">
        <v>-1.4065599999999999E-2</v>
      </c>
      <c r="BB216" s="22">
        <v>206</v>
      </c>
      <c r="BC216" s="22">
        <v>0.93627899999999997</v>
      </c>
      <c r="BD216">
        <f t="shared" si="46"/>
        <v>17.364938271604938</v>
      </c>
      <c r="BE216">
        <f t="shared" si="47"/>
        <v>16.276972794074073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7.2500200000000001</v>
      </c>
      <c r="I217" s="22">
        <v>-1.4041100000000001E-2</v>
      </c>
      <c r="J217" s="22">
        <v>207</v>
      </c>
      <c r="K217" s="22">
        <v>0.78643799999999997</v>
      </c>
      <c r="L217">
        <f t="shared" si="36"/>
        <v>17.334691358024692</v>
      </c>
      <c r="M217">
        <f t="shared" si="37"/>
        <v>13.653825660370371</v>
      </c>
      <c r="N217" s="9"/>
      <c r="O217" s="22">
        <v>0.94238299999999997</v>
      </c>
      <c r="P217" s="22">
        <v>11.1296</v>
      </c>
      <c r="Q217" s="22">
        <v>-1.39954E-2</v>
      </c>
      <c r="R217" s="22">
        <v>207</v>
      </c>
      <c r="S217" s="22">
        <v>0.94116200000000005</v>
      </c>
      <c r="T217">
        <f t="shared" si="38"/>
        <v>17.278271604938272</v>
      </c>
      <c r="U217">
        <f t="shared" si="39"/>
        <v>16.282749429876542</v>
      </c>
      <c r="X217" s="9"/>
      <c r="Y217" s="22">
        <v>0.787659</v>
      </c>
      <c r="Z217" s="22">
        <v>16.744199999999999</v>
      </c>
      <c r="AA217" s="22">
        <v>-1.4114399999999999E-2</v>
      </c>
      <c r="AB217" s="22">
        <v>207</v>
      </c>
      <c r="AC217" s="22">
        <v>0.787354</v>
      </c>
      <c r="AD217">
        <f t="shared" si="40"/>
        <v>17.425185185185182</v>
      </c>
      <c r="AE217">
        <f t="shared" si="41"/>
        <v>13.725103937777774</v>
      </c>
      <c r="AF217" s="9"/>
      <c r="AG217" s="22">
        <v>0.94238299999999997</v>
      </c>
      <c r="AH217" s="22">
        <v>20.623899999999999</v>
      </c>
      <c r="AI217" s="22">
        <v>-1.4035000000000001E-2</v>
      </c>
      <c r="AJ217" s="22">
        <v>207</v>
      </c>
      <c r="AK217" s="22">
        <v>0.94116200000000005</v>
      </c>
      <c r="AL217">
        <f t="shared" si="42"/>
        <v>17.327160493827162</v>
      </c>
      <c r="AM217">
        <f t="shared" si="43"/>
        <v>16.32882148765432</v>
      </c>
      <c r="AP217" s="9"/>
      <c r="AQ217" s="22">
        <v>0.787659</v>
      </c>
      <c r="AR217" s="22">
        <v>26.153500000000001</v>
      </c>
      <c r="AS217" s="22">
        <v>-1.41327E-2</v>
      </c>
      <c r="AT217" s="22">
        <v>207</v>
      </c>
      <c r="AU217" s="22">
        <v>0.78704799999999997</v>
      </c>
      <c r="AV217">
        <f t="shared" si="44"/>
        <v>17.447777777777777</v>
      </c>
      <c r="AW217">
        <f t="shared" si="45"/>
        <v>13.742899196666666</v>
      </c>
      <c r="AX217" s="9"/>
      <c r="AY217" s="22">
        <v>0.94238299999999997</v>
      </c>
      <c r="AZ217" s="22">
        <v>30.033100000000001</v>
      </c>
      <c r="BA217" s="22">
        <v>-1.4068600000000001E-2</v>
      </c>
      <c r="BB217" s="22">
        <v>207</v>
      </c>
      <c r="BC217" s="22">
        <v>0.94116200000000005</v>
      </c>
      <c r="BD217">
        <f t="shared" si="46"/>
        <v>17.368641975308641</v>
      </c>
      <c r="BE217">
        <f t="shared" si="47"/>
        <v>16.367912930617283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7.2600899999999999</v>
      </c>
      <c r="I218" s="22">
        <v>-1.4041100000000001E-2</v>
      </c>
      <c r="J218" s="22">
        <v>208</v>
      </c>
      <c r="K218" s="22">
        <v>0.78186</v>
      </c>
      <c r="L218">
        <f t="shared" si="36"/>
        <v>17.334691358024692</v>
      </c>
      <c r="M218">
        <f t="shared" si="37"/>
        <v>13.566528154691358</v>
      </c>
      <c r="N218" s="9"/>
      <c r="O218" s="22">
        <v>0.94741799999999998</v>
      </c>
      <c r="P218" s="22">
        <v>11.139699999999999</v>
      </c>
      <c r="Q218" s="22">
        <v>-1.3992299999999999E-2</v>
      </c>
      <c r="R218" s="22">
        <v>208</v>
      </c>
      <c r="S218" s="22">
        <v>0.94635000000000002</v>
      </c>
      <c r="T218">
        <f t="shared" si="38"/>
        <v>17.274444444444445</v>
      </c>
      <c r="U218">
        <f t="shared" si="39"/>
        <v>16.366119606666668</v>
      </c>
      <c r="X218" s="9"/>
      <c r="Y218" s="22">
        <v>0.78262299999999996</v>
      </c>
      <c r="Z218" s="22">
        <v>16.754300000000001</v>
      </c>
      <c r="AA218" s="22">
        <v>-1.41113E-2</v>
      </c>
      <c r="AB218" s="22">
        <v>208</v>
      </c>
      <c r="AC218" s="22">
        <v>0.78125</v>
      </c>
      <c r="AD218">
        <f t="shared" si="40"/>
        <v>17.421358024691358</v>
      </c>
      <c r="AE218">
        <f t="shared" si="41"/>
        <v>13.634355481358025</v>
      </c>
      <c r="AF218" s="9"/>
      <c r="AG218" s="22">
        <v>0.94741799999999998</v>
      </c>
      <c r="AH218" s="22">
        <v>20.633900000000001</v>
      </c>
      <c r="AI218" s="22">
        <v>-1.40289E-2</v>
      </c>
      <c r="AJ218" s="22">
        <v>208</v>
      </c>
      <c r="AK218" s="22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2">
        <v>0.78262299999999996</v>
      </c>
      <c r="AR218" s="22">
        <v>26.163499999999999</v>
      </c>
      <c r="AS218" s="22">
        <v>-1.41418E-2</v>
      </c>
      <c r="AT218" s="22">
        <v>208</v>
      </c>
      <c r="AU218" s="22">
        <v>0.78216600000000003</v>
      </c>
      <c r="AV218">
        <f t="shared" si="44"/>
        <v>17.45901234567901</v>
      </c>
      <c r="AW218">
        <f t="shared" si="45"/>
        <v>13.663824619012344</v>
      </c>
      <c r="AX218" s="9"/>
      <c r="AY218" s="22">
        <v>0.94741799999999998</v>
      </c>
      <c r="AZ218" s="22">
        <v>30.043199999999999</v>
      </c>
      <c r="BA218" s="22">
        <v>-1.40625E-2</v>
      </c>
      <c r="BB218" s="22">
        <v>208</v>
      </c>
      <c r="BC218" s="22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7.2701599999999997</v>
      </c>
      <c r="I219" s="22">
        <v>-1.40381E-2</v>
      </c>
      <c r="J219" s="22">
        <v>209</v>
      </c>
      <c r="K219" s="22">
        <v>0.77636700000000003</v>
      </c>
      <c r="L219">
        <f t="shared" si="36"/>
        <v>17.330987654320985</v>
      </c>
      <c r="M219">
        <f t="shared" si="37"/>
        <v>13.476368028148146</v>
      </c>
      <c r="N219" s="9"/>
      <c r="O219" s="22">
        <v>0.95245400000000002</v>
      </c>
      <c r="P219" s="22">
        <v>11.149800000000001</v>
      </c>
      <c r="Q219" s="22">
        <v>-1.3992299999999999E-2</v>
      </c>
      <c r="R219" s="22">
        <v>209</v>
      </c>
      <c r="S219" s="22">
        <v>0.95184299999999999</v>
      </c>
      <c r="T219">
        <f t="shared" si="38"/>
        <v>17.274444444444445</v>
      </c>
      <c r="U219">
        <f t="shared" si="39"/>
        <v>16.453113708888889</v>
      </c>
      <c r="X219" s="9"/>
      <c r="Y219" s="22">
        <v>0.77758799999999995</v>
      </c>
      <c r="Z219" s="22">
        <v>16.764399999999998</v>
      </c>
      <c r="AA219" s="22">
        <v>-1.41052E-2</v>
      </c>
      <c r="AB219" s="22">
        <v>209</v>
      </c>
      <c r="AC219" s="22">
        <v>0.77606200000000003</v>
      </c>
      <c r="AD219">
        <f t="shared" si="40"/>
        <v>17.413827160493828</v>
      </c>
      <c r="AE219">
        <f t="shared" si="41"/>
        <v>13.540783034074073</v>
      </c>
      <c r="AF219" s="9"/>
      <c r="AG219" s="22">
        <v>0.95245400000000002</v>
      </c>
      <c r="AH219" s="22">
        <v>20.643999999999998</v>
      </c>
      <c r="AI219" s="22">
        <v>-1.4035000000000001E-2</v>
      </c>
      <c r="AJ219" s="22">
        <v>209</v>
      </c>
      <c r="AK219" s="22">
        <v>0.95153799999999999</v>
      </c>
      <c r="AL219">
        <f t="shared" si="42"/>
        <v>17.327160493827162</v>
      </c>
      <c r="AM219">
        <f t="shared" si="43"/>
        <v>16.503323320987654</v>
      </c>
      <c r="AP219" s="9"/>
      <c r="AQ219" s="22">
        <v>0.77758799999999995</v>
      </c>
      <c r="AR219" s="22">
        <v>26.1736</v>
      </c>
      <c r="AS219" s="22">
        <v>-1.4151E-2</v>
      </c>
      <c r="AT219" s="22">
        <v>209</v>
      </c>
      <c r="AU219" s="22">
        <v>0.77636700000000003</v>
      </c>
      <c r="AV219">
        <f t="shared" si="44"/>
        <v>17.470370370370368</v>
      </c>
      <c r="AW219">
        <f t="shared" si="45"/>
        <v>13.584750355555553</v>
      </c>
      <c r="AX219" s="9"/>
      <c r="AY219" s="22">
        <v>0.95245400000000002</v>
      </c>
      <c r="AZ219" s="22">
        <v>30.0532</v>
      </c>
      <c r="BA219" s="22">
        <v>-1.4053299999999999E-2</v>
      </c>
      <c r="BB219" s="22">
        <v>209</v>
      </c>
      <c r="BC219" s="22">
        <v>0.95184299999999999</v>
      </c>
      <c r="BD219">
        <f t="shared" si="46"/>
        <v>17.349753086419753</v>
      </c>
      <c r="BE219">
        <f t="shared" si="47"/>
        <v>16.524841726172841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7.2802300000000004</v>
      </c>
      <c r="I220" s="22">
        <v>-1.4041100000000001E-2</v>
      </c>
      <c r="J220" s="22">
        <v>210</v>
      </c>
      <c r="K220" s="22">
        <v>0.77148399999999995</v>
      </c>
      <c r="L220">
        <f t="shared" si="36"/>
        <v>17.334691358024692</v>
      </c>
      <c r="M220">
        <f t="shared" si="37"/>
        <v>13.391950478024691</v>
      </c>
      <c r="N220" s="9"/>
      <c r="O220" s="22">
        <v>0.95748900000000003</v>
      </c>
      <c r="P220" s="22">
        <v>11.159800000000001</v>
      </c>
      <c r="Q220" s="22">
        <v>-1.39954E-2</v>
      </c>
      <c r="R220" s="22">
        <v>210</v>
      </c>
      <c r="S220" s="22">
        <v>0.95611599999999997</v>
      </c>
      <c r="T220">
        <f t="shared" si="38"/>
        <v>17.278271604938272</v>
      </c>
      <c r="U220">
        <f t="shared" si="39"/>
        <v>16.543755000740742</v>
      </c>
      <c r="X220" s="9"/>
      <c r="Y220" s="22">
        <v>0.77255200000000002</v>
      </c>
      <c r="Z220" s="22">
        <v>16.7745</v>
      </c>
      <c r="AA220" s="22">
        <v>-1.4114399999999999E-2</v>
      </c>
      <c r="AB220" s="22">
        <v>210</v>
      </c>
      <c r="AC220" s="22">
        <v>0.77117899999999995</v>
      </c>
      <c r="AD220">
        <f t="shared" si="40"/>
        <v>17.425185185185182</v>
      </c>
      <c r="AE220">
        <f t="shared" si="41"/>
        <v>13.461861665185182</v>
      </c>
      <c r="AF220" s="9"/>
      <c r="AG220" s="22">
        <v>0.95748900000000003</v>
      </c>
      <c r="AH220" s="22">
        <v>20.6541</v>
      </c>
      <c r="AI220" s="22">
        <v>-1.4035000000000001E-2</v>
      </c>
      <c r="AJ220" s="22">
        <v>210</v>
      </c>
      <c r="AK220" s="22">
        <v>0.95581099999999997</v>
      </c>
      <c r="AL220">
        <f t="shared" si="42"/>
        <v>17.327160493827162</v>
      </c>
      <c r="AM220">
        <f t="shared" si="43"/>
        <v>16.590565574074077</v>
      </c>
      <c r="AP220" s="9"/>
      <c r="AQ220" s="22">
        <v>0.77255200000000002</v>
      </c>
      <c r="AR220" s="22">
        <v>26.183700000000002</v>
      </c>
      <c r="AS220" s="22">
        <v>-1.41602E-2</v>
      </c>
      <c r="AT220" s="22">
        <v>210</v>
      </c>
      <c r="AU220" s="22">
        <v>0.77148399999999995</v>
      </c>
      <c r="AV220">
        <f t="shared" si="44"/>
        <v>17.481728395061729</v>
      </c>
      <c r="AW220">
        <f t="shared" si="45"/>
        <v>13.505544235061729</v>
      </c>
      <c r="AX220" s="9"/>
      <c r="AY220" s="22">
        <v>0.95748900000000003</v>
      </c>
      <c r="AZ220" s="22">
        <v>30.063300000000002</v>
      </c>
      <c r="BA220" s="22">
        <v>-1.40503E-2</v>
      </c>
      <c r="BB220" s="22">
        <v>210</v>
      </c>
      <c r="BC220" s="22">
        <v>0.95642099999999997</v>
      </c>
      <c r="BD220">
        <f t="shared" si="46"/>
        <v>17.34604938271605</v>
      </c>
      <c r="BE220">
        <f t="shared" si="47"/>
        <v>16.60865147740741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7.2903000000000002</v>
      </c>
      <c r="I221" s="22">
        <v>-1.4041100000000001E-2</v>
      </c>
      <c r="J221" s="22">
        <v>211</v>
      </c>
      <c r="K221" s="22">
        <v>0.76629599999999998</v>
      </c>
      <c r="L221">
        <f t="shared" si="36"/>
        <v>17.334691358024692</v>
      </c>
      <c r="M221">
        <f t="shared" si="37"/>
        <v>13.304670307037037</v>
      </c>
      <c r="N221" s="9"/>
      <c r="O221" s="22">
        <v>0.96252400000000005</v>
      </c>
      <c r="P221" s="22">
        <v>11.1699</v>
      </c>
      <c r="Q221" s="22">
        <v>-1.3998399999999999E-2</v>
      </c>
      <c r="R221" s="22">
        <v>211</v>
      </c>
      <c r="S221" s="22">
        <v>0.96130400000000005</v>
      </c>
      <c r="T221">
        <f t="shared" si="38"/>
        <v>17.281975308641975</v>
      </c>
      <c r="U221">
        <f t="shared" si="39"/>
        <v>16.634316001975311</v>
      </c>
      <c r="X221" s="9"/>
      <c r="Y221" s="22">
        <v>0.767517</v>
      </c>
      <c r="Z221" s="22">
        <v>16.784500000000001</v>
      </c>
      <c r="AA221" s="22">
        <v>-1.4120499999999999E-2</v>
      </c>
      <c r="AB221" s="22">
        <v>211</v>
      </c>
      <c r="AC221" s="22">
        <v>0.76660200000000001</v>
      </c>
      <c r="AD221">
        <f t="shared" si="40"/>
        <v>17.432716049382716</v>
      </c>
      <c r="AE221">
        <f t="shared" si="41"/>
        <v>13.379905924074073</v>
      </c>
      <c r="AF221" s="9"/>
      <c r="AG221" s="22">
        <v>0.96252400000000005</v>
      </c>
      <c r="AH221" s="22">
        <v>20.664100000000001</v>
      </c>
      <c r="AI221" s="22">
        <v>-1.4035000000000001E-2</v>
      </c>
      <c r="AJ221" s="22">
        <v>211</v>
      </c>
      <c r="AK221" s="22">
        <v>0.96191400000000005</v>
      </c>
      <c r="AL221">
        <f t="shared" si="42"/>
        <v>17.327160493827162</v>
      </c>
      <c r="AM221">
        <f t="shared" si="43"/>
        <v>16.677807827160496</v>
      </c>
      <c r="AP221" s="9"/>
      <c r="AQ221" s="22">
        <v>0.767517</v>
      </c>
      <c r="AR221" s="22">
        <v>26.1938</v>
      </c>
      <c r="AS221" s="22">
        <v>-1.41663E-2</v>
      </c>
      <c r="AT221" s="22">
        <v>211</v>
      </c>
      <c r="AU221" s="22">
        <v>0.767517</v>
      </c>
      <c r="AV221">
        <f t="shared" si="44"/>
        <v>17.489259259259256</v>
      </c>
      <c r="AW221">
        <f t="shared" si="45"/>
        <v>13.423303798888886</v>
      </c>
      <c r="AX221" s="9"/>
      <c r="AY221" s="22">
        <v>0.96252400000000005</v>
      </c>
      <c r="AZ221" s="22">
        <v>30.073399999999999</v>
      </c>
      <c r="BA221" s="22">
        <v>-1.4047199999999999E-2</v>
      </c>
      <c r="BB221" s="22">
        <v>211</v>
      </c>
      <c r="BC221" s="22">
        <v>0.96160900000000005</v>
      </c>
      <c r="BD221">
        <f t="shared" si="46"/>
        <v>17.342222222222222</v>
      </c>
      <c r="BE221">
        <f t="shared" si="47"/>
        <v>16.692305102222225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7.30037</v>
      </c>
      <c r="I222" s="22">
        <v>-1.40381E-2</v>
      </c>
      <c r="J222" s="22">
        <v>212</v>
      </c>
      <c r="K222" s="22">
        <v>0.76141400000000004</v>
      </c>
      <c r="L222">
        <f t="shared" si="36"/>
        <v>17.330987654320985</v>
      </c>
      <c r="M222">
        <f t="shared" si="37"/>
        <v>13.214566128641973</v>
      </c>
      <c r="N222" s="9"/>
      <c r="O222" s="22">
        <v>0.96755999999999998</v>
      </c>
      <c r="P222" s="22">
        <v>11.18</v>
      </c>
      <c r="Q222" s="22">
        <v>-1.3992299999999999E-2</v>
      </c>
      <c r="R222" s="22">
        <v>212</v>
      </c>
      <c r="S222" s="22">
        <v>0.96588099999999999</v>
      </c>
      <c r="T222">
        <f t="shared" si="38"/>
        <v>17.274444444444445</v>
      </c>
      <c r="U222">
        <f t="shared" si="39"/>
        <v>16.714061466666667</v>
      </c>
      <c r="X222" s="9"/>
      <c r="Y222" s="22">
        <v>0.76248199999999999</v>
      </c>
      <c r="Z222" s="22">
        <v>16.794599999999999</v>
      </c>
      <c r="AA222" s="22">
        <v>-1.4123500000000001E-2</v>
      </c>
      <c r="AB222" s="22">
        <v>212</v>
      </c>
      <c r="AC222" s="22">
        <v>0.76110800000000001</v>
      </c>
      <c r="AD222">
        <f t="shared" si="40"/>
        <v>17.436419753086419</v>
      </c>
      <c r="AE222">
        <f t="shared" si="41"/>
        <v>13.294956206172838</v>
      </c>
      <c r="AF222" s="9"/>
      <c r="AG222" s="22">
        <v>0.96755999999999998</v>
      </c>
      <c r="AH222" s="22">
        <v>20.674199999999999</v>
      </c>
      <c r="AI222" s="22">
        <v>-1.40289E-2</v>
      </c>
      <c r="AJ222" s="22">
        <v>212</v>
      </c>
      <c r="AK222" s="22">
        <v>0.96710200000000002</v>
      </c>
      <c r="AL222">
        <f t="shared" si="42"/>
        <v>17.319629629629631</v>
      </c>
      <c r="AM222">
        <f t="shared" si="43"/>
        <v>16.757780844444447</v>
      </c>
      <c r="AP222" s="9"/>
      <c r="AQ222" s="22">
        <v>0.76248199999999999</v>
      </c>
      <c r="AR222" s="22">
        <v>26.203800000000001</v>
      </c>
      <c r="AS222" s="22">
        <v>-1.41724E-2</v>
      </c>
      <c r="AT222" s="22">
        <v>212</v>
      </c>
      <c r="AU222" s="22">
        <v>0.76110800000000001</v>
      </c>
      <c r="AV222">
        <f t="shared" si="44"/>
        <v>17.496790123456787</v>
      </c>
      <c r="AW222">
        <f t="shared" si="45"/>
        <v>13.340987526913578</v>
      </c>
      <c r="AX222" s="9"/>
      <c r="AY222" s="22">
        <v>0.96755999999999998</v>
      </c>
      <c r="AZ222" s="22">
        <v>30.083400000000001</v>
      </c>
      <c r="BA222" s="22">
        <v>-1.40381E-2</v>
      </c>
      <c r="BB222" s="22">
        <v>212</v>
      </c>
      <c r="BC222" s="22">
        <v>0.96649200000000002</v>
      </c>
      <c r="BD222">
        <f t="shared" si="46"/>
        <v>17.330987654320985</v>
      </c>
      <c r="BE222">
        <f t="shared" si="47"/>
        <v>16.768770414814814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7.3104399999999998</v>
      </c>
      <c r="I223" s="22">
        <v>-1.40289E-2</v>
      </c>
      <c r="J223" s="22">
        <v>213</v>
      </c>
      <c r="K223" s="22">
        <v>0.75653099999999995</v>
      </c>
      <c r="L223">
        <f t="shared" si="36"/>
        <v>17.319629629629631</v>
      </c>
      <c r="M223">
        <f t="shared" si="37"/>
        <v>13.118684184444446</v>
      </c>
      <c r="N223" s="9"/>
      <c r="O223" s="22">
        <v>0.97259499999999999</v>
      </c>
      <c r="P223" s="22">
        <v>11.190099999999999</v>
      </c>
      <c r="Q223" s="22">
        <v>-1.39893E-2</v>
      </c>
      <c r="R223" s="22">
        <v>213</v>
      </c>
      <c r="S223" s="22">
        <v>0.97137499999999999</v>
      </c>
      <c r="T223">
        <f t="shared" si="38"/>
        <v>17.270740740740738</v>
      </c>
      <c r="U223">
        <f t="shared" si="39"/>
        <v>16.797436090740739</v>
      </c>
      <c r="X223" s="9"/>
      <c r="Y223" s="22">
        <v>0.75744599999999995</v>
      </c>
      <c r="Z223" s="22">
        <v>16.8047</v>
      </c>
      <c r="AA223" s="22">
        <v>-1.4123500000000001E-2</v>
      </c>
      <c r="AB223" s="22">
        <v>213</v>
      </c>
      <c r="AC223" s="22">
        <v>0.75653099999999995</v>
      </c>
      <c r="AD223">
        <f t="shared" si="40"/>
        <v>17.436419753086419</v>
      </c>
      <c r="AE223">
        <f t="shared" si="41"/>
        <v>13.207146396296295</v>
      </c>
      <c r="AF223" s="9"/>
      <c r="AG223" s="22">
        <v>0.97259499999999999</v>
      </c>
      <c r="AH223" s="22">
        <v>20.6843</v>
      </c>
      <c r="AI223" s="22">
        <v>-1.40228E-2</v>
      </c>
      <c r="AJ223" s="22">
        <v>213</v>
      </c>
      <c r="AK223" s="22">
        <v>0.97167999999999999</v>
      </c>
      <c r="AL223">
        <f t="shared" si="42"/>
        <v>17.312098765432097</v>
      </c>
      <c r="AM223">
        <f t="shared" si="43"/>
        <v>16.837660698765429</v>
      </c>
      <c r="AP223" s="9"/>
      <c r="AQ223" s="22">
        <v>0.75744599999999995</v>
      </c>
      <c r="AR223" s="22">
        <v>26.213899999999999</v>
      </c>
      <c r="AS223" s="22">
        <v>-1.41785E-2</v>
      </c>
      <c r="AT223" s="22">
        <v>213</v>
      </c>
      <c r="AU223" s="22">
        <v>0.75622599999999995</v>
      </c>
      <c r="AV223">
        <f t="shared" si="44"/>
        <v>17.504320987654321</v>
      </c>
      <c r="AW223">
        <f t="shared" si="45"/>
        <v>13.258577914814813</v>
      </c>
      <c r="AX223" s="9"/>
      <c r="AY223" s="22">
        <v>0.97259499999999999</v>
      </c>
      <c r="AZ223" s="22">
        <v>30.093499999999999</v>
      </c>
      <c r="BA223" s="22">
        <v>-1.4031999999999999E-2</v>
      </c>
      <c r="BB223" s="22">
        <v>213</v>
      </c>
      <c r="BC223" s="22">
        <v>0.97167999999999999</v>
      </c>
      <c r="BD223">
        <f t="shared" si="46"/>
        <v>17.323456790123455</v>
      </c>
      <c r="BE223">
        <f t="shared" si="47"/>
        <v>16.84870745679012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7.3205200000000001</v>
      </c>
      <c r="I224" s="22">
        <v>-1.40228E-2</v>
      </c>
      <c r="J224" s="22">
        <v>214</v>
      </c>
      <c r="K224" s="22">
        <v>0.75134299999999998</v>
      </c>
      <c r="L224">
        <f t="shared" si="36"/>
        <v>17.312098765432097</v>
      </c>
      <c r="M224">
        <f t="shared" si="37"/>
        <v>13.025813544197531</v>
      </c>
      <c r="N224" s="9"/>
      <c r="O224" s="22">
        <v>0.97763100000000003</v>
      </c>
      <c r="P224" s="22">
        <v>11.200100000000001</v>
      </c>
      <c r="Q224" s="22">
        <v>-1.3980100000000001E-2</v>
      </c>
      <c r="R224" s="22">
        <v>214</v>
      </c>
      <c r="S224" s="22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2">
        <v>0.75241100000000005</v>
      </c>
      <c r="Z224" s="22">
        <v>16.814699999999998</v>
      </c>
      <c r="AA224" s="22">
        <v>-1.4123500000000001E-2</v>
      </c>
      <c r="AB224" s="22">
        <v>214</v>
      </c>
      <c r="AC224" s="22">
        <v>0.75164799999999998</v>
      </c>
      <c r="AD224">
        <f t="shared" si="40"/>
        <v>17.436419753086419</v>
      </c>
      <c r="AE224">
        <f t="shared" si="41"/>
        <v>13.119354022839506</v>
      </c>
      <c r="AF224" s="9"/>
      <c r="AG224" s="22">
        <v>0.97763100000000003</v>
      </c>
      <c r="AH224" s="22">
        <v>20.694400000000002</v>
      </c>
      <c r="AI224" s="22">
        <v>-1.4031999999999999E-2</v>
      </c>
      <c r="AJ224" s="22">
        <v>214</v>
      </c>
      <c r="AK224" s="22">
        <v>0.97625700000000004</v>
      </c>
      <c r="AL224">
        <f t="shared" si="42"/>
        <v>17.323456790123455</v>
      </c>
      <c r="AM224">
        <f t="shared" si="43"/>
        <v>16.935948385185185</v>
      </c>
      <c r="AP224" s="9"/>
      <c r="AQ224" s="22">
        <v>0.75241100000000005</v>
      </c>
      <c r="AR224" s="22">
        <v>26.224</v>
      </c>
      <c r="AS224" s="22">
        <v>-1.41846E-2</v>
      </c>
      <c r="AT224" s="22">
        <v>214</v>
      </c>
      <c r="AU224" s="22">
        <v>0.75134299999999998</v>
      </c>
      <c r="AV224">
        <f t="shared" si="44"/>
        <v>17.511851851851851</v>
      </c>
      <c r="AW224">
        <f t="shared" si="45"/>
        <v>13.176109963703704</v>
      </c>
      <c r="AX224" s="9"/>
      <c r="AY224" s="22">
        <v>0.97763100000000003</v>
      </c>
      <c r="AZ224" s="22">
        <v>30.1036</v>
      </c>
      <c r="BA224" s="22">
        <v>-1.40228E-2</v>
      </c>
      <c r="BB224" s="22">
        <v>214</v>
      </c>
      <c r="BC224" s="22">
        <v>0.97656299999999996</v>
      </c>
      <c r="BD224">
        <f t="shared" si="46"/>
        <v>17.312098765432097</v>
      </c>
      <c r="BE224">
        <f t="shared" si="47"/>
        <v>16.924844428148148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7.3305899999999999</v>
      </c>
      <c r="I225" s="22">
        <v>-1.4019800000000001E-2</v>
      </c>
      <c r="J225" s="22">
        <v>215</v>
      </c>
      <c r="K225" s="22">
        <v>0.74661299999999997</v>
      </c>
      <c r="L225">
        <f t="shared" si="36"/>
        <v>17.308395061728394</v>
      </c>
      <c r="M225">
        <f t="shared" si="37"/>
        <v>12.935861759259259</v>
      </c>
      <c r="N225" s="9"/>
      <c r="O225" s="22">
        <v>0.98266600000000004</v>
      </c>
      <c r="P225" s="22">
        <v>11.2102</v>
      </c>
      <c r="Q225" s="22">
        <v>-1.39679E-2</v>
      </c>
      <c r="R225" s="22">
        <v>215</v>
      </c>
      <c r="S225" s="22">
        <v>0.98114000000000001</v>
      </c>
      <c r="T225">
        <f t="shared" si="38"/>
        <v>17.244320987654319</v>
      </c>
      <c r="U225">
        <f t="shared" si="39"/>
        <v>16.945407927654319</v>
      </c>
      <c r="X225" s="9"/>
      <c r="Y225" s="22">
        <v>0.74737500000000001</v>
      </c>
      <c r="Z225" s="22">
        <v>16.8248</v>
      </c>
      <c r="AA225" s="22">
        <v>-1.41266E-2</v>
      </c>
      <c r="AB225" s="22">
        <v>215</v>
      </c>
      <c r="AC225" s="22">
        <v>0.74655199999999999</v>
      </c>
      <c r="AD225">
        <f t="shared" si="40"/>
        <v>17.440246913580246</v>
      </c>
      <c r="AE225">
        <f t="shared" si="41"/>
        <v>13.034404537037037</v>
      </c>
      <c r="AF225" s="9"/>
      <c r="AG225" s="22">
        <v>0.98266600000000004</v>
      </c>
      <c r="AH225" s="22">
        <v>20.7044</v>
      </c>
      <c r="AI225" s="22">
        <v>-1.4035000000000001E-2</v>
      </c>
      <c r="AJ225" s="22">
        <v>215</v>
      </c>
      <c r="AK225" s="22">
        <v>0.98114000000000001</v>
      </c>
      <c r="AL225">
        <f t="shared" si="42"/>
        <v>17.327160493827162</v>
      </c>
      <c r="AM225">
        <f t="shared" si="43"/>
        <v>17.026811493827161</v>
      </c>
      <c r="AP225" s="9"/>
      <c r="AQ225" s="22">
        <v>0.74737500000000001</v>
      </c>
      <c r="AR225" s="22">
        <v>26.234000000000002</v>
      </c>
      <c r="AS225" s="22">
        <v>-1.41846E-2</v>
      </c>
      <c r="AT225" s="22">
        <v>215</v>
      </c>
      <c r="AU225" s="22">
        <v>0.74658199999999997</v>
      </c>
      <c r="AV225">
        <f t="shared" si="44"/>
        <v>17.511851851851851</v>
      </c>
      <c r="AW225">
        <f t="shared" si="45"/>
        <v>13.087920277777778</v>
      </c>
      <c r="AX225" s="9"/>
      <c r="AY225" s="22">
        <v>0.98266600000000004</v>
      </c>
      <c r="AZ225" s="22">
        <v>30.113700000000001</v>
      </c>
      <c r="BA225" s="22">
        <v>-1.4019800000000001E-2</v>
      </c>
      <c r="BB225" s="22">
        <v>215</v>
      </c>
      <c r="BC225" s="22">
        <v>0.98175000000000001</v>
      </c>
      <c r="BD225">
        <f t="shared" si="46"/>
        <v>17.308395061728394</v>
      </c>
      <c r="BE225">
        <f t="shared" si="47"/>
        <v>17.008371341728395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7.3406599999999997</v>
      </c>
      <c r="I226" s="22">
        <v>-1.40137E-2</v>
      </c>
      <c r="J226" s="22">
        <v>216</v>
      </c>
      <c r="K226" s="22">
        <v>0.74151599999999995</v>
      </c>
      <c r="L226">
        <f t="shared" si="36"/>
        <v>17.300864197530863</v>
      </c>
      <c r="M226">
        <f t="shared" si="37"/>
        <v>12.843123528395061</v>
      </c>
      <c r="N226" s="9"/>
      <c r="O226" s="22">
        <v>0.98770100000000005</v>
      </c>
      <c r="P226" s="22">
        <v>11.2203</v>
      </c>
      <c r="Q226" s="22">
        <v>-1.3964799999999999E-2</v>
      </c>
      <c r="R226" s="22">
        <v>216</v>
      </c>
      <c r="S226" s="22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2">
        <v>0.74234</v>
      </c>
      <c r="Z226" s="22">
        <v>16.834900000000001</v>
      </c>
      <c r="AA226" s="22">
        <v>-1.4129600000000001E-2</v>
      </c>
      <c r="AB226" s="22">
        <v>216</v>
      </c>
      <c r="AC226" s="22">
        <v>0.74154699999999996</v>
      </c>
      <c r="AD226">
        <f t="shared" si="40"/>
        <v>17.443950617283949</v>
      </c>
      <c r="AE226">
        <f t="shared" si="41"/>
        <v>12.949342301234568</v>
      </c>
      <c r="AF226" s="9"/>
      <c r="AG226" s="22">
        <v>0.98770100000000005</v>
      </c>
      <c r="AH226" s="22">
        <v>20.714500000000001</v>
      </c>
      <c r="AI226" s="22">
        <v>-1.40289E-2</v>
      </c>
      <c r="AJ226" s="22">
        <v>216</v>
      </c>
      <c r="AK226" s="22">
        <v>0.98602299999999998</v>
      </c>
      <c r="AL226">
        <f t="shared" si="42"/>
        <v>17.319629629629631</v>
      </c>
      <c r="AM226">
        <f t="shared" si="43"/>
        <v>17.106615504814815</v>
      </c>
      <c r="AP226" s="9"/>
      <c r="AQ226" s="22">
        <v>0.74234</v>
      </c>
      <c r="AR226" s="22">
        <v>26.2441</v>
      </c>
      <c r="AS226" s="22">
        <v>-1.41815E-2</v>
      </c>
      <c r="AT226" s="22">
        <v>216</v>
      </c>
      <c r="AU226" s="22">
        <v>0.74154699999999996</v>
      </c>
      <c r="AV226">
        <f t="shared" si="44"/>
        <v>17.508024691358024</v>
      </c>
      <c r="AW226">
        <f t="shared" si="45"/>
        <v>12.996907049382715</v>
      </c>
      <c r="AX226" s="9"/>
      <c r="AY226" s="22">
        <v>0.98770100000000005</v>
      </c>
      <c r="AZ226" s="22">
        <v>30.123699999999999</v>
      </c>
      <c r="BA226" s="22">
        <v>-1.40167E-2</v>
      </c>
      <c r="BB226" s="22">
        <v>216</v>
      </c>
      <c r="BC226" s="22">
        <v>0.98693799999999998</v>
      </c>
      <c r="BD226">
        <f t="shared" si="46"/>
        <v>17.304567901234567</v>
      </c>
      <c r="BE226">
        <f t="shared" si="47"/>
        <v>17.091739020617283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7.3507300000000004</v>
      </c>
      <c r="I227" s="22">
        <v>-1.4019800000000001E-2</v>
      </c>
      <c r="J227" s="22">
        <v>217</v>
      </c>
      <c r="K227" s="22">
        <v>0.73648100000000005</v>
      </c>
      <c r="L227">
        <f t="shared" si="36"/>
        <v>17.308395061728394</v>
      </c>
      <c r="M227">
        <f t="shared" si="37"/>
        <v>12.761566220987653</v>
      </c>
      <c r="N227" s="9"/>
      <c r="O227" s="22">
        <v>0.99273699999999998</v>
      </c>
      <c r="P227" s="22">
        <v>11.2303</v>
      </c>
      <c r="Q227" s="22">
        <v>-1.3964799999999999E-2</v>
      </c>
      <c r="R227" s="22">
        <v>217</v>
      </c>
      <c r="S227" s="22">
        <v>0.99182099999999995</v>
      </c>
      <c r="T227">
        <f t="shared" si="38"/>
        <v>17.240493827160492</v>
      </c>
      <c r="U227">
        <f t="shared" si="39"/>
        <v>17.115276120493824</v>
      </c>
      <c r="X227" s="9"/>
      <c r="Y227" s="22">
        <v>0.73730499999999999</v>
      </c>
      <c r="Z227" s="22">
        <v>16.844999999999999</v>
      </c>
      <c r="AA227" s="22">
        <v>-1.4135699999999999E-2</v>
      </c>
      <c r="AB227" s="22">
        <v>217</v>
      </c>
      <c r="AC227" s="22">
        <v>0.73651100000000003</v>
      </c>
      <c r="AD227">
        <f t="shared" si="40"/>
        <v>17.45148148148148</v>
      </c>
      <c r="AE227">
        <f t="shared" si="41"/>
        <v>12.867064553703703</v>
      </c>
      <c r="AF227" s="9"/>
      <c r="AG227" s="22">
        <v>0.99273699999999998</v>
      </c>
      <c r="AH227" s="22">
        <v>20.724599999999999</v>
      </c>
      <c r="AI227" s="22">
        <v>-1.4019800000000001E-2</v>
      </c>
      <c r="AJ227" s="22">
        <v>217</v>
      </c>
      <c r="AK227" s="22">
        <v>0.99182099999999995</v>
      </c>
      <c r="AL227">
        <f t="shared" si="42"/>
        <v>17.308395061728394</v>
      </c>
      <c r="AM227">
        <f t="shared" si="43"/>
        <v>17.182684188395061</v>
      </c>
      <c r="AP227" s="9"/>
      <c r="AQ227" s="22">
        <v>0.73730499999999999</v>
      </c>
      <c r="AR227" s="22">
        <v>26.254200000000001</v>
      </c>
      <c r="AS227" s="22">
        <v>-1.41785E-2</v>
      </c>
      <c r="AT227" s="22">
        <v>217</v>
      </c>
      <c r="AU227" s="22">
        <v>0.73648100000000005</v>
      </c>
      <c r="AV227">
        <f t="shared" si="44"/>
        <v>17.504320987654321</v>
      </c>
      <c r="AW227">
        <f t="shared" si="45"/>
        <v>12.906023385802468</v>
      </c>
      <c r="AX227" s="9"/>
      <c r="AY227" s="22">
        <v>0.99273699999999998</v>
      </c>
      <c r="AZ227" s="22">
        <v>30.133800000000001</v>
      </c>
      <c r="BA227" s="22">
        <v>-1.40106E-2</v>
      </c>
      <c r="BB227" s="22">
        <v>217</v>
      </c>
      <c r="BC227" s="22">
        <v>0.99212599999999995</v>
      </c>
      <c r="BD227">
        <f t="shared" si="46"/>
        <v>17.297037037037036</v>
      </c>
      <c r="BE227">
        <f t="shared" si="47"/>
        <v>17.171408657037034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7.3608000000000002</v>
      </c>
      <c r="I228" s="22">
        <v>-1.4019800000000001E-2</v>
      </c>
      <c r="J228" s="22">
        <v>218</v>
      </c>
      <c r="K228" s="22">
        <v>0.73138400000000003</v>
      </c>
      <c r="L228">
        <f t="shared" si="36"/>
        <v>17.308395061728394</v>
      </c>
      <c r="M228">
        <f t="shared" si="37"/>
        <v>12.674401143456789</v>
      </c>
      <c r="N228" s="9"/>
      <c r="O228" s="22">
        <v>0.99777199999999999</v>
      </c>
      <c r="P228" s="22">
        <v>11.240399999999999</v>
      </c>
      <c r="Q228" s="22">
        <v>-1.39557E-2</v>
      </c>
      <c r="R228" s="22">
        <v>218</v>
      </c>
      <c r="S228" s="22">
        <v>0.99700900000000003</v>
      </c>
      <c r="T228">
        <f t="shared" si="38"/>
        <v>17.229259259259258</v>
      </c>
      <c r="U228">
        <f t="shared" si="39"/>
        <v>17.190872469629628</v>
      </c>
      <c r="X228" s="9"/>
      <c r="Y228" s="22">
        <v>0.73226899999999995</v>
      </c>
      <c r="Z228" s="22">
        <v>16.855</v>
      </c>
      <c r="AA228" s="22">
        <v>-1.41418E-2</v>
      </c>
      <c r="AB228" s="22">
        <v>218</v>
      </c>
      <c r="AC228" s="22">
        <v>0.73138400000000003</v>
      </c>
      <c r="AD228">
        <f t="shared" si="40"/>
        <v>17.45901234567901</v>
      </c>
      <c r="AE228">
        <f t="shared" si="41"/>
        <v>12.784693511358022</v>
      </c>
      <c r="AF228" s="9"/>
      <c r="AG228" s="22">
        <v>0.99777199999999999</v>
      </c>
      <c r="AH228" s="22">
        <v>20.7346</v>
      </c>
      <c r="AI228" s="22">
        <v>-1.40137E-2</v>
      </c>
      <c r="AJ228" s="22">
        <v>218</v>
      </c>
      <c r="AK228" s="22">
        <v>0.99670400000000003</v>
      </c>
      <c r="AL228">
        <f t="shared" si="42"/>
        <v>17.300864197530863</v>
      </c>
      <c r="AM228">
        <f t="shared" si="43"/>
        <v>17.262317872098766</v>
      </c>
      <c r="AP228" s="9"/>
      <c r="AQ228" s="22">
        <v>0.73226899999999995</v>
      </c>
      <c r="AR228" s="22">
        <v>26.264299999999999</v>
      </c>
      <c r="AS228" s="22">
        <v>-1.41724E-2</v>
      </c>
      <c r="AT228" s="22">
        <v>218</v>
      </c>
      <c r="AU228" s="22">
        <v>0.73144500000000001</v>
      </c>
      <c r="AV228">
        <f t="shared" si="44"/>
        <v>17.496790123456787</v>
      </c>
      <c r="AW228">
        <f t="shared" si="45"/>
        <v>12.812357006913578</v>
      </c>
      <c r="AX228" s="9"/>
      <c r="AY228" s="22">
        <v>0.99777199999999999</v>
      </c>
      <c r="AZ228" s="22">
        <v>30.143899999999999</v>
      </c>
      <c r="BA228" s="22">
        <v>-1.4019800000000001E-2</v>
      </c>
      <c r="BB228" s="22">
        <v>218</v>
      </c>
      <c r="BC228" s="22">
        <v>0.99639900000000003</v>
      </c>
      <c r="BD228">
        <f t="shared" si="46"/>
        <v>17.308395061728394</v>
      </c>
      <c r="BE228">
        <f t="shared" si="47"/>
        <v>17.269831957530862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7.37087</v>
      </c>
      <c r="I229" s="22">
        <v>-1.40228E-2</v>
      </c>
      <c r="J229" s="22">
        <v>219</v>
      </c>
      <c r="K229" s="22">
        <v>0.72643999999999997</v>
      </c>
      <c r="L229">
        <f t="shared" si="36"/>
        <v>17.312098765432097</v>
      </c>
      <c r="M229">
        <f t="shared" si="37"/>
        <v>12.589946833580246</v>
      </c>
      <c r="N229" s="9"/>
      <c r="O229" s="22">
        <v>1.00281</v>
      </c>
      <c r="P229" s="22">
        <v>11.250500000000001</v>
      </c>
      <c r="Q229" s="22">
        <v>-1.3952600000000001E-2</v>
      </c>
      <c r="R229" s="22">
        <v>219</v>
      </c>
      <c r="S229" s="22">
        <v>1.0018899999999999</v>
      </c>
      <c r="T229">
        <f t="shared" si="38"/>
        <v>17.225432098765431</v>
      </c>
      <c r="U229">
        <f t="shared" si="39"/>
        <v>17.273835562962962</v>
      </c>
      <c r="X229" s="9"/>
      <c r="Y229" s="22">
        <v>0.72723400000000005</v>
      </c>
      <c r="Z229" s="22">
        <v>16.865100000000002</v>
      </c>
      <c r="AA229" s="22">
        <v>-1.41449E-2</v>
      </c>
      <c r="AB229" s="22">
        <v>219</v>
      </c>
      <c r="AC229" s="22">
        <v>0.72634900000000002</v>
      </c>
      <c r="AD229">
        <f t="shared" si="40"/>
        <v>17.462839506172838</v>
      </c>
      <c r="AE229">
        <f t="shared" si="41"/>
        <v>12.699570625432099</v>
      </c>
      <c r="AF229" s="9"/>
      <c r="AG229" s="22">
        <v>1.00281</v>
      </c>
      <c r="AH229" s="22">
        <v>20.744700000000002</v>
      </c>
      <c r="AI229" s="22">
        <v>-1.40076E-2</v>
      </c>
      <c r="AJ229" s="22">
        <v>219</v>
      </c>
      <c r="AK229" s="22">
        <v>1.0012799999999999</v>
      </c>
      <c r="AL229">
        <f t="shared" si="42"/>
        <v>17.293333333333333</v>
      </c>
      <c r="AM229">
        <f t="shared" si="43"/>
        <v>17.341927599999998</v>
      </c>
      <c r="AP229" s="9"/>
      <c r="AQ229" s="22">
        <v>0.72723400000000005</v>
      </c>
      <c r="AR229" s="22">
        <v>26.2743</v>
      </c>
      <c r="AS229" s="22">
        <v>-1.41724E-2</v>
      </c>
      <c r="AT229" s="22">
        <v>219</v>
      </c>
      <c r="AU229" s="22">
        <v>0.72643999999999997</v>
      </c>
      <c r="AV229">
        <f t="shared" si="44"/>
        <v>17.496790123456787</v>
      </c>
      <c r="AW229">
        <f t="shared" si="45"/>
        <v>12.724260668641973</v>
      </c>
      <c r="AX229" s="9"/>
      <c r="AY229" s="22">
        <v>1.00281</v>
      </c>
      <c r="AZ229" s="22">
        <v>30.1539</v>
      </c>
      <c r="BA229" s="22">
        <v>-1.40228E-2</v>
      </c>
      <c r="BB229" s="22">
        <v>219</v>
      </c>
      <c r="BC229" s="22">
        <v>1.00159</v>
      </c>
      <c r="BD229">
        <f t="shared" si="46"/>
        <v>17.312098765432097</v>
      </c>
      <c r="BE229">
        <f t="shared" si="47"/>
        <v>17.36074576296296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7.3809399999999998</v>
      </c>
      <c r="I230" s="22">
        <v>-1.40228E-2</v>
      </c>
      <c r="J230" s="22">
        <v>220</v>
      </c>
      <c r="K230" s="22">
        <v>0.72140499999999996</v>
      </c>
      <c r="L230">
        <f t="shared" si="36"/>
        <v>17.312098765432097</v>
      </c>
      <c r="M230">
        <f t="shared" si="37"/>
        <v>12.50276310419753</v>
      </c>
      <c r="N230" s="9"/>
      <c r="O230" s="22">
        <v>1.0078400000000001</v>
      </c>
      <c r="P230" s="22">
        <v>11.2606</v>
      </c>
      <c r="Q230" s="22">
        <v>-1.39557E-2</v>
      </c>
      <c r="R230" s="22">
        <v>220</v>
      </c>
      <c r="S230" s="22">
        <v>1.0061599999999999</v>
      </c>
      <c r="T230">
        <f t="shared" si="38"/>
        <v>17.229259259259258</v>
      </c>
      <c r="U230">
        <f t="shared" si="39"/>
        <v>17.36433665185185</v>
      </c>
      <c r="X230" s="9"/>
      <c r="Y230" s="22">
        <v>0.72219800000000001</v>
      </c>
      <c r="Z230" s="22">
        <v>16.8752</v>
      </c>
      <c r="AA230" s="22">
        <v>-1.41418E-2</v>
      </c>
      <c r="AB230" s="22">
        <v>220</v>
      </c>
      <c r="AC230" s="22">
        <v>0.72137499999999999</v>
      </c>
      <c r="AD230">
        <f t="shared" si="40"/>
        <v>17.45901234567901</v>
      </c>
      <c r="AE230">
        <f t="shared" si="41"/>
        <v>12.608863798024689</v>
      </c>
      <c r="AF230" s="9"/>
      <c r="AG230" s="22">
        <v>1.0078400000000001</v>
      </c>
      <c r="AH230" s="22">
        <v>20.754799999999999</v>
      </c>
      <c r="AI230" s="22">
        <v>-1.40015E-2</v>
      </c>
      <c r="AJ230" s="22">
        <v>220</v>
      </c>
      <c r="AK230" s="22">
        <v>1.00647</v>
      </c>
      <c r="AL230">
        <f t="shared" si="42"/>
        <v>17.285802469135803</v>
      </c>
      <c r="AM230">
        <f t="shared" si="43"/>
        <v>17.421323160493827</v>
      </c>
      <c r="AP230" s="9"/>
      <c r="AQ230" s="22">
        <v>0.72219800000000001</v>
      </c>
      <c r="AR230" s="22">
        <v>26.284400000000002</v>
      </c>
      <c r="AS230" s="22">
        <v>-1.41724E-2</v>
      </c>
      <c r="AT230" s="22">
        <v>220</v>
      </c>
      <c r="AU230" s="22">
        <v>0.72137499999999999</v>
      </c>
      <c r="AV230">
        <f t="shared" si="44"/>
        <v>17.496790123456787</v>
      </c>
      <c r="AW230">
        <f t="shared" si="45"/>
        <v>12.636146833580245</v>
      </c>
      <c r="AX230" s="9"/>
      <c r="AY230" s="22">
        <v>1.0078400000000001</v>
      </c>
      <c r="AZ230" s="22">
        <v>30.164000000000001</v>
      </c>
      <c r="BA230" s="22">
        <v>-1.4031999999999999E-2</v>
      </c>
      <c r="BB230" s="22">
        <v>220</v>
      </c>
      <c r="BC230" s="22">
        <v>1.00647</v>
      </c>
      <c r="BD230">
        <f t="shared" si="46"/>
        <v>17.323456790123455</v>
      </c>
      <c r="BE230">
        <f t="shared" si="47"/>
        <v>17.459272691358024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7.3910099999999996</v>
      </c>
      <c r="I231" s="22">
        <v>-1.40228E-2</v>
      </c>
      <c r="J231" s="22">
        <v>221</v>
      </c>
      <c r="K231" s="22">
        <v>0.71636999999999995</v>
      </c>
      <c r="L231">
        <f t="shared" si="36"/>
        <v>17.312098765432097</v>
      </c>
      <c r="M231">
        <f t="shared" si="37"/>
        <v>12.415596686913579</v>
      </c>
      <c r="N231" s="9"/>
      <c r="O231" s="22">
        <v>1.01288</v>
      </c>
      <c r="P231" s="22">
        <v>11.2706</v>
      </c>
      <c r="Q231" s="22">
        <v>-1.3952600000000001E-2</v>
      </c>
      <c r="R231" s="22">
        <v>221</v>
      </c>
      <c r="S231" s="22">
        <v>1.01135</v>
      </c>
      <c r="T231">
        <f t="shared" si="38"/>
        <v>17.225432098765431</v>
      </c>
      <c r="U231">
        <f t="shared" si="39"/>
        <v>17.447295664197529</v>
      </c>
      <c r="X231" s="9"/>
      <c r="Y231" s="22">
        <v>0.71716299999999999</v>
      </c>
      <c r="Z231" s="22">
        <v>16.885200000000001</v>
      </c>
      <c r="AA231" s="22">
        <v>-1.4129600000000001E-2</v>
      </c>
      <c r="AB231" s="22">
        <v>221</v>
      </c>
      <c r="AC231" s="22">
        <v>0.71646100000000001</v>
      </c>
      <c r="AD231">
        <f t="shared" si="40"/>
        <v>17.443950617283949</v>
      </c>
      <c r="AE231">
        <f t="shared" si="41"/>
        <v>12.510155956543208</v>
      </c>
      <c r="AF231" s="9"/>
      <c r="AG231" s="22">
        <v>1.01288</v>
      </c>
      <c r="AH231" s="22">
        <v>20.764800000000001</v>
      </c>
      <c r="AI231" s="22">
        <v>-1.40015E-2</v>
      </c>
      <c r="AJ231" s="22">
        <v>221</v>
      </c>
      <c r="AK231" s="22">
        <v>1.01196</v>
      </c>
      <c r="AL231">
        <f t="shared" si="42"/>
        <v>17.285802469135803</v>
      </c>
      <c r="AM231">
        <f t="shared" si="43"/>
        <v>17.508443604938272</v>
      </c>
      <c r="AP231" s="9"/>
      <c r="AQ231" s="22">
        <v>0.71716299999999999</v>
      </c>
      <c r="AR231" s="22">
        <v>26.294499999999999</v>
      </c>
      <c r="AS231" s="22">
        <v>-1.41815E-2</v>
      </c>
      <c r="AT231" s="22">
        <v>221</v>
      </c>
      <c r="AU231" s="22">
        <v>0.71640000000000004</v>
      </c>
      <c r="AV231">
        <f t="shared" si="44"/>
        <v>17.508024691358024</v>
      </c>
      <c r="AW231">
        <f t="shared" si="45"/>
        <v>12.556107511728394</v>
      </c>
      <c r="AX231" s="9"/>
      <c r="AY231" s="22">
        <v>1.01288</v>
      </c>
      <c r="AZ231" s="22">
        <v>30.174099999999999</v>
      </c>
      <c r="BA231" s="22">
        <v>-1.4041100000000001E-2</v>
      </c>
      <c r="BB231" s="22">
        <v>221</v>
      </c>
      <c r="BC231" s="22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7.4010800000000003</v>
      </c>
      <c r="I232" s="22">
        <v>-1.40289E-2</v>
      </c>
      <c r="J232" s="22">
        <v>222</v>
      </c>
      <c r="K232" s="22">
        <v>0.71130400000000005</v>
      </c>
      <c r="L232">
        <f t="shared" si="36"/>
        <v>17.319629629629631</v>
      </c>
      <c r="M232">
        <f t="shared" si="37"/>
        <v>12.33379320888889</v>
      </c>
      <c r="N232" s="9"/>
      <c r="O232" s="22">
        <v>1.0179100000000001</v>
      </c>
      <c r="P232" s="22">
        <v>11.2807</v>
      </c>
      <c r="Q232" s="22">
        <v>-1.39496E-2</v>
      </c>
      <c r="R232" s="22">
        <v>222</v>
      </c>
      <c r="S232" s="22">
        <v>1.01654</v>
      </c>
      <c r="T232">
        <f t="shared" si="38"/>
        <v>17.221728395061724</v>
      </c>
      <c r="U232">
        <f t="shared" si="39"/>
        <v>17.530169550617281</v>
      </c>
      <c r="X232" s="9"/>
      <c r="Y232" s="22">
        <v>0.71212799999999998</v>
      </c>
      <c r="Z232" s="22">
        <v>16.895299999999999</v>
      </c>
      <c r="AA232" s="22">
        <v>-1.4129600000000001E-2</v>
      </c>
      <c r="AB232" s="22">
        <v>222</v>
      </c>
      <c r="AC232" s="22">
        <v>0.71127300000000004</v>
      </c>
      <c r="AD232">
        <f t="shared" si="40"/>
        <v>17.443950617283949</v>
      </c>
      <c r="AE232">
        <f t="shared" si="41"/>
        <v>12.422325665185184</v>
      </c>
      <c r="AF232" s="9"/>
      <c r="AG232" s="22">
        <v>1.0179100000000001</v>
      </c>
      <c r="AH232" s="22">
        <v>20.774899999999999</v>
      </c>
      <c r="AI232" s="22">
        <v>-1.40015E-2</v>
      </c>
      <c r="AJ232" s="22">
        <v>222</v>
      </c>
      <c r="AK232" s="22">
        <v>1.01685</v>
      </c>
      <c r="AL232">
        <f t="shared" si="42"/>
        <v>17.285802469135803</v>
      </c>
      <c r="AM232">
        <f t="shared" si="43"/>
        <v>17.595391191358026</v>
      </c>
      <c r="AP232" s="9"/>
      <c r="AQ232" s="22">
        <v>0.71212799999999998</v>
      </c>
      <c r="AR232" s="22">
        <v>26.304500000000001</v>
      </c>
      <c r="AS232" s="22">
        <v>-1.41876E-2</v>
      </c>
      <c r="AT232" s="22">
        <v>222</v>
      </c>
      <c r="AU232" s="22">
        <v>0.71136500000000003</v>
      </c>
      <c r="AV232">
        <f t="shared" si="44"/>
        <v>17.515555555555554</v>
      </c>
      <c r="AW232">
        <f t="shared" si="45"/>
        <v>12.473317546666665</v>
      </c>
      <c r="AX232" s="9"/>
      <c r="AY232" s="22">
        <v>1.0179100000000001</v>
      </c>
      <c r="AZ232" s="22">
        <v>30.184200000000001</v>
      </c>
      <c r="BA232" s="22">
        <v>-1.4047199999999999E-2</v>
      </c>
      <c r="BB232" s="22">
        <v>222</v>
      </c>
      <c r="BC232" s="22">
        <v>1.01685</v>
      </c>
      <c r="BD232">
        <f t="shared" si="46"/>
        <v>17.342222222222222</v>
      </c>
      <c r="BE232">
        <f t="shared" si="47"/>
        <v>17.652821422222225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7.4111500000000001</v>
      </c>
      <c r="I233" s="22">
        <v>-1.4025900000000001E-2</v>
      </c>
      <c r="J233" s="22">
        <v>223</v>
      </c>
      <c r="K233" s="22">
        <v>0.70635999999999999</v>
      </c>
      <c r="L233">
        <f t="shared" si="36"/>
        <v>17.315925925925924</v>
      </c>
      <c r="M233">
        <f t="shared" si="37"/>
        <v>12.243952694814814</v>
      </c>
      <c r="N233" s="9"/>
      <c r="O233" s="22">
        <v>1.02295</v>
      </c>
      <c r="P233" s="22">
        <v>11.290800000000001</v>
      </c>
      <c r="Q233" s="22">
        <v>-1.39496E-2</v>
      </c>
      <c r="R233" s="22">
        <v>223</v>
      </c>
      <c r="S233" s="22">
        <v>1.02203</v>
      </c>
      <c r="T233">
        <f t="shared" si="38"/>
        <v>17.221728395061724</v>
      </c>
      <c r="U233">
        <f t="shared" si="39"/>
        <v>17.616967061728392</v>
      </c>
      <c r="X233" s="9"/>
      <c r="Y233" s="22">
        <v>0.70709200000000005</v>
      </c>
      <c r="Z233" s="22">
        <v>16.9054</v>
      </c>
      <c r="AA233" s="22">
        <v>-1.4129600000000001E-2</v>
      </c>
      <c r="AB233" s="22">
        <v>223</v>
      </c>
      <c r="AC233" s="22">
        <v>0.70635999999999999</v>
      </c>
      <c r="AD233">
        <f t="shared" si="40"/>
        <v>17.443950617283949</v>
      </c>
      <c r="AE233">
        <f t="shared" si="41"/>
        <v>12.334477929876543</v>
      </c>
      <c r="AF233" s="9"/>
      <c r="AG233" s="22">
        <v>1.02295</v>
      </c>
      <c r="AH233" s="22">
        <v>20.785</v>
      </c>
      <c r="AI233" s="22">
        <v>-1.40045E-2</v>
      </c>
      <c r="AJ233" s="22">
        <v>223</v>
      </c>
      <c r="AK233" s="22">
        <v>1.02173</v>
      </c>
      <c r="AL233">
        <f t="shared" si="42"/>
        <v>17.289506172839506</v>
      </c>
      <c r="AM233">
        <f t="shared" si="43"/>
        <v>17.686300339506172</v>
      </c>
      <c r="AP233" s="9"/>
      <c r="AQ233" s="22">
        <v>0.70709200000000005</v>
      </c>
      <c r="AR233" s="22">
        <v>26.314599999999999</v>
      </c>
      <c r="AS233" s="22">
        <v>-1.41876E-2</v>
      </c>
      <c r="AT233" s="22">
        <v>223</v>
      </c>
      <c r="AU233" s="22">
        <v>0.70632899999999998</v>
      </c>
      <c r="AV233">
        <f t="shared" si="44"/>
        <v>17.515555555555554</v>
      </c>
      <c r="AW233">
        <f t="shared" si="45"/>
        <v>12.385109208888888</v>
      </c>
      <c r="AX233" s="9"/>
      <c r="AY233" s="22">
        <v>1.02295</v>
      </c>
      <c r="AZ233" s="22">
        <v>30.194199999999999</v>
      </c>
      <c r="BA233" s="22">
        <v>-1.4047199999999999E-2</v>
      </c>
      <c r="BB233" s="22">
        <v>223</v>
      </c>
      <c r="BC233" s="22">
        <v>1.02173</v>
      </c>
      <c r="BD233">
        <f t="shared" si="46"/>
        <v>17.342222222222222</v>
      </c>
      <c r="BE233">
        <f t="shared" si="47"/>
        <v>17.740226222222223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7.4212300000000004</v>
      </c>
      <c r="I234" s="22">
        <v>-1.40289E-2</v>
      </c>
      <c r="J234" s="22">
        <v>224</v>
      </c>
      <c r="K234" s="22">
        <v>0.701233</v>
      </c>
      <c r="L234">
        <f t="shared" si="36"/>
        <v>17.319629629629631</v>
      </c>
      <c r="M234">
        <f t="shared" si="37"/>
        <v>12.159367218888891</v>
      </c>
      <c r="N234" s="9"/>
      <c r="O234" s="22">
        <v>1.0279799999999999</v>
      </c>
      <c r="P234" s="22">
        <v>11.300800000000001</v>
      </c>
      <c r="Q234" s="22">
        <v>-1.3952600000000001E-2</v>
      </c>
      <c r="R234" s="22">
        <v>224</v>
      </c>
      <c r="S234" s="22">
        <v>1.02722</v>
      </c>
      <c r="T234">
        <f t="shared" si="38"/>
        <v>17.225432098765431</v>
      </c>
      <c r="U234">
        <f t="shared" si="39"/>
        <v>17.707399688888884</v>
      </c>
      <c r="X234" s="9"/>
      <c r="Y234" s="22">
        <v>0.70205700000000004</v>
      </c>
      <c r="Z234" s="22">
        <v>16.915400000000002</v>
      </c>
      <c r="AA234" s="22">
        <v>-1.4129600000000001E-2</v>
      </c>
      <c r="AB234" s="22">
        <v>224</v>
      </c>
      <c r="AC234" s="22">
        <v>0.70126299999999997</v>
      </c>
      <c r="AD234">
        <f t="shared" si="40"/>
        <v>17.443950617283949</v>
      </c>
      <c r="AE234">
        <f t="shared" si="41"/>
        <v>12.246647638518519</v>
      </c>
      <c r="AF234" s="9"/>
      <c r="AG234" s="22">
        <v>1.0279799999999999</v>
      </c>
      <c r="AH234" s="22">
        <v>20.795100000000001</v>
      </c>
      <c r="AI234" s="22">
        <v>-1.40045E-2</v>
      </c>
      <c r="AJ234" s="22">
        <v>224</v>
      </c>
      <c r="AK234" s="22">
        <v>1.0263100000000001</v>
      </c>
      <c r="AL234">
        <f t="shared" si="42"/>
        <v>17.289506172839506</v>
      </c>
      <c r="AM234">
        <f t="shared" si="43"/>
        <v>17.773266555555555</v>
      </c>
      <c r="AP234" s="9"/>
      <c r="AQ234" s="22">
        <v>0.70205700000000004</v>
      </c>
      <c r="AR234" s="22">
        <v>26.3247</v>
      </c>
      <c r="AS234" s="22">
        <v>-1.4190700000000001E-2</v>
      </c>
      <c r="AT234" s="22">
        <v>224</v>
      </c>
      <c r="AU234" s="22">
        <v>0.70126299999999997</v>
      </c>
      <c r="AV234">
        <f t="shared" si="44"/>
        <v>17.519382716049382</v>
      </c>
      <c r="AW234">
        <f t="shared" si="45"/>
        <v>12.299605271481482</v>
      </c>
      <c r="AX234" s="9"/>
      <c r="AY234" s="22">
        <v>1.0279799999999999</v>
      </c>
      <c r="AZ234" s="22">
        <v>30.2043</v>
      </c>
      <c r="BA234" s="22">
        <v>-1.40442E-2</v>
      </c>
      <c r="BB234" s="22">
        <v>224</v>
      </c>
      <c r="BC234" s="22">
        <v>1.0269200000000001</v>
      </c>
      <c r="BD234">
        <f t="shared" si="46"/>
        <v>17.338518518518516</v>
      </c>
      <c r="BE234">
        <f t="shared" si="47"/>
        <v>17.823650266666661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7.4313000000000002</v>
      </c>
      <c r="I235" s="22">
        <v>-1.4035000000000001E-2</v>
      </c>
      <c r="J235" s="22">
        <v>225</v>
      </c>
      <c r="K235" s="22">
        <v>0.69622799999999996</v>
      </c>
      <c r="L235">
        <f t="shared" si="36"/>
        <v>17.327160493827162</v>
      </c>
      <c r="M235">
        <f t="shared" si="37"/>
        <v>12.077394734567902</v>
      </c>
      <c r="N235" s="9"/>
      <c r="O235" s="22">
        <v>1.03302</v>
      </c>
      <c r="P235" s="22">
        <v>11.3109</v>
      </c>
      <c r="Q235" s="22">
        <v>-1.3964799999999999E-2</v>
      </c>
      <c r="R235" s="22">
        <v>225</v>
      </c>
      <c r="S235" s="22">
        <v>1.0318000000000001</v>
      </c>
      <c r="T235">
        <f t="shared" si="38"/>
        <v>17.240493827160492</v>
      </c>
      <c r="U235">
        <f t="shared" si="39"/>
        <v>17.809774933333333</v>
      </c>
      <c r="X235" s="9"/>
      <c r="Y235" s="22">
        <v>0.697021</v>
      </c>
      <c r="Z235" s="22">
        <v>16.9255</v>
      </c>
      <c r="AA235" s="22">
        <v>-1.41327E-2</v>
      </c>
      <c r="AB235" s="22">
        <v>225</v>
      </c>
      <c r="AC235" s="22">
        <v>0.696106</v>
      </c>
      <c r="AD235">
        <f t="shared" si="40"/>
        <v>17.447777777777777</v>
      </c>
      <c r="AE235">
        <f t="shared" si="41"/>
        <v>12.161467514444444</v>
      </c>
      <c r="AF235" s="9"/>
      <c r="AG235" s="22">
        <v>1.03302</v>
      </c>
      <c r="AH235" s="22">
        <v>20.805099999999999</v>
      </c>
      <c r="AI235" s="22">
        <v>-1.40045E-2</v>
      </c>
      <c r="AJ235" s="22">
        <v>225</v>
      </c>
      <c r="AK235" s="22">
        <v>1.0321</v>
      </c>
      <c r="AL235">
        <f t="shared" si="42"/>
        <v>17.289506172839506</v>
      </c>
      <c r="AM235">
        <f t="shared" si="43"/>
        <v>17.860405666666669</v>
      </c>
      <c r="AP235" s="9"/>
      <c r="AQ235" s="22">
        <v>0.697021</v>
      </c>
      <c r="AR235" s="22">
        <v>26.334800000000001</v>
      </c>
      <c r="AS235" s="22">
        <v>-1.41937E-2</v>
      </c>
      <c r="AT235" s="22">
        <v>225</v>
      </c>
      <c r="AU235" s="22">
        <v>0.69622799999999996</v>
      </c>
      <c r="AV235">
        <f t="shared" si="44"/>
        <v>17.523086419753085</v>
      </c>
      <c r="AW235">
        <f t="shared" si="45"/>
        <v>12.213959219382716</v>
      </c>
      <c r="AX235" s="9"/>
      <c r="AY235" s="22">
        <v>1.03302</v>
      </c>
      <c r="AZ235" s="22">
        <v>30.214400000000001</v>
      </c>
      <c r="BA235" s="22">
        <v>-1.40381E-2</v>
      </c>
      <c r="BB235" s="22">
        <v>225</v>
      </c>
      <c r="BC235" s="22">
        <v>1.0321</v>
      </c>
      <c r="BD235">
        <f t="shared" si="46"/>
        <v>17.330987654320985</v>
      </c>
      <c r="BE235">
        <f t="shared" si="47"/>
        <v>17.903256866666666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7.44137</v>
      </c>
      <c r="I236" s="22">
        <v>-1.4047199999999999E-2</v>
      </c>
      <c r="J236" s="22">
        <v>226</v>
      </c>
      <c r="K236" s="22">
        <v>0.69119299999999995</v>
      </c>
      <c r="L236">
        <f t="shared" si="36"/>
        <v>17.342222222222222</v>
      </c>
      <c r="M236">
        <f t="shared" si="37"/>
        <v>12.000574986666667</v>
      </c>
      <c r="N236" s="9"/>
      <c r="O236" s="22">
        <v>1.03806</v>
      </c>
      <c r="P236" s="22">
        <v>11.321</v>
      </c>
      <c r="Q236" s="22">
        <v>-1.39709E-2</v>
      </c>
      <c r="R236" s="22">
        <v>226</v>
      </c>
      <c r="S236" s="22">
        <v>1.03729</v>
      </c>
      <c r="T236">
        <f t="shared" si="38"/>
        <v>17.248024691358022</v>
      </c>
      <c r="U236">
        <f t="shared" si="39"/>
        <v>17.904484511111107</v>
      </c>
      <c r="X236" s="9"/>
      <c r="Y236" s="22">
        <v>0.69198599999999999</v>
      </c>
      <c r="Z236" s="22">
        <v>16.935600000000001</v>
      </c>
      <c r="AA236" s="22">
        <v>-1.4135699999999999E-2</v>
      </c>
      <c r="AB236" s="22">
        <v>226</v>
      </c>
      <c r="AC236" s="22">
        <v>0.69122300000000003</v>
      </c>
      <c r="AD236">
        <f t="shared" si="40"/>
        <v>17.45148148148148</v>
      </c>
      <c r="AE236">
        <f t="shared" si="41"/>
        <v>12.076180864444444</v>
      </c>
      <c r="AF236" s="9"/>
      <c r="AG236" s="22">
        <v>1.03806</v>
      </c>
      <c r="AH236" s="22">
        <v>20.815200000000001</v>
      </c>
      <c r="AI236" s="22">
        <v>-1.40045E-2</v>
      </c>
      <c r="AJ236" s="22">
        <v>226</v>
      </c>
      <c r="AK236" s="22">
        <v>1.03668</v>
      </c>
      <c r="AL236">
        <f t="shared" si="42"/>
        <v>17.289506172839506</v>
      </c>
      <c r="AM236">
        <f t="shared" si="43"/>
        <v>17.947544777777775</v>
      </c>
      <c r="AP236" s="9"/>
      <c r="AQ236" s="22">
        <v>0.69198599999999999</v>
      </c>
      <c r="AR236" s="22">
        <v>26.344799999999999</v>
      </c>
      <c r="AS236" s="22">
        <v>-1.41937E-2</v>
      </c>
      <c r="AT236" s="22">
        <v>226</v>
      </c>
      <c r="AU236" s="22">
        <v>0.69116200000000005</v>
      </c>
      <c r="AV236">
        <f t="shared" si="44"/>
        <v>17.523086419753085</v>
      </c>
      <c r="AW236">
        <f t="shared" si="45"/>
        <v>12.125730479259259</v>
      </c>
      <c r="AX236" s="9"/>
      <c r="AY236" s="22">
        <v>1.03806</v>
      </c>
      <c r="AZ236" s="22">
        <v>30.224399999999999</v>
      </c>
      <c r="BA236" s="22">
        <v>-1.40289E-2</v>
      </c>
      <c r="BB236" s="22">
        <v>226</v>
      </c>
      <c r="BC236" s="22">
        <v>1.03607</v>
      </c>
      <c r="BD236">
        <f t="shared" si="46"/>
        <v>17.319629629629631</v>
      </c>
      <c r="BE236">
        <f t="shared" si="47"/>
        <v>17.978814733333333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7.4514399999999998</v>
      </c>
      <c r="I237" s="22">
        <v>-1.40564E-2</v>
      </c>
      <c r="J237" s="22">
        <v>227</v>
      </c>
      <c r="K237" s="22">
        <v>0.68615700000000002</v>
      </c>
      <c r="L237">
        <f t="shared" si="36"/>
        <v>17.35358024691358</v>
      </c>
      <c r="M237">
        <f t="shared" si="37"/>
        <v>11.921059304197531</v>
      </c>
      <c r="N237" s="9"/>
      <c r="O237" s="22">
        <v>1.0430900000000001</v>
      </c>
      <c r="P237" s="22">
        <v>11.331099999999999</v>
      </c>
      <c r="Q237" s="22">
        <v>-1.39679E-2</v>
      </c>
      <c r="R237" s="22">
        <v>227</v>
      </c>
      <c r="S237" s="22">
        <v>1.0418700000000001</v>
      </c>
      <c r="T237">
        <f t="shared" si="38"/>
        <v>17.244320987654319</v>
      </c>
      <c r="U237">
        <f t="shared" si="39"/>
        <v>17.987378779012346</v>
      </c>
      <c r="X237" s="9"/>
      <c r="Y237" s="22">
        <v>0.68695099999999998</v>
      </c>
      <c r="Z237" s="22">
        <v>16.945699999999999</v>
      </c>
      <c r="AA237" s="22">
        <v>-1.4154099999999999E-2</v>
      </c>
      <c r="AB237" s="22">
        <v>227</v>
      </c>
      <c r="AC237" s="22">
        <v>0.68618800000000002</v>
      </c>
      <c r="AD237">
        <f t="shared" si="40"/>
        <v>17.474197530864195</v>
      </c>
      <c r="AE237">
        <f t="shared" si="41"/>
        <v>12.003917468024689</v>
      </c>
      <c r="AF237" s="9"/>
      <c r="AG237" s="22">
        <v>1.0430900000000001</v>
      </c>
      <c r="AH237" s="22">
        <v>20.825299999999999</v>
      </c>
      <c r="AI237" s="22">
        <v>-1.40015E-2</v>
      </c>
      <c r="AJ237" s="22">
        <v>227</v>
      </c>
      <c r="AK237" s="22">
        <v>1.04156</v>
      </c>
      <c r="AL237">
        <f t="shared" si="42"/>
        <v>17.285802469135803</v>
      </c>
      <c r="AM237">
        <f t="shared" si="43"/>
        <v>18.030647697530867</v>
      </c>
      <c r="AP237" s="9"/>
      <c r="AQ237" s="22">
        <v>0.68695099999999998</v>
      </c>
      <c r="AR237" s="22">
        <v>26.354900000000001</v>
      </c>
      <c r="AS237" s="22">
        <v>-1.4202899999999999E-2</v>
      </c>
      <c r="AT237" s="22">
        <v>227</v>
      </c>
      <c r="AU237" s="22">
        <v>0.68612700000000004</v>
      </c>
      <c r="AV237">
        <f t="shared" si="44"/>
        <v>17.534444444444443</v>
      </c>
      <c r="AW237">
        <f t="shared" si="45"/>
        <v>12.045304145555553</v>
      </c>
      <c r="AX237" s="9"/>
      <c r="AY237" s="22">
        <v>1.0430900000000001</v>
      </c>
      <c r="AZ237" s="22">
        <v>30.234500000000001</v>
      </c>
      <c r="BA237" s="22">
        <v>-1.40167E-2</v>
      </c>
      <c r="BB237" s="22">
        <v>227</v>
      </c>
      <c r="BC237" s="22">
        <v>1.0418700000000001</v>
      </c>
      <c r="BD237">
        <f t="shared" si="46"/>
        <v>17.304567901234567</v>
      </c>
      <c r="BE237">
        <f t="shared" si="47"/>
        <v>18.050221732098766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7.4615099999999996</v>
      </c>
      <c r="I238" s="22">
        <v>-1.4053299999999999E-2</v>
      </c>
      <c r="J238" s="22">
        <v>228</v>
      </c>
      <c r="K238" s="22">
        <v>0.681091</v>
      </c>
      <c r="L238">
        <f t="shared" si="36"/>
        <v>17.349753086419753</v>
      </c>
      <c r="M238">
        <f t="shared" si="37"/>
        <v>11.831056875925926</v>
      </c>
      <c r="N238" s="9"/>
      <c r="O238" s="22">
        <v>1.04813</v>
      </c>
      <c r="P238" s="22">
        <v>11.341100000000001</v>
      </c>
      <c r="Q238" s="22">
        <v>-1.39618E-2</v>
      </c>
      <c r="R238" s="22">
        <v>228</v>
      </c>
      <c r="S238" s="22">
        <v>1.0467500000000001</v>
      </c>
      <c r="T238">
        <f t="shared" si="38"/>
        <v>17.236790123456789</v>
      </c>
      <c r="U238">
        <f t="shared" si="39"/>
        <v>18.066396832098764</v>
      </c>
      <c r="X238" s="9"/>
      <c r="Y238" s="22">
        <v>0.68191500000000005</v>
      </c>
      <c r="Z238" s="22">
        <v>16.9557</v>
      </c>
      <c r="AA238" s="22">
        <v>-1.4157100000000001E-2</v>
      </c>
      <c r="AB238" s="22">
        <v>228</v>
      </c>
      <c r="AC238" s="22">
        <v>0.68112200000000001</v>
      </c>
      <c r="AD238">
        <f t="shared" si="40"/>
        <v>17.477901234567902</v>
      </c>
      <c r="AE238">
        <f t="shared" si="41"/>
        <v>11.918443020370372</v>
      </c>
      <c r="AF238" s="9"/>
      <c r="AG238" s="22">
        <v>1.04813</v>
      </c>
      <c r="AH238" s="22">
        <v>20.8353</v>
      </c>
      <c r="AI238" s="22">
        <v>-1.40015E-2</v>
      </c>
      <c r="AJ238" s="22">
        <v>228</v>
      </c>
      <c r="AK238" s="22">
        <v>1.0467500000000001</v>
      </c>
      <c r="AL238">
        <f t="shared" si="42"/>
        <v>17.285802469135803</v>
      </c>
      <c r="AM238">
        <f t="shared" si="43"/>
        <v>18.117768141975308</v>
      </c>
      <c r="AP238" s="9"/>
      <c r="AQ238" s="22">
        <v>0.68191500000000005</v>
      </c>
      <c r="AR238" s="22">
        <v>26.364999999999998</v>
      </c>
      <c r="AS238" s="22">
        <v>-1.42059E-2</v>
      </c>
      <c r="AT238" s="22">
        <v>228</v>
      </c>
      <c r="AU238" s="22">
        <v>0.68106100000000003</v>
      </c>
      <c r="AV238">
        <f t="shared" si="44"/>
        <v>17.538148148148146</v>
      </c>
      <c r="AW238">
        <f t="shared" si="45"/>
        <v>11.959526294444444</v>
      </c>
      <c r="AX238" s="9"/>
      <c r="AY238" s="22">
        <v>1.04813</v>
      </c>
      <c r="AZ238" s="22">
        <v>30.244599999999998</v>
      </c>
      <c r="BA238" s="22">
        <v>-1.40045E-2</v>
      </c>
      <c r="BB238" s="22">
        <v>228</v>
      </c>
      <c r="BC238" s="22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7.4715800000000003</v>
      </c>
      <c r="I239" s="22">
        <v>-1.4053299999999999E-2</v>
      </c>
      <c r="J239" s="22">
        <v>229</v>
      </c>
      <c r="K239" s="22">
        <v>0.67608599999999996</v>
      </c>
      <c r="L239">
        <f t="shared" si="36"/>
        <v>17.349753086419753</v>
      </c>
      <c r="M239">
        <f t="shared" si="37"/>
        <v>11.743700869135804</v>
      </c>
      <c r="N239" s="9"/>
      <c r="O239" s="22">
        <v>1.0531600000000001</v>
      </c>
      <c r="P239" s="22">
        <v>11.3512</v>
      </c>
      <c r="Q239" s="22">
        <v>-1.3958699999999999E-2</v>
      </c>
      <c r="R239" s="22">
        <v>229</v>
      </c>
      <c r="S239" s="22">
        <v>1.0513300000000001</v>
      </c>
      <c r="T239">
        <f t="shared" si="38"/>
        <v>17.232962962962961</v>
      </c>
      <c r="U239">
        <f t="shared" si="39"/>
        <v>18.149067274074074</v>
      </c>
      <c r="X239" s="9"/>
      <c r="Y239" s="22">
        <v>0.67688000000000004</v>
      </c>
      <c r="Z239" s="22">
        <v>16.965800000000002</v>
      </c>
      <c r="AA239" s="22">
        <v>-1.4151E-2</v>
      </c>
      <c r="AB239" s="22">
        <v>229</v>
      </c>
      <c r="AC239" s="22">
        <v>0.67602499999999999</v>
      </c>
      <c r="AD239">
        <f t="shared" si="40"/>
        <v>17.470370370370368</v>
      </c>
      <c r="AE239">
        <f t="shared" si="41"/>
        <v>11.825344296296295</v>
      </c>
      <c r="AF239" s="9"/>
      <c r="AG239" s="22">
        <v>1.0531600000000001</v>
      </c>
      <c r="AH239" s="22">
        <v>20.845400000000001</v>
      </c>
      <c r="AI239" s="22">
        <v>-1.3992299999999999E-2</v>
      </c>
      <c r="AJ239" s="22">
        <v>229</v>
      </c>
      <c r="AK239" s="22">
        <v>1.0519400000000001</v>
      </c>
      <c r="AL239">
        <f t="shared" si="42"/>
        <v>17.274444444444445</v>
      </c>
      <c r="AM239">
        <f t="shared" si="43"/>
        <v>18.192753911111112</v>
      </c>
      <c r="AP239" s="9"/>
      <c r="AQ239" s="22">
        <v>0.67688000000000004</v>
      </c>
      <c r="AR239" s="22">
        <v>26.375</v>
      </c>
      <c r="AS239" s="22">
        <v>-1.42059E-2</v>
      </c>
      <c r="AT239" s="22">
        <v>229</v>
      </c>
      <c r="AU239" s="22">
        <v>0.67614700000000005</v>
      </c>
      <c r="AV239">
        <f t="shared" si="44"/>
        <v>17.538148148148146</v>
      </c>
      <c r="AW239">
        <f t="shared" si="45"/>
        <v>11.871221718518518</v>
      </c>
      <c r="AX239" s="9"/>
      <c r="AY239" s="22">
        <v>1.0531600000000001</v>
      </c>
      <c r="AZ239" s="22">
        <v>30.2546</v>
      </c>
      <c r="BA239" s="22">
        <v>-1.3998399999999999E-2</v>
      </c>
      <c r="BB239" s="22">
        <v>229</v>
      </c>
      <c r="BC239" s="22">
        <v>1.0519400000000001</v>
      </c>
      <c r="BD239">
        <f t="shared" si="46"/>
        <v>17.281975308641975</v>
      </c>
      <c r="BE239">
        <f t="shared" si="47"/>
        <v>18.200685116049385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7.4816500000000001</v>
      </c>
      <c r="I240" s="22">
        <v>-1.4053299999999999E-2</v>
      </c>
      <c r="J240" s="22">
        <v>230</v>
      </c>
      <c r="K240" s="22">
        <v>0.67098999999999998</v>
      </c>
      <c r="L240">
        <f t="shared" si="36"/>
        <v>17.349753086419753</v>
      </c>
      <c r="M240">
        <f t="shared" si="37"/>
        <v>11.656327512592592</v>
      </c>
      <c r="N240" s="9"/>
      <c r="O240" s="22">
        <v>1.0582</v>
      </c>
      <c r="P240" s="22">
        <v>11.3613</v>
      </c>
      <c r="Q240" s="22">
        <v>-1.39618E-2</v>
      </c>
      <c r="R240" s="22">
        <v>230</v>
      </c>
      <c r="S240" s="22">
        <v>1.0571299999999999</v>
      </c>
      <c r="T240">
        <f t="shared" si="38"/>
        <v>17.236790123456789</v>
      </c>
      <c r="U240">
        <f t="shared" si="39"/>
        <v>18.239971308641973</v>
      </c>
      <c r="X240" s="9"/>
      <c r="Y240" s="22">
        <v>0.671844</v>
      </c>
      <c r="Z240" s="22">
        <v>16.975899999999999</v>
      </c>
      <c r="AA240" s="22">
        <v>-1.4154099999999999E-2</v>
      </c>
      <c r="AB240" s="22">
        <v>230</v>
      </c>
      <c r="AC240" s="22">
        <v>0.67095899999999997</v>
      </c>
      <c r="AD240">
        <f t="shared" si="40"/>
        <v>17.474197530864195</v>
      </c>
      <c r="AE240">
        <f t="shared" si="41"/>
        <v>11.739934765925925</v>
      </c>
      <c r="AF240" s="9"/>
      <c r="AG240" s="22">
        <v>1.0582</v>
      </c>
      <c r="AH240" s="22">
        <v>20.855499999999999</v>
      </c>
      <c r="AI240" s="22">
        <v>-1.3986200000000001E-2</v>
      </c>
      <c r="AJ240" s="22">
        <v>230</v>
      </c>
      <c r="AK240" s="22">
        <v>1.0568200000000001</v>
      </c>
      <c r="AL240">
        <f t="shared" si="42"/>
        <v>17.266913580246914</v>
      </c>
      <c r="AM240">
        <f t="shared" si="43"/>
        <v>18.271847950617286</v>
      </c>
      <c r="AP240" s="9"/>
      <c r="AQ240" s="22">
        <v>0.671844</v>
      </c>
      <c r="AR240" s="22">
        <v>26.385100000000001</v>
      </c>
      <c r="AS240" s="22">
        <v>-1.41998E-2</v>
      </c>
      <c r="AT240" s="22">
        <v>230</v>
      </c>
      <c r="AU240" s="22">
        <v>0.67102099999999998</v>
      </c>
      <c r="AV240">
        <f t="shared" si="44"/>
        <v>17.530617283950615</v>
      </c>
      <c r="AW240">
        <f t="shared" si="45"/>
        <v>11.777840038518518</v>
      </c>
      <c r="AX240" s="9"/>
      <c r="AY240" s="22">
        <v>1.0582</v>
      </c>
      <c r="AZ240" s="22">
        <v>30.264700000000001</v>
      </c>
      <c r="BA240" s="22">
        <v>-1.3998399999999999E-2</v>
      </c>
      <c r="BB240" s="22">
        <v>230</v>
      </c>
      <c r="BC240" s="22">
        <v>1.0568200000000001</v>
      </c>
      <c r="BD240">
        <f t="shared" si="46"/>
        <v>17.281975308641975</v>
      </c>
      <c r="BE240">
        <f t="shared" si="47"/>
        <v>18.28778627160494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7.4917199999999999</v>
      </c>
      <c r="I241" s="22">
        <v>-1.40503E-2</v>
      </c>
      <c r="J241" s="22">
        <v>231</v>
      </c>
      <c r="K241" s="22">
        <v>0.66601600000000005</v>
      </c>
      <c r="L241">
        <f t="shared" si="36"/>
        <v>17.34604938271605</v>
      </c>
      <c r="M241">
        <f t="shared" si="37"/>
        <v>11.566501842839505</v>
      </c>
      <c r="N241" s="9"/>
      <c r="O241" s="22">
        <v>1.0632299999999999</v>
      </c>
      <c r="P241" s="22">
        <v>11.3713</v>
      </c>
      <c r="Q241" s="22">
        <v>-1.3952600000000001E-2</v>
      </c>
      <c r="R241" s="22">
        <v>231</v>
      </c>
      <c r="S241" s="22">
        <v>1.0620099999999999</v>
      </c>
      <c r="T241">
        <f t="shared" si="38"/>
        <v>17.225432098765431</v>
      </c>
      <c r="U241">
        <f t="shared" si="39"/>
        <v>18.314596170370368</v>
      </c>
      <c r="X241" s="9"/>
      <c r="Y241" s="22">
        <v>0.66680899999999999</v>
      </c>
      <c r="Z241" s="22">
        <v>16.985900000000001</v>
      </c>
      <c r="AA241" s="22">
        <v>-1.4154099999999999E-2</v>
      </c>
      <c r="AB241" s="22">
        <v>231</v>
      </c>
      <c r="AC241" s="22">
        <v>0.66607700000000003</v>
      </c>
      <c r="AD241">
        <f t="shared" si="40"/>
        <v>17.474197530864195</v>
      </c>
      <c r="AE241">
        <f t="shared" si="41"/>
        <v>11.651952181358023</v>
      </c>
      <c r="AF241" s="9"/>
      <c r="AG241" s="22">
        <v>1.0632299999999999</v>
      </c>
      <c r="AH241" s="22">
        <v>20.865600000000001</v>
      </c>
      <c r="AI241" s="22">
        <v>-1.3977099999999999E-2</v>
      </c>
      <c r="AJ241" s="22">
        <v>231</v>
      </c>
      <c r="AK241" s="22">
        <v>1.0623199999999999</v>
      </c>
      <c r="AL241">
        <f t="shared" si="42"/>
        <v>17.255679012345677</v>
      </c>
      <c r="AM241">
        <f t="shared" si="43"/>
        <v>18.346755596296294</v>
      </c>
      <c r="AP241" s="9"/>
      <c r="AQ241" s="22">
        <v>0.66680899999999999</v>
      </c>
      <c r="AR241" s="22">
        <v>26.395199999999999</v>
      </c>
      <c r="AS241" s="22">
        <v>-1.42059E-2</v>
      </c>
      <c r="AT241" s="22">
        <v>231</v>
      </c>
      <c r="AU241" s="22">
        <v>0.66601600000000005</v>
      </c>
      <c r="AV241">
        <f t="shared" si="44"/>
        <v>17.538148148148146</v>
      </c>
      <c r="AW241">
        <f t="shared" si="45"/>
        <v>11.694595028518517</v>
      </c>
      <c r="AX241" s="9"/>
      <c r="AY241" s="22">
        <v>1.0632299999999999</v>
      </c>
      <c r="AZ241" s="22">
        <v>30.274799999999999</v>
      </c>
      <c r="BA241" s="22">
        <v>-1.39954E-2</v>
      </c>
      <c r="BB241" s="22">
        <v>231</v>
      </c>
      <c r="BC241" s="22">
        <v>1.0620099999999999</v>
      </c>
      <c r="BD241">
        <f t="shared" si="46"/>
        <v>17.278271604938272</v>
      </c>
      <c r="BE241">
        <f t="shared" si="47"/>
        <v>18.370776718518517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7.5017899999999997</v>
      </c>
      <c r="I242" s="22">
        <v>-1.40564E-2</v>
      </c>
      <c r="J242" s="22">
        <v>232</v>
      </c>
      <c r="K242" s="22">
        <v>0.66098000000000001</v>
      </c>
      <c r="L242">
        <f t="shared" si="36"/>
        <v>17.35358024691358</v>
      </c>
      <c r="M242">
        <f t="shared" si="37"/>
        <v>11.484148214320987</v>
      </c>
      <c r="N242" s="9"/>
      <c r="O242" s="22">
        <v>1.0682700000000001</v>
      </c>
      <c r="P242" s="22">
        <v>11.381399999999999</v>
      </c>
      <c r="Q242" s="22">
        <v>-1.3943499999999999E-2</v>
      </c>
      <c r="R242" s="22">
        <v>232</v>
      </c>
      <c r="S242" s="22">
        <v>1.0668899999999999</v>
      </c>
      <c r="T242">
        <f t="shared" si="38"/>
        <v>17.214197530864197</v>
      </c>
      <c r="U242">
        <f t="shared" si="39"/>
        <v>18.389410796296296</v>
      </c>
      <c r="X242" s="9"/>
      <c r="Y242" s="22">
        <v>0.66177399999999997</v>
      </c>
      <c r="Z242" s="22">
        <v>16.995999999999999</v>
      </c>
      <c r="AA242" s="22">
        <v>-1.4154099999999999E-2</v>
      </c>
      <c r="AB242" s="22">
        <v>232</v>
      </c>
      <c r="AC242" s="22">
        <v>0.66101100000000002</v>
      </c>
      <c r="AD242">
        <f t="shared" si="40"/>
        <v>17.474197530864195</v>
      </c>
      <c r="AE242">
        <f t="shared" si="41"/>
        <v>11.563969596790121</v>
      </c>
      <c r="AF242" s="9"/>
      <c r="AG242" s="22">
        <v>1.0682700000000001</v>
      </c>
      <c r="AH242" s="22">
        <v>20.875599999999999</v>
      </c>
      <c r="AI242" s="22">
        <v>-1.3964799999999999E-2</v>
      </c>
      <c r="AJ242" s="22">
        <v>232</v>
      </c>
      <c r="AK242" s="22">
        <v>1.0665899999999999</v>
      </c>
      <c r="AL242">
        <f t="shared" si="42"/>
        <v>17.240493827160492</v>
      </c>
      <c r="AM242">
        <f t="shared" si="43"/>
        <v>18.417502340740739</v>
      </c>
      <c r="AP242" s="9"/>
      <c r="AQ242" s="22">
        <v>0.66177399999999997</v>
      </c>
      <c r="AR242" s="22">
        <v>26.405200000000001</v>
      </c>
      <c r="AS242" s="22">
        <v>-1.4212000000000001E-2</v>
      </c>
      <c r="AT242" s="22">
        <v>232</v>
      </c>
      <c r="AU242" s="22">
        <v>0.66088899999999995</v>
      </c>
      <c r="AV242">
        <f t="shared" si="44"/>
        <v>17.54567901234568</v>
      </c>
      <c r="AW242">
        <f t="shared" si="45"/>
        <v>11.61127418271605</v>
      </c>
      <c r="AX242" s="9"/>
      <c r="AY242" s="22">
        <v>1.0682700000000001</v>
      </c>
      <c r="AZ242" s="22">
        <v>30.2849</v>
      </c>
      <c r="BA242" s="22">
        <v>-1.3998399999999999E-2</v>
      </c>
      <c r="BB242" s="22">
        <v>232</v>
      </c>
      <c r="BC242" s="22">
        <v>1.0674999999999999</v>
      </c>
      <c r="BD242">
        <f t="shared" si="46"/>
        <v>17.281975308641975</v>
      </c>
      <c r="BE242">
        <f t="shared" si="47"/>
        <v>18.461815762962964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7.5118600000000004</v>
      </c>
      <c r="I243" s="22">
        <v>-1.40625E-2</v>
      </c>
      <c r="J243" s="22">
        <v>233</v>
      </c>
      <c r="K243" s="22">
        <v>0.65588400000000002</v>
      </c>
      <c r="L243">
        <f t="shared" si="36"/>
        <v>17.361111111111111</v>
      </c>
      <c r="M243">
        <f t="shared" si="37"/>
        <v>11.40170138888889</v>
      </c>
      <c r="N243" s="9"/>
      <c r="O243" s="22">
        <v>1.0732999999999999</v>
      </c>
      <c r="P243" s="22">
        <v>11.391500000000001</v>
      </c>
      <c r="Q243" s="22">
        <v>-1.3937400000000001E-2</v>
      </c>
      <c r="R243" s="22">
        <v>233</v>
      </c>
      <c r="S243" s="22">
        <v>1.07239</v>
      </c>
      <c r="T243">
        <f t="shared" si="38"/>
        <v>17.206666666666667</v>
      </c>
      <c r="U243">
        <f t="shared" si="39"/>
        <v>18.467915333333334</v>
      </c>
      <c r="X243" s="9"/>
      <c r="Y243" s="22">
        <v>0.65673800000000004</v>
      </c>
      <c r="Z243" s="22">
        <v>17.0061</v>
      </c>
      <c r="AA243" s="22">
        <v>-1.41479E-2</v>
      </c>
      <c r="AB243" s="22">
        <v>233</v>
      </c>
      <c r="AC243" s="22">
        <v>0.655914</v>
      </c>
      <c r="AD243">
        <f t="shared" si="40"/>
        <v>17.466543209876541</v>
      </c>
      <c r="AE243">
        <f t="shared" si="41"/>
        <v>11.470942654567901</v>
      </c>
      <c r="AF243" s="9"/>
      <c r="AG243" s="22">
        <v>1.0732999999999999</v>
      </c>
      <c r="AH243" s="22">
        <v>20.8857</v>
      </c>
      <c r="AI243" s="22">
        <v>-1.3964799999999999E-2</v>
      </c>
      <c r="AJ243" s="22">
        <v>233</v>
      </c>
      <c r="AK243" s="22">
        <v>1.07239</v>
      </c>
      <c r="AL243">
        <f t="shared" si="42"/>
        <v>17.240493827160492</v>
      </c>
      <c r="AM243">
        <f t="shared" si="43"/>
        <v>18.504222024691355</v>
      </c>
      <c r="AP243" s="9"/>
      <c r="AQ243" s="22">
        <v>0.65673800000000004</v>
      </c>
      <c r="AR243" s="22">
        <v>26.415299999999998</v>
      </c>
      <c r="AS243" s="22">
        <v>-1.42151E-2</v>
      </c>
      <c r="AT243" s="22">
        <v>233</v>
      </c>
      <c r="AU243" s="22">
        <v>0.65597499999999997</v>
      </c>
      <c r="AV243">
        <f t="shared" si="44"/>
        <v>17.549506172839507</v>
      </c>
      <c r="AW243">
        <f t="shared" si="45"/>
        <v>11.525427584938273</v>
      </c>
      <c r="AX243" s="9"/>
      <c r="AY243" s="22">
        <v>1.0732999999999999</v>
      </c>
      <c r="AZ243" s="22">
        <v>30.294899999999998</v>
      </c>
      <c r="BA243" s="22">
        <v>-1.39954E-2</v>
      </c>
      <c r="BB243" s="22">
        <v>233</v>
      </c>
      <c r="BC243" s="22">
        <v>1.0726899999999999</v>
      </c>
      <c r="BD243">
        <f t="shared" si="46"/>
        <v>17.278271604938272</v>
      </c>
      <c r="BE243">
        <f t="shared" si="47"/>
        <v>18.544768913580246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7.5219399999999998</v>
      </c>
      <c r="I244" s="22">
        <v>-1.4065599999999999E-2</v>
      </c>
      <c r="J244" s="22">
        <v>234</v>
      </c>
      <c r="K244" s="22">
        <v>0.65081800000000001</v>
      </c>
      <c r="L244">
        <f t="shared" si="36"/>
        <v>17.364938271604938</v>
      </c>
      <c r="M244">
        <f t="shared" si="37"/>
        <v>11.316782366419753</v>
      </c>
      <c r="N244" s="9"/>
      <c r="O244" s="22">
        <v>1.0783400000000001</v>
      </c>
      <c r="P244" s="22">
        <v>11.4016</v>
      </c>
      <c r="Q244" s="22">
        <v>-1.39282E-2</v>
      </c>
      <c r="R244" s="22">
        <v>234</v>
      </c>
      <c r="S244" s="22">
        <v>1.07697</v>
      </c>
      <c r="T244">
        <f t="shared" si="38"/>
        <v>17.195308641975309</v>
      </c>
      <c r="U244">
        <f t="shared" si="39"/>
        <v>18.542389120987657</v>
      </c>
      <c r="X244" s="9"/>
      <c r="Y244" s="22">
        <v>0.65170300000000003</v>
      </c>
      <c r="Z244" s="22">
        <v>17.016200000000001</v>
      </c>
      <c r="AA244" s="22">
        <v>-1.41449E-2</v>
      </c>
      <c r="AB244" s="22">
        <v>234</v>
      </c>
      <c r="AC244" s="22">
        <v>0.65097000000000005</v>
      </c>
      <c r="AD244">
        <f t="shared" si="40"/>
        <v>17.462839506172838</v>
      </c>
      <c r="AE244">
        <f t="shared" si="41"/>
        <v>11.380584894691358</v>
      </c>
      <c r="AF244" s="9"/>
      <c r="AG244" s="22">
        <v>1.0783400000000001</v>
      </c>
      <c r="AH244" s="22">
        <v>20.895800000000001</v>
      </c>
      <c r="AI244" s="22">
        <v>-1.39557E-2</v>
      </c>
      <c r="AJ244" s="22">
        <v>234</v>
      </c>
      <c r="AK244" s="22">
        <v>1.07697</v>
      </c>
      <c r="AL244">
        <f t="shared" si="42"/>
        <v>17.229259259259258</v>
      </c>
      <c r="AM244">
        <f t="shared" si="43"/>
        <v>18.578999429629629</v>
      </c>
      <c r="AP244" s="9"/>
      <c r="AQ244" s="22">
        <v>0.65170300000000003</v>
      </c>
      <c r="AR244" s="22">
        <v>26.4254</v>
      </c>
      <c r="AS244" s="22">
        <v>-1.4208999999999999E-2</v>
      </c>
      <c r="AT244" s="22">
        <v>234</v>
      </c>
      <c r="AU244" s="22">
        <v>0.65090899999999996</v>
      </c>
      <c r="AV244">
        <f t="shared" si="44"/>
        <v>17.541975308641973</v>
      </c>
      <c r="AW244">
        <f t="shared" si="45"/>
        <v>11.432157934567901</v>
      </c>
      <c r="AX244" s="9"/>
      <c r="AY244" s="22">
        <v>1.0783400000000001</v>
      </c>
      <c r="AZ244" s="22">
        <v>30.305</v>
      </c>
      <c r="BA244" s="22">
        <v>-1.3998399999999999E-2</v>
      </c>
      <c r="BB244" s="22">
        <v>234</v>
      </c>
      <c r="BC244" s="22">
        <v>1.07666</v>
      </c>
      <c r="BD244">
        <f t="shared" si="46"/>
        <v>17.281975308641975</v>
      </c>
      <c r="BE244">
        <f t="shared" si="47"/>
        <v>18.635845254320987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7.5320099999999996</v>
      </c>
      <c r="I245" s="22">
        <v>-1.4071699999999999E-2</v>
      </c>
      <c r="J245" s="22">
        <v>235</v>
      </c>
      <c r="K245" s="22">
        <v>0.64587399999999995</v>
      </c>
      <c r="L245">
        <f t="shared" si="36"/>
        <v>17.372469135802469</v>
      </c>
      <c r="M245">
        <f t="shared" si="37"/>
        <v>11.234202498641976</v>
      </c>
      <c r="N245" s="9"/>
      <c r="O245" s="22">
        <v>1.0833699999999999</v>
      </c>
      <c r="P245" s="22">
        <v>11.4116</v>
      </c>
      <c r="Q245" s="22">
        <v>-1.39221E-2</v>
      </c>
      <c r="R245" s="22">
        <v>235</v>
      </c>
      <c r="S245" s="22">
        <v>1.08246</v>
      </c>
      <c r="T245">
        <f t="shared" si="38"/>
        <v>17.187777777777779</v>
      </c>
      <c r="U245">
        <f t="shared" si="39"/>
        <v>18.620722811111111</v>
      </c>
      <c r="X245" s="9"/>
      <c r="Y245" s="22">
        <v>0.64666699999999999</v>
      </c>
      <c r="Z245" s="22">
        <v>17.026199999999999</v>
      </c>
      <c r="AA245" s="22">
        <v>-1.41418E-2</v>
      </c>
      <c r="AB245" s="22">
        <v>235</v>
      </c>
      <c r="AC245" s="22">
        <v>0.64587399999999995</v>
      </c>
      <c r="AD245">
        <f t="shared" si="40"/>
        <v>17.45901234567901</v>
      </c>
      <c r="AE245">
        <f t="shared" si="41"/>
        <v>11.290167136543209</v>
      </c>
      <c r="AF245" s="9"/>
      <c r="AG245" s="22">
        <v>1.0833699999999999</v>
      </c>
      <c r="AH245" s="22">
        <v>20.905799999999999</v>
      </c>
      <c r="AI245" s="22">
        <v>-1.3946500000000001E-2</v>
      </c>
      <c r="AJ245" s="22">
        <v>235</v>
      </c>
      <c r="AK245" s="22">
        <v>1.08246</v>
      </c>
      <c r="AL245">
        <f t="shared" si="42"/>
        <v>17.217901234567901</v>
      </c>
      <c r="AM245">
        <f t="shared" si="43"/>
        <v>18.653357660493825</v>
      </c>
      <c r="AP245" s="9"/>
      <c r="AQ245" s="22">
        <v>0.64666699999999999</v>
      </c>
      <c r="AR245" s="22">
        <v>26.435500000000001</v>
      </c>
      <c r="AS245" s="22">
        <v>-1.42059E-2</v>
      </c>
      <c r="AT245" s="22">
        <v>235</v>
      </c>
      <c r="AU245" s="22">
        <v>0.64593500000000004</v>
      </c>
      <c r="AV245">
        <f t="shared" si="44"/>
        <v>17.538148148148146</v>
      </c>
      <c r="AW245">
        <f t="shared" si="45"/>
        <v>11.341341648518517</v>
      </c>
      <c r="AX245" s="9"/>
      <c r="AY245" s="22">
        <v>1.0833699999999999</v>
      </c>
      <c r="AZ245" s="22">
        <v>30.315100000000001</v>
      </c>
      <c r="BA245" s="22">
        <v>-1.39954E-2</v>
      </c>
      <c r="BB245" s="22">
        <v>235</v>
      </c>
      <c r="BC245" s="22">
        <v>1.0821499999999999</v>
      </c>
      <c r="BD245">
        <f t="shared" si="46"/>
        <v>17.278271604938272</v>
      </c>
      <c r="BE245">
        <f t="shared" si="47"/>
        <v>18.718761108641974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7.5420800000000003</v>
      </c>
      <c r="I246" s="22">
        <v>-1.40625E-2</v>
      </c>
      <c r="J246" s="22">
        <v>236</v>
      </c>
      <c r="K246" s="22">
        <v>0.64086900000000002</v>
      </c>
      <c r="L246">
        <f t="shared" si="36"/>
        <v>17.361111111111111</v>
      </c>
      <c r="M246">
        <f t="shared" si="37"/>
        <v>11.139444444444443</v>
      </c>
      <c r="N246" s="9"/>
      <c r="O246" s="22">
        <v>1.0884100000000001</v>
      </c>
      <c r="P246" s="22">
        <v>11.4217</v>
      </c>
      <c r="Q246" s="22">
        <v>-1.3913E-2</v>
      </c>
      <c r="R246" s="22">
        <v>236</v>
      </c>
      <c r="S246" s="22">
        <v>1.08704</v>
      </c>
      <c r="T246">
        <f t="shared" si="38"/>
        <v>17.176543209876542</v>
      </c>
      <c r="U246">
        <f t="shared" si="39"/>
        <v>18.695121395061729</v>
      </c>
      <c r="X246" s="9"/>
      <c r="Y246" s="22">
        <v>0.64163199999999998</v>
      </c>
      <c r="Z246" s="22">
        <v>17.036300000000001</v>
      </c>
      <c r="AA246" s="22">
        <v>-1.41479E-2</v>
      </c>
      <c r="AB246" s="22">
        <v>236</v>
      </c>
      <c r="AC246" s="22">
        <v>0.64083900000000005</v>
      </c>
      <c r="AD246">
        <f t="shared" si="40"/>
        <v>17.466543209876541</v>
      </c>
      <c r="AE246">
        <f t="shared" si="41"/>
        <v>11.207093052839504</v>
      </c>
      <c r="AF246" s="9"/>
      <c r="AG246" s="22">
        <v>1.0884100000000001</v>
      </c>
      <c r="AH246" s="22">
        <v>20.915900000000001</v>
      </c>
      <c r="AI246" s="22">
        <v>-1.3937400000000001E-2</v>
      </c>
      <c r="AJ246" s="22">
        <v>236</v>
      </c>
      <c r="AK246" s="22">
        <v>1.08704</v>
      </c>
      <c r="AL246">
        <f t="shared" si="42"/>
        <v>17.206666666666667</v>
      </c>
      <c r="AM246">
        <f t="shared" si="43"/>
        <v>18.727908066666668</v>
      </c>
      <c r="AP246" s="9"/>
      <c r="AQ246" s="22">
        <v>0.64163199999999998</v>
      </c>
      <c r="AR246" s="22">
        <v>26.445499999999999</v>
      </c>
      <c r="AS246" s="22">
        <v>-1.42059E-2</v>
      </c>
      <c r="AT246" s="22">
        <v>236</v>
      </c>
      <c r="AU246" s="22">
        <v>0.64083900000000005</v>
      </c>
      <c r="AV246">
        <f t="shared" si="44"/>
        <v>17.538148148148146</v>
      </c>
      <c r="AW246">
        <f t="shared" si="45"/>
        <v>11.253037072592591</v>
      </c>
      <c r="AX246" s="9"/>
      <c r="AY246" s="22">
        <v>1.0884100000000001</v>
      </c>
      <c r="AZ246" s="22">
        <v>30.325099999999999</v>
      </c>
      <c r="BA246" s="22">
        <v>-1.39893E-2</v>
      </c>
      <c r="BB246" s="22">
        <v>236</v>
      </c>
      <c r="BC246" s="22">
        <v>1.08734</v>
      </c>
      <c r="BD246">
        <f t="shared" si="46"/>
        <v>17.270740740740738</v>
      </c>
      <c r="BE246">
        <f t="shared" si="47"/>
        <v>18.797646929629629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7.5521500000000001</v>
      </c>
      <c r="I247" s="22">
        <v>-1.40594E-2</v>
      </c>
      <c r="J247" s="22">
        <v>237</v>
      </c>
      <c r="K247" s="22">
        <v>0.63586399999999998</v>
      </c>
      <c r="L247">
        <f t="shared" si="36"/>
        <v>17.357283950617283</v>
      </c>
      <c r="M247">
        <f t="shared" si="37"/>
        <v>11.049594891111111</v>
      </c>
      <c r="N247" s="9"/>
      <c r="O247" s="22">
        <v>1.09344</v>
      </c>
      <c r="P247" s="22">
        <v>11.431800000000001</v>
      </c>
      <c r="Q247" s="22">
        <v>-1.3903799999999999E-2</v>
      </c>
      <c r="R247" s="22">
        <v>237</v>
      </c>
      <c r="S247" s="22">
        <v>1.09314</v>
      </c>
      <c r="T247">
        <f t="shared" si="38"/>
        <v>17.165185185185184</v>
      </c>
      <c r="U247">
        <f t="shared" si="39"/>
        <v>18.769100088888887</v>
      </c>
      <c r="X247" s="9"/>
      <c r="Y247" s="22">
        <v>0.63659699999999997</v>
      </c>
      <c r="Z247" s="22">
        <v>17.046399999999998</v>
      </c>
      <c r="AA247" s="22">
        <v>-1.41418E-2</v>
      </c>
      <c r="AB247" s="22">
        <v>237</v>
      </c>
      <c r="AC247" s="22">
        <v>0.63574200000000003</v>
      </c>
      <c r="AD247">
        <f t="shared" si="40"/>
        <v>17.45901234567901</v>
      </c>
      <c r="AE247">
        <f t="shared" si="41"/>
        <v>11.114354882222221</v>
      </c>
      <c r="AF247" s="9"/>
      <c r="AG247" s="22">
        <v>1.09344</v>
      </c>
      <c r="AH247" s="22">
        <v>20.925999999999998</v>
      </c>
      <c r="AI247" s="22">
        <v>-1.39343E-2</v>
      </c>
      <c r="AJ247" s="22">
        <v>237</v>
      </c>
      <c r="AK247" s="22">
        <v>1.09222</v>
      </c>
      <c r="AL247">
        <f t="shared" si="42"/>
        <v>17.202839506172836</v>
      </c>
      <c r="AM247">
        <f t="shared" si="43"/>
        <v>18.810272829629625</v>
      </c>
      <c r="AP247" s="9"/>
      <c r="AQ247" s="22">
        <v>0.63659699999999997</v>
      </c>
      <c r="AR247" s="22">
        <v>26.4556</v>
      </c>
      <c r="AS247" s="22">
        <v>-1.4202899999999999E-2</v>
      </c>
      <c r="AT247" s="22">
        <v>237</v>
      </c>
      <c r="AU247" s="22">
        <v>0.63577300000000003</v>
      </c>
      <c r="AV247">
        <f t="shared" si="44"/>
        <v>17.534444444444443</v>
      </c>
      <c r="AW247">
        <f t="shared" si="45"/>
        <v>11.162374729999998</v>
      </c>
      <c r="AX247" s="9"/>
      <c r="AY247" s="22">
        <v>1.09344</v>
      </c>
      <c r="AZ247" s="22">
        <v>30.3352</v>
      </c>
      <c r="BA247" s="22">
        <v>-1.3980100000000001E-2</v>
      </c>
      <c r="BB247" s="22">
        <v>237</v>
      </c>
      <c r="BC247" s="22">
        <v>1.09222</v>
      </c>
      <c r="BD247">
        <f t="shared" si="46"/>
        <v>17.259382716049384</v>
      </c>
      <c r="BE247">
        <f t="shared" si="47"/>
        <v>18.872099437037036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7.5622199999999999</v>
      </c>
      <c r="I248" s="22">
        <v>-1.40564E-2</v>
      </c>
      <c r="J248" s="22">
        <v>238</v>
      </c>
      <c r="K248" s="22">
        <v>0.630768</v>
      </c>
      <c r="L248">
        <f t="shared" si="36"/>
        <v>17.35358024691358</v>
      </c>
      <c r="M248">
        <f t="shared" si="37"/>
        <v>10.959844494320988</v>
      </c>
      <c r="N248" s="9"/>
      <c r="O248" s="22">
        <v>1.0984799999999999</v>
      </c>
      <c r="P248" s="22">
        <v>11.441800000000001</v>
      </c>
      <c r="Q248" s="22">
        <v>-1.39008E-2</v>
      </c>
      <c r="R248" s="22">
        <v>238</v>
      </c>
      <c r="S248" s="22">
        <v>1.09772</v>
      </c>
      <c r="T248">
        <f t="shared" si="38"/>
        <v>17.161481481481481</v>
      </c>
      <c r="U248">
        <f t="shared" si="39"/>
        <v>18.851544177777775</v>
      </c>
      <c r="X248" s="9"/>
      <c r="Y248" s="22">
        <v>0.63156100000000004</v>
      </c>
      <c r="Z248" s="22">
        <v>17.0564</v>
      </c>
      <c r="AA248" s="22">
        <v>-1.4135699999999999E-2</v>
      </c>
      <c r="AB248" s="22">
        <v>238</v>
      </c>
      <c r="AC248" s="22">
        <v>0.630768</v>
      </c>
      <c r="AD248">
        <f t="shared" si="40"/>
        <v>17.45148148148148</v>
      </c>
      <c r="AE248">
        <f t="shared" si="41"/>
        <v>11.021675095925925</v>
      </c>
      <c r="AF248" s="9"/>
      <c r="AG248" s="22">
        <v>1.0984799999999999</v>
      </c>
      <c r="AH248" s="22">
        <v>20.9361</v>
      </c>
      <c r="AI248" s="22">
        <v>-1.39343E-2</v>
      </c>
      <c r="AJ248" s="22">
        <v>238</v>
      </c>
      <c r="AK248" s="22">
        <v>1.09772</v>
      </c>
      <c r="AL248">
        <f t="shared" si="42"/>
        <v>17.202839506172836</v>
      </c>
      <c r="AM248">
        <f t="shared" si="43"/>
        <v>18.896975140740736</v>
      </c>
      <c r="AP248" s="9"/>
      <c r="AQ248" s="22">
        <v>0.63156100000000004</v>
      </c>
      <c r="AR248" s="22">
        <v>26.465699999999998</v>
      </c>
      <c r="AS248" s="22">
        <v>-1.4212000000000001E-2</v>
      </c>
      <c r="AT248" s="22">
        <v>238</v>
      </c>
      <c r="AU248" s="22">
        <v>0.63079799999999997</v>
      </c>
      <c r="AV248">
        <f t="shared" si="44"/>
        <v>17.54567901234568</v>
      </c>
      <c r="AW248">
        <f t="shared" si="45"/>
        <v>11.081166582716051</v>
      </c>
      <c r="AX248" s="9"/>
      <c r="AY248" s="22">
        <v>1.0984799999999999</v>
      </c>
      <c r="AZ248" s="22">
        <v>30.345300000000002</v>
      </c>
      <c r="BA248" s="22">
        <v>-1.3974E-2</v>
      </c>
      <c r="BB248" s="22">
        <v>238</v>
      </c>
      <c r="BC248" s="22">
        <v>1.09741</v>
      </c>
      <c r="BD248">
        <f t="shared" si="46"/>
        <v>17.251851851851853</v>
      </c>
      <c r="BE248">
        <f t="shared" si="47"/>
        <v>18.95081422222222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7.5722899999999997</v>
      </c>
      <c r="I249" s="22">
        <v>-1.40564E-2</v>
      </c>
      <c r="J249" s="22">
        <v>239</v>
      </c>
      <c r="K249" s="22">
        <v>0.62579300000000004</v>
      </c>
      <c r="L249">
        <f t="shared" si="36"/>
        <v>17.35358024691358</v>
      </c>
      <c r="M249">
        <f t="shared" si="37"/>
        <v>10.872469217777779</v>
      </c>
      <c r="N249" s="9"/>
      <c r="O249" s="22">
        <v>1.1035200000000001</v>
      </c>
      <c r="P249" s="22">
        <v>11.4519</v>
      </c>
      <c r="Q249" s="22">
        <v>-1.3913E-2</v>
      </c>
      <c r="R249" s="22">
        <v>239</v>
      </c>
      <c r="S249" s="22">
        <v>1.1029100000000001</v>
      </c>
      <c r="T249">
        <f t="shared" si="38"/>
        <v>17.176543209876542</v>
      </c>
      <c r="U249">
        <f t="shared" si="39"/>
        <v>18.954658962962963</v>
      </c>
      <c r="X249" s="9"/>
      <c r="Y249" s="22">
        <v>0.62652600000000003</v>
      </c>
      <c r="Z249" s="22">
        <v>17.066500000000001</v>
      </c>
      <c r="AA249" s="22">
        <v>-1.41388E-2</v>
      </c>
      <c r="AB249" s="22">
        <v>239</v>
      </c>
      <c r="AC249" s="22">
        <v>0.62576299999999996</v>
      </c>
      <c r="AD249">
        <f t="shared" si="40"/>
        <v>17.455308641975307</v>
      </c>
      <c r="AE249">
        <f t="shared" si="41"/>
        <v>10.936204702222222</v>
      </c>
      <c r="AF249" s="9"/>
      <c r="AG249" s="22">
        <v>1.1035200000000001</v>
      </c>
      <c r="AH249" s="22">
        <v>20.946100000000001</v>
      </c>
      <c r="AI249" s="22">
        <v>-1.3937400000000001E-2</v>
      </c>
      <c r="AJ249" s="22">
        <v>239</v>
      </c>
      <c r="AK249" s="22">
        <v>1.10168</v>
      </c>
      <c r="AL249">
        <f t="shared" si="42"/>
        <v>17.206666666666667</v>
      </c>
      <c r="AM249">
        <f t="shared" si="43"/>
        <v>18.987900800000002</v>
      </c>
      <c r="AP249" s="9"/>
      <c r="AQ249" s="22">
        <v>0.62652600000000003</v>
      </c>
      <c r="AR249" s="22">
        <v>26.4757</v>
      </c>
      <c r="AS249" s="22">
        <v>-1.4208999999999999E-2</v>
      </c>
      <c r="AT249" s="22">
        <v>239</v>
      </c>
      <c r="AU249" s="22">
        <v>0.62573199999999995</v>
      </c>
      <c r="AV249">
        <f t="shared" si="44"/>
        <v>17.541975308641973</v>
      </c>
      <c r="AW249">
        <f t="shared" si="45"/>
        <v>10.990503622222221</v>
      </c>
      <c r="AX249" s="9"/>
      <c r="AY249" s="22">
        <v>1.1035200000000001</v>
      </c>
      <c r="AZ249" s="22">
        <v>30.355399999999999</v>
      </c>
      <c r="BA249" s="22">
        <v>-1.39709E-2</v>
      </c>
      <c r="BB249" s="22">
        <v>239</v>
      </c>
      <c r="BC249" s="22">
        <v>1.10229</v>
      </c>
      <c r="BD249">
        <f t="shared" si="46"/>
        <v>17.248024691358022</v>
      </c>
      <c r="BE249">
        <f t="shared" si="47"/>
        <v>19.033540207407405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7.5823600000000004</v>
      </c>
      <c r="I250" s="22">
        <v>-1.4053299999999999E-2</v>
      </c>
      <c r="J250" s="22">
        <v>240</v>
      </c>
      <c r="K250" s="22">
        <v>0.62066699999999997</v>
      </c>
      <c r="L250">
        <f t="shared" si="36"/>
        <v>17.349753086419753</v>
      </c>
      <c r="M250">
        <f t="shared" si="37"/>
        <v>10.782698045679012</v>
      </c>
      <c r="N250" s="9"/>
      <c r="O250" s="22">
        <v>1.1085499999999999</v>
      </c>
      <c r="P250" s="22">
        <v>11.462</v>
      </c>
      <c r="Q250" s="22">
        <v>-1.39191E-2</v>
      </c>
      <c r="R250" s="22">
        <v>240</v>
      </c>
      <c r="S250" s="22">
        <v>1.10687</v>
      </c>
      <c r="T250">
        <f t="shared" si="38"/>
        <v>17.184074074074076</v>
      </c>
      <c r="U250">
        <f t="shared" si="39"/>
        <v>19.049405314814816</v>
      </c>
      <c r="X250" s="9"/>
      <c r="Y250" s="22">
        <v>0.62148999999999999</v>
      </c>
      <c r="Z250" s="22">
        <v>17.076599999999999</v>
      </c>
      <c r="AA250" s="22">
        <v>-1.4151E-2</v>
      </c>
      <c r="AB250" s="22">
        <v>240</v>
      </c>
      <c r="AC250" s="22">
        <v>0.62066699999999997</v>
      </c>
      <c r="AD250">
        <f t="shared" si="40"/>
        <v>17.470370370370368</v>
      </c>
      <c r="AE250">
        <f t="shared" si="41"/>
        <v>10.85766048148148</v>
      </c>
      <c r="AF250" s="9"/>
      <c r="AG250" s="22">
        <v>1.1085499999999999</v>
      </c>
      <c r="AH250" s="22">
        <v>20.956199999999999</v>
      </c>
      <c r="AI250" s="22">
        <v>-1.3943499999999999E-2</v>
      </c>
      <c r="AJ250" s="22">
        <v>240</v>
      </c>
      <c r="AK250" s="22">
        <v>1.1077900000000001</v>
      </c>
      <c r="AL250">
        <f t="shared" si="42"/>
        <v>17.214197530864197</v>
      </c>
      <c r="AM250">
        <f t="shared" si="43"/>
        <v>19.082798672839505</v>
      </c>
      <c r="AP250" s="9"/>
      <c r="AQ250" s="22">
        <v>0.62148999999999999</v>
      </c>
      <c r="AR250" s="22">
        <v>26.485800000000001</v>
      </c>
      <c r="AS250" s="22">
        <v>-1.4208999999999999E-2</v>
      </c>
      <c r="AT250" s="22">
        <v>240</v>
      </c>
      <c r="AU250" s="22">
        <v>0.62063599999999997</v>
      </c>
      <c r="AV250">
        <f t="shared" si="44"/>
        <v>17.541975308641973</v>
      </c>
      <c r="AW250">
        <f t="shared" si="45"/>
        <v>10.9021622345679</v>
      </c>
      <c r="AX250" s="9"/>
      <c r="AY250" s="22">
        <v>1.1085499999999999</v>
      </c>
      <c r="AZ250" s="22">
        <v>30.365400000000001</v>
      </c>
      <c r="BA250" s="22">
        <v>-1.39679E-2</v>
      </c>
      <c r="BB250" s="22">
        <v>240</v>
      </c>
      <c r="BC250" s="22">
        <v>1.10748</v>
      </c>
      <c r="BD250">
        <f t="shared" si="46"/>
        <v>17.244320987654319</v>
      </c>
      <c r="BE250">
        <f t="shared" si="47"/>
        <v>19.116192030864195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7.5924300000000002</v>
      </c>
      <c r="I251" s="22">
        <v>-1.40503E-2</v>
      </c>
      <c r="J251" s="22">
        <v>241</v>
      </c>
      <c r="K251" s="22">
        <v>0.61560099999999995</v>
      </c>
      <c r="L251">
        <f t="shared" si="36"/>
        <v>17.34604938271605</v>
      </c>
      <c r="M251">
        <f t="shared" si="37"/>
        <v>10.693058872222222</v>
      </c>
      <c r="N251" s="9"/>
      <c r="O251" s="22">
        <v>1.1135900000000001</v>
      </c>
      <c r="P251" s="22">
        <v>11.472</v>
      </c>
      <c r="Q251" s="22">
        <v>-1.39221E-2</v>
      </c>
      <c r="R251" s="22">
        <v>241</v>
      </c>
      <c r="S251" s="22">
        <v>1.11267</v>
      </c>
      <c r="T251">
        <f t="shared" si="38"/>
        <v>17.187777777777779</v>
      </c>
      <c r="U251">
        <f t="shared" si="39"/>
        <v>19.140137455555557</v>
      </c>
      <c r="X251" s="9"/>
      <c r="Y251" s="22">
        <v>0.61645499999999998</v>
      </c>
      <c r="Z251" s="22">
        <v>17.0867</v>
      </c>
      <c r="AA251" s="22">
        <v>-1.4157100000000001E-2</v>
      </c>
      <c r="AB251" s="22">
        <v>241</v>
      </c>
      <c r="AC251" s="22">
        <v>0.61566200000000004</v>
      </c>
      <c r="AD251">
        <f t="shared" si="40"/>
        <v>17.477901234567902</v>
      </c>
      <c r="AE251">
        <f t="shared" si="41"/>
        <v>10.774339605555555</v>
      </c>
      <c r="AF251" s="9"/>
      <c r="AG251" s="22">
        <v>1.1135900000000001</v>
      </c>
      <c r="AH251" s="22">
        <v>20.9663</v>
      </c>
      <c r="AI251" s="22">
        <v>-1.3943499999999999E-2</v>
      </c>
      <c r="AJ251" s="22">
        <v>241</v>
      </c>
      <c r="AK251" s="22">
        <v>1.1123700000000001</v>
      </c>
      <c r="AL251">
        <f t="shared" si="42"/>
        <v>17.214197530864197</v>
      </c>
      <c r="AM251">
        <f t="shared" si="43"/>
        <v>19.169558228395061</v>
      </c>
      <c r="AP251" s="9"/>
      <c r="AQ251" s="22">
        <v>0.61645499999999998</v>
      </c>
      <c r="AR251" s="22">
        <v>26.495899999999999</v>
      </c>
      <c r="AS251" s="22">
        <v>-1.4208999999999999E-2</v>
      </c>
      <c r="AT251" s="22">
        <v>241</v>
      </c>
      <c r="AU251" s="22">
        <v>0.61563100000000004</v>
      </c>
      <c r="AV251">
        <f t="shared" si="44"/>
        <v>17.541975308641973</v>
      </c>
      <c r="AW251">
        <f t="shared" si="45"/>
        <v>10.813838388888888</v>
      </c>
      <c r="AX251" s="9"/>
      <c r="AY251" s="22">
        <v>1.1135900000000001</v>
      </c>
      <c r="AZ251" s="22">
        <v>30.375499999999999</v>
      </c>
      <c r="BA251" s="22">
        <v>-1.39618E-2</v>
      </c>
      <c r="BB251" s="22">
        <v>241</v>
      </c>
      <c r="BC251" s="22">
        <v>1.11206</v>
      </c>
      <c r="BD251">
        <f t="shared" si="46"/>
        <v>17.236790123456789</v>
      </c>
      <c r="BE251">
        <f t="shared" si="47"/>
        <v>19.194717113580246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7.6025</v>
      </c>
      <c r="I252" s="22">
        <v>-1.40503E-2</v>
      </c>
      <c r="J252" s="22">
        <v>242</v>
      </c>
      <c r="K252" s="22">
        <v>0.61053500000000005</v>
      </c>
      <c r="L252">
        <f t="shared" si="36"/>
        <v>17.34604938271605</v>
      </c>
      <c r="M252">
        <f t="shared" si="37"/>
        <v>10.605721513580246</v>
      </c>
      <c r="N252" s="9"/>
      <c r="O252" s="22">
        <v>1.1186199999999999</v>
      </c>
      <c r="P252" s="22">
        <v>11.482100000000001</v>
      </c>
      <c r="Q252" s="22">
        <v>-1.3913E-2</v>
      </c>
      <c r="R252" s="22">
        <v>242</v>
      </c>
      <c r="S252" s="22">
        <v>1.11755</v>
      </c>
      <c r="T252">
        <f t="shared" si="38"/>
        <v>17.176543209876542</v>
      </c>
      <c r="U252">
        <f t="shared" si="39"/>
        <v>19.214024765432097</v>
      </c>
      <c r="X252" s="9"/>
      <c r="Y252" s="22">
        <v>0.61141999999999996</v>
      </c>
      <c r="Z252" s="22">
        <v>17.096699999999998</v>
      </c>
      <c r="AA252" s="22">
        <v>-1.41602E-2</v>
      </c>
      <c r="AB252" s="22">
        <v>242</v>
      </c>
      <c r="AC252" s="22">
        <v>0.61068699999999998</v>
      </c>
      <c r="AD252">
        <f t="shared" si="40"/>
        <v>17.481728395061729</v>
      </c>
      <c r="AE252">
        <f t="shared" si="41"/>
        <v>10.688678375308642</v>
      </c>
      <c r="AF252" s="9"/>
      <c r="AG252" s="22">
        <v>1.1186199999999999</v>
      </c>
      <c r="AH252" s="22">
        <v>20.976299999999998</v>
      </c>
      <c r="AI252" s="22">
        <v>-1.39404E-2</v>
      </c>
      <c r="AJ252" s="22">
        <v>242</v>
      </c>
      <c r="AK252" s="22">
        <v>1.1172500000000001</v>
      </c>
      <c r="AL252">
        <f t="shared" si="42"/>
        <v>17.21037037037037</v>
      </c>
      <c r="AM252">
        <f t="shared" si="43"/>
        <v>19.251864503703704</v>
      </c>
      <c r="AP252" s="9"/>
      <c r="AQ252" s="22">
        <v>0.61141999999999996</v>
      </c>
      <c r="AR252" s="22">
        <v>26.506</v>
      </c>
      <c r="AS252" s="22">
        <v>-1.41998E-2</v>
      </c>
      <c r="AT252" s="22">
        <v>242</v>
      </c>
      <c r="AU252" s="22">
        <v>0.61059600000000003</v>
      </c>
      <c r="AV252">
        <f t="shared" si="44"/>
        <v>17.530617283950615</v>
      </c>
      <c r="AW252">
        <f t="shared" si="45"/>
        <v>10.718570019753084</v>
      </c>
      <c r="AX252" s="9"/>
      <c r="AY252" s="22">
        <v>1.1186199999999999</v>
      </c>
      <c r="AZ252" s="22">
        <v>30.3856</v>
      </c>
      <c r="BA252" s="22">
        <v>-1.3958699999999999E-2</v>
      </c>
      <c r="BB252" s="22">
        <v>242</v>
      </c>
      <c r="BC252" s="22">
        <v>1.11755</v>
      </c>
      <c r="BD252">
        <f t="shared" si="46"/>
        <v>17.232962962962961</v>
      </c>
      <c r="BE252">
        <f t="shared" si="47"/>
        <v>19.277137029629628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7.6125699999999998</v>
      </c>
      <c r="I253" s="22">
        <v>-1.4053299999999999E-2</v>
      </c>
      <c r="J253" s="22">
        <v>243</v>
      </c>
      <c r="K253" s="22">
        <v>0.60559099999999999</v>
      </c>
      <c r="L253">
        <f t="shared" si="36"/>
        <v>17.349753086419753</v>
      </c>
      <c r="M253">
        <f t="shared" si="37"/>
        <v>10.520612675555556</v>
      </c>
      <c r="N253" s="9"/>
      <c r="O253" s="22">
        <v>1.1236600000000001</v>
      </c>
      <c r="P253" s="22">
        <v>11.4922</v>
      </c>
      <c r="Q253" s="22">
        <v>-1.3897700000000001E-2</v>
      </c>
      <c r="R253" s="22">
        <v>243</v>
      </c>
      <c r="S253" s="22">
        <v>1.1221300000000001</v>
      </c>
      <c r="T253">
        <f t="shared" si="38"/>
        <v>17.157654320987653</v>
      </c>
      <c r="U253">
        <f t="shared" si="39"/>
        <v>19.27936985432099</v>
      </c>
      <c r="X253" s="9"/>
      <c r="Y253" s="22">
        <v>0.60638400000000003</v>
      </c>
      <c r="Z253" s="22">
        <v>17.1068</v>
      </c>
      <c r="AA253" s="22">
        <v>-1.41602E-2</v>
      </c>
      <c r="AB253" s="22">
        <v>243</v>
      </c>
      <c r="AC253" s="22">
        <v>0.60562099999999996</v>
      </c>
      <c r="AD253">
        <f t="shared" si="40"/>
        <v>17.481728395061729</v>
      </c>
      <c r="AE253">
        <f t="shared" si="41"/>
        <v>10.600640391111112</v>
      </c>
      <c r="AF253" s="9"/>
      <c r="AG253" s="22">
        <v>1.1236600000000001</v>
      </c>
      <c r="AH253" s="22">
        <v>20.9864</v>
      </c>
      <c r="AI253" s="22">
        <v>-1.3937400000000001E-2</v>
      </c>
      <c r="AJ253" s="22">
        <v>243</v>
      </c>
      <c r="AK253" s="22">
        <v>1.1227400000000001</v>
      </c>
      <c r="AL253">
        <f t="shared" si="42"/>
        <v>17.206666666666667</v>
      </c>
      <c r="AM253">
        <f t="shared" si="43"/>
        <v>19.334443066666669</v>
      </c>
      <c r="AP253" s="9"/>
      <c r="AQ253" s="22">
        <v>0.60638400000000003</v>
      </c>
      <c r="AR253" s="22">
        <v>26.515999999999998</v>
      </c>
      <c r="AS253" s="22">
        <v>-1.4196800000000001E-2</v>
      </c>
      <c r="AT253" s="22">
        <v>243</v>
      </c>
      <c r="AU253" s="22">
        <v>0.60562099999999996</v>
      </c>
      <c r="AV253">
        <f t="shared" si="44"/>
        <v>17.526913580246916</v>
      </c>
      <c r="AW253">
        <f t="shared" si="45"/>
        <v>10.628039964444447</v>
      </c>
      <c r="AX253" s="9"/>
      <c r="AY253" s="22">
        <v>1.1236600000000001</v>
      </c>
      <c r="AZ253" s="22">
        <v>30.395600000000002</v>
      </c>
      <c r="BA253" s="22">
        <v>-1.39496E-2</v>
      </c>
      <c r="BB253" s="22">
        <v>243</v>
      </c>
      <c r="BC253" s="22">
        <v>1.1221300000000001</v>
      </c>
      <c r="BD253">
        <f t="shared" si="46"/>
        <v>17.221728395061724</v>
      </c>
      <c r="BE253">
        <f t="shared" si="47"/>
        <v>19.35136732839506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7.6226500000000001</v>
      </c>
      <c r="I254" s="22">
        <v>-1.40503E-2</v>
      </c>
      <c r="J254" s="22">
        <v>244</v>
      </c>
      <c r="K254" s="22">
        <v>0.60055499999999995</v>
      </c>
      <c r="L254">
        <f t="shared" si="36"/>
        <v>17.34604938271605</v>
      </c>
      <c r="M254">
        <f t="shared" si="37"/>
        <v>10.431029450246914</v>
      </c>
      <c r="N254" s="9"/>
      <c r="O254" s="22">
        <v>1.12869</v>
      </c>
      <c r="P254" s="22">
        <v>11.5023</v>
      </c>
      <c r="Q254" s="22">
        <v>-1.38855E-2</v>
      </c>
      <c r="R254" s="22">
        <v>244</v>
      </c>
      <c r="S254" s="22">
        <v>1.1276200000000001</v>
      </c>
      <c r="T254">
        <f t="shared" si="38"/>
        <v>17.142592592592592</v>
      </c>
      <c r="U254">
        <f t="shared" si="39"/>
        <v>19.348672833333332</v>
      </c>
      <c r="X254" s="9"/>
      <c r="Y254" s="22">
        <v>0.60134900000000002</v>
      </c>
      <c r="Z254" s="22">
        <v>17.116900000000001</v>
      </c>
      <c r="AA254" s="22">
        <v>-1.4163200000000001E-2</v>
      </c>
      <c r="AB254" s="22">
        <v>244</v>
      </c>
      <c r="AC254" s="22">
        <v>0.60049399999999997</v>
      </c>
      <c r="AD254">
        <f t="shared" si="40"/>
        <v>17.485432098765433</v>
      </c>
      <c r="AE254">
        <f t="shared" si="41"/>
        <v>10.514847107160495</v>
      </c>
      <c r="AF254" s="9"/>
      <c r="AG254" s="22">
        <v>1.12869</v>
      </c>
      <c r="AH254" s="22">
        <v>20.996500000000001</v>
      </c>
      <c r="AI254" s="22">
        <v>-1.39343E-2</v>
      </c>
      <c r="AJ254" s="22">
        <v>244</v>
      </c>
      <c r="AK254" s="22">
        <v>1.1276200000000001</v>
      </c>
      <c r="AL254">
        <f t="shared" si="42"/>
        <v>17.202839506172836</v>
      </c>
      <c r="AM254">
        <f t="shared" si="43"/>
        <v>19.416672922222219</v>
      </c>
      <c r="AP254" s="9"/>
      <c r="AQ254" s="22">
        <v>0.60134900000000002</v>
      </c>
      <c r="AR254" s="22">
        <v>26.5261</v>
      </c>
      <c r="AS254" s="22">
        <v>-1.4190700000000001E-2</v>
      </c>
      <c r="AT254" s="22">
        <v>244</v>
      </c>
      <c r="AU254" s="22">
        <v>0.60055499999999995</v>
      </c>
      <c r="AV254">
        <f t="shared" si="44"/>
        <v>17.519382716049382</v>
      </c>
      <c r="AW254">
        <f t="shared" si="45"/>
        <v>10.535263276913581</v>
      </c>
      <c r="AX254" s="9"/>
      <c r="AY254" s="22">
        <v>1.12869</v>
      </c>
      <c r="AZ254" s="22">
        <v>30.4057</v>
      </c>
      <c r="BA254" s="22">
        <v>-1.3946500000000001E-2</v>
      </c>
      <c r="BB254" s="22">
        <v>244</v>
      </c>
      <c r="BC254" s="22">
        <v>1.1276200000000001</v>
      </c>
      <c r="BD254">
        <f t="shared" si="46"/>
        <v>17.217901234567901</v>
      </c>
      <c r="BE254">
        <f t="shared" si="47"/>
        <v>19.433672944444442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7.6327199999999999</v>
      </c>
      <c r="I255" s="22">
        <v>-1.40503E-2</v>
      </c>
      <c r="J255" s="22">
        <v>245</v>
      </c>
      <c r="K255" s="22">
        <v>0.59548999999999996</v>
      </c>
      <c r="L255">
        <f t="shared" si="36"/>
        <v>17.34604938271605</v>
      </c>
      <c r="M255">
        <f t="shared" si="37"/>
        <v>10.343674745555555</v>
      </c>
      <c r="N255" s="9"/>
      <c r="O255" s="22">
        <v>1.1337299999999999</v>
      </c>
      <c r="P255" s="22">
        <v>11.5123</v>
      </c>
      <c r="Q255" s="22">
        <v>-1.38733E-2</v>
      </c>
      <c r="R255" s="22">
        <v>245</v>
      </c>
      <c r="S255" s="22">
        <v>1.1322000000000001</v>
      </c>
      <c r="T255">
        <f t="shared" si="38"/>
        <v>17.127530864197528</v>
      </c>
      <c r="U255">
        <f t="shared" si="39"/>
        <v>19.417995566666661</v>
      </c>
      <c r="X255" s="9"/>
      <c r="Y255" s="22">
        <v>0.59631299999999998</v>
      </c>
      <c r="Z255" s="22">
        <v>17.126899999999999</v>
      </c>
      <c r="AA255" s="22">
        <v>-1.4175399999999999E-2</v>
      </c>
      <c r="AB255" s="22">
        <v>245</v>
      </c>
      <c r="AC255" s="22">
        <v>0.59552000000000005</v>
      </c>
      <c r="AD255">
        <f t="shared" si="40"/>
        <v>17.500493827160494</v>
      </c>
      <c r="AE255">
        <f t="shared" si="41"/>
        <v>10.435771975555555</v>
      </c>
      <c r="AF255" s="9"/>
      <c r="AG255" s="22">
        <v>1.1337299999999999</v>
      </c>
      <c r="AH255" s="22">
        <v>21.006599999999999</v>
      </c>
      <c r="AI255" s="22">
        <v>-1.39191E-2</v>
      </c>
      <c r="AJ255" s="22">
        <v>245</v>
      </c>
      <c r="AK255" s="22">
        <v>1.1322000000000001</v>
      </c>
      <c r="AL255">
        <f t="shared" si="42"/>
        <v>17.184074074074076</v>
      </c>
      <c r="AM255">
        <f t="shared" si="43"/>
        <v>19.482100299999999</v>
      </c>
      <c r="AP255" s="9"/>
      <c r="AQ255" s="22">
        <v>0.59631299999999998</v>
      </c>
      <c r="AR255" s="22">
        <v>26.536200000000001</v>
      </c>
      <c r="AS255" s="22">
        <v>-1.41815E-2</v>
      </c>
      <c r="AT255" s="22">
        <v>245</v>
      </c>
      <c r="AU255" s="22">
        <v>0.59548999999999996</v>
      </c>
      <c r="AV255">
        <f t="shared" si="44"/>
        <v>17.508024691358024</v>
      </c>
      <c r="AW255">
        <f t="shared" si="45"/>
        <v>10.440262727777776</v>
      </c>
      <c r="AX255" s="9"/>
      <c r="AY255" s="22">
        <v>1.1337299999999999</v>
      </c>
      <c r="AZ255" s="22">
        <v>30.415800000000001</v>
      </c>
      <c r="BA255" s="22">
        <v>-1.3946500000000001E-2</v>
      </c>
      <c r="BB255" s="22">
        <v>245</v>
      </c>
      <c r="BC255" s="22">
        <v>1.1325099999999999</v>
      </c>
      <c r="BD255">
        <f t="shared" si="46"/>
        <v>17.217901234567901</v>
      </c>
      <c r="BE255">
        <f t="shared" si="47"/>
        <v>19.520451166666664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7.6427899999999998</v>
      </c>
      <c r="I256" s="22">
        <v>-1.40625E-2</v>
      </c>
      <c r="J256" s="22">
        <v>246</v>
      </c>
      <c r="K256" s="22">
        <v>0.59048500000000004</v>
      </c>
      <c r="L256">
        <f t="shared" si="36"/>
        <v>17.361111111111111</v>
      </c>
      <c r="M256">
        <f t="shared" si="37"/>
        <v>10.265243055555555</v>
      </c>
      <c r="N256" s="9"/>
      <c r="O256" s="22">
        <v>1.13876</v>
      </c>
      <c r="P256" s="22">
        <v>11.522399999999999</v>
      </c>
      <c r="Q256" s="22">
        <v>-1.3861099999999999E-2</v>
      </c>
      <c r="R256" s="22">
        <v>246</v>
      </c>
      <c r="S256" s="22">
        <v>1.1379999999999999</v>
      </c>
      <c r="T256">
        <f t="shared" si="38"/>
        <v>17.112469135802467</v>
      </c>
      <c r="U256">
        <f t="shared" si="39"/>
        <v>19.486995353086417</v>
      </c>
      <c r="X256" s="9"/>
      <c r="Y256" s="22">
        <v>0.59127799999999997</v>
      </c>
      <c r="Z256" s="22">
        <v>17.137</v>
      </c>
      <c r="AA256" s="22">
        <v>-1.41815E-2</v>
      </c>
      <c r="AB256" s="22">
        <v>246</v>
      </c>
      <c r="AC256" s="22">
        <v>0.59051500000000001</v>
      </c>
      <c r="AD256">
        <f t="shared" si="40"/>
        <v>17.508024691358024</v>
      </c>
      <c r="AE256">
        <f t="shared" si="41"/>
        <v>10.352109823456789</v>
      </c>
      <c r="AF256" s="9"/>
      <c r="AG256" s="22">
        <v>1.13876</v>
      </c>
      <c r="AH256" s="22">
        <v>21.0166</v>
      </c>
      <c r="AI256" s="22">
        <v>-1.3909899999999999E-2</v>
      </c>
      <c r="AJ256" s="22">
        <v>246</v>
      </c>
      <c r="AK256" s="22">
        <v>1.1379999999999999</v>
      </c>
      <c r="AL256">
        <f t="shared" si="42"/>
        <v>17.172716049382714</v>
      </c>
      <c r="AM256">
        <f t="shared" si="43"/>
        <v>19.555602128395059</v>
      </c>
      <c r="AP256" s="9"/>
      <c r="AQ256" s="22">
        <v>0.59127799999999997</v>
      </c>
      <c r="AR256" s="22">
        <v>26.546199999999999</v>
      </c>
      <c r="AS256" s="22">
        <v>-1.41815E-2</v>
      </c>
      <c r="AT256" s="22">
        <v>246</v>
      </c>
      <c r="AU256" s="22">
        <v>0.59051500000000001</v>
      </c>
      <c r="AV256">
        <f t="shared" si="44"/>
        <v>17.508024691358024</v>
      </c>
      <c r="AW256">
        <f t="shared" si="45"/>
        <v>10.352109823456789</v>
      </c>
      <c r="AX256" s="9"/>
      <c r="AY256" s="22">
        <v>1.13876</v>
      </c>
      <c r="AZ256" s="22">
        <v>30.425899999999999</v>
      </c>
      <c r="BA256" s="22">
        <v>-1.3946500000000001E-2</v>
      </c>
      <c r="BB256" s="22">
        <v>246</v>
      </c>
      <c r="BC256" s="22">
        <v>1.1370800000000001</v>
      </c>
      <c r="BD256">
        <f t="shared" si="46"/>
        <v>17.217901234567901</v>
      </c>
      <c r="BE256">
        <f t="shared" si="47"/>
        <v>19.607057209876544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7.6528600000000004</v>
      </c>
      <c r="I257" s="22">
        <v>-1.40625E-2</v>
      </c>
      <c r="J257" s="22">
        <v>247</v>
      </c>
      <c r="K257" s="22">
        <v>0.58550999999999997</v>
      </c>
      <c r="L257">
        <f t="shared" si="36"/>
        <v>17.361111111111111</v>
      </c>
      <c r="M257">
        <f t="shared" si="37"/>
        <v>10.17782986111111</v>
      </c>
      <c r="N257" s="9"/>
      <c r="O257" s="22">
        <v>1.1437999999999999</v>
      </c>
      <c r="P257" s="22">
        <v>11.532500000000001</v>
      </c>
      <c r="Q257" s="22">
        <v>-1.3854999999999999E-2</v>
      </c>
      <c r="R257" s="22">
        <v>247</v>
      </c>
      <c r="S257" s="22">
        <v>1.1425799999999999</v>
      </c>
      <c r="T257">
        <f t="shared" si="38"/>
        <v>17.104938271604937</v>
      </c>
      <c r="U257">
        <f t="shared" si="39"/>
        <v>19.564628395061725</v>
      </c>
      <c r="X257" s="9"/>
      <c r="Y257" s="22">
        <v>0.58624299999999996</v>
      </c>
      <c r="Z257" s="22">
        <v>17.147099999999998</v>
      </c>
      <c r="AA257" s="22">
        <v>-1.41876E-2</v>
      </c>
      <c r="AB257" s="22">
        <v>247</v>
      </c>
      <c r="AC257" s="22">
        <v>0.58554099999999998</v>
      </c>
      <c r="AD257">
        <f t="shared" si="40"/>
        <v>17.515555555555554</v>
      </c>
      <c r="AE257">
        <f t="shared" si="41"/>
        <v>10.268371835555554</v>
      </c>
      <c r="AF257" s="9"/>
      <c r="AG257" s="22">
        <v>1.1437999999999999</v>
      </c>
      <c r="AH257" s="22">
        <v>21.026700000000002</v>
      </c>
      <c r="AI257" s="22">
        <v>-1.3897700000000001E-2</v>
      </c>
      <c r="AJ257" s="22">
        <v>247</v>
      </c>
      <c r="AK257" s="22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2">
        <v>0.58624299999999996</v>
      </c>
      <c r="AR257" s="22">
        <v>26.5563</v>
      </c>
      <c r="AS257" s="22">
        <v>-1.4190700000000001E-2</v>
      </c>
      <c r="AT257" s="22">
        <v>247</v>
      </c>
      <c r="AU257" s="22">
        <v>0.585449</v>
      </c>
      <c r="AV257">
        <f t="shared" si="44"/>
        <v>17.519382716049382</v>
      </c>
      <c r="AW257">
        <f t="shared" si="45"/>
        <v>10.270615481604937</v>
      </c>
      <c r="AX257" s="9"/>
      <c r="AY257" s="22">
        <v>1.1437999999999999</v>
      </c>
      <c r="AZ257" s="22">
        <v>30.4359</v>
      </c>
      <c r="BA257" s="22">
        <v>-1.3946500000000001E-2</v>
      </c>
      <c r="BB257" s="22">
        <v>247</v>
      </c>
      <c r="BC257" s="22">
        <v>1.1425799999999999</v>
      </c>
      <c r="BD257">
        <f t="shared" si="46"/>
        <v>17.217901234567901</v>
      </c>
      <c r="BE257">
        <f t="shared" si="47"/>
        <v>19.693835432098762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7.6629300000000002</v>
      </c>
      <c r="I258" s="22">
        <v>-1.4065599999999999E-2</v>
      </c>
      <c r="J258" s="22">
        <v>248</v>
      </c>
      <c r="K258" s="22">
        <v>0.58047499999999996</v>
      </c>
      <c r="L258">
        <f t="shared" si="36"/>
        <v>17.364938271604938</v>
      </c>
      <c r="M258">
        <f t="shared" si="37"/>
        <v>10.092623678024692</v>
      </c>
      <c r="N258" s="9"/>
      <c r="O258" s="22">
        <v>1.14883</v>
      </c>
      <c r="P258" s="22">
        <v>11.5425</v>
      </c>
      <c r="Q258" s="22">
        <v>-1.3848900000000001E-2</v>
      </c>
      <c r="R258" s="22">
        <v>248</v>
      </c>
      <c r="S258" s="22">
        <v>1.1474599999999999</v>
      </c>
      <c r="T258">
        <f t="shared" si="38"/>
        <v>17.09740740740741</v>
      </c>
      <c r="U258">
        <f t="shared" si="39"/>
        <v>19.642014551851855</v>
      </c>
      <c r="X258" s="9"/>
      <c r="Y258" s="22">
        <v>0.58120700000000003</v>
      </c>
      <c r="Z258" s="22">
        <v>17.1572</v>
      </c>
      <c r="AA258" s="22">
        <v>-1.41876E-2</v>
      </c>
      <c r="AB258" s="22">
        <v>248</v>
      </c>
      <c r="AC258" s="22">
        <v>0.58044399999999996</v>
      </c>
      <c r="AD258">
        <f t="shared" si="40"/>
        <v>17.515555555555554</v>
      </c>
      <c r="AE258">
        <f t="shared" si="41"/>
        <v>10.180163497777778</v>
      </c>
      <c r="AF258" s="9"/>
      <c r="AG258" s="22">
        <v>1.14883</v>
      </c>
      <c r="AH258" s="22">
        <v>21.036799999999999</v>
      </c>
      <c r="AI258" s="22">
        <v>-1.38885E-2</v>
      </c>
      <c r="AJ258" s="22">
        <v>248</v>
      </c>
      <c r="AK258" s="22">
        <v>1.14777</v>
      </c>
      <c r="AL258">
        <f t="shared" si="42"/>
        <v>17.146296296296295</v>
      </c>
      <c r="AM258">
        <f t="shared" si="43"/>
        <v>19.698179574074075</v>
      </c>
      <c r="AP258" s="9"/>
      <c r="AQ258" s="22">
        <v>0.58120700000000003</v>
      </c>
      <c r="AR258" s="22">
        <v>26.566400000000002</v>
      </c>
      <c r="AS258" s="22">
        <v>-1.42059E-2</v>
      </c>
      <c r="AT258" s="22">
        <v>248</v>
      </c>
      <c r="AU258" s="22">
        <v>0.58038299999999998</v>
      </c>
      <c r="AV258">
        <f t="shared" si="44"/>
        <v>17.538148148148146</v>
      </c>
      <c r="AW258">
        <f t="shared" si="45"/>
        <v>10.19329447074074</v>
      </c>
      <c r="AX258" s="9"/>
      <c r="AY258" s="22">
        <v>1.14883</v>
      </c>
      <c r="AZ258" s="22">
        <v>30.446000000000002</v>
      </c>
      <c r="BA258" s="22">
        <v>-1.3946500000000001E-2</v>
      </c>
      <c r="BB258" s="22">
        <v>248</v>
      </c>
      <c r="BC258" s="22">
        <v>1.14777</v>
      </c>
      <c r="BD258">
        <f t="shared" si="46"/>
        <v>17.217901234567901</v>
      </c>
      <c r="BE258">
        <f t="shared" si="47"/>
        <v>19.780441475308642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7.673</v>
      </c>
      <c r="I259" s="22">
        <v>-1.4068600000000001E-2</v>
      </c>
      <c r="J259" s="22">
        <v>249</v>
      </c>
      <c r="K259" s="22">
        <v>0.57537799999999995</v>
      </c>
      <c r="L259">
        <f t="shared" si="36"/>
        <v>17.368641975308641</v>
      </c>
      <c r="M259">
        <f t="shared" si="37"/>
        <v>10.00732518419753</v>
      </c>
      <c r="N259" s="9"/>
      <c r="O259" s="22">
        <v>1.15387</v>
      </c>
      <c r="P259" s="22">
        <v>11.5526</v>
      </c>
      <c r="Q259" s="22">
        <v>-1.3842800000000001E-2</v>
      </c>
      <c r="R259" s="22">
        <v>249</v>
      </c>
      <c r="S259" s="22">
        <v>1.1529499999999999</v>
      </c>
      <c r="T259">
        <f t="shared" si="38"/>
        <v>17.089876543209876</v>
      </c>
      <c r="U259">
        <f t="shared" si="39"/>
        <v>19.719495846913578</v>
      </c>
      <c r="X259" s="9"/>
      <c r="Y259" s="22">
        <v>0.57617200000000002</v>
      </c>
      <c r="Z259" s="22">
        <v>17.167200000000001</v>
      </c>
      <c r="AA259" s="22">
        <v>-1.41846E-2</v>
      </c>
      <c r="AB259" s="22">
        <v>249</v>
      </c>
      <c r="AC259" s="22">
        <v>0.57537799999999995</v>
      </c>
      <c r="AD259">
        <f t="shared" si="40"/>
        <v>17.511851851851851</v>
      </c>
      <c r="AE259">
        <f t="shared" si="41"/>
        <v>10.089838705185185</v>
      </c>
      <c r="AF259" s="9"/>
      <c r="AG259" s="22">
        <v>1.15387</v>
      </c>
      <c r="AH259" s="22">
        <v>21.046800000000001</v>
      </c>
      <c r="AI259" s="22">
        <v>-1.38824E-2</v>
      </c>
      <c r="AJ259" s="22">
        <v>249</v>
      </c>
      <c r="AK259" s="22">
        <v>1.1529499999999999</v>
      </c>
      <c r="AL259">
        <f t="shared" si="42"/>
        <v>17.138765432098765</v>
      </c>
      <c r="AM259">
        <f t="shared" si="43"/>
        <v>19.7759072691358</v>
      </c>
      <c r="AP259" s="9"/>
      <c r="AQ259" s="22">
        <v>0.57617200000000002</v>
      </c>
      <c r="AR259" s="22">
        <v>26.576499999999999</v>
      </c>
      <c r="AS259" s="22">
        <v>-1.4218099999999999E-2</v>
      </c>
      <c r="AT259" s="22">
        <v>249</v>
      </c>
      <c r="AU259" s="22">
        <v>0.57528699999999999</v>
      </c>
      <c r="AV259">
        <f t="shared" si="44"/>
        <v>17.553209876543207</v>
      </c>
      <c r="AW259">
        <f t="shared" si="45"/>
        <v>10.113668040987653</v>
      </c>
      <c r="AX259" s="9"/>
      <c r="AY259" s="22">
        <v>1.15387</v>
      </c>
      <c r="AZ259" s="22">
        <v>30.456099999999999</v>
      </c>
      <c r="BA259" s="22">
        <v>-1.3937400000000001E-2</v>
      </c>
      <c r="BB259" s="22">
        <v>249</v>
      </c>
      <c r="BC259" s="22">
        <v>1.1529499999999999</v>
      </c>
      <c r="BD259">
        <f t="shared" si="46"/>
        <v>17.206666666666667</v>
      </c>
      <c r="BE259">
        <f t="shared" si="47"/>
        <v>19.854256466666666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7.6830699999999998</v>
      </c>
      <c r="I260" s="22">
        <v>-1.4068600000000001E-2</v>
      </c>
      <c r="J260" s="22">
        <v>250</v>
      </c>
      <c r="K260" s="22">
        <v>0.57028199999999996</v>
      </c>
      <c r="L260">
        <f t="shared" si="36"/>
        <v>17.368641975308641</v>
      </c>
      <c r="M260">
        <f t="shared" si="37"/>
        <v>9.9198567032098754</v>
      </c>
      <c r="N260" s="9"/>
      <c r="O260" s="22">
        <v>1.1589100000000001</v>
      </c>
      <c r="P260" s="22">
        <v>11.5627</v>
      </c>
      <c r="Q260" s="22">
        <v>-1.38336E-2</v>
      </c>
      <c r="R260" s="22">
        <v>250</v>
      </c>
      <c r="S260" s="22">
        <v>1.15784</v>
      </c>
      <c r="T260">
        <f t="shared" si="38"/>
        <v>17.078518518518518</v>
      </c>
      <c r="U260">
        <f t="shared" si="39"/>
        <v>19.792465896296296</v>
      </c>
      <c r="X260" s="9"/>
      <c r="Y260" s="22">
        <v>0.57113599999999998</v>
      </c>
      <c r="Z260" s="22">
        <v>17.177299999999999</v>
      </c>
      <c r="AA260" s="22">
        <v>-1.41815E-2</v>
      </c>
      <c r="AB260" s="22">
        <v>250</v>
      </c>
      <c r="AC260" s="22">
        <v>0.57031299999999996</v>
      </c>
      <c r="AD260">
        <f t="shared" si="40"/>
        <v>17.508024691358024</v>
      </c>
      <c r="AE260">
        <f t="shared" si="41"/>
        <v>9.9994631901234552</v>
      </c>
      <c r="AF260" s="9"/>
      <c r="AG260" s="22">
        <v>1.1589100000000001</v>
      </c>
      <c r="AH260" s="22">
        <v>21.056899999999999</v>
      </c>
      <c r="AI260" s="22">
        <v>-1.38824E-2</v>
      </c>
      <c r="AJ260" s="22">
        <v>250</v>
      </c>
      <c r="AK260" s="22">
        <v>1.1581399999999999</v>
      </c>
      <c r="AL260">
        <f t="shared" si="42"/>
        <v>17.138765432098765</v>
      </c>
      <c r="AM260">
        <f t="shared" si="43"/>
        <v>19.862286646913581</v>
      </c>
      <c r="AP260" s="9"/>
      <c r="AQ260" s="22">
        <v>0.57113599999999998</v>
      </c>
      <c r="AR260" s="22">
        <v>26.586500000000001</v>
      </c>
      <c r="AS260" s="22">
        <v>-1.4218099999999999E-2</v>
      </c>
      <c r="AT260" s="22">
        <v>250</v>
      </c>
      <c r="AU260" s="22">
        <v>0.57031299999999996</v>
      </c>
      <c r="AV260">
        <f t="shared" si="44"/>
        <v>17.553209876543207</v>
      </c>
      <c r="AW260">
        <f t="shared" si="45"/>
        <v>10.025270076049381</v>
      </c>
      <c r="AX260" s="9"/>
      <c r="AY260" s="22">
        <v>1.1589100000000001</v>
      </c>
      <c r="AZ260" s="22">
        <v>30.466100000000001</v>
      </c>
      <c r="BA260" s="22">
        <v>-1.39221E-2</v>
      </c>
      <c r="BB260" s="22">
        <v>250</v>
      </c>
      <c r="BC260" s="22">
        <v>1.1581399999999999</v>
      </c>
      <c r="BD260">
        <f t="shared" si="46"/>
        <v>17.187777777777779</v>
      </c>
      <c r="BE260">
        <f t="shared" si="47"/>
        <v>19.919087544444448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7.6931399999999996</v>
      </c>
      <c r="I261" s="22">
        <v>-1.40778E-2</v>
      </c>
      <c r="J261" s="22">
        <v>251</v>
      </c>
      <c r="K261" s="22">
        <v>0.56527700000000003</v>
      </c>
      <c r="L261">
        <f t="shared" si="36"/>
        <v>17.38</v>
      </c>
      <c r="M261">
        <f t="shared" si="37"/>
        <v>9.838835379999999</v>
      </c>
      <c r="N261" s="9"/>
      <c r="O261" s="22">
        <v>1.16394</v>
      </c>
      <c r="P261" s="22">
        <v>11.572800000000001</v>
      </c>
      <c r="Q261" s="22">
        <v>-1.38123E-2</v>
      </c>
      <c r="R261" s="22">
        <v>251</v>
      </c>
      <c r="S261" s="22">
        <v>1.1630199999999999</v>
      </c>
      <c r="T261">
        <f t="shared" si="38"/>
        <v>17.052222222222223</v>
      </c>
      <c r="U261">
        <f t="shared" si="39"/>
        <v>19.847763533333335</v>
      </c>
      <c r="X261" s="9"/>
      <c r="Y261" s="22">
        <v>0.56610099999999997</v>
      </c>
      <c r="Z261" s="22">
        <v>17.1874</v>
      </c>
      <c r="AA261" s="22">
        <v>-1.41846E-2</v>
      </c>
      <c r="AB261" s="22">
        <v>251</v>
      </c>
      <c r="AC261" s="22">
        <v>0.56530800000000003</v>
      </c>
      <c r="AD261">
        <f t="shared" si="40"/>
        <v>17.511851851851851</v>
      </c>
      <c r="AE261">
        <f t="shared" si="41"/>
        <v>9.9134768451851851</v>
      </c>
      <c r="AF261" s="9"/>
      <c r="AG261" s="22">
        <v>1.16394</v>
      </c>
      <c r="AH261" s="22">
        <v>21.067</v>
      </c>
      <c r="AI261" s="22">
        <v>-1.3870199999999999E-2</v>
      </c>
      <c r="AJ261" s="22">
        <v>251</v>
      </c>
      <c r="AK261" s="22">
        <v>1.1630199999999999</v>
      </c>
      <c r="AL261">
        <f t="shared" si="42"/>
        <v>17.123703703703701</v>
      </c>
      <c r="AM261">
        <f t="shared" si="43"/>
        <v>19.930963688888884</v>
      </c>
      <c r="AP261" s="9"/>
      <c r="AQ261" s="22">
        <v>0.56610099999999997</v>
      </c>
      <c r="AR261" s="22">
        <v>26.596599999999999</v>
      </c>
      <c r="AS261" s="22">
        <v>-1.4208999999999999E-2</v>
      </c>
      <c r="AT261" s="22">
        <v>251</v>
      </c>
      <c r="AU261" s="22">
        <v>0.56530800000000003</v>
      </c>
      <c r="AV261">
        <f t="shared" si="44"/>
        <v>17.541975308641973</v>
      </c>
      <c r="AW261">
        <f t="shared" si="45"/>
        <v>9.9305297641975283</v>
      </c>
      <c r="AX261" s="9"/>
      <c r="AY261" s="22">
        <v>1.16394</v>
      </c>
      <c r="AZ261" s="22">
        <v>30.476199999999999</v>
      </c>
      <c r="BA261" s="22">
        <v>-1.39191E-2</v>
      </c>
      <c r="BB261" s="22">
        <v>251</v>
      </c>
      <c r="BC261" s="22">
        <v>1.1630199999999999</v>
      </c>
      <c r="BD261">
        <f t="shared" si="46"/>
        <v>17.184074074074076</v>
      </c>
      <c r="BE261">
        <f t="shared" si="47"/>
        <v>20.001231177777779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7.7032100000000003</v>
      </c>
      <c r="I262" s="22">
        <v>-1.40594E-2</v>
      </c>
      <c r="J262" s="22">
        <v>252</v>
      </c>
      <c r="K262" s="22">
        <v>0.56033299999999997</v>
      </c>
      <c r="L262">
        <f t="shared" si="36"/>
        <v>17.357283950617283</v>
      </c>
      <c r="M262">
        <f t="shared" si="37"/>
        <v>9.7385818770370367</v>
      </c>
      <c r="N262" s="9"/>
      <c r="O262" s="22">
        <v>1.1689799999999999</v>
      </c>
      <c r="P262" s="22">
        <v>11.582800000000001</v>
      </c>
      <c r="Q262" s="22">
        <v>-1.3806199999999999E-2</v>
      </c>
      <c r="R262" s="22">
        <v>252</v>
      </c>
      <c r="S262" s="22">
        <v>1.1676</v>
      </c>
      <c r="T262">
        <f t="shared" si="38"/>
        <v>17.044691358024689</v>
      </c>
      <c r="U262">
        <f t="shared" si="39"/>
        <v>19.924903303703701</v>
      </c>
      <c r="X262" s="9"/>
      <c r="Y262" s="22">
        <v>0.56106599999999995</v>
      </c>
      <c r="Z262" s="22">
        <v>17.197399999999998</v>
      </c>
      <c r="AA262" s="22">
        <v>-1.41785E-2</v>
      </c>
      <c r="AB262" s="22">
        <v>252</v>
      </c>
      <c r="AC262" s="22">
        <v>0.560303</v>
      </c>
      <c r="AD262">
        <f t="shared" si="40"/>
        <v>17.504320987654321</v>
      </c>
      <c r="AE262">
        <f t="shared" si="41"/>
        <v>9.821079359259258</v>
      </c>
      <c r="AF262" s="9"/>
      <c r="AG262" s="22">
        <v>1.1689799999999999</v>
      </c>
      <c r="AH262" s="22">
        <v>21.077000000000002</v>
      </c>
      <c r="AI262" s="22">
        <v>-1.3854999999999999E-2</v>
      </c>
      <c r="AJ262" s="22">
        <v>252</v>
      </c>
      <c r="AK262" s="22">
        <v>1.1676</v>
      </c>
      <c r="AL262">
        <f t="shared" si="42"/>
        <v>17.104938271604937</v>
      </c>
      <c r="AM262">
        <f t="shared" si="43"/>
        <v>19.995330740740737</v>
      </c>
      <c r="AP262" s="9"/>
      <c r="AQ262" s="22">
        <v>0.56106599999999995</v>
      </c>
      <c r="AR262" s="22">
        <v>26.6067</v>
      </c>
      <c r="AS262" s="22">
        <v>-1.42059E-2</v>
      </c>
      <c r="AT262" s="22">
        <v>252</v>
      </c>
      <c r="AU262" s="22">
        <v>0.56027199999999999</v>
      </c>
      <c r="AV262">
        <f t="shared" si="44"/>
        <v>17.538148148148146</v>
      </c>
      <c r="AW262">
        <f t="shared" si="45"/>
        <v>9.8400586288888867</v>
      </c>
      <c r="AX262" s="9"/>
      <c r="AY262" s="22">
        <v>1.1689799999999999</v>
      </c>
      <c r="AZ262" s="22">
        <v>30.4863</v>
      </c>
      <c r="BA262" s="22">
        <v>-1.3913E-2</v>
      </c>
      <c r="BB262" s="22">
        <v>252</v>
      </c>
      <c r="BC262" s="22">
        <v>1.16791</v>
      </c>
      <c r="BD262">
        <f t="shared" si="46"/>
        <v>17.176543209876542</v>
      </c>
      <c r="BE262">
        <f t="shared" si="47"/>
        <v>20.07903548148148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7.7132800000000001</v>
      </c>
      <c r="I263" s="22">
        <v>-1.40442E-2</v>
      </c>
      <c r="J263" s="22">
        <v>253</v>
      </c>
      <c r="K263" s="22">
        <v>0.55520599999999998</v>
      </c>
      <c r="L263">
        <f t="shared" si="36"/>
        <v>17.338518518518516</v>
      </c>
      <c r="M263">
        <f t="shared" si="37"/>
        <v>9.6407364518518506</v>
      </c>
      <c r="N263" s="9"/>
      <c r="O263" s="22">
        <v>1.17401</v>
      </c>
      <c r="P263" s="22">
        <v>11.5929</v>
      </c>
      <c r="Q263" s="22">
        <v>-1.3809200000000001E-2</v>
      </c>
      <c r="R263" s="22">
        <v>253</v>
      </c>
      <c r="S263" s="22">
        <v>1.1734</v>
      </c>
      <c r="T263">
        <f t="shared" si="38"/>
        <v>17.048395061728392</v>
      </c>
      <c r="U263">
        <f t="shared" si="39"/>
        <v>20.014986286419749</v>
      </c>
      <c r="X263" s="9"/>
      <c r="Y263" s="22">
        <v>0.55603000000000002</v>
      </c>
      <c r="Z263" s="22">
        <v>17.2075</v>
      </c>
      <c r="AA263" s="22">
        <v>-1.41785E-2</v>
      </c>
      <c r="AB263" s="22">
        <v>253</v>
      </c>
      <c r="AC263" s="22">
        <v>0.55520599999999998</v>
      </c>
      <c r="AD263">
        <f t="shared" si="40"/>
        <v>17.504320987654321</v>
      </c>
      <c r="AE263">
        <f t="shared" si="41"/>
        <v>9.732927598765432</v>
      </c>
      <c r="AF263" s="9"/>
      <c r="AG263" s="22">
        <v>1.17401</v>
      </c>
      <c r="AH263" s="22">
        <v>21.0871</v>
      </c>
      <c r="AI263" s="22">
        <v>-1.38458E-2</v>
      </c>
      <c r="AJ263" s="22">
        <v>253</v>
      </c>
      <c r="AK263" s="22">
        <v>1.17249</v>
      </c>
      <c r="AL263">
        <f t="shared" si="42"/>
        <v>17.093580246913579</v>
      </c>
      <c r="AM263">
        <f t="shared" si="43"/>
        <v>20.068034145679011</v>
      </c>
      <c r="AP263" s="9"/>
      <c r="AQ263" s="22">
        <v>0.55603000000000002</v>
      </c>
      <c r="AR263" s="22">
        <v>26.616700000000002</v>
      </c>
      <c r="AS263" s="22">
        <v>-1.42059E-2</v>
      </c>
      <c r="AT263" s="22">
        <v>253</v>
      </c>
      <c r="AU263" s="22">
        <v>0.555176</v>
      </c>
      <c r="AV263">
        <f t="shared" si="44"/>
        <v>17.538148148148146</v>
      </c>
      <c r="AW263">
        <f t="shared" si="45"/>
        <v>9.7517365148148141</v>
      </c>
      <c r="AX263" s="9"/>
      <c r="AY263" s="22">
        <v>1.17401</v>
      </c>
      <c r="AZ263" s="22">
        <v>30.496400000000001</v>
      </c>
      <c r="BA263" s="22">
        <v>-1.3913E-2</v>
      </c>
      <c r="BB263" s="22">
        <v>253</v>
      </c>
      <c r="BC263" s="22">
        <v>1.1731</v>
      </c>
      <c r="BD263">
        <f t="shared" si="46"/>
        <v>17.176543209876542</v>
      </c>
      <c r="BE263">
        <f t="shared" si="47"/>
        <v>20.165433493827159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7.7233599999999996</v>
      </c>
      <c r="I264" s="22">
        <v>-1.40442E-2</v>
      </c>
      <c r="J264" s="22">
        <v>254</v>
      </c>
      <c r="K264" s="22">
        <v>0.55020100000000005</v>
      </c>
      <c r="L264">
        <f t="shared" si="36"/>
        <v>17.338518518518516</v>
      </c>
      <c r="M264">
        <f t="shared" si="37"/>
        <v>9.5534370111111091</v>
      </c>
      <c r="N264" s="9"/>
      <c r="O264" s="22">
        <v>1.1790499999999999</v>
      </c>
      <c r="P264" s="22">
        <v>11.603</v>
      </c>
      <c r="Q264" s="22">
        <v>-1.38E-2</v>
      </c>
      <c r="R264" s="22">
        <v>254</v>
      </c>
      <c r="S264" s="22">
        <v>1.17737</v>
      </c>
      <c r="T264">
        <f t="shared" si="38"/>
        <v>17.037037037037035</v>
      </c>
      <c r="U264">
        <f t="shared" si="39"/>
        <v>20.087518518518515</v>
      </c>
      <c r="X264" s="9"/>
      <c r="Y264" s="22">
        <v>0.55099500000000001</v>
      </c>
      <c r="Z264" s="22">
        <v>17.217600000000001</v>
      </c>
      <c r="AA264" s="22">
        <v>-1.41815E-2</v>
      </c>
      <c r="AB264" s="22">
        <v>254</v>
      </c>
      <c r="AC264" s="22">
        <v>0.55023200000000005</v>
      </c>
      <c r="AD264">
        <f t="shared" si="40"/>
        <v>17.508024691358024</v>
      </c>
      <c r="AE264">
        <f t="shared" si="41"/>
        <v>9.646834064814815</v>
      </c>
      <c r="AF264" s="9"/>
      <c r="AG264" s="22">
        <v>1.1790499999999999</v>
      </c>
      <c r="AH264" s="22">
        <v>21.097200000000001</v>
      </c>
      <c r="AI264" s="22">
        <v>-1.3842800000000001E-2</v>
      </c>
      <c r="AJ264" s="22">
        <v>254</v>
      </c>
      <c r="AK264" s="22">
        <v>1.17767</v>
      </c>
      <c r="AL264">
        <f t="shared" si="42"/>
        <v>17.089876543209876</v>
      </c>
      <c r="AM264">
        <f t="shared" si="43"/>
        <v>20.149818938271604</v>
      </c>
      <c r="AP264" s="9"/>
      <c r="AQ264" s="22">
        <v>0.55099500000000001</v>
      </c>
      <c r="AR264" s="22">
        <v>26.626799999999999</v>
      </c>
      <c r="AS264" s="22">
        <v>-1.42059E-2</v>
      </c>
      <c r="AT264" s="22">
        <v>254</v>
      </c>
      <c r="AU264" s="22">
        <v>0.55020100000000005</v>
      </c>
      <c r="AV264">
        <f t="shared" si="44"/>
        <v>17.538148148148146</v>
      </c>
      <c r="AW264">
        <f t="shared" si="45"/>
        <v>9.6634319388888876</v>
      </c>
      <c r="AX264" s="9"/>
      <c r="AY264" s="22">
        <v>1.1790499999999999</v>
      </c>
      <c r="AZ264" s="22">
        <v>30.506399999999999</v>
      </c>
      <c r="BA264" s="22">
        <v>-1.3913E-2</v>
      </c>
      <c r="BB264" s="22">
        <v>254</v>
      </c>
      <c r="BC264" s="22">
        <v>1.17889</v>
      </c>
      <c r="BD264">
        <f t="shared" si="46"/>
        <v>17.176543209876542</v>
      </c>
      <c r="BE264">
        <f t="shared" si="47"/>
        <v>20.252003271604934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7.7334300000000002</v>
      </c>
      <c r="I265" s="22">
        <v>-1.4041100000000001E-2</v>
      </c>
      <c r="J265" s="22">
        <v>255</v>
      </c>
      <c r="K265" s="22">
        <v>0.54516600000000004</v>
      </c>
      <c r="L265">
        <f t="shared" si="36"/>
        <v>17.334691358024692</v>
      </c>
      <c r="M265">
        <f t="shared" si="37"/>
        <v>9.4640307591358024</v>
      </c>
      <c r="N265" s="9"/>
      <c r="O265" s="22">
        <v>1.18408</v>
      </c>
      <c r="P265" s="22">
        <v>11.613</v>
      </c>
      <c r="Q265" s="22">
        <v>-1.37939E-2</v>
      </c>
      <c r="R265" s="22">
        <v>255</v>
      </c>
      <c r="S265" s="22">
        <v>1.1831700000000001</v>
      </c>
      <c r="T265">
        <f t="shared" si="38"/>
        <v>17.029506172839504</v>
      </c>
      <c r="U265">
        <f t="shared" si="39"/>
        <v>20.164297669135799</v>
      </c>
      <c r="X265" s="9"/>
      <c r="Y265" s="22">
        <v>0.54595899999999997</v>
      </c>
      <c r="Z265" s="22">
        <v>17.227599999999999</v>
      </c>
      <c r="AA265" s="22">
        <v>-1.41876E-2</v>
      </c>
      <c r="AB265" s="22">
        <v>255</v>
      </c>
      <c r="AC265" s="22">
        <v>0.54516600000000004</v>
      </c>
      <c r="AD265">
        <f t="shared" si="40"/>
        <v>17.515555555555554</v>
      </c>
      <c r="AE265">
        <f t="shared" si="41"/>
        <v>9.5627751955555542</v>
      </c>
      <c r="AF265" s="9"/>
      <c r="AG265" s="22">
        <v>1.18408</v>
      </c>
      <c r="AH265" s="22">
        <v>21.107299999999999</v>
      </c>
      <c r="AI265" s="22">
        <v>-1.38336E-2</v>
      </c>
      <c r="AJ265" s="22">
        <v>255</v>
      </c>
      <c r="AK265" s="22">
        <v>1.18286</v>
      </c>
      <c r="AL265">
        <f t="shared" si="42"/>
        <v>17.078518518518518</v>
      </c>
      <c r="AM265">
        <f t="shared" si="43"/>
        <v>20.222332207407408</v>
      </c>
      <c r="AP265" s="9"/>
      <c r="AQ265" s="22">
        <v>0.54595899999999997</v>
      </c>
      <c r="AR265" s="22">
        <v>26.636900000000001</v>
      </c>
      <c r="AS265" s="22">
        <v>-1.4202899999999999E-2</v>
      </c>
      <c r="AT265" s="22">
        <v>255</v>
      </c>
      <c r="AU265" s="22">
        <v>0.54519700000000004</v>
      </c>
      <c r="AV265">
        <f t="shared" si="44"/>
        <v>17.534444444444443</v>
      </c>
      <c r="AW265">
        <f t="shared" si="45"/>
        <v>9.5730877544444422</v>
      </c>
      <c r="AX265" s="9"/>
      <c r="AY265" s="22">
        <v>1.18408</v>
      </c>
      <c r="AZ265" s="22">
        <v>30.516500000000001</v>
      </c>
      <c r="BA265" s="22">
        <v>-1.3903799999999999E-2</v>
      </c>
      <c r="BB265" s="22">
        <v>255</v>
      </c>
      <c r="BC265" s="22">
        <v>1.18347</v>
      </c>
      <c r="BD265">
        <f t="shared" si="46"/>
        <v>17.165185185185184</v>
      </c>
      <c r="BE265">
        <f t="shared" si="47"/>
        <v>20.324952474074074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7.7435</v>
      </c>
      <c r="I266" s="22">
        <v>-1.4041100000000001E-2</v>
      </c>
      <c r="J266" s="22">
        <v>256</v>
      </c>
      <c r="K266" s="22">
        <v>0.54003900000000005</v>
      </c>
      <c r="L266">
        <f t="shared" si="36"/>
        <v>17.334691358024692</v>
      </c>
      <c r="M266">
        <f t="shared" si="37"/>
        <v>9.3767505881481483</v>
      </c>
      <c r="N266" s="9"/>
      <c r="O266" s="22">
        <v>1.18912</v>
      </c>
      <c r="P266" s="22">
        <v>11.623100000000001</v>
      </c>
      <c r="Q266" s="22">
        <v>-1.37848E-2</v>
      </c>
      <c r="R266" s="22">
        <v>256</v>
      </c>
      <c r="S266" s="22">
        <v>1.18835</v>
      </c>
      <c r="T266">
        <f t="shared" si="38"/>
        <v>17.018271604938271</v>
      </c>
      <c r="U266">
        <f t="shared" si="39"/>
        <v>20.236767130864195</v>
      </c>
      <c r="X266" s="9"/>
      <c r="Y266" s="22">
        <v>0.54092399999999996</v>
      </c>
      <c r="Z266" s="22">
        <v>17.2377</v>
      </c>
      <c r="AA266" s="22">
        <v>-1.41937E-2</v>
      </c>
      <c r="AB266" s="22">
        <v>256</v>
      </c>
      <c r="AC266" s="22">
        <v>0.54013100000000003</v>
      </c>
      <c r="AD266">
        <f t="shared" si="40"/>
        <v>17.523086419753085</v>
      </c>
      <c r="AE266">
        <f t="shared" si="41"/>
        <v>9.4786579985185178</v>
      </c>
      <c r="AF266" s="9"/>
      <c r="AG266" s="22">
        <v>1.18912</v>
      </c>
      <c r="AH266" s="22">
        <v>21.1173</v>
      </c>
      <c r="AI266" s="22">
        <v>-1.38275E-2</v>
      </c>
      <c r="AJ266" s="22">
        <v>256</v>
      </c>
      <c r="AK266" s="22">
        <v>1.18866</v>
      </c>
      <c r="AL266">
        <f t="shared" si="42"/>
        <v>17.070987654320987</v>
      </c>
      <c r="AM266">
        <f t="shared" si="43"/>
        <v>20.29945283950617</v>
      </c>
      <c r="AP266" s="9"/>
      <c r="AQ266" s="22">
        <v>0.54092399999999996</v>
      </c>
      <c r="AR266" s="22">
        <v>26.646999999999998</v>
      </c>
      <c r="AS266" s="22">
        <v>-1.41998E-2</v>
      </c>
      <c r="AT266" s="22">
        <v>256</v>
      </c>
      <c r="AU266" s="22">
        <v>0.54007000000000005</v>
      </c>
      <c r="AV266">
        <f t="shared" si="44"/>
        <v>17.530617283950615</v>
      </c>
      <c r="AW266">
        <f t="shared" si="45"/>
        <v>9.4827316237037014</v>
      </c>
      <c r="AX266" s="9"/>
      <c r="AY266" s="22">
        <v>1.18912</v>
      </c>
      <c r="AZ266" s="22">
        <v>30.526599999999998</v>
      </c>
      <c r="BA266" s="22">
        <v>-1.3894699999999999E-2</v>
      </c>
      <c r="BB266" s="22">
        <v>256</v>
      </c>
      <c r="BC266" s="22">
        <v>1.18835</v>
      </c>
      <c r="BD266">
        <f t="shared" si="46"/>
        <v>17.153950617283947</v>
      </c>
      <c r="BE266">
        <f t="shared" si="47"/>
        <v>20.398105758024688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7.7535699999999999</v>
      </c>
      <c r="I267" s="22">
        <v>-1.4041100000000001E-2</v>
      </c>
      <c r="J267" s="22">
        <v>257</v>
      </c>
      <c r="K267" s="22">
        <v>0.53512599999999999</v>
      </c>
      <c r="L267">
        <f t="shared" si="36"/>
        <v>17.334691358024692</v>
      </c>
      <c r="M267">
        <f t="shared" si="37"/>
        <v>9.2894704171604925</v>
      </c>
      <c r="N267" s="9"/>
      <c r="O267" s="22">
        <v>1.19415</v>
      </c>
      <c r="P267" s="22">
        <v>11.6332</v>
      </c>
      <c r="Q267" s="22">
        <v>-1.37787E-2</v>
      </c>
      <c r="R267" s="22">
        <v>257</v>
      </c>
      <c r="S267" s="22">
        <v>1.1926300000000001</v>
      </c>
      <c r="T267">
        <f t="shared" si="38"/>
        <v>17.01074074074074</v>
      </c>
      <c r="U267">
        <f t="shared" si="39"/>
        <v>20.313376055555555</v>
      </c>
      <c r="X267" s="9"/>
      <c r="Y267" s="22">
        <v>0.53588899999999995</v>
      </c>
      <c r="Z267" s="22">
        <v>17.247800000000002</v>
      </c>
      <c r="AA267" s="22">
        <v>-1.4196800000000001E-2</v>
      </c>
      <c r="AB267" s="22">
        <v>257</v>
      </c>
      <c r="AC267" s="22">
        <v>0.53500400000000004</v>
      </c>
      <c r="AD267">
        <f t="shared" si="40"/>
        <v>17.526913580246916</v>
      </c>
      <c r="AE267">
        <f t="shared" si="41"/>
        <v>9.392480191604939</v>
      </c>
      <c r="AF267" s="9"/>
      <c r="AG267" s="22">
        <v>1.19415</v>
      </c>
      <c r="AH267" s="22">
        <v>21.127400000000002</v>
      </c>
      <c r="AI267" s="22">
        <v>-1.3821399999999999E-2</v>
      </c>
      <c r="AJ267" s="22">
        <v>257</v>
      </c>
      <c r="AK267" s="22">
        <v>1.19293</v>
      </c>
      <c r="AL267">
        <f t="shared" si="42"/>
        <v>17.063456790123453</v>
      </c>
      <c r="AM267">
        <f t="shared" si="43"/>
        <v>20.376326925925923</v>
      </c>
      <c r="AP267" s="9"/>
      <c r="AQ267" s="22">
        <v>0.53588899999999995</v>
      </c>
      <c r="AR267" s="22">
        <v>26.657</v>
      </c>
      <c r="AS267" s="22">
        <v>-1.4202899999999999E-2</v>
      </c>
      <c r="AT267" s="22">
        <v>257</v>
      </c>
      <c r="AU267" s="22">
        <v>0.53512599999999999</v>
      </c>
      <c r="AV267">
        <f t="shared" si="44"/>
        <v>17.534444444444443</v>
      </c>
      <c r="AW267">
        <f t="shared" si="45"/>
        <v>9.3965158988888877</v>
      </c>
      <c r="AX267" s="9"/>
      <c r="AY267" s="22">
        <v>1.19415</v>
      </c>
      <c r="AZ267" s="22">
        <v>30.5366</v>
      </c>
      <c r="BA267" s="22">
        <v>-1.38855E-2</v>
      </c>
      <c r="BB267" s="22">
        <v>257</v>
      </c>
      <c r="BC267" s="22">
        <v>1.19232</v>
      </c>
      <c r="BD267">
        <f t="shared" si="46"/>
        <v>17.142592592592592</v>
      </c>
      <c r="BE267">
        <f t="shared" si="47"/>
        <v>20.470826944444443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7.7636399999999997</v>
      </c>
      <c r="I268" s="22">
        <v>-1.40442E-2</v>
      </c>
      <c r="J268" s="22">
        <v>258</v>
      </c>
      <c r="K268" s="22">
        <v>0.53008999999999995</v>
      </c>
      <c r="L268">
        <f t="shared" ref="L268:L331" si="48">-I268/$F$2*1000</f>
        <v>17.338518518518516</v>
      </c>
      <c r="M268">
        <f t="shared" ref="M268:M331" si="49">L268*G268</f>
        <v>9.2042045711111093</v>
      </c>
      <c r="N268" s="9"/>
      <c r="O268" s="22">
        <v>1.19919</v>
      </c>
      <c r="P268" s="22">
        <v>11.6433</v>
      </c>
      <c r="Q268" s="22">
        <v>-1.3772599999999999E-2</v>
      </c>
      <c r="R268" s="22">
        <v>258</v>
      </c>
      <c r="S268" s="22">
        <v>1.19781</v>
      </c>
      <c r="T268">
        <f t="shared" ref="T268:T331" si="50">-Q268/$F$2*1000</f>
        <v>17.00320987654321</v>
      </c>
      <c r="U268">
        <f t="shared" ref="U268:U331" si="51">T268*O268</f>
        <v>20.390079251851851</v>
      </c>
      <c r="X268" s="9"/>
      <c r="Y268" s="22">
        <v>0.53085300000000002</v>
      </c>
      <c r="Z268" s="22">
        <v>17.257899999999999</v>
      </c>
      <c r="AA268" s="22">
        <v>-1.4202899999999999E-2</v>
      </c>
      <c r="AB268" s="22">
        <v>258</v>
      </c>
      <c r="AC268" s="22">
        <v>0.53008999999999995</v>
      </c>
      <c r="AD268">
        <f t="shared" ref="AD268:AD331" si="52">-AA268/$F$2*1000</f>
        <v>17.534444444444443</v>
      </c>
      <c r="AE268">
        <f t="shared" ref="AE268:AE331" si="53">AD268*Y268</f>
        <v>9.3082124366666665</v>
      </c>
      <c r="AF268" s="9"/>
      <c r="AG268" s="22">
        <v>1.19919</v>
      </c>
      <c r="AH268" s="22">
        <v>21.137499999999999</v>
      </c>
      <c r="AI268" s="22">
        <v>-1.3815300000000001E-2</v>
      </c>
      <c r="AJ268" s="22">
        <v>258</v>
      </c>
      <c r="AK268" s="22">
        <v>1.19781</v>
      </c>
      <c r="AL268">
        <f t="shared" ref="AL268:AL331" si="54">-AI268/$F$2*1000</f>
        <v>17.055925925925926</v>
      </c>
      <c r="AM268">
        <f t="shared" ref="AM268:AM331" si="55">AL268*AG268</f>
        <v>20.453295811111111</v>
      </c>
      <c r="AP268" s="9"/>
      <c r="AQ268" s="22">
        <v>0.53085300000000002</v>
      </c>
      <c r="AR268" s="22">
        <v>26.667100000000001</v>
      </c>
      <c r="AS268" s="22">
        <v>-1.41998E-2</v>
      </c>
      <c r="AT268" s="22">
        <v>258</v>
      </c>
      <c r="AU268" s="22">
        <v>0.53002899999999997</v>
      </c>
      <c r="AV268">
        <f t="shared" ref="AV268:AV331" si="56">-AS268/$F$2*1000</f>
        <v>17.530617283950615</v>
      </c>
      <c r="AW268">
        <f t="shared" ref="AW268:AW331" si="57">AV268*AQ268</f>
        <v>9.3061807770370368</v>
      </c>
      <c r="AX268" s="9"/>
      <c r="AY268" s="22">
        <v>1.19919</v>
      </c>
      <c r="AZ268" s="22">
        <v>30.546700000000001</v>
      </c>
      <c r="BA268" s="22">
        <v>-1.38855E-2</v>
      </c>
      <c r="BB268" s="22">
        <v>258</v>
      </c>
      <c r="BC268" s="22">
        <v>1.1981200000000001</v>
      </c>
      <c r="BD268">
        <f t="shared" ref="BD268:BD331" si="58">-BA268/$F$2*1000</f>
        <v>17.142592592592592</v>
      </c>
      <c r="BE268">
        <f t="shared" ref="BE268:BE331" si="59">BD268*AY268</f>
        <v>20.557225611111111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7.7737100000000003</v>
      </c>
      <c r="I269" s="22">
        <v>-1.40442E-2</v>
      </c>
      <c r="J269" s="22">
        <v>259</v>
      </c>
      <c r="K269" s="22">
        <v>0.52499399999999996</v>
      </c>
      <c r="L269">
        <f t="shared" si="48"/>
        <v>17.338518518518516</v>
      </c>
      <c r="M269">
        <f t="shared" si="49"/>
        <v>9.1169051303703696</v>
      </c>
      <c r="N269" s="9"/>
      <c r="O269" s="22">
        <v>1.2042200000000001</v>
      </c>
      <c r="P269" s="22">
        <v>11.6533</v>
      </c>
      <c r="Q269" s="22">
        <v>-1.3772599999999999E-2</v>
      </c>
      <c r="R269" s="22">
        <v>259</v>
      </c>
      <c r="S269" s="22">
        <v>1.2030000000000001</v>
      </c>
      <c r="T269">
        <f t="shared" si="50"/>
        <v>17.00320987654321</v>
      </c>
      <c r="U269">
        <f t="shared" si="51"/>
        <v>20.475605397530867</v>
      </c>
      <c r="X269" s="9"/>
      <c r="Y269" s="22">
        <v>0.52581800000000001</v>
      </c>
      <c r="Z269" s="22">
        <v>17.267900000000001</v>
      </c>
      <c r="AA269" s="22">
        <v>-1.41998E-2</v>
      </c>
      <c r="AB269" s="22">
        <v>259</v>
      </c>
      <c r="AC269" s="22">
        <v>0.52502400000000005</v>
      </c>
      <c r="AD269">
        <f t="shared" si="52"/>
        <v>17.530617283950615</v>
      </c>
      <c r="AE269">
        <f t="shared" si="53"/>
        <v>9.2179141190123453</v>
      </c>
      <c r="AF269" s="9"/>
      <c r="AG269" s="22">
        <v>1.2042200000000001</v>
      </c>
      <c r="AH269" s="22">
        <v>21.147500000000001</v>
      </c>
      <c r="AI269" s="22">
        <v>-1.38031E-2</v>
      </c>
      <c r="AJ269" s="22">
        <v>259</v>
      </c>
      <c r="AK269" s="22">
        <v>1.2033100000000001</v>
      </c>
      <c r="AL269">
        <f t="shared" si="54"/>
        <v>17.040864197530862</v>
      </c>
      <c r="AM269">
        <f t="shared" si="55"/>
        <v>20.520949483950616</v>
      </c>
      <c r="AP269" s="9"/>
      <c r="AQ269" s="22">
        <v>0.52581800000000001</v>
      </c>
      <c r="AR269" s="22">
        <v>26.677199999999999</v>
      </c>
      <c r="AS269" s="22">
        <v>-1.41998E-2</v>
      </c>
      <c r="AT269" s="22">
        <v>259</v>
      </c>
      <c r="AU269" s="22">
        <v>0.52505500000000005</v>
      </c>
      <c r="AV269">
        <f t="shared" si="56"/>
        <v>17.530617283950615</v>
      </c>
      <c r="AW269">
        <f t="shared" si="57"/>
        <v>9.2179141190123453</v>
      </c>
      <c r="AX269" s="9"/>
      <c r="AY269" s="22">
        <v>1.2042200000000001</v>
      </c>
      <c r="AZ269" s="22">
        <v>30.556799999999999</v>
      </c>
      <c r="BA269" s="22">
        <v>-1.38855E-2</v>
      </c>
      <c r="BB269" s="22">
        <v>259</v>
      </c>
      <c r="BC269" s="22">
        <v>1.2030000000000001</v>
      </c>
      <c r="BD269">
        <f t="shared" si="58"/>
        <v>17.142592592592592</v>
      </c>
      <c r="BE269">
        <f t="shared" si="59"/>
        <v>20.643452851851851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7.7837800000000001</v>
      </c>
      <c r="I270" s="22">
        <v>-1.40442E-2</v>
      </c>
      <c r="J270" s="22">
        <v>260</v>
      </c>
      <c r="K270" s="22">
        <v>0.52005000000000001</v>
      </c>
      <c r="L270">
        <f t="shared" si="48"/>
        <v>17.338518518518516</v>
      </c>
      <c r="M270">
        <f t="shared" si="49"/>
        <v>9.0295883511111086</v>
      </c>
      <c r="N270" s="9"/>
      <c r="O270" s="22">
        <v>1.20926</v>
      </c>
      <c r="P270" s="22">
        <v>11.663399999999999</v>
      </c>
      <c r="Q270" s="22">
        <v>-1.37634E-2</v>
      </c>
      <c r="R270" s="22">
        <v>260</v>
      </c>
      <c r="S270" s="22">
        <v>1.2081900000000001</v>
      </c>
      <c r="T270">
        <f t="shared" si="50"/>
        <v>16.991851851851852</v>
      </c>
      <c r="U270">
        <f t="shared" si="51"/>
        <v>20.54756677037037</v>
      </c>
      <c r="X270" s="9"/>
      <c r="Y270" s="22">
        <v>0.52078199999999997</v>
      </c>
      <c r="Z270" s="22">
        <v>17.277999999999999</v>
      </c>
      <c r="AA270" s="22">
        <v>-1.41937E-2</v>
      </c>
      <c r="AB270" s="22">
        <v>260</v>
      </c>
      <c r="AC270" s="22">
        <v>0.52005000000000001</v>
      </c>
      <c r="AD270">
        <f t="shared" si="52"/>
        <v>17.523086419753085</v>
      </c>
      <c r="AE270">
        <f t="shared" si="53"/>
        <v>9.1257079918518507</v>
      </c>
      <c r="AF270" s="9"/>
      <c r="AG270" s="22">
        <v>1.20926</v>
      </c>
      <c r="AH270" s="22">
        <v>21.157599999999999</v>
      </c>
      <c r="AI270" s="22">
        <v>-1.3797E-2</v>
      </c>
      <c r="AJ270" s="22">
        <v>260</v>
      </c>
      <c r="AK270" s="22">
        <v>1.2081900000000001</v>
      </c>
      <c r="AL270">
        <f t="shared" si="54"/>
        <v>17.033333333333331</v>
      </c>
      <c r="AM270">
        <f t="shared" si="55"/>
        <v>20.597728666666665</v>
      </c>
      <c r="AP270" s="9"/>
      <c r="AQ270" s="22">
        <v>0.52078199999999997</v>
      </c>
      <c r="AR270" s="22">
        <v>26.687200000000001</v>
      </c>
      <c r="AS270" s="22">
        <v>-1.4208999999999999E-2</v>
      </c>
      <c r="AT270" s="22">
        <v>260</v>
      </c>
      <c r="AU270" s="22">
        <v>0.52002000000000004</v>
      </c>
      <c r="AV270">
        <f t="shared" si="56"/>
        <v>17.541975308641973</v>
      </c>
      <c r="AW270">
        <f t="shared" si="57"/>
        <v>9.1355449851851827</v>
      </c>
      <c r="AX270" s="9"/>
      <c r="AY270" s="22">
        <v>1.20926</v>
      </c>
      <c r="AZ270" s="22">
        <v>30.5669</v>
      </c>
      <c r="BA270" s="22">
        <v>-1.3876299999999999E-2</v>
      </c>
      <c r="BB270" s="22">
        <v>260</v>
      </c>
      <c r="BC270" s="22">
        <v>1.2081900000000001</v>
      </c>
      <c r="BD270">
        <f t="shared" si="58"/>
        <v>17.131234567901231</v>
      </c>
      <c r="BE270">
        <f t="shared" si="59"/>
        <v>20.716116713580242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7.7938499999999999</v>
      </c>
      <c r="I271" s="22">
        <v>-1.4047199999999999E-2</v>
      </c>
      <c r="J271" s="22">
        <v>261</v>
      </c>
      <c r="K271" s="22">
        <v>0.51492300000000002</v>
      </c>
      <c r="L271">
        <f t="shared" si="48"/>
        <v>17.342222222222222</v>
      </c>
      <c r="M271">
        <f t="shared" si="49"/>
        <v>8.9441990844444437</v>
      </c>
      <c r="N271" s="9"/>
      <c r="O271" s="22">
        <v>1.2142900000000001</v>
      </c>
      <c r="P271" s="22">
        <v>11.673500000000001</v>
      </c>
      <c r="Q271" s="22">
        <v>-1.3760400000000001E-2</v>
      </c>
      <c r="R271" s="22">
        <v>261</v>
      </c>
      <c r="S271" s="22">
        <v>1.2127699999999999</v>
      </c>
      <c r="T271">
        <f t="shared" si="50"/>
        <v>16.988148148148149</v>
      </c>
      <c r="U271">
        <f t="shared" si="51"/>
        <v>20.628538414814816</v>
      </c>
      <c r="X271" s="9"/>
      <c r="Y271" s="22">
        <v>0.51574699999999996</v>
      </c>
      <c r="Z271" s="22">
        <v>17.2881</v>
      </c>
      <c r="AA271" s="22">
        <v>-1.4190700000000001E-2</v>
      </c>
      <c r="AB271" s="22">
        <v>261</v>
      </c>
      <c r="AC271" s="22">
        <v>0.51495400000000002</v>
      </c>
      <c r="AD271">
        <f t="shared" si="52"/>
        <v>17.519382716049382</v>
      </c>
      <c r="AE271">
        <f t="shared" si="53"/>
        <v>9.0355690776543192</v>
      </c>
      <c r="AF271" s="9"/>
      <c r="AG271" s="22">
        <v>1.2142900000000001</v>
      </c>
      <c r="AH271" s="22">
        <v>21.1677</v>
      </c>
      <c r="AI271" s="22">
        <v>-1.37909E-2</v>
      </c>
      <c r="AJ271" s="22">
        <v>261</v>
      </c>
      <c r="AK271" s="22">
        <v>1.2133799999999999</v>
      </c>
      <c r="AL271">
        <f t="shared" si="54"/>
        <v>17.025802469135801</v>
      </c>
      <c r="AM271">
        <f t="shared" si="55"/>
        <v>20.674261680246914</v>
      </c>
      <c r="AP271" s="9"/>
      <c r="AQ271" s="22">
        <v>0.51574699999999996</v>
      </c>
      <c r="AR271" s="22">
        <v>26.697299999999998</v>
      </c>
      <c r="AS271" s="22">
        <v>-1.4218099999999999E-2</v>
      </c>
      <c r="AT271" s="22">
        <v>261</v>
      </c>
      <c r="AU271" s="22">
        <v>0.51495400000000002</v>
      </c>
      <c r="AV271">
        <f t="shared" si="56"/>
        <v>17.553209876543207</v>
      </c>
      <c r="AW271">
        <f t="shared" si="57"/>
        <v>9.0530153341975286</v>
      </c>
      <c r="AX271" s="9"/>
      <c r="AY271" s="22">
        <v>1.2142900000000001</v>
      </c>
      <c r="AZ271" s="22">
        <v>30.576899999999998</v>
      </c>
      <c r="BA271" s="22">
        <v>-1.38672E-2</v>
      </c>
      <c r="BB271" s="22">
        <v>261</v>
      </c>
      <c r="BC271" s="22">
        <v>1.2133799999999999</v>
      </c>
      <c r="BD271">
        <f t="shared" si="58"/>
        <v>17.12</v>
      </c>
      <c r="BE271">
        <f t="shared" si="59"/>
        <v>20.788644800000004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7.8039199999999997</v>
      </c>
      <c r="I272" s="22">
        <v>-1.40503E-2</v>
      </c>
      <c r="J272" s="22">
        <v>262</v>
      </c>
      <c r="K272" s="22">
        <v>0.50997899999999996</v>
      </c>
      <c r="L272">
        <f t="shared" si="48"/>
        <v>17.34604938271605</v>
      </c>
      <c r="M272">
        <f t="shared" si="49"/>
        <v>8.8588355723456793</v>
      </c>
      <c r="N272" s="9"/>
      <c r="O272" s="22">
        <v>1.21933</v>
      </c>
      <c r="P272" s="22">
        <v>11.6835</v>
      </c>
      <c r="Q272" s="22">
        <v>-1.37512E-2</v>
      </c>
      <c r="R272" s="22">
        <v>262</v>
      </c>
      <c r="S272" s="22">
        <v>1.2179599999999999</v>
      </c>
      <c r="T272">
        <f t="shared" si="50"/>
        <v>16.976790123456787</v>
      </c>
      <c r="U272">
        <f t="shared" si="51"/>
        <v>20.700309501234564</v>
      </c>
      <c r="X272" s="9"/>
      <c r="Y272" s="22">
        <v>0.51071200000000005</v>
      </c>
      <c r="Z272" s="22">
        <v>17.298100000000002</v>
      </c>
      <c r="AA272" s="22">
        <v>-1.41937E-2</v>
      </c>
      <c r="AB272" s="22">
        <v>262</v>
      </c>
      <c r="AC272" s="22">
        <v>0.50997899999999996</v>
      </c>
      <c r="AD272">
        <f t="shared" si="52"/>
        <v>17.523086419753085</v>
      </c>
      <c r="AE272">
        <f t="shared" si="53"/>
        <v>8.949250511604939</v>
      </c>
      <c r="AF272" s="9"/>
      <c r="AG272" s="22">
        <v>1.21933</v>
      </c>
      <c r="AH272" s="22">
        <v>21.177800000000001</v>
      </c>
      <c r="AI272" s="22">
        <v>-1.3787799999999999E-2</v>
      </c>
      <c r="AJ272" s="22">
        <v>262</v>
      </c>
      <c r="AK272" s="22">
        <v>1.2182599999999999</v>
      </c>
      <c r="AL272">
        <f t="shared" si="54"/>
        <v>17.021975308641974</v>
      </c>
      <c r="AM272">
        <f t="shared" si="55"/>
        <v>20.755405153086418</v>
      </c>
      <c r="AP272" s="9"/>
      <c r="AQ272" s="22">
        <v>0.51071200000000005</v>
      </c>
      <c r="AR272" s="22">
        <v>26.7074</v>
      </c>
      <c r="AS272" s="22">
        <v>-1.42273E-2</v>
      </c>
      <c r="AT272" s="22">
        <v>262</v>
      </c>
      <c r="AU272" s="22">
        <v>0.50982700000000003</v>
      </c>
      <c r="AV272">
        <f t="shared" si="56"/>
        <v>17.564567901234565</v>
      </c>
      <c r="AW272">
        <f t="shared" si="57"/>
        <v>8.9704356019753071</v>
      </c>
      <c r="AX272" s="9"/>
      <c r="AY272" s="22">
        <v>1.21933</v>
      </c>
      <c r="AZ272" s="22">
        <v>30.587</v>
      </c>
      <c r="BA272" s="22">
        <v>-1.3858000000000001E-2</v>
      </c>
      <c r="BB272" s="22">
        <v>262</v>
      </c>
      <c r="BC272" s="22">
        <v>1.2176499999999999</v>
      </c>
      <c r="BD272">
        <f t="shared" si="58"/>
        <v>17.10864197530864</v>
      </c>
      <c r="BE272">
        <f t="shared" si="59"/>
        <v>20.861080419753083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7.8139900000000004</v>
      </c>
      <c r="I273" s="22">
        <v>-1.40564E-2</v>
      </c>
      <c r="J273" s="22">
        <v>263</v>
      </c>
      <c r="K273" s="22">
        <v>0.50491299999999995</v>
      </c>
      <c r="L273">
        <f t="shared" si="48"/>
        <v>17.35358024691358</v>
      </c>
      <c r="M273">
        <f t="shared" si="49"/>
        <v>8.7752890449382726</v>
      </c>
      <c r="N273" s="9"/>
      <c r="O273" s="22">
        <v>1.22437</v>
      </c>
      <c r="P273" s="22">
        <v>11.6936</v>
      </c>
      <c r="Q273" s="22">
        <v>-1.37451E-2</v>
      </c>
      <c r="R273" s="22">
        <v>263</v>
      </c>
      <c r="S273" s="22">
        <v>1.2234499999999999</v>
      </c>
      <c r="T273">
        <f t="shared" si="50"/>
        <v>16.969259259259257</v>
      </c>
      <c r="U273">
        <f t="shared" si="51"/>
        <v>20.776651959259254</v>
      </c>
      <c r="X273" s="9"/>
      <c r="Y273" s="22">
        <v>0.50567600000000001</v>
      </c>
      <c r="Z273" s="22">
        <v>17.308199999999999</v>
      </c>
      <c r="AA273" s="22">
        <v>-1.4196800000000001E-2</v>
      </c>
      <c r="AB273" s="22">
        <v>263</v>
      </c>
      <c r="AC273" s="22">
        <v>0.50488299999999997</v>
      </c>
      <c r="AD273">
        <f t="shared" si="52"/>
        <v>17.526913580246916</v>
      </c>
      <c r="AE273">
        <f t="shared" si="53"/>
        <v>8.8629395516049403</v>
      </c>
      <c r="AF273" s="9"/>
      <c r="AG273" s="22">
        <v>1.22437</v>
      </c>
      <c r="AH273" s="22">
        <v>21.187799999999999</v>
      </c>
      <c r="AI273" s="22">
        <v>-1.3775600000000001E-2</v>
      </c>
      <c r="AJ273" s="22">
        <v>263</v>
      </c>
      <c r="AK273" s="22">
        <v>1.2237499999999999</v>
      </c>
      <c r="AL273">
        <f t="shared" si="54"/>
        <v>17.006913580246916</v>
      </c>
      <c r="AM273">
        <f t="shared" si="55"/>
        <v>20.822754780246918</v>
      </c>
      <c r="AP273" s="9"/>
      <c r="AQ273" s="22">
        <v>0.50567600000000001</v>
      </c>
      <c r="AR273" s="22">
        <v>26.717400000000001</v>
      </c>
      <c r="AS273" s="22">
        <v>-1.42273E-2</v>
      </c>
      <c r="AT273" s="22">
        <v>263</v>
      </c>
      <c r="AU273" s="22">
        <v>0.50488299999999997</v>
      </c>
      <c r="AV273">
        <f t="shared" si="56"/>
        <v>17.564567901234565</v>
      </c>
      <c r="AW273">
        <f t="shared" si="57"/>
        <v>8.8819804380246907</v>
      </c>
      <c r="AX273" s="9"/>
      <c r="AY273" s="22">
        <v>1.22437</v>
      </c>
      <c r="AZ273" s="22">
        <v>30.597100000000001</v>
      </c>
      <c r="BA273" s="22">
        <v>-1.3842800000000001E-2</v>
      </c>
      <c r="BB273" s="22">
        <v>263</v>
      </c>
      <c r="BC273" s="22">
        <v>1.2240599999999999</v>
      </c>
      <c r="BD273">
        <f t="shared" si="58"/>
        <v>17.089876543209876</v>
      </c>
      <c r="BE273">
        <f t="shared" si="59"/>
        <v>20.924332143209874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7.8240699999999999</v>
      </c>
      <c r="I274" s="22">
        <v>-1.40564E-2</v>
      </c>
      <c r="J274" s="22">
        <v>264</v>
      </c>
      <c r="K274" s="22">
        <v>0.49987799999999999</v>
      </c>
      <c r="L274">
        <f t="shared" si="48"/>
        <v>17.35358024691358</v>
      </c>
      <c r="M274">
        <f t="shared" si="49"/>
        <v>8.6879137683950614</v>
      </c>
      <c r="N274" s="9"/>
      <c r="O274" s="22">
        <v>1.2294</v>
      </c>
      <c r="P274" s="22">
        <v>11.7037</v>
      </c>
      <c r="Q274" s="22">
        <v>-1.37451E-2</v>
      </c>
      <c r="R274" s="22">
        <v>264</v>
      </c>
      <c r="S274" s="22">
        <v>1.2283299999999999</v>
      </c>
      <c r="T274">
        <f t="shared" si="50"/>
        <v>16.969259259259257</v>
      </c>
      <c r="U274">
        <f t="shared" si="51"/>
        <v>20.862007333333331</v>
      </c>
      <c r="X274" s="9"/>
      <c r="Y274" s="22">
        <v>0.500641</v>
      </c>
      <c r="Z274" s="22">
        <v>17.318300000000001</v>
      </c>
      <c r="AA274" s="22">
        <v>-1.41998E-2</v>
      </c>
      <c r="AB274" s="22">
        <v>264</v>
      </c>
      <c r="AC274" s="22">
        <v>0.49984699999999999</v>
      </c>
      <c r="AD274">
        <f t="shared" si="52"/>
        <v>17.530617283950615</v>
      </c>
      <c r="AE274">
        <f t="shared" si="53"/>
        <v>8.7765457676543193</v>
      </c>
      <c r="AF274" s="9"/>
      <c r="AG274" s="22">
        <v>1.2294</v>
      </c>
      <c r="AH274" s="22">
        <v>21.197900000000001</v>
      </c>
      <c r="AI274" s="22">
        <v>-1.3754300000000001E-2</v>
      </c>
      <c r="AJ274" s="22">
        <v>264</v>
      </c>
      <c r="AK274" s="22">
        <v>1.22864</v>
      </c>
      <c r="AL274">
        <f t="shared" si="54"/>
        <v>16.980617283950615</v>
      </c>
      <c r="AM274">
        <f t="shared" si="55"/>
        <v>20.875970888888887</v>
      </c>
      <c r="AP274" s="9"/>
      <c r="AQ274" s="22">
        <v>0.500641</v>
      </c>
      <c r="AR274" s="22">
        <v>26.727499999999999</v>
      </c>
      <c r="AS274" s="22">
        <v>-1.4224199999999999E-2</v>
      </c>
      <c r="AT274" s="22">
        <v>264</v>
      </c>
      <c r="AU274" s="22">
        <v>0.49993900000000002</v>
      </c>
      <c r="AV274">
        <f t="shared" si="56"/>
        <v>17.560740740740737</v>
      </c>
      <c r="AW274">
        <f t="shared" si="57"/>
        <v>8.7916268051851834</v>
      </c>
      <c r="AX274" s="9"/>
      <c r="AY274" s="22">
        <v>1.2294</v>
      </c>
      <c r="AZ274" s="22">
        <v>30.607099999999999</v>
      </c>
      <c r="BA274" s="22">
        <v>-1.38275E-2</v>
      </c>
      <c r="BB274" s="22">
        <v>264</v>
      </c>
      <c r="BC274" s="22">
        <v>1.22803</v>
      </c>
      <c r="BD274">
        <f t="shared" si="58"/>
        <v>17.070987654320987</v>
      </c>
      <c r="BE274">
        <f t="shared" si="59"/>
        <v>20.987072222222224</v>
      </c>
    </row>
    <row r="275" spans="6:101">
      <c r="F275" s="9"/>
      <c r="G275" s="22">
        <v>0.49560500000000002</v>
      </c>
      <c r="H275" s="22">
        <v>7.8341399999999997</v>
      </c>
      <c r="I275" s="22">
        <v>-1.4047199999999999E-2</v>
      </c>
      <c r="J275" s="22">
        <v>265</v>
      </c>
      <c r="K275" s="22">
        <v>0.494751</v>
      </c>
      <c r="L275">
        <f t="shared" si="48"/>
        <v>17.342222222222222</v>
      </c>
      <c r="M275">
        <f t="shared" si="49"/>
        <v>8.5948920444444443</v>
      </c>
      <c r="N275" s="9"/>
      <c r="O275" s="22">
        <v>1.23444</v>
      </c>
      <c r="P275" s="22">
        <v>11.713800000000001</v>
      </c>
      <c r="Q275" s="22">
        <v>-1.37451E-2</v>
      </c>
      <c r="R275" s="22">
        <v>265</v>
      </c>
      <c r="S275" s="22">
        <v>1.23322</v>
      </c>
      <c r="T275">
        <f t="shared" si="50"/>
        <v>16.969259259259257</v>
      </c>
      <c r="U275">
        <f t="shared" si="51"/>
        <v>20.947532399999996</v>
      </c>
      <c r="X275" s="9"/>
      <c r="Y275" s="22">
        <v>0.49560500000000002</v>
      </c>
      <c r="Z275" s="22">
        <v>17.328399999999998</v>
      </c>
      <c r="AA275" s="22">
        <v>-1.4202899999999999E-2</v>
      </c>
      <c r="AB275" s="22">
        <v>265</v>
      </c>
      <c r="AC275" s="22">
        <v>0.49478100000000003</v>
      </c>
      <c r="AD275">
        <f t="shared" si="52"/>
        <v>17.534444444444443</v>
      </c>
      <c r="AE275">
        <f t="shared" si="53"/>
        <v>8.6901583388888888</v>
      </c>
      <c r="AF275" s="9"/>
      <c r="AG275" s="22">
        <v>1.23444</v>
      </c>
      <c r="AH275" s="22">
        <v>21.207999999999998</v>
      </c>
      <c r="AI275" s="22">
        <v>-1.3736E-2</v>
      </c>
      <c r="AJ275" s="22">
        <v>265</v>
      </c>
      <c r="AK275" s="22">
        <v>1.2335199999999999</v>
      </c>
      <c r="AL275">
        <f t="shared" si="54"/>
        <v>16.958024691358023</v>
      </c>
      <c r="AM275">
        <f t="shared" si="55"/>
        <v>20.933663999999997</v>
      </c>
      <c r="AP275" s="9"/>
      <c r="AQ275" s="22">
        <v>0.49560500000000002</v>
      </c>
      <c r="AR275" s="22">
        <v>26.7376</v>
      </c>
      <c r="AS275" s="22">
        <v>-1.42212E-2</v>
      </c>
      <c r="AT275" s="22">
        <v>265</v>
      </c>
      <c r="AU275" s="22">
        <v>0.49481199999999997</v>
      </c>
      <c r="AV275">
        <f t="shared" si="56"/>
        <v>17.557037037037034</v>
      </c>
      <c r="AW275">
        <f t="shared" si="57"/>
        <v>8.70135534074074</v>
      </c>
      <c r="AX275" s="9"/>
      <c r="AY275" s="22">
        <v>1.23444</v>
      </c>
      <c r="AZ275" s="22">
        <v>30.6172</v>
      </c>
      <c r="BA275" s="22">
        <v>-1.3815300000000001E-2</v>
      </c>
      <c r="BB275" s="22">
        <v>265</v>
      </c>
      <c r="BC275" s="22">
        <v>1.23291</v>
      </c>
      <c r="BD275">
        <f t="shared" si="58"/>
        <v>17.055925925925926</v>
      </c>
      <c r="BE275">
        <f t="shared" si="59"/>
        <v>21.054517199999999</v>
      </c>
    </row>
    <row r="276" spans="6:101">
      <c r="F276" s="9"/>
      <c r="G276" s="22">
        <v>0.49057000000000001</v>
      </c>
      <c r="H276" s="22">
        <v>7.8442100000000003</v>
      </c>
      <c r="I276" s="22">
        <v>-1.40442E-2</v>
      </c>
      <c r="J276" s="22">
        <v>266</v>
      </c>
      <c r="K276" s="22">
        <v>0.489838</v>
      </c>
      <c r="L276">
        <f t="shared" si="48"/>
        <v>17.338518518518516</v>
      </c>
      <c r="M276">
        <f t="shared" si="49"/>
        <v>8.5057570296296277</v>
      </c>
      <c r="N276" s="9"/>
      <c r="O276" s="22">
        <v>1.2394700000000001</v>
      </c>
      <c r="P276" s="22">
        <v>11.723800000000001</v>
      </c>
      <c r="Q276" s="22">
        <v>-1.37451E-2</v>
      </c>
      <c r="R276" s="22">
        <v>266</v>
      </c>
      <c r="S276" s="22">
        <v>1.2383999999999999</v>
      </c>
      <c r="T276">
        <f t="shared" si="50"/>
        <v>16.969259259259257</v>
      </c>
      <c r="U276">
        <f t="shared" si="51"/>
        <v>21.032887774074073</v>
      </c>
      <c r="X276" s="9"/>
      <c r="Y276" s="22">
        <v>0.49057000000000001</v>
      </c>
      <c r="Z276" s="22">
        <v>17.3384</v>
      </c>
      <c r="AA276" s="22">
        <v>-1.42059E-2</v>
      </c>
      <c r="AB276" s="22">
        <v>266</v>
      </c>
      <c r="AC276" s="22">
        <v>0.48986800000000003</v>
      </c>
      <c r="AD276">
        <f t="shared" si="52"/>
        <v>17.538148148148146</v>
      </c>
      <c r="AE276">
        <f t="shared" si="53"/>
        <v>8.6036893370370358</v>
      </c>
      <c r="AF276" s="9"/>
      <c r="AG276" s="22">
        <v>1.2394700000000001</v>
      </c>
      <c r="AH276" s="22">
        <v>21.218</v>
      </c>
      <c r="AI276" s="22">
        <v>-1.37238E-2</v>
      </c>
      <c r="AJ276" s="22">
        <v>266</v>
      </c>
      <c r="AK276" s="22">
        <v>1.2381</v>
      </c>
      <c r="AL276">
        <f t="shared" si="54"/>
        <v>16.942962962962962</v>
      </c>
      <c r="AM276">
        <f t="shared" si="55"/>
        <v>21.000294303703704</v>
      </c>
      <c r="AP276" s="9"/>
      <c r="AQ276" s="22">
        <v>0.49057000000000001</v>
      </c>
      <c r="AR276" s="22">
        <v>26.747699999999998</v>
      </c>
      <c r="AS276" s="22">
        <v>-1.42151E-2</v>
      </c>
      <c r="AT276" s="22">
        <v>266</v>
      </c>
      <c r="AU276" s="22">
        <v>0.48977700000000002</v>
      </c>
      <c r="AV276">
        <f t="shared" si="56"/>
        <v>17.549506172839507</v>
      </c>
      <c r="AW276">
        <f t="shared" si="57"/>
        <v>8.6092612432098772</v>
      </c>
      <c r="AX276" s="9"/>
      <c r="AY276" s="22">
        <v>1.2394700000000001</v>
      </c>
      <c r="AZ276" s="22">
        <v>30.627300000000002</v>
      </c>
      <c r="BA276" s="22">
        <v>-1.3806199999999999E-2</v>
      </c>
      <c r="BB276" s="22">
        <v>266</v>
      </c>
      <c r="BC276" s="22">
        <v>1.2383999999999999</v>
      </c>
      <c r="BD276">
        <f t="shared" si="58"/>
        <v>17.044691358024689</v>
      </c>
      <c r="BE276">
        <f t="shared" si="59"/>
        <v>21.126383597530864</v>
      </c>
    </row>
    <row r="277" spans="6:101">
      <c r="F277" s="9"/>
      <c r="G277" s="22">
        <v>0.48553499999999999</v>
      </c>
      <c r="H277" s="22">
        <v>7.8542800000000002</v>
      </c>
      <c r="I277" s="22">
        <v>-1.40503E-2</v>
      </c>
      <c r="J277" s="22">
        <v>267</v>
      </c>
      <c r="K277" s="22">
        <v>0.484711</v>
      </c>
      <c r="L277">
        <f t="shared" si="48"/>
        <v>17.34604938271605</v>
      </c>
      <c r="M277">
        <f t="shared" si="49"/>
        <v>8.4221140870370377</v>
      </c>
      <c r="N277" s="9"/>
      <c r="O277" s="22">
        <v>1.24451</v>
      </c>
      <c r="P277" s="22">
        <v>11.7339</v>
      </c>
      <c r="Q277" s="22">
        <v>-1.3738999999999999E-2</v>
      </c>
      <c r="R277" s="22">
        <v>267</v>
      </c>
      <c r="S277" s="22">
        <v>1.24298</v>
      </c>
      <c r="T277">
        <f t="shared" si="50"/>
        <v>16.961728395061726</v>
      </c>
      <c r="U277">
        <f t="shared" si="51"/>
        <v>21.109040604938269</v>
      </c>
      <c r="X277" s="9"/>
      <c r="Y277" s="22">
        <v>0.48553499999999999</v>
      </c>
      <c r="Z277" s="22">
        <v>17.348500000000001</v>
      </c>
      <c r="AA277" s="22">
        <v>-1.42059E-2</v>
      </c>
      <c r="AB277" s="22">
        <v>267</v>
      </c>
      <c r="AC277" s="22">
        <v>0.48477199999999998</v>
      </c>
      <c r="AD277">
        <f t="shared" si="52"/>
        <v>17.538148148148146</v>
      </c>
      <c r="AE277">
        <f t="shared" si="53"/>
        <v>8.5153847611111093</v>
      </c>
      <c r="AF277" s="9"/>
      <c r="AG277" s="22">
        <v>1.24451</v>
      </c>
      <c r="AH277" s="22">
        <v>21.228100000000001</v>
      </c>
      <c r="AI277" s="22">
        <v>-1.37146E-2</v>
      </c>
      <c r="AJ277" s="22">
        <v>267</v>
      </c>
      <c r="AK277" s="22">
        <v>1.24359</v>
      </c>
      <c r="AL277">
        <f t="shared" si="54"/>
        <v>16.931604938271605</v>
      </c>
      <c r="AM277">
        <f t="shared" si="55"/>
        <v>21.071551661728396</v>
      </c>
      <c r="AP277" s="9"/>
      <c r="AQ277" s="22">
        <v>0.48553499999999999</v>
      </c>
      <c r="AR277" s="22">
        <v>26.7577</v>
      </c>
      <c r="AS277" s="22">
        <v>-1.4212000000000001E-2</v>
      </c>
      <c r="AT277" s="22">
        <v>267</v>
      </c>
      <c r="AU277" s="22">
        <v>0.484711</v>
      </c>
      <c r="AV277">
        <f t="shared" si="56"/>
        <v>17.54567901234568</v>
      </c>
      <c r="AW277">
        <f t="shared" si="57"/>
        <v>8.519041259259259</v>
      </c>
      <c r="AX277" s="9"/>
      <c r="AY277" s="22">
        <v>1.24451</v>
      </c>
      <c r="AZ277" s="22">
        <v>30.6373</v>
      </c>
      <c r="BA277" s="22">
        <v>-1.37939E-2</v>
      </c>
      <c r="BB277" s="22">
        <v>267</v>
      </c>
      <c r="BC277" s="22">
        <v>1.24329</v>
      </c>
      <c r="BD277">
        <f t="shared" si="58"/>
        <v>17.029506172839504</v>
      </c>
      <c r="BE277">
        <f t="shared" si="59"/>
        <v>21.193390727160491</v>
      </c>
    </row>
    <row r="278" spans="6:101">
      <c r="F278" s="9"/>
      <c r="G278" s="22">
        <v>0.48049900000000001</v>
      </c>
      <c r="H278" s="22">
        <v>7.86435</v>
      </c>
      <c r="I278" s="22">
        <v>-1.40564E-2</v>
      </c>
      <c r="J278" s="22">
        <v>268</v>
      </c>
      <c r="K278" s="22">
        <v>0.47970600000000002</v>
      </c>
      <c r="L278">
        <f t="shared" si="48"/>
        <v>17.35358024691358</v>
      </c>
      <c r="M278">
        <f t="shared" si="49"/>
        <v>8.3383779550617287</v>
      </c>
      <c r="N278" s="9"/>
      <c r="O278" s="22">
        <v>1.2495400000000001</v>
      </c>
      <c r="P278" s="22">
        <v>11.744</v>
      </c>
      <c r="Q278" s="22">
        <v>-1.37299E-2</v>
      </c>
      <c r="R278" s="22">
        <v>268</v>
      </c>
      <c r="S278" s="22">
        <v>1.24847</v>
      </c>
      <c r="T278">
        <f t="shared" si="50"/>
        <v>16.950493827160493</v>
      </c>
      <c r="U278">
        <f t="shared" si="51"/>
        <v>21.180320056790123</v>
      </c>
      <c r="X278" s="9"/>
      <c r="Y278" s="22">
        <v>0.48049900000000001</v>
      </c>
      <c r="Z278" s="22">
        <v>17.358599999999999</v>
      </c>
      <c r="AA278" s="22">
        <v>-1.4208999999999999E-2</v>
      </c>
      <c r="AB278" s="22">
        <v>268</v>
      </c>
      <c r="AC278" s="22">
        <v>0.47961399999999998</v>
      </c>
      <c r="AD278">
        <f t="shared" si="52"/>
        <v>17.541975308641973</v>
      </c>
      <c r="AE278">
        <f t="shared" si="53"/>
        <v>8.4289015938271596</v>
      </c>
      <c r="AF278" s="9"/>
      <c r="AG278" s="22">
        <v>1.2495400000000001</v>
      </c>
      <c r="AH278" s="22">
        <v>21.238199999999999</v>
      </c>
      <c r="AI278" s="22">
        <v>-1.37054E-2</v>
      </c>
      <c r="AJ278" s="22">
        <v>268</v>
      </c>
      <c r="AK278" s="22">
        <v>1.24847</v>
      </c>
      <c r="AL278">
        <f t="shared" si="54"/>
        <v>16.920246913580247</v>
      </c>
      <c r="AM278">
        <f t="shared" si="55"/>
        <v>21.142525328395063</v>
      </c>
      <c r="AP278" s="9"/>
      <c r="AQ278" s="22">
        <v>0.48049900000000001</v>
      </c>
      <c r="AR278" s="22">
        <v>26.767800000000001</v>
      </c>
      <c r="AS278" s="22">
        <v>-1.4212000000000001E-2</v>
      </c>
      <c r="AT278" s="22">
        <v>268</v>
      </c>
      <c r="AU278" s="22">
        <v>0.479767</v>
      </c>
      <c r="AV278">
        <f t="shared" si="56"/>
        <v>17.54567901234568</v>
      </c>
      <c r="AW278">
        <f t="shared" si="57"/>
        <v>8.4306812197530867</v>
      </c>
      <c r="AX278" s="9"/>
      <c r="AY278" s="22">
        <v>1.2495400000000001</v>
      </c>
      <c r="AZ278" s="22">
        <v>30.647400000000001</v>
      </c>
      <c r="BA278" s="22">
        <v>-1.3787799999999999E-2</v>
      </c>
      <c r="BB278" s="22">
        <v>268</v>
      </c>
      <c r="BC278" s="22">
        <v>1.24847</v>
      </c>
      <c r="BD278">
        <f t="shared" si="58"/>
        <v>17.021975308641974</v>
      </c>
      <c r="BE278">
        <f t="shared" si="59"/>
        <v>21.269639027160494</v>
      </c>
    </row>
    <row r="279" spans="6:101">
      <c r="F279" s="9"/>
      <c r="G279" s="22">
        <v>0.475464</v>
      </c>
      <c r="H279" s="22">
        <v>7.8744199999999998</v>
      </c>
      <c r="I279" s="22">
        <v>-1.40564E-2</v>
      </c>
      <c r="J279" s="22">
        <v>269</v>
      </c>
      <c r="K279" s="22">
        <v>0.47470099999999998</v>
      </c>
      <c r="L279">
        <f t="shared" si="48"/>
        <v>17.35358024691358</v>
      </c>
      <c r="M279">
        <f t="shared" si="49"/>
        <v>8.2510026785185193</v>
      </c>
      <c r="N279" s="9"/>
      <c r="O279" s="22">
        <v>1.25458</v>
      </c>
      <c r="P279" s="22">
        <v>11.754</v>
      </c>
      <c r="Q279" s="22">
        <v>-1.3720700000000001E-2</v>
      </c>
      <c r="R279" s="22">
        <v>269</v>
      </c>
      <c r="S279" s="22">
        <v>1.25366</v>
      </c>
      <c r="T279">
        <f t="shared" si="50"/>
        <v>16.939135802469135</v>
      </c>
      <c r="U279">
        <f t="shared" si="51"/>
        <v>21.251500995061729</v>
      </c>
      <c r="X279" s="9"/>
      <c r="Y279" s="22">
        <v>0.475464</v>
      </c>
      <c r="Z279" s="22">
        <v>17.368600000000001</v>
      </c>
      <c r="AA279" s="22">
        <v>-1.4208999999999999E-2</v>
      </c>
      <c r="AB279" s="22">
        <v>269</v>
      </c>
      <c r="AC279" s="22">
        <v>0.47470099999999998</v>
      </c>
      <c r="AD279">
        <f t="shared" si="52"/>
        <v>17.541975308641973</v>
      </c>
      <c r="AE279">
        <f t="shared" si="53"/>
        <v>8.3405777481481476</v>
      </c>
      <c r="AF279" s="9"/>
      <c r="AG279" s="22">
        <v>1.25458</v>
      </c>
      <c r="AH279" s="22">
        <v>21.2483</v>
      </c>
      <c r="AI279" s="22">
        <v>-1.37085E-2</v>
      </c>
      <c r="AJ279" s="22">
        <v>269</v>
      </c>
      <c r="AK279" s="22">
        <v>1.25305</v>
      </c>
      <c r="AL279">
        <f t="shared" si="54"/>
        <v>16.924074074074074</v>
      </c>
      <c r="AM279">
        <f t="shared" si="55"/>
        <v>21.232604851851853</v>
      </c>
      <c r="AP279" s="9"/>
      <c r="AQ279" s="22">
        <v>0.475464</v>
      </c>
      <c r="AR279" s="22">
        <v>26.777899999999999</v>
      </c>
      <c r="AS279" s="22">
        <v>-1.4212000000000001E-2</v>
      </c>
      <c r="AT279" s="22">
        <v>269</v>
      </c>
      <c r="AU279" s="22">
        <v>0.47479199999999999</v>
      </c>
      <c r="AV279">
        <f t="shared" si="56"/>
        <v>17.54567901234568</v>
      </c>
      <c r="AW279">
        <f t="shared" si="57"/>
        <v>8.3423387259259254</v>
      </c>
      <c r="AX279" s="9"/>
      <c r="AY279" s="22">
        <v>1.25458</v>
      </c>
      <c r="AZ279" s="22">
        <v>30.657499999999999</v>
      </c>
      <c r="BA279" s="22">
        <v>-1.37848E-2</v>
      </c>
      <c r="BB279" s="22">
        <v>269</v>
      </c>
      <c r="BC279" s="22">
        <v>1.25397</v>
      </c>
      <c r="BD279">
        <f t="shared" si="58"/>
        <v>17.018271604938271</v>
      </c>
      <c r="BE279">
        <f t="shared" si="59"/>
        <v>21.350783190123455</v>
      </c>
    </row>
    <row r="280" spans="6:101">
      <c r="F280" s="9"/>
      <c r="G280" s="22">
        <v>0.47042800000000001</v>
      </c>
      <c r="H280" s="22">
        <v>7.8844900000000004</v>
      </c>
      <c r="I280" s="22">
        <v>-1.40625E-2</v>
      </c>
      <c r="J280" s="22">
        <v>270</v>
      </c>
      <c r="K280" s="22">
        <v>0.469696</v>
      </c>
      <c r="L280">
        <f t="shared" si="48"/>
        <v>17.361111111111111</v>
      </c>
      <c r="M280">
        <f t="shared" si="49"/>
        <v>8.1671527777777779</v>
      </c>
      <c r="N280" s="9"/>
      <c r="O280" s="22">
        <v>1.2596099999999999</v>
      </c>
      <c r="P280" s="22">
        <v>11.764099999999999</v>
      </c>
      <c r="Q280" s="22">
        <v>-1.37024E-2</v>
      </c>
      <c r="R280" s="22">
        <v>270</v>
      </c>
      <c r="S280" s="22">
        <v>1.25854</v>
      </c>
      <c r="T280">
        <f t="shared" si="50"/>
        <v>16.916543209876544</v>
      </c>
      <c r="U280">
        <f t="shared" si="51"/>
        <v>21.30824699259259</v>
      </c>
      <c r="X280" s="9"/>
      <c r="Y280" s="22">
        <v>0.47042800000000001</v>
      </c>
      <c r="Z280" s="22">
        <v>17.378699999999998</v>
      </c>
      <c r="AA280" s="22">
        <v>-1.4212000000000001E-2</v>
      </c>
      <c r="AB280" s="22">
        <v>270</v>
      </c>
      <c r="AC280" s="22">
        <v>0.46972700000000001</v>
      </c>
      <c r="AD280">
        <f t="shared" si="52"/>
        <v>17.54567901234568</v>
      </c>
      <c r="AE280">
        <f t="shared" si="53"/>
        <v>8.2539786864197531</v>
      </c>
      <c r="AF280" s="9"/>
      <c r="AG280" s="22">
        <v>1.2596099999999999</v>
      </c>
      <c r="AH280" s="22">
        <v>21.258299999999998</v>
      </c>
      <c r="AI280" s="22">
        <v>-1.37115E-2</v>
      </c>
      <c r="AJ280" s="22">
        <v>270</v>
      </c>
      <c r="AK280" s="22">
        <v>1.25854</v>
      </c>
      <c r="AL280">
        <f t="shared" si="54"/>
        <v>16.927777777777777</v>
      </c>
      <c r="AM280">
        <f t="shared" si="55"/>
        <v>21.322398166666662</v>
      </c>
      <c r="AP280" s="9"/>
      <c r="AQ280" s="22">
        <v>0.47042800000000001</v>
      </c>
      <c r="AR280" s="22">
        <v>26.7879</v>
      </c>
      <c r="AS280" s="22">
        <v>-1.42151E-2</v>
      </c>
      <c r="AT280" s="22">
        <v>270</v>
      </c>
      <c r="AU280" s="22">
        <v>0.46966599999999997</v>
      </c>
      <c r="AV280">
        <f t="shared" si="56"/>
        <v>17.549506172839507</v>
      </c>
      <c r="AW280">
        <f t="shared" si="57"/>
        <v>8.255779089876544</v>
      </c>
      <c r="AX280" s="9"/>
      <c r="AY280" s="22">
        <v>1.2596099999999999</v>
      </c>
      <c r="AZ280" s="22">
        <v>30.6676</v>
      </c>
      <c r="BA280" s="22">
        <v>-1.37909E-2</v>
      </c>
      <c r="BB280" s="22">
        <v>270</v>
      </c>
      <c r="BC280" s="22">
        <v>1.25885</v>
      </c>
      <c r="BD280">
        <f t="shared" si="58"/>
        <v>17.025802469135801</v>
      </c>
      <c r="BE280">
        <f t="shared" si="59"/>
        <v>21.445871048148145</v>
      </c>
    </row>
    <row r="281" spans="6:101">
      <c r="F281" s="9"/>
      <c r="G281" s="22">
        <v>0.465393</v>
      </c>
      <c r="H281" s="22">
        <v>7.8945600000000002</v>
      </c>
      <c r="I281" s="22">
        <v>-1.40625E-2</v>
      </c>
      <c r="J281" s="22">
        <v>271</v>
      </c>
      <c r="K281" s="22">
        <v>0.46460000000000001</v>
      </c>
      <c r="L281">
        <f t="shared" si="48"/>
        <v>17.361111111111111</v>
      </c>
      <c r="M281">
        <f t="shared" si="49"/>
        <v>8.0797395833333336</v>
      </c>
      <c r="N281" s="9"/>
      <c r="O281" s="22">
        <v>1.2646500000000001</v>
      </c>
      <c r="P281" s="22">
        <v>11.7742</v>
      </c>
      <c r="Q281" s="22">
        <v>-1.36963E-2</v>
      </c>
      <c r="R281" s="22">
        <v>271</v>
      </c>
      <c r="S281" s="22">
        <v>1.26312</v>
      </c>
      <c r="T281">
        <f t="shared" si="50"/>
        <v>16.90901234567901</v>
      </c>
      <c r="U281">
        <f t="shared" si="51"/>
        <v>21.383982462962962</v>
      </c>
      <c r="X281" s="9"/>
      <c r="Y281" s="22">
        <v>0.465393</v>
      </c>
      <c r="Z281" s="22">
        <v>17.3888</v>
      </c>
      <c r="AA281" s="22">
        <v>-1.42151E-2</v>
      </c>
      <c r="AB281" s="22">
        <v>271</v>
      </c>
      <c r="AC281" s="22">
        <v>0.46469100000000002</v>
      </c>
      <c r="AD281">
        <f t="shared" si="52"/>
        <v>17.549506172839507</v>
      </c>
      <c r="AE281">
        <f t="shared" si="53"/>
        <v>8.167417326296297</v>
      </c>
      <c r="AF281" s="9"/>
      <c r="AG281" s="22">
        <v>1.2646500000000001</v>
      </c>
      <c r="AH281" s="22">
        <v>21.2684</v>
      </c>
      <c r="AI281" s="22">
        <v>-1.37146E-2</v>
      </c>
      <c r="AJ281" s="22">
        <v>271</v>
      </c>
      <c r="AK281" s="22">
        <v>1.2640400000000001</v>
      </c>
      <c r="AL281">
        <f t="shared" si="54"/>
        <v>16.931604938271605</v>
      </c>
      <c r="AM281">
        <f t="shared" si="55"/>
        <v>21.412554185185186</v>
      </c>
      <c r="AP281" s="9"/>
      <c r="AQ281" s="22">
        <v>0.465393</v>
      </c>
      <c r="AR281" s="22">
        <v>26.797999999999998</v>
      </c>
      <c r="AS281" s="22">
        <v>-1.4212000000000001E-2</v>
      </c>
      <c r="AT281" s="22">
        <v>271</v>
      </c>
      <c r="AU281" s="22">
        <v>0.46472200000000002</v>
      </c>
      <c r="AV281">
        <f t="shared" si="56"/>
        <v>17.54567901234568</v>
      </c>
      <c r="AW281">
        <f t="shared" si="57"/>
        <v>8.1656361925925935</v>
      </c>
      <c r="AX281" s="9"/>
      <c r="AY281" s="22">
        <v>1.2646500000000001</v>
      </c>
      <c r="AZ281" s="22">
        <v>30.677600000000002</v>
      </c>
      <c r="BA281" s="22">
        <v>-1.37848E-2</v>
      </c>
      <c r="BB281" s="22">
        <v>271</v>
      </c>
      <c r="BC281" s="22">
        <v>1.26373</v>
      </c>
      <c r="BD281">
        <f t="shared" si="58"/>
        <v>17.018271604938271</v>
      </c>
      <c r="BE281">
        <f t="shared" si="59"/>
        <v>21.522157185185186</v>
      </c>
    </row>
    <row r="282" spans="6:101">
      <c r="F282" s="9"/>
      <c r="G282" s="22">
        <v>0.46035799999999999</v>
      </c>
      <c r="H282" s="22">
        <v>7.90463</v>
      </c>
      <c r="I282" s="22">
        <v>-1.40594E-2</v>
      </c>
      <c r="J282" s="22">
        <v>272</v>
      </c>
      <c r="K282" s="22">
        <v>0.45959499999999998</v>
      </c>
      <c r="L282">
        <f t="shared" si="48"/>
        <v>17.357283950617283</v>
      </c>
      <c r="M282">
        <f t="shared" si="49"/>
        <v>7.9905645249382715</v>
      </c>
      <c r="N282" s="9"/>
      <c r="O282" s="22">
        <v>1.2696799999999999</v>
      </c>
      <c r="P282" s="22">
        <v>11.7843</v>
      </c>
      <c r="Q282" s="22">
        <v>-1.3684099999999999E-2</v>
      </c>
      <c r="R282" s="22">
        <v>272</v>
      </c>
      <c r="S282" s="22">
        <v>1.26892</v>
      </c>
      <c r="T282">
        <f t="shared" si="50"/>
        <v>16.893950617283949</v>
      </c>
      <c r="U282">
        <f t="shared" si="51"/>
        <v>21.449911219753083</v>
      </c>
      <c r="X282" s="9"/>
      <c r="Y282" s="22">
        <v>0.46035799999999999</v>
      </c>
      <c r="Z282" s="22">
        <v>17.398900000000001</v>
      </c>
      <c r="AA282" s="22">
        <v>-1.4218099999999999E-2</v>
      </c>
      <c r="AB282" s="22">
        <v>272</v>
      </c>
      <c r="AC282" s="22">
        <v>0.45956399999999997</v>
      </c>
      <c r="AD282">
        <f t="shared" si="52"/>
        <v>17.553209876543207</v>
      </c>
      <c r="AE282">
        <f t="shared" si="53"/>
        <v>8.080760592345678</v>
      </c>
      <c r="AF282" s="9"/>
      <c r="AG282" s="22">
        <v>1.2696799999999999</v>
      </c>
      <c r="AH282" s="22">
        <v>21.278500000000001</v>
      </c>
      <c r="AI282" s="22">
        <v>-1.37115E-2</v>
      </c>
      <c r="AJ282" s="22">
        <v>272</v>
      </c>
      <c r="AK282" s="22">
        <v>1.26831</v>
      </c>
      <c r="AL282">
        <f t="shared" si="54"/>
        <v>16.927777777777777</v>
      </c>
      <c r="AM282">
        <f t="shared" si="55"/>
        <v>21.492860888888888</v>
      </c>
      <c r="AP282" s="9"/>
      <c r="AQ282" s="22">
        <v>0.46035799999999999</v>
      </c>
      <c r="AR282" s="22">
        <v>26.8081</v>
      </c>
      <c r="AS282" s="22">
        <v>-1.42212E-2</v>
      </c>
      <c r="AT282" s="22">
        <v>272</v>
      </c>
      <c r="AU282" s="22">
        <v>0.45959499999999998</v>
      </c>
      <c r="AV282">
        <f t="shared" si="56"/>
        <v>17.557037037037034</v>
      </c>
      <c r="AW282">
        <f t="shared" si="57"/>
        <v>8.0825224562962941</v>
      </c>
      <c r="AX282" s="9"/>
      <c r="AY282" s="22">
        <v>1.2696799999999999</v>
      </c>
      <c r="AZ282" s="22">
        <v>30.6877</v>
      </c>
      <c r="BA282" s="22">
        <v>-1.3781699999999999E-2</v>
      </c>
      <c r="BB282" s="22">
        <v>272</v>
      </c>
      <c r="BC282" s="22">
        <v>1.26892</v>
      </c>
      <c r="BD282">
        <f t="shared" si="58"/>
        <v>17.014444444444443</v>
      </c>
      <c r="BE282">
        <f t="shared" si="59"/>
        <v>21.60289982222222</v>
      </c>
    </row>
    <row r="283" spans="6:101">
      <c r="F283" s="9"/>
      <c r="G283" s="22">
        <v>0.455322</v>
      </c>
      <c r="H283" s="22">
        <v>7.9146999999999998</v>
      </c>
      <c r="I283" s="22">
        <v>-1.4053299999999999E-2</v>
      </c>
      <c r="J283" s="22">
        <v>273</v>
      </c>
      <c r="K283" s="22">
        <v>0.45458999999999999</v>
      </c>
      <c r="L283">
        <f t="shared" si="48"/>
        <v>17.349753086419753</v>
      </c>
      <c r="M283">
        <f t="shared" si="49"/>
        <v>7.8997242748148144</v>
      </c>
      <c r="N283" s="9"/>
      <c r="O283" s="22">
        <v>1.2747200000000001</v>
      </c>
      <c r="P283" s="22">
        <v>11.7943</v>
      </c>
      <c r="Q283" s="22">
        <v>-1.36627E-2</v>
      </c>
      <c r="R283" s="22">
        <v>273</v>
      </c>
      <c r="S283" s="22">
        <v>1.2738</v>
      </c>
      <c r="T283">
        <f t="shared" si="50"/>
        <v>16.86753086419753</v>
      </c>
      <c r="U283">
        <f t="shared" si="51"/>
        <v>21.501378943209875</v>
      </c>
      <c r="X283" s="9"/>
      <c r="Y283" s="22">
        <v>0.455322</v>
      </c>
      <c r="Z283" s="22">
        <v>17.408899999999999</v>
      </c>
      <c r="AA283" s="22">
        <v>-1.4224199999999999E-2</v>
      </c>
      <c r="AB283" s="22">
        <v>273</v>
      </c>
      <c r="AC283" s="22">
        <v>0.45449800000000001</v>
      </c>
      <c r="AD283">
        <f t="shared" si="52"/>
        <v>17.560740740740737</v>
      </c>
      <c r="AE283">
        <f t="shared" si="53"/>
        <v>7.9957915955555539</v>
      </c>
      <c r="AF283" s="9"/>
      <c r="AG283" s="22">
        <v>1.2747200000000001</v>
      </c>
      <c r="AH283" s="22">
        <v>21.288499999999999</v>
      </c>
      <c r="AI283" s="22">
        <v>-1.37054E-2</v>
      </c>
      <c r="AJ283" s="22">
        <v>273</v>
      </c>
      <c r="AK283" s="22">
        <v>1.2735000000000001</v>
      </c>
      <c r="AL283">
        <f t="shared" si="54"/>
        <v>16.920246913580247</v>
      </c>
      <c r="AM283">
        <f t="shared" si="55"/>
        <v>21.568577145679015</v>
      </c>
      <c r="AP283" s="9"/>
      <c r="AQ283" s="22">
        <v>0.455322</v>
      </c>
      <c r="AR283" s="22">
        <v>26.818200000000001</v>
      </c>
      <c r="AS283" s="22">
        <v>-1.42212E-2</v>
      </c>
      <c r="AT283" s="22">
        <v>273</v>
      </c>
      <c r="AU283" s="22">
        <v>0.45446799999999998</v>
      </c>
      <c r="AV283">
        <f t="shared" si="56"/>
        <v>17.557037037037034</v>
      </c>
      <c r="AW283">
        <f t="shared" si="57"/>
        <v>7.9941052177777765</v>
      </c>
      <c r="AX283" s="9"/>
      <c r="AY283" s="22">
        <v>1.2747200000000001</v>
      </c>
      <c r="AZ283" s="22">
        <v>30.697800000000001</v>
      </c>
      <c r="BA283" s="22">
        <v>-1.3775600000000001E-2</v>
      </c>
      <c r="BB283" s="22">
        <v>273</v>
      </c>
      <c r="BC283" s="22">
        <v>1.2735000000000001</v>
      </c>
      <c r="BD283">
        <f t="shared" si="58"/>
        <v>17.006913580246916</v>
      </c>
      <c r="BE283">
        <f t="shared" si="59"/>
        <v>21.67905287901235</v>
      </c>
    </row>
    <row r="284" spans="6:101">
      <c r="F284" s="9"/>
      <c r="G284" s="22">
        <v>0.45028699999999999</v>
      </c>
      <c r="H284" s="22">
        <v>7.9247800000000002</v>
      </c>
      <c r="I284" s="22">
        <v>-1.40625E-2</v>
      </c>
      <c r="J284" s="22">
        <v>274</v>
      </c>
      <c r="K284" s="22">
        <v>0.44952399999999998</v>
      </c>
      <c r="L284">
        <f t="shared" si="48"/>
        <v>17.361111111111111</v>
      </c>
      <c r="M284">
        <f t="shared" si="49"/>
        <v>7.8174826388888885</v>
      </c>
      <c r="N284" s="9"/>
      <c r="O284" s="22">
        <v>1.2797499999999999</v>
      </c>
      <c r="P284" s="22">
        <v>11.804399999999999</v>
      </c>
      <c r="Q284" s="22">
        <v>-1.3650499999999999E-2</v>
      </c>
      <c r="R284" s="22">
        <v>274</v>
      </c>
      <c r="S284" s="22">
        <v>1.2786900000000001</v>
      </c>
      <c r="T284">
        <f t="shared" si="50"/>
        <v>16.852469135802469</v>
      </c>
      <c r="U284">
        <f t="shared" si="51"/>
        <v>21.566947376543208</v>
      </c>
      <c r="X284" s="9"/>
      <c r="Y284" s="22">
        <v>0.45028699999999999</v>
      </c>
      <c r="Z284" s="22">
        <v>17.419</v>
      </c>
      <c r="AA284" s="22">
        <v>-1.42273E-2</v>
      </c>
      <c r="AB284" s="22">
        <v>274</v>
      </c>
      <c r="AC284" s="22">
        <v>0.44949299999999998</v>
      </c>
      <c r="AD284">
        <f t="shared" si="52"/>
        <v>17.564567901234565</v>
      </c>
      <c r="AE284">
        <f t="shared" si="53"/>
        <v>7.9090965865432086</v>
      </c>
      <c r="AF284" s="9"/>
      <c r="AG284" s="22">
        <v>1.2797499999999999</v>
      </c>
      <c r="AH284" s="22">
        <v>21.2986</v>
      </c>
      <c r="AI284" s="22">
        <v>-1.36963E-2</v>
      </c>
      <c r="AJ284" s="22">
        <v>274</v>
      </c>
      <c r="AK284" s="22">
        <v>1.2786900000000001</v>
      </c>
      <c r="AL284">
        <f t="shared" si="54"/>
        <v>16.90901234567901</v>
      </c>
      <c r="AM284">
        <f t="shared" si="55"/>
        <v>21.639308549382712</v>
      </c>
      <c r="AP284" s="9"/>
      <c r="AQ284" s="22">
        <v>0.45028699999999999</v>
      </c>
      <c r="AR284" s="22">
        <v>26.828199999999999</v>
      </c>
      <c r="AS284" s="22">
        <v>-1.4224199999999999E-2</v>
      </c>
      <c r="AT284" s="22">
        <v>274</v>
      </c>
      <c r="AU284" s="22">
        <v>0.44949299999999998</v>
      </c>
      <c r="AV284">
        <f t="shared" si="56"/>
        <v>17.560740740740737</v>
      </c>
      <c r="AW284">
        <f t="shared" si="57"/>
        <v>7.9073732659259246</v>
      </c>
      <c r="AX284" s="9"/>
      <c r="AY284" s="22">
        <v>1.2797499999999999</v>
      </c>
      <c r="AZ284" s="22">
        <v>30.707799999999999</v>
      </c>
      <c r="BA284" s="22">
        <v>-1.37634E-2</v>
      </c>
      <c r="BB284" s="22">
        <v>274</v>
      </c>
      <c r="BC284" s="22">
        <v>1.2783800000000001</v>
      </c>
      <c r="BD284">
        <f t="shared" si="58"/>
        <v>16.991851851851852</v>
      </c>
      <c r="BE284">
        <f t="shared" si="59"/>
        <v>21.745322407407407</v>
      </c>
    </row>
    <row r="285" spans="6:101">
      <c r="F285" s="9"/>
      <c r="G285" s="22">
        <v>0.44525100000000001</v>
      </c>
      <c r="H285" s="22">
        <v>7.93485</v>
      </c>
      <c r="I285" s="22">
        <v>-1.4071699999999999E-2</v>
      </c>
      <c r="J285" s="22">
        <v>275</v>
      </c>
      <c r="K285" s="22">
        <v>0.444519</v>
      </c>
      <c r="L285">
        <f t="shared" si="48"/>
        <v>17.372469135802469</v>
      </c>
      <c r="M285">
        <f t="shared" si="49"/>
        <v>7.7351092551851854</v>
      </c>
      <c r="N285" s="9"/>
      <c r="O285" s="22">
        <v>1.2847900000000001</v>
      </c>
      <c r="P285" s="22">
        <v>11.814500000000001</v>
      </c>
      <c r="Q285" s="22">
        <v>-1.3638300000000001E-2</v>
      </c>
      <c r="R285" s="22">
        <v>275</v>
      </c>
      <c r="S285" s="22">
        <v>1.2838700000000001</v>
      </c>
      <c r="T285">
        <f t="shared" si="50"/>
        <v>16.837407407407408</v>
      </c>
      <c r="U285">
        <f t="shared" si="51"/>
        <v>21.632532662962966</v>
      </c>
      <c r="X285" s="9"/>
      <c r="Y285" s="22">
        <v>0.44525100000000001</v>
      </c>
      <c r="Z285" s="22">
        <v>17.429099999999998</v>
      </c>
      <c r="AA285" s="22">
        <v>-1.42273E-2</v>
      </c>
      <c r="AB285" s="22">
        <v>275</v>
      </c>
      <c r="AC285" s="22">
        <v>0.44448900000000002</v>
      </c>
      <c r="AD285">
        <f t="shared" si="52"/>
        <v>17.564567901234565</v>
      </c>
      <c r="AE285">
        <f t="shared" si="53"/>
        <v>7.8206414225925913</v>
      </c>
      <c r="AF285" s="9"/>
      <c r="AG285" s="22">
        <v>1.2847900000000001</v>
      </c>
      <c r="AH285" s="22">
        <v>21.308700000000002</v>
      </c>
      <c r="AI285" s="22">
        <v>-1.3687100000000001E-2</v>
      </c>
      <c r="AJ285" s="22">
        <v>275</v>
      </c>
      <c r="AK285" s="22">
        <v>1.2841800000000001</v>
      </c>
      <c r="AL285">
        <f t="shared" si="54"/>
        <v>16.897654320987655</v>
      </c>
      <c r="AM285">
        <f t="shared" si="55"/>
        <v>21.709937295061732</v>
      </c>
      <c r="AP285" s="9"/>
      <c r="AQ285" s="22">
        <v>0.44525100000000001</v>
      </c>
      <c r="AR285" s="22">
        <v>26.8383</v>
      </c>
      <c r="AS285" s="22">
        <v>-1.42303E-2</v>
      </c>
      <c r="AT285" s="22">
        <v>275</v>
      </c>
      <c r="AU285" s="22">
        <v>0.44448900000000002</v>
      </c>
      <c r="AV285">
        <f t="shared" si="56"/>
        <v>17.568271604938271</v>
      </c>
      <c r="AW285">
        <f t="shared" si="57"/>
        <v>7.8222905003703707</v>
      </c>
      <c r="AX285" s="9"/>
      <c r="AY285" s="22">
        <v>1.2847900000000001</v>
      </c>
      <c r="AZ285" s="22">
        <v>30.7179</v>
      </c>
      <c r="BA285" s="22">
        <v>-1.3754300000000001E-2</v>
      </c>
      <c r="BB285" s="22">
        <v>275</v>
      </c>
      <c r="BC285" s="22">
        <v>1.2841800000000001</v>
      </c>
      <c r="BD285">
        <f t="shared" si="58"/>
        <v>16.980617283950615</v>
      </c>
      <c r="BE285">
        <f t="shared" si="59"/>
        <v>21.816527280246913</v>
      </c>
    </row>
    <row r="286" spans="6:101">
      <c r="F286" s="9"/>
      <c r="G286" s="22">
        <v>0.440216</v>
      </c>
      <c r="H286" s="22">
        <v>7.9449199999999998</v>
      </c>
      <c r="I286" s="22">
        <v>-1.4071699999999999E-2</v>
      </c>
      <c r="J286" s="22">
        <v>276</v>
      </c>
      <c r="K286" s="22">
        <v>0.43954500000000002</v>
      </c>
      <c r="L286">
        <f t="shared" si="48"/>
        <v>17.372469135802469</v>
      </c>
      <c r="M286">
        <f t="shared" si="49"/>
        <v>7.6476388730864198</v>
      </c>
      <c r="N286" s="9"/>
      <c r="O286" s="22">
        <v>1.28983</v>
      </c>
      <c r="P286" s="22">
        <v>11.8245</v>
      </c>
      <c r="Q286" s="22">
        <v>-1.3623E-2</v>
      </c>
      <c r="R286" s="22">
        <v>276</v>
      </c>
      <c r="S286" s="22">
        <v>1.2890600000000001</v>
      </c>
      <c r="T286">
        <f t="shared" si="50"/>
        <v>16.818518518518516</v>
      </c>
      <c r="U286">
        <f t="shared" si="51"/>
        <v>21.693029740740737</v>
      </c>
      <c r="X286" s="9"/>
      <c r="Y286" s="22">
        <v>0.440216</v>
      </c>
      <c r="Z286" s="22">
        <v>17.4391</v>
      </c>
      <c r="AA286" s="22">
        <v>-1.42273E-2</v>
      </c>
      <c r="AB286" s="22">
        <v>276</v>
      </c>
      <c r="AC286" s="22">
        <v>0.43951400000000002</v>
      </c>
      <c r="AD286">
        <f t="shared" si="52"/>
        <v>17.564567901234565</v>
      </c>
      <c r="AE286">
        <f t="shared" si="53"/>
        <v>7.7322038232098746</v>
      </c>
      <c r="AF286" s="9"/>
      <c r="AG286" s="22">
        <v>1.28983</v>
      </c>
      <c r="AH286" s="22">
        <v>21.3188</v>
      </c>
      <c r="AI286" s="22">
        <v>-1.3677999999999999E-2</v>
      </c>
      <c r="AJ286" s="22">
        <v>276</v>
      </c>
      <c r="AK286" s="22">
        <v>1.2890600000000001</v>
      </c>
      <c r="AL286">
        <f t="shared" si="54"/>
        <v>16.886419753086418</v>
      </c>
      <c r="AM286">
        <f t="shared" si="55"/>
        <v>21.780610790123454</v>
      </c>
      <c r="AP286" s="9"/>
      <c r="AQ286" s="22">
        <v>0.440216</v>
      </c>
      <c r="AR286" s="22">
        <v>26.848400000000002</v>
      </c>
      <c r="AS286" s="22">
        <v>-1.4245600000000001E-2</v>
      </c>
      <c r="AT286" s="22">
        <v>276</v>
      </c>
      <c r="AU286" s="22">
        <v>0.43942300000000001</v>
      </c>
      <c r="AV286">
        <f t="shared" si="56"/>
        <v>17.58716049382716</v>
      </c>
      <c r="AW286">
        <f t="shared" si="57"/>
        <v>7.7421494439506171</v>
      </c>
      <c r="AX286" s="9"/>
      <c r="AY286" s="22">
        <v>1.28983</v>
      </c>
      <c r="AZ286" s="22">
        <v>30.728000000000002</v>
      </c>
      <c r="BA286" s="22">
        <v>-1.37451E-2</v>
      </c>
      <c r="BB286" s="22">
        <v>276</v>
      </c>
      <c r="BC286" s="22">
        <v>1.2887599999999999</v>
      </c>
      <c r="BD286">
        <f t="shared" si="58"/>
        <v>16.969259259259257</v>
      </c>
      <c r="BE286">
        <f t="shared" si="59"/>
        <v>21.887459670370369</v>
      </c>
    </row>
    <row r="287" spans="6:101">
      <c r="F287" s="9"/>
      <c r="G287" s="22">
        <v>0.43518099999999998</v>
      </c>
      <c r="H287" s="22">
        <v>7.9549899999999996</v>
      </c>
      <c r="I287" s="22">
        <v>-1.4074700000000001E-2</v>
      </c>
      <c r="J287" s="22">
        <v>277</v>
      </c>
      <c r="K287" s="22">
        <v>0.43441800000000003</v>
      </c>
      <c r="L287">
        <f t="shared" si="48"/>
        <v>17.376172839506172</v>
      </c>
      <c r="M287">
        <f t="shared" si="49"/>
        <v>7.561780272469135</v>
      </c>
      <c r="N287" s="9"/>
      <c r="O287" s="22">
        <v>1.2948599999999999</v>
      </c>
      <c r="P287" s="22">
        <v>11.8346</v>
      </c>
      <c r="Q287" s="22">
        <v>-1.36078E-2</v>
      </c>
      <c r="R287" s="22">
        <v>277</v>
      </c>
      <c r="S287" s="22">
        <v>1.2936399999999999</v>
      </c>
      <c r="T287">
        <f t="shared" si="50"/>
        <v>16.799753086419752</v>
      </c>
      <c r="U287">
        <f t="shared" si="51"/>
        <v>21.75332828148148</v>
      </c>
      <c r="X287" s="9"/>
      <c r="Y287" s="22">
        <v>0.43518099999999998</v>
      </c>
      <c r="Z287" s="22">
        <v>17.449200000000001</v>
      </c>
      <c r="AA287" s="22">
        <v>-1.42395E-2</v>
      </c>
      <c r="AB287" s="22">
        <v>277</v>
      </c>
      <c r="AC287" s="22">
        <v>0.43441800000000003</v>
      </c>
      <c r="AD287">
        <f t="shared" si="52"/>
        <v>17.579629629629629</v>
      </c>
      <c r="AE287">
        <f t="shared" si="53"/>
        <v>7.6503208018518514</v>
      </c>
      <c r="AF287" s="9"/>
      <c r="AG287" s="22">
        <v>1.2948599999999999</v>
      </c>
      <c r="AH287" s="22">
        <v>21.328800000000001</v>
      </c>
      <c r="AI287" s="22">
        <v>-1.3665800000000001E-2</v>
      </c>
      <c r="AJ287" s="22">
        <v>277</v>
      </c>
      <c r="AK287" s="22">
        <v>1.2942499999999999</v>
      </c>
      <c r="AL287">
        <f t="shared" si="54"/>
        <v>16.871358024691357</v>
      </c>
      <c r="AM287">
        <f t="shared" si="55"/>
        <v>21.84604665185185</v>
      </c>
      <c r="AP287" s="9"/>
      <c r="AQ287" s="22">
        <v>0.43518099999999998</v>
      </c>
      <c r="AR287" s="22">
        <v>26.8584</v>
      </c>
      <c r="AS287" s="22">
        <v>-1.42548E-2</v>
      </c>
      <c r="AT287" s="22">
        <v>277</v>
      </c>
      <c r="AU287" s="22">
        <v>0.434448</v>
      </c>
      <c r="AV287">
        <f t="shared" si="56"/>
        <v>17.598518518518517</v>
      </c>
      <c r="AW287">
        <f t="shared" si="57"/>
        <v>7.6585408874074066</v>
      </c>
      <c r="AX287" s="9"/>
      <c r="AY287" s="22">
        <v>1.2948599999999999</v>
      </c>
      <c r="AZ287" s="22">
        <v>30.738099999999999</v>
      </c>
      <c r="BA287" s="22">
        <v>-1.37299E-2</v>
      </c>
      <c r="BB287" s="22">
        <v>277</v>
      </c>
      <c r="BC287" s="22">
        <v>1.2939499999999999</v>
      </c>
      <c r="BD287">
        <f t="shared" si="58"/>
        <v>16.950493827160493</v>
      </c>
      <c r="BE287">
        <f t="shared" si="59"/>
        <v>21.948516437037036</v>
      </c>
    </row>
    <row r="288" spans="6:101">
      <c r="F288" s="9"/>
      <c r="G288" s="22">
        <v>0.430145</v>
      </c>
      <c r="H288" s="22">
        <v>7.9650600000000003</v>
      </c>
      <c r="I288" s="22">
        <v>-1.4071699999999999E-2</v>
      </c>
      <c r="J288" s="22">
        <v>278</v>
      </c>
      <c r="K288" s="22">
        <v>0.42938199999999999</v>
      </c>
      <c r="L288">
        <f t="shared" si="48"/>
        <v>17.372469135802469</v>
      </c>
      <c r="M288">
        <f t="shared" si="49"/>
        <v>7.4726807364197532</v>
      </c>
      <c r="N288" s="9"/>
      <c r="O288" s="22">
        <v>1.2999000000000001</v>
      </c>
      <c r="P288" s="22">
        <v>11.8447</v>
      </c>
      <c r="Q288" s="22">
        <v>-1.3598600000000001E-2</v>
      </c>
      <c r="R288" s="22">
        <v>278</v>
      </c>
      <c r="S288" s="22">
        <v>1.2991299999999999</v>
      </c>
      <c r="T288">
        <f t="shared" si="50"/>
        <v>16.788395061728394</v>
      </c>
      <c r="U288">
        <f t="shared" si="51"/>
        <v>21.823234740740741</v>
      </c>
      <c r="X288" s="9"/>
      <c r="Y288" s="22">
        <v>0.430145</v>
      </c>
      <c r="Z288" s="22">
        <v>17.459299999999999</v>
      </c>
      <c r="AA288" s="22">
        <v>-1.4245600000000001E-2</v>
      </c>
      <c r="AB288" s="22">
        <v>278</v>
      </c>
      <c r="AC288" s="22">
        <v>0.42944300000000002</v>
      </c>
      <c r="AD288">
        <f t="shared" si="52"/>
        <v>17.58716049382716</v>
      </c>
      <c r="AE288">
        <f t="shared" si="53"/>
        <v>7.5650291506172831</v>
      </c>
      <c r="AF288" s="9"/>
      <c r="AG288" s="22">
        <v>1.2999000000000001</v>
      </c>
      <c r="AH288" s="22">
        <v>21.338899999999999</v>
      </c>
      <c r="AI288" s="22">
        <v>-1.36475E-2</v>
      </c>
      <c r="AJ288" s="22">
        <v>278</v>
      </c>
      <c r="AK288" s="22">
        <v>1.2988299999999999</v>
      </c>
      <c r="AL288">
        <f t="shared" si="54"/>
        <v>16.848765432098766</v>
      </c>
      <c r="AM288">
        <f t="shared" si="55"/>
        <v>21.901710185185188</v>
      </c>
      <c r="AP288" s="9"/>
      <c r="AQ288" s="22">
        <v>0.430145</v>
      </c>
      <c r="AR288" s="22">
        <v>26.868500000000001</v>
      </c>
      <c r="AS288" s="22">
        <v>-1.42548E-2</v>
      </c>
      <c r="AT288" s="22">
        <v>278</v>
      </c>
      <c r="AU288" s="22">
        <v>0.42944300000000002</v>
      </c>
      <c r="AV288">
        <f t="shared" si="56"/>
        <v>17.598518518518517</v>
      </c>
      <c r="AW288">
        <f t="shared" si="57"/>
        <v>7.5699147481481477</v>
      </c>
      <c r="AX288" s="9"/>
      <c r="AY288" s="22">
        <v>1.2999000000000001</v>
      </c>
      <c r="AZ288" s="22">
        <v>30.748100000000001</v>
      </c>
      <c r="BA288" s="22">
        <v>-1.37146E-2</v>
      </c>
      <c r="BB288" s="22">
        <v>278</v>
      </c>
      <c r="BC288" s="22">
        <v>1.2988299999999999</v>
      </c>
      <c r="BD288">
        <f t="shared" si="58"/>
        <v>16.931604938271605</v>
      </c>
      <c r="BE288">
        <f t="shared" si="59"/>
        <v>22.009393259259259</v>
      </c>
    </row>
    <row r="289" spans="6:57">
      <c r="F289" s="9"/>
      <c r="G289" s="22">
        <v>0.42510999999999999</v>
      </c>
      <c r="H289" s="22">
        <v>7.9751300000000001</v>
      </c>
      <c r="I289" s="22">
        <v>-1.4071699999999999E-2</v>
      </c>
      <c r="J289" s="22">
        <v>279</v>
      </c>
      <c r="K289" s="22">
        <v>0.424377</v>
      </c>
      <c r="L289">
        <f t="shared" si="48"/>
        <v>17.372469135802469</v>
      </c>
      <c r="M289">
        <f t="shared" si="49"/>
        <v>7.3852103543209875</v>
      </c>
      <c r="N289" s="9"/>
      <c r="O289" s="22">
        <v>1.3049299999999999</v>
      </c>
      <c r="P289" s="22">
        <v>11.854699999999999</v>
      </c>
      <c r="Q289" s="22">
        <v>-1.35925E-2</v>
      </c>
      <c r="R289" s="22">
        <v>279</v>
      </c>
      <c r="S289" s="22">
        <v>1.3043199999999999</v>
      </c>
      <c r="T289">
        <f t="shared" si="50"/>
        <v>16.780864197530864</v>
      </c>
      <c r="U289">
        <f t="shared" si="51"/>
        <v>21.897853117283947</v>
      </c>
      <c r="X289" s="9"/>
      <c r="Y289" s="22">
        <v>0.42510999999999999</v>
      </c>
      <c r="Z289" s="22">
        <v>17.4694</v>
      </c>
      <c r="AA289" s="22">
        <v>-1.4245600000000001E-2</v>
      </c>
      <c r="AB289" s="22">
        <v>279</v>
      </c>
      <c r="AC289" s="22">
        <v>0.42440800000000001</v>
      </c>
      <c r="AD289">
        <f t="shared" si="52"/>
        <v>17.58716049382716</v>
      </c>
      <c r="AE289">
        <f t="shared" si="53"/>
        <v>7.4764777975308636</v>
      </c>
      <c r="AF289" s="9"/>
      <c r="AG289" s="22">
        <v>1.3049299999999999</v>
      </c>
      <c r="AH289" s="22">
        <v>21.349</v>
      </c>
      <c r="AI289" s="22">
        <v>-1.3638300000000001E-2</v>
      </c>
      <c r="AJ289" s="22">
        <v>279</v>
      </c>
      <c r="AK289" s="22">
        <v>1.30402</v>
      </c>
      <c r="AL289">
        <f t="shared" si="54"/>
        <v>16.837407407407408</v>
      </c>
      <c r="AM289">
        <f t="shared" si="55"/>
        <v>21.971638048148147</v>
      </c>
      <c r="AP289" s="9"/>
      <c r="AQ289" s="22">
        <v>0.42510999999999999</v>
      </c>
      <c r="AR289" s="22">
        <v>26.878599999999999</v>
      </c>
      <c r="AS289" s="22">
        <v>-1.4267E-2</v>
      </c>
      <c r="AT289" s="22">
        <v>279</v>
      </c>
      <c r="AU289" s="22">
        <v>0.42443799999999998</v>
      </c>
      <c r="AV289">
        <f t="shared" si="56"/>
        <v>17.613580246913582</v>
      </c>
      <c r="AW289">
        <f t="shared" si="57"/>
        <v>7.4877090987654329</v>
      </c>
      <c r="AX289" s="9"/>
      <c r="AY289" s="22">
        <v>1.3049299999999999</v>
      </c>
      <c r="AZ289" s="22">
        <v>30.758199999999999</v>
      </c>
      <c r="BA289" s="22">
        <v>-1.3699299999999999E-2</v>
      </c>
      <c r="BB289" s="22">
        <v>279</v>
      </c>
      <c r="BC289" s="22">
        <v>1.3037099999999999</v>
      </c>
      <c r="BD289">
        <f t="shared" si="58"/>
        <v>16.912716049382716</v>
      </c>
      <c r="BE289">
        <f t="shared" si="59"/>
        <v>22.069910554320987</v>
      </c>
    </row>
    <row r="290" spans="6:57">
      <c r="F290" s="9"/>
      <c r="G290" s="22">
        <v>0.420074</v>
      </c>
      <c r="H290" s="22">
        <v>7.9851999999999999</v>
      </c>
      <c r="I290" s="22">
        <v>-1.4080799999999999E-2</v>
      </c>
      <c r="J290" s="22">
        <v>280</v>
      </c>
      <c r="K290" s="22">
        <v>0.41925000000000001</v>
      </c>
      <c r="L290">
        <f t="shared" si="48"/>
        <v>17.383703703703702</v>
      </c>
      <c r="M290">
        <f t="shared" si="49"/>
        <v>7.3024419496296291</v>
      </c>
      <c r="N290" s="9"/>
      <c r="O290" s="22">
        <v>1.3099700000000001</v>
      </c>
      <c r="P290" s="22">
        <v>11.864800000000001</v>
      </c>
      <c r="Q290" s="22">
        <v>-1.35773E-2</v>
      </c>
      <c r="R290" s="22">
        <v>280</v>
      </c>
      <c r="S290" s="22">
        <v>1.3089</v>
      </c>
      <c r="T290">
        <f t="shared" si="50"/>
        <v>16.7620987654321</v>
      </c>
      <c r="U290">
        <f t="shared" si="51"/>
        <v>21.95784651975309</v>
      </c>
      <c r="X290" s="9"/>
      <c r="Y290" s="22">
        <v>0.420074</v>
      </c>
      <c r="Z290" s="22">
        <v>17.479399999999998</v>
      </c>
      <c r="AA290" s="22">
        <v>-1.42395E-2</v>
      </c>
      <c r="AB290" s="22">
        <v>280</v>
      </c>
      <c r="AC290" s="22">
        <v>0.419373</v>
      </c>
      <c r="AD290">
        <f t="shared" si="52"/>
        <v>17.579629629629629</v>
      </c>
      <c r="AE290">
        <f t="shared" si="53"/>
        <v>7.3847453370370371</v>
      </c>
      <c r="AF290" s="9"/>
      <c r="AG290" s="22">
        <v>1.3099700000000001</v>
      </c>
      <c r="AH290" s="22">
        <v>21.359000000000002</v>
      </c>
      <c r="AI290" s="22">
        <v>-1.3623E-2</v>
      </c>
      <c r="AJ290" s="22">
        <v>280</v>
      </c>
      <c r="AK290" s="22">
        <v>1.3091999999999999</v>
      </c>
      <c r="AL290">
        <f t="shared" si="54"/>
        <v>16.818518518518516</v>
      </c>
      <c r="AM290">
        <f t="shared" si="55"/>
        <v>22.031754703703701</v>
      </c>
      <c r="AP290" s="9"/>
      <c r="AQ290" s="22">
        <v>0.420074</v>
      </c>
      <c r="AR290" s="22">
        <v>26.8887</v>
      </c>
      <c r="AS290" s="22">
        <v>-1.42609E-2</v>
      </c>
      <c r="AT290" s="22">
        <v>280</v>
      </c>
      <c r="AU290" s="22">
        <v>0.41925000000000001</v>
      </c>
      <c r="AV290">
        <f t="shared" si="56"/>
        <v>17.606049382716048</v>
      </c>
      <c r="AW290">
        <f t="shared" si="57"/>
        <v>7.3958435883950608</v>
      </c>
      <c r="AX290" s="9"/>
      <c r="AY290" s="22">
        <v>1.3099700000000001</v>
      </c>
      <c r="AZ290" s="22">
        <v>30.7683</v>
      </c>
      <c r="BA290" s="22">
        <v>-1.3681E-2</v>
      </c>
      <c r="BB290" s="22">
        <v>280</v>
      </c>
      <c r="BC290" s="22">
        <v>1.3085899999999999</v>
      </c>
      <c r="BD290">
        <f t="shared" si="58"/>
        <v>16.890123456790121</v>
      </c>
      <c r="BE290">
        <f t="shared" si="59"/>
        <v>22.125555024691355</v>
      </c>
    </row>
    <row r="291" spans="6:57">
      <c r="F291" s="9"/>
      <c r="G291" s="22">
        <v>0.41503899999999999</v>
      </c>
      <c r="H291" s="22">
        <v>7.9952699999999997</v>
      </c>
      <c r="I291" s="22">
        <v>-1.40778E-2</v>
      </c>
      <c r="J291" s="22">
        <v>281</v>
      </c>
      <c r="K291" s="22">
        <v>0.41436800000000001</v>
      </c>
      <c r="L291">
        <f t="shared" si="48"/>
        <v>17.38</v>
      </c>
      <c r="M291">
        <f t="shared" si="49"/>
        <v>7.2133778199999998</v>
      </c>
      <c r="N291" s="9"/>
      <c r="O291" s="22">
        <v>1.3149999999999999</v>
      </c>
      <c r="P291" s="22">
        <v>11.8749</v>
      </c>
      <c r="Q291" s="22">
        <v>-1.35681E-2</v>
      </c>
      <c r="R291" s="22">
        <v>281</v>
      </c>
      <c r="S291" s="22">
        <v>1.3143899999999999</v>
      </c>
      <c r="T291">
        <f t="shared" si="50"/>
        <v>16.750740740740738</v>
      </c>
      <c r="U291">
        <f t="shared" si="51"/>
        <v>22.02722407407407</v>
      </c>
      <c r="X291" s="9"/>
      <c r="Y291" s="22">
        <v>0.41503899999999999</v>
      </c>
      <c r="Z291" s="22">
        <v>17.4895</v>
      </c>
      <c r="AA291" s="22">
        <v>-1.4236499999999999E-2</v>
      </c>
      <c r="AB291" s="22">
        <v>281</v>
      </c>
      <c r="AC291" s="22">
        <v>0.41430699999999998</v>
      </c>
      <c r="AD291">
        <f t="shared" si="52"/>
        <v>17.575925925925926</v>
      </c>
      <c r="AE291">
        <f t="shared" si="53"/>
        <v>7.2946947203703703</v>
      </c>
      <c r="AF291" s="9"/>
      <c r="AG291" s="22">
        <v>1.3149999999999999</v>
      </c>
      <c r="AH291" s="22">
        <v>21.3691</v>
      </c>
      <c r="AI291" s="22">
        <v>-1.36139E-2</v>
      </c>
      <c r="AJ291" s="22">
        <v>281</v>
      </c>
      <c r="AK291" s="22">
        <v>1.31409</v>
      </c>
      <c r="AL291">
        <f t="shared" si="54"/>
        <v>16.807283950617283</v>
      </c>
      <c r="AM291">
        <f t="shared" si="55"/>
        <v>22.101578395061726</v>
      </c>
      <c r="AP291" s="9"/>
      <c r="AQ291" s="22">
        <v>0.41503899999999999</v>
      </c>
      <c r="AR291" s="22">
        <v>26.898700000000002</v>
      </c>
      <c r="AS291" s="22">
        <v>-1.4242599999999999E-2</v>
      </c>
      <c r="AT291" s="22">
        <v>281</v>
      </c>
      <c r="AU291" s="22">
        <v>0.41427599999999998</v>
      </c>
      <c r="AV291">
        <f t="shared" si="56"/>
        <v>17.583456790123453</v>
      </c>
      <c r="AW291">
        <f t="shared" si="57"/>
        <v>7.2978203227160474</v>
      </c>
      <c r="AX291" s="9"/>
      <c r="AY291" s="22">
        <v>1.3149999999999999</v>
      </c>
      <c r="AZ291" s="22">
        <v>30.778300000000002</v>
      </c>
      <c r="BA291" s="22">
        <v>-1.36688E-2</v>
      </c>
      <c r="BB291" s="22">
        <v>281</v>
      </c>
      <c r="BC291" s="22">
        <v>1.31409</v>
      </c>
      <c r="BD291">
        <f t="shared" si="58"/>
        <v>16.87506172839506</v>
      </c>
      <c r="BE291">
        <f t="shared" si="59"/>
        <v>22.190706172839505</v>
      </c>
    </row>
    <row r="292" spans="6:57">
      <c r="F292" s="9"/>
      <c r="G292" s="22">
        <v>0.41000399999999998</v>
      </c>
      <c r="H292" s="22">
        <v>8.0053400000000003</v>
      </c>
      <c r="I292" s="22">
        <v>-1.4080799999999999E-2</v>
      </c>
      <c r="J292" s="22">
        <v>282</v>
      </c>
      <c r="K292" s="22">
        <v>0.40924100000000002</v>
      </c>
      <c r="L292">
        <f t="shared" si="48"/>
        <v>17.383703703703702</v>
      </c>
      <c r="M292">
        <f t="shared" si="49"/>
        <v>7.1273880533333323</v>
      </c>
      <c r="N292" s="9"/>
      <c r="O292" s="22">
        <v>1.3200400000000001</v>
      </c>
      <c r="P292" s="22">
        <v>11.885</v>
      </c>
      <c r="Q292" s="22">
        <v>-1.3555899999999999E-2</v>
      </c>
      <c r="R292" s="22">
        <v>282</v>
      </c>
      <c r="S292" s="22">
        <v>1.3186599999999999</v>
      </c>
      <c r="T292">
        <f t="shared" si="50"/>
        <v>16.735679012345678</v>
      </c>
      <c r="U292">
        <f t="shared" si="51"/>
        <v>22.091765723456788</v>
      </c>
      <c r="X292" s="9"/>
      <c r="Y292" s="22">
        <v>0.41000399999999998</v>
      </c>
      <c r="Z292" s="22">
        <v>17.499600000000001</v>
      </c>
      <c r="AA292" s="22">
        <v>-1.4236499999999999E-2</v>
      </c>
      <c r="AB292" s="22">
        <v>282</v>
      </c>
      <c r="AC292" s="22">
        <v>0.409271</v>
      </c>
      <c r="AD292">
        <f t="shared" si="52"/>
        <v>17.575925925925926</v>
      </c>
      <c r="AE292">
        <f t="shared" si="53"/>
        <v>7.2061999333333331</v>
      </c>
      <c r="AF292" s="9"/>
      <c r="AG292" s="22">
        <v>1.3200400000000001</v>
      </c>
      <c r="AH292" s="22">
        <v>21.379200000000001</v>
      </c>
      <c r="AI292" s="22">
        <v>-1.3598600000000001E-2</v>
      </c>
      <c r="AJ292" s="22">
        <v>282</v>
      </c>
      <c r="AK292" s="22">
        <v>1.3192699999999999</v>
      </c>
      <c r="AL292">
        <f t="shared" si="54"/>
        <v>16.788395061728394</v>
      </c>
      <c r="AM292">
        <f t="shared" si="55"/>
        <v>22.16135301728395</v>
      </c>
      <c r="AP292" s="9"/>
      <c r="AQ292" s="22">
        <v>0.41000399999999998</v>
      </c>
      <c r="AR292" s="22">
        <v>26.908799999999999</v>
      </c>
      <c r="AS292" s="22">
        <v>-1.4224199999999999E-2</v>
      </c>
      <c r="AT292" s="22">
        <v>282</v>
      </c>
      <c r="AU292" s="22">
        <v>0.40924100000000002</v>
      </c>
      <c r="AV292">
        <f t="shared" si="56"/>
        <v>17.560740740740737</v>
      </c>
      <c r="AW292">
        <f t="shared" si="57"/>
        <v>7.199973946666665</v>
      </c>
      <c r="AX292" s="9"/>
      <c r="AY292" s="22">
        <v>1.3200400000000001</v>
      </c>
      <c r="AZ292" s="22">
        <v>30.788399999999999</v>
      </c>
      <c r="BA292" s="22">
        <v>-1.36627E-2</v>
      </c>
      <c r="BB292" s="22">
        <v>282</v>
      </c>
      <c r="BC292" s="22">
        <v>1.3192699999999999</v>
      </c>
      <c r="BD292">
        <f t="shared" si="58"/>
        <v>16.86753086419753</v>
      </c>
      <c r="BE292">
        <f t="shared" si="59"/>
        <v>22.26581544197531</v>
      </c>
    </row>
    <row r="293" spans="6:57">
      <c r="F293" s="9"/>
      <c r="G293" s="22">
        <v>0.40496799999999999</v>
      </c>
      <c r="H293" s="22">
        <v>8.0154099999999993</v>
      </c>
      <c r="I293" s="22">
        <v>-1.40839E-2</v>
      </c>
      <c r="J293" s="22">
        <v>283</v>
      </c>
      <c r="K293" s="22">
        <v>0.40432699999999999</v>
      </c>
      <c r="L293">
        <f t="shared" si="48"/>
        <v>17.387530864197529</v>
      </c>
      <c r="M293">
        <f t="shared" si="49"/>
        <v>7.0413935990123449</v>
      </c>
      <c r="N293" s="9"/>
      <c r="O293" s="22">
        <v>1.32507</v>
      </c>
      <c r="P293" s="22">
        <v>11.895</v>
      </c>
      <c r="Q293" s="22">
        <v>-1.3543700000000001E-2</v>
      </c>
      <c r="R293" s="22">
        <v>283</v>
      </c>
      <c r="S293" s="22">
        <v>1.32416</v>
      </c>
      <c r="T293">
        <f t="shared" si="50"/>
        <v>16.720617283950617</v>
      </c>
      <c r="U293">
        <f t="shared" si="51"/>
        <v>22.155988344444442</v>
      </c>
      <c r="X293" s="9"/>
      <c r="Y293" s="22">
        <v>0.40496799999999999</v>
      </c>
      <c r="Z293" s="22">
        <v>17.509599999999999</v>
      </c>
      <c r="AA293" s="22">
        <v>-1.4236499999999999E-2</v>
      </c>
      <c r="AB293" s="22">
        <v>283</v>
      </c>
      <c r="AC293" s="22">
        <v>0.40429700000000002</v>
      </c>
      <c r="AD293">
        <f t="shared" si="52"/>
        <v>17.575925925925926</v>
      </c>
      <c r="AE293">
        <f t="shared" si="53"/>
        <v>7.1176875703703706</v>
      </c>
      <c r="AF293" s="9"/>
      <c r="AG293" s="22">
        <v>1.32507</v>
      </c>
      <c r="AH293" s="22">
        <v>21.389299999999999</v>
      </c>
      <c r="AI293" s="22">
        <v>-1.35925E-2</v>
      </c>
      <c r="AJ293" s="22">
        <v>283</v>
      </c>
      <c r="AK293" s="22">
        <v>1.32446</v>
      </c>
      <c r="AL293">
        <f t="shared" si="54"/>
        <v>16.780864197530864</v>
      </c>
      <c r="AM293">
        <f t="shared" si="55"/>
        <v>22.235819722222221</v>
      </c>
      <c r="AP293" s="9"/>
      <c r="AQ293" s="22">
        <v>0.40496799999999999</v>
      </c>
      <c r="AR293" s="22">
        <v>26.918900000000001</v>
      </c>
      <c r="AS293" s="22">
        <v>-1.4218099999999999E-2</v>
      </c>
      <c r="AT293" s="22">
        <v>283</v>
      </c>
      <c r="AU293" s="22">
        <v>0.40423599999999998</v>
      </c>
      <c r="AV293">
        <f t="shared" si="56"/>
        <v>17.553209876543207</v>
      </c>
      <c r="AW293">
        <f t="shared" si="57"/>
        <v>7.1084882972839489</v>
      </c>
      <c r="AX293" s="9"/>
      <c r="AY293" s="22">
        <v>1.32507</v>
      </c>
      <c r="AZ293" s="22">
        <v>30.798500000000001</v>
      </c>
      <c r="BA293" s="22">
        <v>-1.3644399999999999E-2</v>
      </c>
      <c r="BB293" s="22">
        <v>283</v>
      </c>
      <c r="BC293" s="22">
        <v>1.32446</v>
      </c>
      <c r="BD293">
        <f t="shared" si="58"/>
        <v>16.844938271604939</v>
      </c>
      <c r="BE293">
        <f t="shared" si="59"/>
        <v>22.320722355555557</v>
      </c>
    </row>
    <row r="294" spans="6:57">
      <c r="F294" s="9"/>
      <c r="G294" s="22">
        <v>0.39993299999999998</v>
      </c>
      <c r="H294" s="22">
        <v>8.0254899999999996</v>
      </c>
      <c r="I294" s="22">
        <v>-1.409E-2</v>
      </c>
      <c r="J294" s="22">
        <v>284</v>
      </c>
      <c r="K294" s="22">
        <v>0.3992</v>
      </c>
      <c r="L294">
        <f t="shared" si="48"/>
        <v>17.39506172839506</v>
      </c>
      <c r="M294">
        <f t="shared" si="49"/>
        <v>6.9568592222222216</v>
      </c>
      <c r="N294" s="9"/>
      <c r="O294" s="22">
        <v>1.3301099999999999</v>
      </c>
      <c r="P294" s="22">
        <v>11.905099999999999</v>
      </c>
      <c r="Q294" s="22">
        <v>-1.35254E-2</v>
      </c>
      <c r="R294" s="22">
        <v>284</v>
      </c>
      <c r="S294" s="22">
        <v>1.32935</v>
      </c>
      <c r="T294">
        <f t="shared" si="50"/>
        <v>16.698024691358025</v>
      </c>
      <c r="U294">
        <f t="shared" si="51"/>
        <v>22.210209622222223</v>
      </c>
      <c r="X294" s="9"/>
      <c r="Y294" s="22">
        <v>0.39993299999999998</v>
      </c>
      <c r="Z294" s="22">
        <v>17.5197</v>
      </c>
      <c r="AA294" s="22">
        <v>-1.42334E-2</v>
      </c>
      <c r="AB294" s="22">
        <v>284</v>
      </c>
      <c r="AC294" s="22">
        <v>0.3992</v>
      </c>
      <c r="AD294">
        <f t="shared" si="52"/>
        <v>17.572098765432099</v>
      </c>
      <c r="AE294">
        <f t="shared" si="53"/>
        <v>7.0276621755555553</v>
      </c>
      <c r="AF294" s="9"/>
      <c r="AG294" s="22">
        <v>1.3301099999999999</v>
      </c>
      <c r="AH294" s="22">
        <v>21.3993</v>
      </c>
      <c r="AI294" s="22">
        <v>-1.3589499999999999E-2</v>
      </c>
      <c r="AJ294" s="22">
        <v>284</v>
      </c>
      <c r="AK294" s="22">
        <v>1.32874</v>
      </c>
      <c r="AL294">
        <f t="shared" si="54"/>
        <v>16.777160493827161</v>
      </c>
      <c r="AM294">
        <f t="shared" si="55"/>
        <v>22.315468944444444</v>
      </c>
      <c r="AP294" s="9"/>
      <c r="AQ294" s="22">
        <v>0.39993299999999998</v>
      </c>
      <c r="AR294" s="22">
        <v>26.928899999999999</v>
      </c>
      <c r="AS294" s="22">
        <v>-1.42212E-2</v>
      </c>
      <c r="AT294" s="22">
        <v>284</v>
      </c>
      <c r="AU294" s="22">
        <v>0.39913900000000002</v>
      </c>
      <c r="AV294">
        <f t="shared" si="56"/>
        <v>17.557037037037034</v>
      </c>
      <c r="AW294">
        <f t="shared" si="57"/>
        <v>7.0216384933333318</v>
      </c>
      <c r="AX294" s="9"/>
      <c r="AY294" s="22">
        <v>1.3301099999999999</v>
      </c>
      <c r="AZ294" s="22">
        <v>30.808599999999998</v>
      </c>
      <c r="BA294" s="22">
        <v>-1.362E-2</v>
      </c>
      <c r="BB294" s="22">
        <v>284</v>
      </c>
      <c r="BC294" s="22">
        <v>1.32904</v>
      </c>
      <c r="BD294">
        <f t="shared" si="58"/>
        <v>16.814814814814813</v>
      </c>
      <c r="BE294">
        <f t="shared" si="59"/>
        <v>22.365553333333331</v>
      </c>
    </row>
    <row r="295" spans="6:57">
      <c r="F295" s="9"/>
      <c r="G295" s="22">
        <v>0.394897</v>
      </c>
      <c r="H295" s="22">
        <v>8.0355600000000003</v>
      </c>
      <c r="I295" s="22">
        <v>-1.40991E-2</v>
      </c>
      <c r="J295" s="22">
        <v>285</v>
      </c>
      <c r="K295" s="22">
        <v>0.39425700000000002</v>
      </c>
      <c r="L295">
        <f t="shared" si="48"/>
        <v>17.406296296296293</v>
      </c>
      <c r="M295">
        <f t="shared" si="49"/>
        <v>6.8736941885185177</v>
      </c>
      <c r="N295" s="9"/>
      <c r="O295" s="22">
        <v>1.33514</v>
      </c>
      <c r="P295" s="22">
        <v>11.9152</v>
      </c>
      <c r="Q295" s="22">
        <v>-1.3507099999999999E-2</v>
      </c>
      <c r="R295" s="22">
        <v>285</v>
      </c>
      <c r="S295" s="22">
        <v>1.33453</v>
      </c>
      <c r="T295">
        <f t="shared" si="50"/>
        <v>16.67543209876543</v>
      </c>
      <c r="U295">
        <f t="shared" si="51"/>
        <v>22.264036412345675</v>
      </c>
      <c r="X295" s="9"/>
      <c r="Y295" s="22">
        <v>0.394897</v>
      </c>
      <c r="Z295" s="22">
        <v>17.529800000000002</v>
      </c>
      <c r="AA295" s="22">
        <v>-1.4242599999999999E-2</v>
      </c>
      <c r="AB295" s="22">
        <v>285</v>
      </c>
      <c r="AC295" s="22">
        <v>0.39419599999999999</v>
      </c>
      <c r="AD295">
        <f t="shared" si="52"/>
        <v>17.583456790123453</v>
      </c>
      <c r="AE295">
        <f t="shared" si="53"/>
        <v>6.9436543360493808</v>
      </c>
      <c r="AF295" s="9"/>
      <c r="AG295" s="22">
        <v>1.33514</v>
      </c>
      <c r="AH295" s="22">
        <v>21.409400000000002</v>
      </c>
      <c r="AI295" s="22">
        <v>-1.35773E-2</v>
      </c>
      <c r="AJ295" s="22">
        <v>285</v>
      </c>
      <c r="AK295" s="22">
        <v>1.33423</v>
      </c>
      <c r="AL295">
        <f t="shared" si="54"/>
        <v>16.7620987654321</v>
      </c>
      <c r="AM295">
        <f t="shared" si="55"/>
        <v>22.379748545679014</v>
      </c>
      <c r="AP295" s="9"/>
      <c r="AQ295" s="22">
        <v>0.394897</v>
      </c>
      <c r="AR295" s="22">
        <v>26.939</v>
      </c>
      <c r="AS295" s="22">
        <v>-1.42151E-2</v>
      </c>
      <c r="AT295" s="22">
        <v>285</v>
      </c>
      <c r="AU295" s="22">
        <v>0.39416499999999999</v>
      </c>
      <c r="AV295">
        <f t="shared" si="56"/>
        <v>17.549506172839507</v>
      </c>
      <c r="AW295">
        <f t="shared" si="57"/>
        <v>6.9302473391358026</v>
      </c>
      <c r="AX295" s="9"/>
      <c r="AY295" s="22">
        <v>1.33514</v>
      </c>
      <c r="AZ295" s="22">
        <v>30.8186</v>
      </c>
      <c r="BA295" s="22">
        <v>-1.36078E-2</v>
      </c>
      <c r="BB295" s="22">
        <v>285</v>
      </c>
      <c r="BC295" s="22">
        <v>1.33423</v>
      </c>
      <c r="BD295">
        <f t="shared" si="58"/>
        <v>16.799753086419752</v>
      </c>
      <c r="BE295">
        <f t="shared" si="59"/>
        <v>22.43002233580247</v>
      </c>
    </row>
    <row r="296" spans="6:57">
      <c r="F296" s="9"/>
      <c r="G296" s="22">
        <v>0.38986199999999999</v>
      </c>
      <c r="H296" s="22">
        <v>8.0456299999999992</v>
      </c>
      <c r="I296" s="22">
        <v>-1.4093E-2</v>
      </c>
      <c r="J296" s="22">
        <v>286</v>
      </c>
      <c r="K296" s="22">
        <v>0.38916000000000001</v>
      </c>
      <c r="L296">
        <f t="shared" si="48"/>
        <v>17.398765432098763</v>
      </c>
      <c r="M296">
        <f t="shared" si="49"/>
        <v>6.7831174888888874</v>
      </c>
      <c r="N296" s="9"/>
      <c r="O296" s="22">
        <v>1.3401799999999999</v>
      </c>
      <c r="P296" s="22">
        <v>11.9252</v>
      </c>
      <c r="Q296" s="22">
        <v>-1.34979E-2</v>
      </c>
      <c r="R296" s="22">
        <v>286</v>
      </c>
      <c r="S296" s="22">
        <v>1.33972</v>
      </c>
      <c r="T296">
        <f t="shared" si="50"/>
        <v>16.664074074074072</v>
      </c>
      <c r="U296">
        <f t="shared" si="51"/>
        <v>22.332858792592589</v>
      </c>
      <c r="X296" s="9"/>
      <c r="Y296" s="22">
        <v>0.38986199999999999</v>
      </c>
      <c r="Z296" s="22">
        <v>17.5398</v>
      </c>
      <c r="AA296" s="22">
        <v>-1.42395E-2</v>
      </c>
      <c r="AB296" s="22">
        <v>286</v>
      </c>
      <c r="AC296" s="22">
        <v>0.38916000000000001</v>
      </c>
      <c r="AD296">
        <f t="shared" si="52"/>
        <v>17.579629629629629</v>
      </c>
      <c r="AE296">
        <f t="shared" si="53"/>
        <v>6.8536295666666662</v>
      </c>
      <c r="AF296" s="9"/>
      <c r="AG296" s="22">
        <v>1.3401799999999999</v>
      </c>
      <c r="AH296" s="22">
        <v>21.419499999999999</v>
      </c>
      <c r="AI296" s="22">
        <v>-1.35681E-2</v>
      </c>
      <c r="AJ296" s="22">
        <v>286</v>
      </c>
      <c r="AK296" s="22">
        <v>1.33911</v>
      </c>
      <c r="AL296">
        <f t="shared" si="54"/>
        <v>16.750740740740738</v>
      </c>
      <c r="AM296">
        <f t="shared" si="55"/>
        <v>22.44900772592592</v>
      </c>
      <c r="AP296" s="9"/>
      <c r="AQ296" s="22">
        <v>0.38986199999999999</v>
      </c>
      <c r="AR296" s="22">
        <v>26.949100000000001</v>
      </c>
      <c r="AS296" s="22">
        <v>-1.4224199999999999E-2</v>
      </c>
      <c r="AT296" s="22">
        <v>286</v>
      </c>
      <c r="AU296" s="22">
        <v>0.38916000000000001</v>
      </c>
      <c r="AV296">
        <f t="shared" si="56"/>
        <v>17.560740740740737</v>
      </c>
      <c r="AW296">
        <f t="shared" si="57"/>
        <v>6.8462655066666649</v>
      </c>
      <c r="AX296" s="9"/>
      <c r="AY296" s="22">
        <v>1.3401799999999999</v>
      </c>
      <c r="AZ296" s="22">
        <v>30.828700000000001</v>
      </c>
      <c r="BA296" s="22">
        <v>-1.3589499999999999E-2</v>
      </c>
      <c r="BB296" s="22">
        <v>286</v>
      </c>
      <c r="BC296" s="22">
        <v>1.33911</v>
      </c>
      <c r="BD296">
        <f t="shared" si="58"/>
        <v>16.777160493827161</v>
      </c>
      <c r="BE296">
        <f t="shared" si="59"/>
        <v>22.484414950617282</v>
      </c>
    </row>
    <row r="297" spans="6:57">
      <c r="F297" s="9"/>
      <c r="G297" s="22">
        <v>0.38482699999999997</v>
      </c>
      <c r="H297" s="22">
        <v>8.0556999999999999</v>
      </c>
      <c r="I297" s="22">
        <v>-1.4093E-2</v>
      </c>
      <c r="J297" s="22">
        <v>287</v>
      </c>
      <c r="K297" s="22">
        <v>0.38412499999999999</v>
      </c>
      <c r="L297">
        <f t="shared" si="48"/>
        <v>17.398765432098763</v>
      </c>
      <c r="M297">
        <f t="shared" si="49"/>
        <v>6.6955147049382706</v>
      </c>
      <c r="N297" s="9"/>
      <c r="O297" s="22">
        <v>1.34521</v>
      </c>
      <c r="P297" s="22">
        <v>11.9353</v>
      </c>
      <c r="Q297" s="22">
        <v>-1.34888E-2</v>
      </c>
      <c r="R297" s="22">
        <v>287</v>
      </c>
      <c r="S297" s="22">
        <v>1.3443000000000001</v>
      </c>
      <c r="T297">
        <f t="shared" si="50"/>
        <v>16.652839506172839</v>
      </c>
      <c r="U297">
        <f t="shared" si="51"/>
        <v>22.401566232098766</v>
      </c>
      <c r="X297" s="9"/>
      <c r="Y297" s="22">
        <v>0.38482699999999997</v>
      </c>
      <c r="Z297" s="22">
        <v>17.549900000000001</v>
      </c>
      <c r="AA297" s="22">
        <v>-1.4236499999999999E-2</v>
      </c>
      <c r="AB297" s="22">
        <v>287</v>
      </c>
      <c r="AC297" s="22">
        <v>0.38415500000000002</v>
      </c>
      <c r="AD297">
        <f t="shared" si="52"/>
        <v>17.575925925925926</v>
      </c>
      <c r="AE297">
        <f t="shared" si="53"/>
        <v>6.7636908462962957</v>
      </c>
      <c r="AF297" s="9"/>
      <c r="AG297" s="22">
        <v>1.34521</v>
      </c>
      <c r="AH297" s="22">
        <v>21.429500000000001</v>
      </c>
      <c r="AI297" s="22">
        <v>-1.3559E-2</v>
      </c>
      <c r="AJ297" s="22">
        <v>287</v>
      </c>
      <c r="AK297" s="22">
        <v>1.34399</v>
      </c>
      <c r="AL297">
        <f t="shared" si="54"/>
        <v>16.739506172839505</v>
      </c>
      <c r="AM297">
        <f t="shared" si="55"/>
        <v>22.518151098765429</v>
      </c>
      <c r="AP297" s="9"/>
      <c r="AQ297" s="22">
        <v>0.38482699999999997</v>
      </c>
      <c r="AR297" s="22">
        <v>26.959199999999999</v>
      </c>
      <c r="AS297" s="22">
        <v>-1.42273E-2</v>
      </c>
      <c r="AT297" s="22">
        <v>287</v>
      </c>
      <c r="AU297" s="22">
        <v>0.38415500000000002</v>
      </c>
      <c r="AV297">
        <f t="shared" si="56"/>
        <v>17.564567901234565</v>
      </c>
      <c r="AW297">
        <f t="shared" si="57"/>
        <v>6.7593199717283934</v>
      </c>
      <c r="AX297" s="9"/>
      <c r="AY297" s="22">
        <v>1.34521</v>
      </c>
      <c r="AZ297" s="22">
        <v>30.838799999999999</v>
      </c>
      <c r="BA297" s="22">
        <v>-1.35742E-2</v>
      </c>
      <c r="BB297" s="22">
        <v>287</v>
      </c>
      <c r="BC297" s="22">
        <v>1.3443000000000001</v>
      </c>
      <c r="BD297">
        <f t="shared" si="58"/>
        <v>16.758271604938273</v>
      </c>
      <c r="BE297">
        <f t="shared" si="59"/>
        <v>22.543394545679014</v>
      </c>
    </row>
    <row r="298" spans="6:57">
      <c r="F298" s="9"/>
      <c r="G298" s="22">
        <v>0.37979099999999999</v>
      </c>
      <c r="H298" s="22">
        <v>8.0657700000000006</v>
      </c>
      <c r="I298" s="22">
        <v>-1.4080799999999999E-2</v>
      </c>
      <c r="J298" s="22">
        <v>288</v>
      </c>
      <c r="K298" s="22">
        <v>0.37908900000000001</v>
      </c>
      <c r="L298">
        <f t="shared" si="48"/>
        <v>17.383703703703702</v>
      </c>
      <c r="M298">
        <f t="shared" si="49"/>
        <v>6.602174213333333</v>
      </c>
      <c r="N298" s="9"/>
      <c r="O298" s="22">
        <v>1.35025</v>
      </c>
      <c r="P298" s="22">
        <v>11.945399999999999</v>
      </c>
      <c r="Q298" s="22">
        <v>-1.34857E-2</v>
      </c>
      <c r="R298" s="22">
        <v>288</v>
      </c>
      <c r="S298" s="22">
        <v>1.34918</v>
      </c>
      <c r="T298">
        <f t="shared" si="50"/>
        <v>16.649012345679012</v>
      </c>
      <c r="U298">
        <f t="shared" si="51"/>
        <v>22.480328919753084</v>
      </c>
      <c r="X298" s="9"/>
      <c r="Y298" s="22">
        <v>0.37979099999999999</v>
      </c>
      <c r="Z298" s="22">
        <v>17.559999999999999</v>
      </c>
      <c r="AA298" s="22">
        <v>-1.4236499999999999E-2</v>
      </c>
      <c r="AB298" s="22">
        <v>288</v>
      </c>
      <c r="AC298" s="22">
        <v>0.37912000000000001</v>
      </c>
      <c r="AD298">
        <f t="shared" si="52"/>
        <v>17.575925925925926</v>
      </c>
      <c r="AE298">
        <f t="shared" si="53"/>
        <v>6.6751784833333332</v>
      </c>
      <c r="AF298" s="9"/>
      <c r="AG298" s="22">
        <v>1.35025</v>
      </c>
      <c r="AH298" s="22">
        <v>21.439599999999999</v>
      </c>
      <c r="AI298" s="22">
        <v>-1.3543700000000001E-2</v>
      </c>
      <c r="AJ298" s="22">
        <v>288</v>
      </c>
      <c r="AK298" s="22">
        <v>1.34918</v>
      </c>
      <c r="AL298">
        <f t="shared" si="54"/>
        <v>16.720617283950617</v>
      </c>
      <c r="AM298">
        <f t="shared" si="55"/>
        <v>22.57701348765432</v>
      </c>
      <c r="AP298" s="9"/>
      <c r="AQ298" s="22">
        <v>0.37979099999999999</v>
      </c>
      <c r="AR298" s="22">
        <v>26.969200000000001</v>
      </c>
      <c r="AS298" s="22">
        <v>-1.42334E-2</v>
      </c>
      <c r="AT298" s="22">
        <v>288</v>
      </c>
      <c r="AU298" s="22">
        <v>0.378967</v>
      </c>
      <c r="AV298">
        <f t="shared" si="56"/>
        <v>17.572098765432099</v>
      </c>
      <c r="AW298">
        <f t="shared" si="57"/>
        <v>6.6737249622222219</v>
      </c>
      <c r="AX298" s="9"/>
      <c r="AY298" s="22">
        <v>1.35025</v>
      </c>
      <c r="AZ298" s="22">
        <v>30.848800000000001</v>
      </c>
      <c r="BA298" s="22">
        <v>-1.3561999999999999E-2</v>
      </c>
      <c r="BB298" s="22">
        <v>288</v>
      </c>
      <c r="BC298" s="22">
        <v>1.34918</v>
      </c>
      <c r="BD298">
        <f t="shared" si="58"/>
        <v>16.743209876543208</v>
      </c>
      <c r="BE298">
        <f t="shared" si="59"/>
        <v>22.607519135802466</v>
      </c>
    </row>
    <row r="299" spans="6:57">
      <c r="F299" s="9"/>
      <c r="G299" s="22">
        <v>0.37475599999999998</v>
      </c>
      <c r="H299" s="22">
        <v>8.0758399999999995</v>
      </c>
      <c r="I299" s="22">
        <v>-1.40778E-2</v>
      </c>
      <c r="J299" s="22">
        <v>289</v>
      </c>
      <c r="K299" s="22">
        <v>0.37399300000000002</v>
      </c>
      <c r="L299">
        <f t="shared" si="48"/>
        <v>17.38</v>
      </c>
      <c r="M299">
        <f t="shared" si="49"/>
        <v>6.5132592799999989</v>
      </c>
      <c r="N299" s="9"/>
      <c r="O299" s="22">
        <v>1.3552900000000001</v>
      </c>
      <c r="P299" s="22">
        <v>11.955500000000001</v>
      </c>
      <c r="Q299" s="22">
        <v>-1.3473499999999999E-2</v>
      </c>
      <c r="R299" s="22">
        <v>289</v>
      </c>
      <c r="S299" s="22">
        <v>1.35406</v>
      </c>
      <c r="T299">
        <f t="shared" si="50"/>
        <v>16.633950617283947</v>
      </c>
      <c r="U299">
        <f t="shared" si="51"/>
        <v>22.543826932098764</v>
      </c>
      <c r="X299" s="9"/>
      <c r="Y299" s="22">
        <v>0.37475599999999998</v>
      </c>
      <c r="Z299" s="22">
        <v>17.5701</v>
      </c>
      <c r="AA299" s="22">
        <v>-1.4236499999999999E-2</v>
      </c>
      <c r="AB299" s="22">
        <v>289</v>
      </c>
      <c r="AC299" s="22">
        <v>0.374054</v>
      </c>
      <c r="AD299">
        <f t="shared" si="52"/>
        <v>17.575925925925926</v>
      </c>
      <c r="AE299">
        <f t="shared" si="53"/>
        <v>6.586683696296296</v>
      </c>
      <c r="AF299" s="9"/>
      <c r="AG299" s="22">
        <v>1.3552900000000001</v>
      </c>
      <c r="AH299" s="22">
        <v>21.4497</v>
      </c>
      <c r="AI299" s="22">
        <v>-1.3528399999999999E-2</v>
      </c>
      <c r="AJ299" s="22">
        <v>289</v>
      </c>
      <c r="AK299" s="22">
        <v>1.35406</v>
      </c>
      <c r="AL299">
        <f t="shared" si="54"/>
        <v>16.701728395061725</v>
      </c>
      <c r="AM299">
        <f t="shared" si="55"/>
        <v>22.635685476543205</v>
      </c>
      <c r="AP299" s="9"/>
      <c r="AQ299" s="22">
        <v>0.37475599999999998</v>
      </c>
      <c r="AR299" s="22">
        <v>26.979299999999999</v>
      </c>
      <c r="AS299" s="22">
        <v>-1.4236499999999999E-2</v>
      </c>
      <c r="AT299" s="22">
        <v>289</v>
      </c>
      <c r="AU299" s="22">
        <v>0.37402299999999999</v>
      </c>
      <c r="AV299">
        <f t="shared" si="56"/>
        <v>17.575925925925926</v>
      </c>
      <c r="AW299">
        <f t="shared" si="57"/>
        <v>6.586683696296296</v>
      </c>
      <c r="AX299" s="9"/>
      <c r="AY299" s="22">
        <v>1.3552900000000001</v>
      </c>
      <c r="AZ299" s="22">
        <v>30.858899999999998</v>
      </c>
      <c r="BA299" s="22">
        <v>-1.35529E-2</v>
      </c>
      <c r="BB299" s="22">
        <v>289</v>
      </c>
      <c r="BC299" s="22">
        <v>1.35406</v>
      </c>
      <c r="BD299">
        <f t="shared" si="58"/>
        <v>16.731975308641974</v>
      </c>
      <c r="BE299">
        <f t="shared" si="59"/>
        <v>22.676678816049382</v>
      </c>
    </row>
    <row r="300" spans="6:57">
      <c r="F300" s="9"/>
      <c r="G300" s="22">
        <v>0.36971999999999999</v>
      </c>
      <c r="H300" s="22">
        <v>8.0859100000000002</v>
      </c>
      <c r="I300" s="22">
        <v>-1.4071699999999999E-2</v>
      </c>
      <c r="J300" s="22">
        <v>290</v>
      </c>
      <c r="K300" s="22">
        <v>0.36898799999999998</v>
      </c>
      <c r="L300">
        <f t="shared" si="48"/>
        <v>17.372469135802469</v>
      </c>
      <c r="M300">
        <f t="shared" si="49"/>
        <v>6.4229492888888888</v>
      </c>
      <c r="N300" s="9"/>
      <c r="O300" s="22">
        <v>1.36032</v>
      </c>
      <c r="P300" s="22">
        <v>11.9655</v>
      </c>
      <c r="Q300" s="22">
        <v>-1.34491E-2</v>
      </c>
      <c r="R300" s="22">
        <v>290</v>
      </c>
      <c r="S300" s="22">
        <v>1.3592500000000001</v>
      </c>
      <c r="T300">
        <f t="shared" si="50"/>
        <v>16.603827160493829</v>
      </c>
      <c r="U300">
        <f t="shared" si="51"/>
        <v>22.586518162962964</v>
      </c>
      <c r="X300" s="9"/>
      <c r="Y300" s="22">
        <v>0.36971999999999999</v>
      </c>
      <c r="Z300" s="22">
        <v>17.580100000000002</v>
      </c>
      <c r="AA300" s="22">
        <v>-1.42303E-2</v>
      </c>
      <c r="AB300" s="22">
        <v>290</v>
      </c>
      <c r="AC300" s="22">
        <v>0.36904900000000002</v>
      </c>
      <c r="AD300">
        <f t="shared" si="52"/>
        <v>17.568271604938271</v>
      </c>
      <c r="AE300">
        <f t="shared" si="53"/>
        <v>6.4953413777777778</v>
      </c>
      <c r="AF300" s="9"/>
      <c r="AG300" s="22">
        <v>1.36032</v>
      </c>
      <c r="AH300" s="22">
        <v>21.459700000000002</v>
      </c>
      <c r="AI300" s="22">
        <v>-1.3507099999999999E-2</v>
      </c>
      <c r="AJ300" s="22">
        <v>290</v>
      </c>
      <c r="AK300" s="22">
        <v>1.3589500000000001</v>
      </c>
      <c r="AL300">
        <f t="shared" si="54"/>
        <v>16.67543209876543</v>
      </c>
      <c r="AM300">
        <f t="shared" si="55"/>
        <v>22.683923792592591</v>
      </c>
      <c r="AP300" s="9"/>
      <c r="AQ300" s="22">
        <v>0.36971999999999999</v>
      </c>
      <c r="AR300" s="22">
        <v>26.9894</v>
      </c>
      <c r="AS300" s="22">
        <v>-1.42273E-2</v>
      </c>
      <c r="AT300" s="22">
        <v>290</v>
      </c>
      <c r="AU300" s="22">
        <v>0.36898799999999998</v>
      </c>
      <c r="AV300">
        <f t="shared" si="56"/>
        <v>17.564567901234565</v>
      </c>
      <c r="AW300">
        <f t="shared" si="57"/>
        <v>6.4939720444444431</v>
      </c>
      <c r="AX300" s="9"/>
      <c r="AY300" s="22">
        <v>1.36032</v>
      </c>
      <c r="AZ300" s="22">
        <v>30.869</v>
      </c>
      <c r="BA300" s="22">
        <v>-1.35406E-2</v>
      </c>
      <c r="BB300" s="22">
        <v>290</v>
      </c>
      <c r="BC300" s="22">
        <v>1.3595600000000001</v>
      </c>
      <c r="BD300">
        <f t="shared" si="58"/>
        <v>16.716790123456789</v>
      </c>
      <c r="BE300">
        <f t="shared" si="59"/>
        <v>22.740183940740739</v>
      </c>
    </row>
    <row r="301" spans="6:57">
      <c r="F301" s="9"/>
      <c r="G301" s="22">
        <v>0.36468499999999998</v>
      </c>
      <c r="H301" s="22">
        <v>8.0959800000000008</v>
      </c>
      <c r="I301" s="22">
        <v>-1.4071699999999999E-2</v>
      </c>
      <c r="J301" s="22">
        <v>291</v>
      </c>
      <c r="K301" s="22">
        <v>0.363983</v>
      </c>
      <c r="L301">
        <f t="shared" si="48"/>
        <v>17.372469135802469</v>
      </c>
      <c r="M301">
        <f t="shared" si="49"/>
        <v>6.3354789067901232</v>
      </c>
      <c r="N301" s="9"/>
      <c r="O301" s="22">
        <v>1.3653599999999999</v>
      </c>
      <c r="P301" s="22">
        <v>11.9756</v>
      </c>
      <c r="Q301" s="22">
        <v>-1.34308E-2</v>
      </c>
      <c r="R301" s="22">
        <v>291</v>
      </c>
      <c r="S301" s="22">
        <v>1.3647499999999999</v>
      </c>
      <c r="T301">
        <f t="shared" si="50"/>
        <v>16.581234567901234</v>
      </c>
      <c r="U301">
        <f t="shared" si="51"/>
        <v>22.639354429629627</v>
      </c>
      <c r="X301" s="9"/>
      <c r="Y301" s="22">
        <v>0.36468499999999998</v>
      </c>
      <c r="Z301" s="22">
        <v>17.590199999999999</v>
      </c>
      <c r="AA301" s="22">
        <v>-1.42303E-2</v>
      </c>
      <c r="AB301" s="22">
        <v>291</v>
      </c>
      <c r="AC301" s="22">
        <v>0.364014</v>
      </c>
      <c r="AD301">
        <f t="shared" si="52"/>
        <v>17.568271604938271</v>
      </c>
      <c r="AE301">
        <f t="shared" si="53"/>
        <v>6.4068851302469128</v>
      </c>
      <c r="AF301" s="9"/>
      <c r="AG301" s="22">
        <v>1.3653599999999999</v>
      </c>
      <c r="AH301" s="22">
        <v>21.469799999999999</v>
      </c>
      <c r="AI301" s="22">
        <v>-1.34888E-2</v>
      </c>
      <c r="AJ301" s="22">
        <v>291</v>
      </c>
      <c r="AK301" s="22">
        <v>1.3647499999999999</v>
      </c>
      <c r="AL301">
        <f t="shared" si="54"/>
        <v>16.652839506172839</v>
      </c>
      <c r="AM301">
        <f t="shared" si="55"/>
        <v>22.737120948148146</v>
      </c>
      <c r="AP301" s="9"/>
      <c r="AQ301" s="22">
        <v>0.36468499999999998</v>
      </c>
      <c r="AR301" s="22">
        <v>26.999400000000001</v>
      </c>
      <c r="AS301" s="22">
        <v>-1.4224199999999999E-2</v>
      </c>
      <c r="AT301" s="22">
        <v>291</v>
      </c>
      <c r="AU301" s="22">
        <v>0.364014</v>
      </c>
      <c r="AV301">
        <f t="shared" si="56"/>
        <v>17.560740740740737</v>
      </c>
      <c r="AW301">
        <f t="shared" si="57"/>
        <v>6.4041387370370355</v>
      </c>
      <c r="AX301" s="9"/>
      <c r="AY301" s="22">
        <v>1.3653599999999999</v>
      </c>
      <c r="AZ301" s="22">
        <v>30.879100000000001</v>
      </c>
      <c r="BA301" s="22">
        <v>-1.3528399999999999E-2</v>
      </c>
      <c r="BB301" s="22">
        <v>291</v>
      </c>
      <c r="BC301" s="22">
        <v>1.3638300000000001</v>
      </c>
      <c r="BD301">
        <f t="shared" si="58"/>
        <v>16.701728395061725</v>
      </c>
      <c r="BE301">
        <f t="shared" si="59"/>
        <v>22.803871881481474</v>
      </c>
    </row>
    <row r="302" spans="6:57">
      <c r="F302" s="9"/>
      <c r="G302" s="22">
        <v>0.35965000000000003</v>
      </c>
      <c r="H302" s="22">
        <v>8.1060499999999998</v>
      </c>
      <c r="I302" s="22">
        <v>-1.4071699999999999E-2</v>
      </c>
      <c r="J302" s="22">
        <v>292</v>
      </c>
      <c r="K302" s="22">
        <v>0.35891699999999999</v>
      </c>
      <c r="L302">
        <f t="shared" si="48"/>
        <v>17.372469135802469</v>
      </c>
      <c r="M302">
        <f t="shared" si="49"/>
        <v>6.2480085246913584</v>
      </c>
      <c r="N302" s="9"/>
      <c r="O302" s="22">
        <v>1.37039</v>
      </c>
      <c r="P302" s="22">
        <v>11.9857</v>
      </c>
      <c r="Q302" s="22">
        <v>-1.3412500000000001E-2</v>
      </c>
      <c r="R302" s="22">
        <v>292</v>
      </c>
      <c r="S302" s="22">
        <v>1.3693200000000001</v>
      </c>
      <c r="T302">
        <f t="shared" si="50"/>
        <v>16.558641975308642</v>
      </c>
      <c r="U302">
        <f t="shared" si="51"/>
        <v>22.69179737654321</v>
      </c>
      <c r="X302" s="9"/>
      <c r="Y302" s="22">
        <v>0.35965000000000003</v>
      </c>
      <c r="Z302" s="22">
        <v>17.600300000000001</v>
      </c>
      <c r="AA302" s="22">
        <v>-1.42334E-2</v>
      </c>
      <c r="AB302" s="22">
        <v>292</v>
      </c>
      <c r="AC302" s="22">
        <v>0.35882599999999998</v>
      </c>
      <c r="AD302">
        <f t="shared" si="52"/>
        <v>17.572098765432099</v>
      </c>
      <c r="AE302">
        <f t="shared" si="53"/>
        <v>6.3198053209876548</v>
      </c>
      <c r="AF302" s="9"/>
      <c r="AG302" s="22">
        <v>1.37039</v>
      </c>
      <c r="AH302" s="22">
        <v>21.479900000000001</v>
      </c>
      <c r="AI302" s="22">
        <v>-1.34705E-2</v>
      </c>
      <c r="AJ302" s="22">
        <v>292</v>
      </c>
      <c r="AK302" s="22">
        <v>1.3693200000000001</v>
      </c>
      <c r="AL302">
        <f t="shared" si="54"/>
        <v>16.630246913580244</v>
      </c>
      <c r="AM302">
        <f t="shared" si="55"/>
        <v>22.789924067901232</v>
      </c>
      <c r="AP302" s="9"/>
      <c r="AQ302" s="22">
        <v>0.35965000000000003</v>
      </c>
      <c r="AR302" s="22">
        <v>27.009499999999999</v>
      </c>
      <c r="AS302" s="22">
        <v>-1.4224199999999999E-2</v>
      </c>
      <c r="AT302" s="22">
        <v>292</v>
      </c>
      <c r="AU302" s="22">
        <v>0.35888700000000001</v>
      </c>
      <c r="AV302">
        <f t="shared" si="56"/>
        <v>17.560740740740737</v>
      </c>
      <c r="AW302">
        <f t="shared" si="57"/>
        <v>6.3157204074074063</v>
      </c>
      <c r="AX302" s="9"/>
      <c r="AY302" s="22">
        <v>1.37039</v>
      </c>
      <c r="AZ302" s="22">
        <v>30.889099999999999</v>
      </c>
      <c r="BA302" s="22">
        <v>-1.35132E-2</v>
      </c>
      <c r="BB302" s="22">
        <v>292</v>
      </c>
      <c r="BC302" s="22">
        <v>1.3690199999999999</v>
      </c>
      <c r="BD302">
        <f t="shared" si="58"/>
        <v>16.682962962962961</v>
      </c>
      <c r="BE302">
        <f t="shared" si="59"/>
        <v>22.862165614814813</v>
      </c>
    </row>
    <row r="303" spans="6:57">
      <c r="F303" s="9"/>
      <c r="G303" s="22">
        <v>0.35461399999999998</v>
      </c>
      <c r="H303" s="22">
        <v>8.1161200000000004</v>
      </c>
      <c r="I303" s="22">
        <v>-1.4071699999999999E-2</v>
      </c>
      <c r="J303" s="22">
        <v>293</v>
      </c>
      <c r="K303" s="22">
        <v>0.353912</v>
      </c>
      <c r="L303">
        <f t="shared" si="48"/>
        <v>17.372469135802469</v>
      </c>
      <c r="M303">
        <f t="shared" si="49"/>
        <v>6.1605207701234566</v>
      </c>
      <c r="N303" s="9"/>
      <c r="O303" s="22">
        <v>1.3754299999999999</v>
      </c>
      <c r="P303" s="22">
        <v>11.995699999999999</v>
      </c>
      <c r="Q303" s="22">
        <v>-1.33942E-2</v>
      </c>
      <c r="R303" s="22">
        <v>293</v>
      </c>
      <c r="S303" s="22">
        <v>1.3748199999999999</v>
      </c>
      <c r="T303">
        <f t="shared" si="50"/>
        <v>16.536049382716048</v>
      </c>
      <c r="U303">
        <f t="shared" si="51"/>
        <v>22.744178402469132</v>
      </c>
      <c r="X303" s="9"/>
      <c r="Y303" s="22">
        <v>0.35461399999999998</v>
      </c>
      <c r="Z303" s="22">
        <v>17.610299999999999</v>
      </c>
      <c r="AA303" s="22">
        <v>-1.4236499999999999E-2</v>
      </c>
      <c r="AB303" s="22">
        <v>293</v>
      </c>
      <c r="AC303" s="22">
        <v>0.35394300000000001</v>
      </c>
      <c r="AD303">
        <f t="shared" si="52"/>
        <v>17.575925925925926</v>
      </c>
      <c r="AE303">
        <f t="shared" si="53"/>
        <v>6.2326693962962958</v>
      </c>
      <c r="AF303" s="9"/>
      <c r="AG303" s="22">
        <v>1.3754299999999999</v>
      </c>
      <c r="AH303" s="22">
        <v>21.49</v>
      </c>
      <c r="AI303" s="22">
        <v>-1.34491E-2</v>
      </c>
      <c r="AJ303" s="22">
        <v>293</v>
      </c>
      <c r="AK303" s="22">
        <v>1.3745099999999999</v>
      </c>
      <c r="AL303">
        <f t="shared" si="54"/>
        <v>16.603827160493829</v>
      </c>
      <c r="AM303">
        <f t="shared" si="55"/>
        <v>22.837401991358025</v>
      </c>
      <c r="AP303" s="9"/>
      <c r="AQ303" s="22">
        <v>0.35461399999999998</v>
      </c>
      <c r="AR303" s="22">
        <v>27.019600000000001</v>
      </c>
      <c r="AS303" s="22">
        <v>-1.42273E-2</v>
      </c>
      <c r="AT303" s="22">
        <v>293</v>
      </c>
      <c r="AU303" s="22">
        <v>0.353912</v>
      </c>
      <c r="AV303">
        <f t="shared" si="56"/>
        <v>17.564567901234565</v>
      </c>
      <c r="AW303">
        <f t="shared" si="57"/>
        <v>6.2286416817283934</v>
      </c>
      <c r="AX303" s="9"/>
      <c r="AY303" s="22">
        <v>1.3754299999999999</v>
      </c>
      <c r="AZ303" s="22">
        <v>30.8992</v>
      </c>
      <c r="BA303" s="22">
        <v>-1.34888E-2</v>
      </c>
      <c r="BB303" s="22">
        <v>293</v>
      </c>
      <c r="BC303" s="22">
        <v>1.3748199999999999</v>
      </c>
      <c r="BD303">
        <f t="shared" si="58"/>
        <v>16.652839506172839</v>
      </c>
      <c r="BE303">
        <f t="shared" si="59"/>
        <v>22.904815041975308</v>
      </c>
    </row>
    <row r="304" spans="6:57">
      <c r="F304" s="9"/>
      <c r="G304" s="22">
        <v>0.34957899999999997</v>
      </c>
      <c r="H304" s="22">
        <v>8.1262000000000008</v>
      </c>
      <c r="I304" s="22">
        <v>-1.4074700000000001E-2</v>
      </c>
      <c r="J304" s="22">
        <v>294</v>
      </c>
      <c r="K304" s="22">
        <v>0.34884599999999999</v>
      </c>
      <c r="L304">
        <f t="shared" si="48"/>
        <v>17.376172839506172</v>
      </c>
      <c r="M304">
        <f t="shared" si="49"/>
        <v>6.0743451250617273</v>
      </c>
      <c r="N304" s="9"/>
      <c r="O304" s="22">
        <v>1.38046</v>
      </c>
      <c r="P304" s="22">
        <v>12.005800000000001</v>
      </c>
      <c r="Q304" s="22">
        <v>-1.33759E-2</v>
      </c>
      <c r="R304" s="22">
        <v>294</v>
      </c>
      <c r="S304" s="22">
        <v>1.38</v>
      </c>
      <c r="T304">
        <f t="shared" si="50"/>
        <v>16.513456790123456</v>
      </c>
      <c r="U304">
        <f t="shared" si="51"/>
        <v>22.796166560493827</v>
      </c>
      <c r="X304" s="9"/>
      <c r="Y304" s="22">
        <v>0.34957899999999997</v>
      </c>
      <c r="Z304" s="22">
        <v>17.6204</v>
      </c>
      <c r="AA304" s="22">
        <v>-1.4236499999999999E-2</v>
      </c>
      <c r="AB304" s="22">
        <v>294</v>
      </c>
      <c r="AC304" s="22">
        <v>0.34887699999999999</v>
      </c>
      <c r="AD304">
        <f t="shared" si="52"/>
        <v>17.575925925925926</v>
      </c>
      <c r="AE304">
        <f t="shared" si="53"/>
        <v>6.1441746092592586</v>
      </c>
      <c r="AF304" s="9"/>
      <c r="AG304" s="22">
        <v>1.38046</v>
      </c>
      <c r="AH304" s="22">
        <v>21.5</v>
      </c>
      <c r="AI304" s="22">
        <v>-1.3424699999999999E-2</v>
      </c>
      <c r="AJ304" s="22">
        <v>294</v>
      </c>
      <c r="AK304" s="22">
        <v>1.3793899999999999</v>
      </c>
      <c r="AL304">
        <f t="shared" si="54"/>
        <v>16.5737037037037</v>
      </c>
      <c r="AM304">
        <f t="shared" si="55"/>
        <v>22.87933501481481</v>
      </c>
      <c r="AP304" s="9"/>
      <c r="AQ304" s="22">
        <v>0.34957899999999997</v>
      </c>
      <c r="AR304" s="22">
        <v>27.029599999999999</v>
      </c>
      <c r="AS304" s="22">
        <v>-1.42212E-2</v>
      </c>
      <c r="AT304" s="22">
        <v>294</v>
      </c>
      <c r="AU304" s="22">
        <v>0.34878500000000001</v>
      </c>
      <c r="AV304">
        <f t="shared" si="56"/>
        <v>17.557037037037034</v>
      </c>
      <c r="AW304">
        <f t="shared" si="57"/>
        <v>6.1375714503703689</v>
      </c>
      <c r="AX304" s="9"/>
      <c r="AY304" s="22">
        <v>1.38046</v>
      </c>
      <c r="AZ304" s="22">
        <v>30.909300000000002</v>
      </c>
      <c r="BA304" s="22">
        <v>-1.34644E-2</v>
      </c>
      <c r="BB304" s="22">
        <v>294</v>
      </c>
      <c r="BC304" s="22">
        <v>1.3796999999999999</v>
      </c>
      <c r="BD304">
        <f t="shared" si="58"/>
        <v>16.622716049382717</v>
      </c>
      <c r="BE304">
        <f t="shared" si="59"/>
        <v>22.946994597530868</v>
      </c>
    </row>
    <row r="305" spans="6:57">
      <c r="F305" s="9"/>
      <c r="G305" s="22">
        <v>0.34454299999999999</v>
      </c>
      <c r="H305" s="22">
        <v>8.1362699999999997</v>
      </c>
      <c r="I305" s="22">
        <v>-1.4080799999999999E-2</v>
      </c>
      <c r="J305" s="22">
        <v>295</v>
      </c>
      <c r="K305" s="22">
        <v>0.34384199999999998</v>
      </c>
      <c r="L305">
        <f t="shared" si="48"/>
        <v>17.383703703703702</v>
      </c>
      <c r="M305">
        <f t="shared" si="49"/>
        <v>5.9894334251851848</v>
      </c>
      <c r="N305" s="9"/>
      <c r="O305" s="22">
        <v>1.3855</v>
      </c>
      <c r="P305" s="22">
        <v>12.0159</v>
      </c>
      <c r="Q305" s="22">
        <v>-1.33667E-2</v>
      </c>
      <c r="R305" s="22">
        <v>295</v>
      </c>
      <c r="S305" s="22">
        <v>1.38428</v>
      </c>
      <c r="T305">
        <f t="shared" si="50"/>
        <v>16.502098765432098</v>
      </c>
      <c r="U305">
        <f t="shared" si="51"/>
        <v>22.863657839506171</v>
      </c>
      <c r="X305" s="9"/>
      <c r="Y305" s="22">
        <v>0.34454299999999999</v>
      </c>
      <c r="Z305" s="22">
        <v>17.630500000000001</v>
      </c>
      <c r="AA305" s="22">
        <v>-1.4245600000000001E-2</v>
      </c>
      <c r="AB305" s="22">
        <v>295</v>
      </c>
      <c r="AC305" s="22">
        <v>0.34384199999999998</v>
      </c>
      <c r="AD305">
        <f t="shared" si="52"/>
        <v>17.58716049382716</v>
      </c>
      <c r="AE305">
        <f t="shared" si="53"/>
        <v>6.059533038024691</v>
      </c>
      <c r="AF305" s="9"/>
      <c r="AG305" s="22">
        <v>1.3855</v>
      </c>
      <c r="AH305" s="22">
        <v>21.510100000000001</v>
      </c>
      <c r="AI305" s="22">
        <v>-1.34094E-2</v>
      </c>
      <c r="AJ305" s="22">
        <v>295</v>
      </c>
      <c r="AK305" s="22">
        <v>1.38489</v>
      </c>
      <c r="AL305">
        <f t="shared" si="54"/>
        <v>16.554814814814815</v>
      </c>
      <c r="AM305">
        <f t="shared" si="55"/>
        <v>22.936695925925925</v>
      </c>
      <c r="AP305" s="9"/>
      <c r="AQ305" s="22">
        <v>0.34454299999999999</v>
      </c>
      <c r="AR305" s="22">
        <v>27.0397</v>
      </c>
      <c r="AS305" s="22">
        <v>-1.42151E-2</v>
      </c>
      <c r="AT305" s="22">
        <v>295</v>
      </c>
      <c r="AU305" s="22">
        <v>0.34387200000000001</v>
      </c>
      <c r="AV305">
        <f t="shared" si="56"/>
        <v>17.549506172839507</v>
      </c>
      <c r="AW305">
        <f t="shared" si="57"/>
        <v>6.0465595053086423</v>
      </c>
      <c r="AX305" s="9"/>
      <c r="AY305" s="22">
        <v>1.3855</v>
      </c>
      <c r="AZ305" s="22">
        <v>30.9193</v>
      </c>
      <c r="BA305" s="22">
        <v>-1.3446E-2</v>
      </c>
      <c r="BB305" s="22">
        <v>295</v>
      </c>
      <c r="BC305" s="22">
        <v>1.38489</v>
      </c>
      <c r="BD305">
        <f t="shared" si="58"/>
        <v>16.599999999999998</v>
      </c>
      <c r="BE305">
        <f t="shared" si="59"/>
        <v>22.999299999999995</v>
      </c>
    </row>
    <row r="306" spans="6:57">
      <c r="F306" s="9"/>
      <c r="G306" s="22">
        <v>0.33950799999999998</v>
      </c>
      <c r="H306" s="22">
        <v>8.1463400000000004</v>
      </c>
      <c r="I306" s="22">
        <v>-1.4086899999999999E-2</v>
      </c>
      <c r="J306" s="22">
        <v>296</v>
      </c>
      <c r="K306" s="22">
        <v>0.33877600000000002</v>
      </c>
      <c r="L306">
        <f t="shared" si="48"/>
        <v>17.391234567901233</v>
      </c>
      <c r="M306">
        <f t="shared" si="49"/>
        <v>5.904463265679011</v>
      </c>
      <c r="N306" s="9"/>
      <c r="O306" s="22">
        <v>1.39053</v>
      </c>
      <c r="P306" s="22">
        <v>12.026</v>
      </c>
      <c r="Q306" s="22">
        <v>-1.3351399999999999E-2</v>
      </c>
      <c r="R306" s="22">
        <v>296</v>
      </c>
      <c r="S306" s="22">
        <v>1.38947</v>
      </c>
      <c r="T306">
        <f t="shared" si="50"/>
        <v>16.483209876543206</v>
      </c>
      <c r="U306">
        <f t="shared" si="51"/>
        <v>22.920397829629625</v>
      </c>
      <c r="X306" s="9"/>
      <c r="Y306" s="22">
        <v>0.33950799999999998</v>
      </c>
      <c r="Z306" s="22">
        <v>17.640599999999999</v>
      </c>
      <c r="AA306" s="22">
        <v>-1.42487E-2</v>
      </c>
      <c r="AB306" s="22">
        <v>296</v>
      </c>
      <c r="AC306" s="22">
        <v>0.33871499999999999</v>
      </c>
      <c r="AD306">
        <f t="shared" si="52"/>
        <v>17.590987654320987</v>
      </c>
      <c r="AE306">
        <f t="shared" si="53"/>
        <v>5.9722810365432091</v>
      </c>
      <c r="AF306" s="9"/>
      <c r="AG306" s="22">
        <v>1.39053</v>
      </c>
      <c r="AH306" s="22">
        <v>21.520199999999999</v>
      </c>
      <c r="AI306" s="22">
        <v>-1.33911E-2</v>
      </c>
      <c r="AJ306" s="22">
        <v>296</v>
      </c>
      <c r="AK306" s="22">
        <v>1.38916</v>
      </c>
      <c r="AL306">
        <f t="shared" si="54"/>
        <v>16.53222222222222</v>
      </c>
      <c r="AM306">
        <f t="shared" si="55"/>
        <v>22.988550966666665</v>
      </c>
      <c r="AP306" s="9"/>
      <c r="AQ306" s="22">
        <v>0.33950799999999998</v>
      </c>
      <c r="AR306" s="22">
        <v>27.049800000000001</v>
      </c>
      <c r="AS306" s="22">
        <v>-1.4212000000000001E-2</v>
      </c>
      <c r="AT306" s="22">
        <v>296</v>
      </c>
      <c r="AU306" s="22">
        <v>0.338806</v>
      </c>
      <c r="AV306">
        <f t="shared" si="56"/>
        <v>17.54567901234568</v>
      </c>
      <c r="AW306">
        <f t="shared" si="57"/>
        <v>5.9568983901234569</v>
      </c>
      <c r="AX306" s="9"/>
      <c r="AY306" s="22">
        <v>1.39053</v>
      </c>
      <c r="AZ306" s="22">
        <v>30.929400000000001</v>
      </c>
      <c r="BA306" s="22">
        <v>-1.34155E-2</v>
      </c>
      <c r="BB306" s="22">
        <v>296</v>
      </c>
      <c r="BC306" s="22">
        <v>1.38916</v>
      </c>
      <c r="BD306">
        <f t="shared" si="58"/>
        <v>16.562345679012346</v>
      </c>
      <c r="BE306">
        <f t="shared" si="59"/>
        <v>23.030438537037039</v>
      </c>
    </row>
    <row r="307" spans="6:57">
      <c r="F307" s="9"/>
      <c r="G307" s="22">
        <v>0.33447300000000002</v>
      </c>
      <c r="H307" s="22">
        <v>8.1564099999999993</v>
      </c>
      <c r="I307" s="22">
        <v>-1.40991E-2</v>
      </c>
      <c r="J307" s="22">
        <v>297</v>
      </c>
      <c r="K307" s="22">
        <v>0.33371000000000001</v>
      </c>
      <c r="L307">
        <f t="shared" si="48"/>
        <v>17.406296296296293</v>
      </c>
      <c r="M307">
        <f t="shared" si="49"/>
        <v>5.8219361411111104</v>
      </c>
      <c r="N307" s="9"/>
      <c r="O307" s="22">
        <v>1.39557</v>
      </c>
      <c r="P307" s="22">
        <v>12.036</v>
      </c>
      <c r="Q307" s="22">
        <v>-1.3336199999999999E-2</v>
      </c>
      <c r="R307" s="22">
        <v>297</v>
      </c>
      <c r="S307" s="22">
        <v>1.39496</v>
      </c>
      <c r="T307">
        <f t="shared" si="50"/>
        <v>16.464444444444442</v>
      </c>
      <c r="U307">
        <f t="shared" si="51"/>
        <v>22.977284733333331</v>
      </c>
      <c r="X307" s="9"/>
      <c r="Y307" s="22">
        <v>0.33447300000000002</v>
      </c>
      <c r="Z307" s="22">
        <v>17.650600000000001</v>
      </c>
      <c r="AA307" s="22">
        <v>-1.4245600000000001E-2</v>
      </c>
      <c r="AB307" s="22">
        <v>297</v>
      </c>
      <c r="AC307" s="22">
        <v>0.33373999999999998</v>
      </c>
      <c r="AD307">
        <f t="shared" si="52"/>
        <v>17.58716049382716</v>
      </c>
      <c r="AE307">
        <f t="shared" si="53"/>
        <v>5.882430331851852</v>
      </c>
      <c r="AF307" s="9"/>
      <c r="AG307" s="22">
        <v>1.39557</v>
      </c>
      <c r="AH307" s="22">
        <v>21.530200000000001</v>
      </c>
      <c r="AI307" s="22">
        <v>-1.3372800000000001E-2</v>
      </c>
      <c r="AJ307" s="22">
        <v>297</v>
      </c>
      <c r="AK307" s="22">
        <v>1.3946499999999999</v>
      </c>
      <c r="AL307">
        <f t="shared" si="54"/>
        <v>16.509629629629632</v>
      </c>
      <c r="AM307">
        <f t="shared" si="55"/>
        <v>23.040343822222226</v>
      </c>
      <c r="AP307" s="9"/>
      <c r="AQ307" s="22">
        <v>0.33447300000000002</v>
      </c>
      <c r="AR307" s="22">
        <v>27.059899999999999</v>
      </c>
      <c r="AS307" s="22">
        <v>-1.4212000000000001E-2</v>
      </c>
      <c r="AT307" s="22">
        <v>297</v>
      </c>
      <c r="AU307" s="22">
        <v>0.33377099999999998</v>
      </c>
      <c r="AV307">
        <f t="shared" si="56"/>
        <v>17.54567901234568</v>
      </c>
      <c r="AW307">
        <f t="shared" si="57"/>
        <v>5.8685558962962974</v>
      </c>
      <c r="AX307" s="9"/>
      <c r="AY307" s="22">
        <v>1.39557</v>
      </c>
      <c r="AZ307" s="22">
        <v>30.939499999999999</v>
      </c>
      <c r="BA307" s="22">
        <v>-1.3384999999999999E-2</v>
      </c>
      <c r="BB307" s="22">
        <v>297</v>
      </c>
      <c r="BC307" s="22">
        <v>1.39435</v>
      </c>
      <c r="BD307">
        <f t="shared" si="58"/>
        <v>16.52469135802469</v>
      </c>
      <c r="BE307">
        <f t="shared" si="59"/>
        <v>23.061363518518515</v>
      </c>
    </row>
    <row r="308" spans="6:57">
      <c r="F308" s="9"/>
      <c r="G308" s="22">
        <v>0.32943699999999998</v>
      </c>
      <c r="H308" s="22">
        <v>8.16648</v>
      </c>
      <c r="I308" s="22">
        <v>-1.41022E-2</v>
      </c>
      <c r="J308" s="22">
        <v>298</v>
      </c>
      <c r="K308" s="22">
        <v>0.32882699999999998</v>
      </c>
      <c r="L308">
        <f t="shared" si="48"/>
        <v>17.410123456790124</v>
      </c>
      <c r="M308">
        <f t="shared" si="49"/>
        <v>5.7355388412345683</v>
      </c>
      <c r="N308" s="9"/>
      <c r="O308" s="22">
        <v>1.4006000000000001</v>
      </c>
      <c r="P308" s="22">
        <v>12.046099999999999</v>
      </c>
      <c r="Q308" s="22">
        <v>-1.33209E-2</v>
      </c>
      <c r="R308" s="22">
        <v>298</v>
      </c>
      <c r="S308" s="22">
        <v>1.39984</v>
      </c>
      <c r="T308">
        <f t="shared" si="50"/>
        <v>16.445555555555554</v>
      </c>
      <c r="U308">
        <f t="shared" si="51"/>
        <v>23.03364511111111</v>
      </c>
      <c r="X308" s="9"/>
      <c r="Y308" s="22">
        <v>0.32943699999999998</v>
      </c>
      <c r="Z308" s="22">
        <v>17.660699999999999</v>
      </c>
      <c r="AA308" s="22">
        <v>-1.4242599999999999E-2</v>
      </c>
      <c r="AB308" s="22">
        <v>298</v>
      </c>
      <c r="AC308" s="22">
        <v>0.32870500000000002</v>
      </c>
      <c r="AD308">
        <f t="shared" si="52"/>
        <v>17.583456790123453</v>
      </c>
      <c r="AE308">
        <f t="shared" si="53"/>
        <v>5.7926412545678998</v>
      </c>
      <c r="AF308" s="9"/>
      <c r="AG308" s="22">
        <v>1.4006000000000001</v>
      </c>
      <c r="AH308" s="22">
        <v>21.540299999999998</v>
      </c>
      <c r="AI308" s="22">
        <v>-1.3351399999999999E-2</v>
      </c>
      <c r="AJ308" s="22">
        <v>298</v>
      </c>
      <c r="AK308" s="22">
        <v>1.39984</v>
      </c>
      <c r="AL308">
        <f t="shared" si="54"/>
        <v>16.483209876543206</v>
      </c>
      <c r="AM308">
        <f t="shared" si="55"/>
        <v>23.086383753086416</v>
      </c>
      <c r="AP308" s="9"/>
      <c r="AQ308" s="22">
        <v>0.32943699999999998</v>
      </c>
      <c r="AR308" s="22">
        <v>27.069900000000001</v>
      </c>
      <c r="AS308" s="22">
        <v>-1.42212E-2</v>
      </c>
      <c r="AT308" s="22">
        <v>298</v>
      </c>
      <c r="AU308" s="22">
        <v>0.32867400000000002</v>
      </c>
      <c r="AV308">
        <f t="shared" si="56"/>
        <v>17.557037037037034</v>
      </c>
      <c r="AW308">
        <f t="shared" si="57"/>
        <v>5.7839376103703692</v>
      </c>
      <c r="AX308" s="9"/>
      <c r="AY308" s="22">
        <v>1.4006000000000001</v>
      </c>
      <c r="AZ308" s="22">
        <v>30.9495</v>
      </c>
      <c r="BA308" s="22">
        <v>-1.33575E-2</v>
      </c>
      <c r="BB308" s="22">
        <v>298</v>
      </c>
      <c r="BC308" s="22">
        <v>1.40015</v>
      </c>
      <c r="BD308">
        <f t="shared" si="58"/>
        <v>16.49074074074074</v>
      </c>
      <c r="BE308">
        <f t="shared" si="59"/>
        <v>23.096931481481484</v>
      </c>
    </row>
    <row r="309" spans="6:57">
      <c r="F309" s="9"/>
      <c r="G309" s="22">
        <v>0.32440200000000002</v>
      </c>
      <c r="H309" s="22">
        <v>8.1765500000000007</v>
      </c>
      <c r="I309" s="22">
        <v>-1.41022E-2</v>
      </c>
      <c r="J309" s="22">
        <v>299</v>
      </c>
      <c r="K309" s="22">
        <v>0.32363900000000001</v>
      </c>
      <c r="L309">
        <f t="shared" si="48"/>
        <v>17.410123456790124</v>
      </c>
      <c r="M309">
        <f t="shared" si="49"/>
        <v>5.64787886962963</v>
      </c>
      <c r="N309" s="9"/>
      <c r="O309" s="22">
        <v>1.40564</v>
      </c>
      <c r="P309" s="22">
        <v>12.0562</v>
      </c>
      <c r="Q309" s="22">
        <v>-1.32935E-2</v>
      </c>
      <c r="R309" s="22">
        <v>299</v>
      </c>
      <c r="S309" s="22">
        <v>1.40411</v>
      </c>
      <c r="T309">
        <f t="shared" si="50"/>
        <v>16.411728395061726</v>
      </c>
      <c r="U309">
        <f t="shared" si="51"/>
        <v>23.068981901234565</v>
      </c>
      <c r="X309" s="9"/>
      <c r="Y309" s="22">
        <v>0.32440200000000002</v>
      </c>
      <c r="Z309" s="22">
        <v>17.6708</v>
      </c>
      <c r="AA309" s="22">
        <v>-1.4236499999999999E-2</v>
      </c>
      <c r="AB309" s="22">
        <v>299</v>
      </c>
      <c r="AC309" s="22">
        <v>0.32366899999999998</v>
      </c>
      <c r="AD309">
        <f t="shared" si="52"/>
        <v>17.575925925925926</v>
      </c>
      <c r="AE309">
        <f t="shared" si="53"/>
        <v>5.701665522222223</v>
      </c>
      <c r="AF309" s="9"/>
      <c r="AG309" s="22">
        <v>1.40564</v>
      </c>
      <c r="AH309" s="22">
        <v>21.5504</v>
      </c>
      <c r="AI309" s="22">
        <v>-1.3324000000000001E-2</v>
      </c>
      <c r="AJ309" s="22">
        <v>299</v>
      </c>
      <c r="AK309" s="22">
        <v>1.40472</v>
      </c>
      <c r="AL309">
        <f t="shared" si="54"/>
        <v>16.449382716049382</v>
      </c>
      <c r="AM309">
        <f t="shared" si="55"/>
        <v>23.121910320987652</v>
      </c>
      <c r="AP309" s="9"/>
      <c r="AQ309" s="22">
        <v>0.32440200000000002</v>
      </c>
      <c r="AR309" s="22">
        <v>27.08</v>
      </c>
      <c r="AS309" s="22">
        <v>-1.42212E-2</v>
      </c>
      <c r="AT309" s="22">
        <v>299</v>
      </c>
      <c r="AU309" s="22">
        <v>0.32363900000000001</v>
      </c>
      <c r="AV309">
        <f t="shared" si="56"/>
        <v>17.557037037037034</v>
      </c>
      <c r="AW309">
        <f t="shared" si="57"/>
        <v>5.6955379288888883</v>
      </c>
      <c r="AX309" s="9"/>
      <c r="AY309" s="22">
        <v>1.40564</v>
      </c>
      <c r="AZ309" s="22">
        <v>30.959599999999998</v>
      </c>
      <c r="BA309" s="22">
        <v>-1.3339200000000001E-2</v>
      </c>
      <c r="BB309" s="22">
        <v>299</v>
      </c>
      <c r="BC309" s="22">
        <v>1.40472</v>
      </c>
      <c r="BD309">
        <f t="shared" si="58"/>
        <v>16.468148148148149</v>
      </c>
      <c r="BE309">
        <f t="shared" si="59"/>
        <v>23.148287762962966</v>
      </c>
    </row>
    <row r="310" spans="6:57">
      <c r="F310" s="9"/>
      <c r="G310" s="22">
        <v>0.31936599999999998</v>
      </c>
      <c r="H310" s="22">
        <v>8.1866199999999996</v>
      </c>
      <c r="I310" s="22">
        <v>-1.4108300000000001E-2</v>
      </c>
      <c r="J310" s="22">
        <v>300</v>
      </c>
      <c r="K310" s="22">
        <v>0.31869500000000001</v>
      </c>
      <c r="L310">
        <f t="shared" si="48"/>
        <v>17.417654320987655</v>
      </c>
      <c r="M310">
        <f t="shared" si="49"/>
        <v>5.5626065898765429</v>
      </c>
      <c r="N310" s="9"/>
      <c r="O310" s="22">
        <v>1.4106799999999999</v>
      </c>
      <c r="P310" s="22">
        <v>12.0662</v>
      </c>
      <c r="Q310" s="22">
        <v>-1.32721E-2</v>
      </c>
      <c r="R310" s="22">
        <v>300</v>
      </c>
      <c r="S310" s="22">
        <v>1.40961</v>
      </c>
      <c r="T310">
        <f t="shared" si="50"/>
        <v>16.385308641975307</v>
      </c>
      <c r="U310">
        <f t="shared" si="51"/>
        <v>23.114427195061726</v>
      </c>
      <c r="X310" s="9"/>
      <c r="Y310" s="22">
        <v>0.31936599999999998</v>
      </c>
      <c r="Z310" s="22">
        <v>17.680800000000001</v>
      </c>
      <c r="AA310" s="22">
        <v>-1.42303E-2</v>
      </c>
      <c r="AB310" s="22">
        <v>300</v>
      </c>
      <c r="AC310" s="22">
        <v>0.318604</v>
      </c>
      <c r="AD310">
        <f t="shared" si="52"/>
        <v>17.568271604938271</v>
      </c>
      <c r="AE310">
        <f t="shared" si="53"/>
        <v>5.6107086293827155</v>
      </c>
      <c r="AF310" s="9"/>
      <c r="AG310" s="22">
        <v>1.4106799999999999</v>
      </c>
      <c r="AH310" s="22">
        <v>21.560500000000001</v>
      </c>
      <c r="AI310" s="22">
        <v>-1.32996E-2</v>
      </c>
      <c r="AJ310" s="22">
        <v>300</v>
      </c>
      <c r="AK310" s="22">
        <v>1.40991</v>
      </c>
      <c r="AL310">
        <f t="shared" si="54"/>
        <v>16.41925925925926</v>
      </c>
      <c r="AM310">
        <f t="shared" si="55"/>
        <v>23.16232065185185</v>
      </c>
      <c r="AP310" s="9"/>
      <c r="AQ310" s="22">
        <v>0.31936599999999998</v>
      </c>
      <c r="AR310" s="22">
        <v>27.0901</v>
      </c>
      <c r="AS310" s="22">
        <v>-1.42151E-2</v>
      </c>
      <c r="AT310" s="22">
        <v>300</v>
      </c>
      <c r="AU310" s="22">
        <v>0.31863399999999997</v>
      </c>
      <c r="AV310">
        <f t="shared" si="56"/>
        <v>17.549506172839507</v>
      </c>
      <c r="AW310">
        <f t="shared" si="57"/>
        <v>5.6047155883950621</v>
      </c>
      <c r="AX310" s="9"/>
      <c r="AY310" s="22">
        <v>1.4106799999999999</v>
      </c>
      <c r="AZ310" s="22">
        <v>30.9697</v>
      </c>
      <c r="BA310" s="22">
        <v>-1.3317900000000001E-2</v>
      </c>
      <c r="BB310" s="22">
        <v>300</v>
      </c>
      <c r="BC310" s="22">
        <v>1.41022</v>
      </c>
      <c r="BD310">
        <f t="shared" si="58"/>
        <v>16.441851851851851</v>
      </c>
      <c r="BE310">
        <f t="shared" si="59"/>
        <v>23.194191570370368</v>
      </c>
    </row>
    <row r="311" spans="6:57">
      <c r="F311" s="9"/>
      <c r="G311" s="22">
        <v>0.31433100000000003</v>
      </c>
      <c r="H311" s="22">
        <v>8.1966900000000003</v>
      </c>
      <c r="I311" s="22">
        <v>-1.41052E-2</v>
      </c>
      <c r="J311" s="22">
        <v>301</v>
      </c>
      <c r="K311" s="22">
        <v>0.31359900000000002</v>
      </c>
      <c r="L311">
        <f t="shared" si="48"/>
        <v>17.413827160493828</v>
      </c>
      <c r="M311">
        <f t="shared" si="49"/>
        <v>5.4737057051851856</v>
      </c>
      <c r="N311" s="9"/>
      <c r="O311" s="22">
        <v>1.41571</v>
      </c>
      <c r="P311" s="22">
        <v>12.0763</v>
      </c>
      <c r="Q311" s="22">
        <v>-1.3250700000000001E-2</v>
      </c>
      <c r="R311" s="22">
        <v>301</v>
      </c>
      <c r="S311" s="22">
        <v>1.41479</v>
      </c>
      <c r="T311">
        <f t="shared" si="50"/>
        <v>16.358888888888888</v>
      </c>
      <c r="U311">
        <f t="shared" si="51"/>
        <v>23.15944258888889</v>
      </c>
      <c r="X311" s="9"/>
      <c r="Y311" s="22">
        <v>0.31433100000000003</v>
      </c>
      <c r="Z311" s="22">
        <v>17.690899999999999</v>
      </c>
      <c r="AA311" s="22">
        <v>-1.42151E-2</v>
      </c>
      <c r="AB311" s="22">
        <v>301</v>
      </c>
      <c r="AC311" s="22">
        <v>0.31362899999999999</v>
      </c>
      <c r="AD311">
        <f t="shared" si="52"/>
        <v>17.549506172839507</v>
      </c>
      <c r="AE311">
        <f t="shared" si="53"/>
        <v>5.5163538248148152</v>
      </c>
      <c r="AF311" s="9"/>
      <c r="AG311" s="22">
        <v>1.41571</v>
      </c>
      <c r="AH311" s="22">
        <v>21.570499999999999</v>
      </c>
      <c r="AI311" s="22">
        <v>-1.3281299999999999E-2</v>
      </c>
      <c r="AJ311" s="22">
        <v>301</v>
      </c>
      <c r="AK311" s="22">
        <v>1.41479</v>
      </c>
      <c r="AL311">
        <f t="shared" si="54"/>
        <v>16.396666666666665</v>
      </c>
      <c r="AM311">
        <f t="shared" si="55"/>
        <v>23.212924966666666</v>
      </c>
      <c r="AP311" s="9"/>
      <c r="AQ311" s="22">
        <v>0.31433100000000003</v>
      </c>
      <c r="AR311" s="22">
        <v>27.100100000000001</v>
      </c>
      <c r="AS311" s="22">
        <v>-1.4208999999999999E-2</v>
      </c>
      <c r="AT311" s="22">
        <v>301</v>
      </c>
      <c r="AU311" s="22">
        <v>0.31359900000000002</v>
      </c>
      <c r="AV311">
        <f t="shared" si="56"/>
        <v>17.541975308641973</v>
      </c>
      <c r="AW311">
        <f t="shared" si="57"/>
        <v>5.5139866407407405</v>
      </c>
      <c r="AX311" s="9"/>
      <c r="AY311" s="22">
        <v>1.41571</v>
      </c>
      <c r="AZ311" s="22">
        <v>30.979800000000001</v>
      </c>
      <c r="BA311" s="22">
        <v>-1.32996E-2</v>
      </c>
      <c r="BB311" s="22">
        <v>301</v>
      </c>
      <c r="BC311" s="22">
        <v>1.41449</v>
      </c>
      <c r="BD311">
        <f t="shared" si="58"/>
        <v>16.41925925925926</v>
      </c>
      <c r="BE311">
        <f t="shared" si="59"/>
        <v>23.244909525925927</v>
      </c>
    </row>
    <row r="312" spans="6:57">
      <c r="F312" s="9"/>
      <c r="G312" s="22">
        <v>0.30929600000000002</v>
      </c>
      <c r="H312" s="22">
        <v>8.2067599999999992</v>
      </c>
      <c r="I312" s="22">
        <v>-1.40961E-2</v>
      </c>
      <c r="J312" s="22">
        <v>302</v>
      </c>
      <c r="K312" s="22">
        <v>0.30856299999999998</v>
      </c>
      <c r="L312">
        <f t="shared" si="48"/>
        <v>17.40259259259259</v>
      </c>
      <c r="M312">
        <f t="shared" si="49"/>
        <v>5.382552278518518</v>
      </c>
      <c r="N312" s="9"/>
      <c r="O312" s="22">
        <v>1.42075</v>
      </c>
      <c r="P312" s="22">
        <v>12.086399999999999</v>
      </c>
      <c r="Q312" s="22">
        <v>-1.32324E-2</v>
      </c>
      <c r="R312" s="22">
        <v>302</v>
      </c>
      <c r="S312" s="22">
        <v>1.41998</v>
      </c>
      <c r="T312">
        <f t="shared" si="50"/>
        <v>16.336296296296297</v>
      </c>
      <c r="U312">
        <f t="shared" si="51"/>
        <v>23.209792962962965</v>
      </c>
      <c r="X312" s="9"/>
      <c r="Y312" s="22">
        <v>0.30929600000000002</v>
      </c>
      <c r="Z312" s="22">
        <v>17.701000000000001</v>
      </c>
      <c r="AA312" s="22">
        <v>-1.4202899999999999E-2</v>
      </c>
      <c r="AB312" s="22">
        <v>302</v>
      </c>
      <c r="AC312" s="22">
        <v>0.30856299999999998</v>
      </c>
      <c r="AD312">
        <f t="shared" si="52"/>
        <v>17.534444444444443</v>
      </c>
      <c r="AE312">
        <f t="shared" si="53"/>
        <v>5.4233335288888886</v>
      </c>
      <c r="AF312" s="9"/>
      <c r="AG312" s="22">
        <v>1.42075</v>
      </c>
      <c r="AH312" s="22">
        <v>21.5806</v>
      </c>
      <c r="AI312" s="22">
        <v>-1.3262899999999999E-2</v>
      </c>
      <c r="AJ312" s="22">
        <v>302</v>
      </c>
      <c r="AK312" s="22">
        <v>1.41998</v>
      </c>
      <c r="AL312">
        <f t="shared" si="54"/>
        <v>16.373950617283949</v>
      </c>
      <c r="AM312">
        <f t="shared" si="55"/>
        <v>23.26329033950617</v>
      </c>
      <c r="AP312" s="9"/>
      <c r="AQ312" s="22">
        <v>0.30929600000000002</v>
      </c>
      <c r="AR312" s="22">
        <v>27.110199999999999</v>
      </c>
      <c r="AS312" s="22">
        <v>-1.4208999999999999E-2</v>
      </c>
      <c r="AT312" s="22">
        <v>302</v>
      </c>
      <c r="AU312" s="22">
        <v>0.30865500000000001</v>
      </c>
      <c r="AV312">
        <f t="shared" si="56"/>
        <v>17.541975308641973</v>
      </c>
      <c r="AW312">
        <f t="shared" si="57"/>
        <v>5.4256627950617284</v>
      </c>
      <c r="AX312" s="9"/>
      <c r="AY312" s="22">
        <v>1.42075</v>
      </c>
      <c r="AZ312" s="22">
        <v>30.989799999999999</v>
      </c>
      <c r="BA312" s="22">
        <v>-1.32782E-2</v>
      </c>
      <c r="BB312" s="22">
        <v>302</v>
      </c>
      <c r="BC312" s="22">
        <v>1.41998</v>
      </c>
      <c r="BD312">
        <f t="shared" si="58"/>
        <v>16.392839506172837</v>
      </c>
      <c r="BE312">
        <f t="shared" si="59"/>
        <v>23.290126728395059</v>
      </c>
    </row>
    <row r="313" spans="6:57">
      <c r="F313" s="9"/>
      <c r="G313" s="22">
        <v>0.30425999999999997</v>
      </c>
      <c r="H313" s="22">
        <v>8.2168299999999999</v>
      </c>
      <c r="I313" s="22">
        <v>-1.409E-2</v>
      </c>
      <c r="J313" s="22">
        <v>303</v>
      </c>
      <c r="K313" s="22">
        <v>0.30355799999999999</v>
      </c>
      <c r="L313">
        <f t="shared" si="48"/>
        <v>17.39506172839506</v>
      </c>
      <c r="M313">
        <f t="shared" si="49"/>
        <v>5.2926214814814809</v>
      </c>
      <c r="N313" s="9"/>
      <c r="O313" s="22">
        <v>1.42578</v>
      </c>
      <c r="P313" s="22">
        <v>12.096500000000001</v>
      </c>
      <c r="Q313" s="22">
        <v>-1.3214099999999999E-2</v>
      </c>
      <c r="R313" s="22">
        <v>303</v>
      </c>
      <c r="S313" s="22">
        <v>1.4248700000000001</v>
      </c>
      <c r="T313">
        <f t="shared" si="50"/>
        <v>16.313703703703702</v>
      </c>
      <c r="U313">
        <f t="shared" si="51"/>
        <v>23.259752466666665</v>
      </c>
      <c r="X313" s="9"/>
      <c r="Y313" s="22">
        <v>0.30425999999999997</v>
      </c>
      <c r="Z313" s="22">
        <v>17.711099999999998</v>
      </c>
      <c r="AA313" s="22">
        <v>-1.4190700000000001E-2</v>
      </c>
      <c r="AB313" s="22">
        <v>303</v>
      </c>
      <c r="AC313" s="22">
        <v>0.30349700000000002</v>
      </c>
      <c r="AD313">
        <f t="shared" si="52"/>
        <v>17.519382716049382</v>
      </c>
      <c r="AE313">
        <f t="shared" si="53"/>
        <v>5.3304473851851846</v>
      </c>
      <c r="AF313" s="9"/>
      <c r="AG313" s="22">
        <v>1.42578</v>
      </c>
      <c r="AH313" s="22">
        <v>21.590699999999998</v>
      </c>
      <c r="AI313" s="22">
        <v>-1.3241599999999999E-2</v>
      </c>
      <c r="AJ313" s="22">
        <v>303</v>
      </c>
      <c r="AK313" s="22">
        <v>1.4248700000000001</v>
      </c>
      <c r="AL313">
        <f t="shared" si="54"/>
        <v>16.347654320987651</v>
      </c>
      <c r="AM313">
        <f t="shared" si="55"/>
        <v>23.308158577777775</v>
      </c>
      <c r="AP313" s="9"/>
      <c r="AQ313" s="22">
        <v>0.30425999999999997</v>
      </c>
      <c r="AR313" s="22">
        <v>27.1203</v>
      </c>
      <c r="AS313" s="22">
        <v>-1.4212000000000001E-2</v>
      </c>
      <c r="AT313" s="22">
        <v>303</v>
      </c>
      <c r="AU313" s="22">
        <v>0.30352800000000002</v>
      </c>
      <c r="AV313">
        <f t="shared" si="56"/>
        <v>17.54567901234568</v>
      </c>
      <c r="AW313">
        <f t="shared" si="57"/>
        <v>5.3384482962962965</v>
      </c>
      <c r="AX313" s="9"/>
      <c r="AY313" s="22">
        <v>1.42578</v>
      </c>
      <c r="AZ313" s="22">
        <v>30.9999</v>
      </c>
      <c r="BA313" s="22">
        <v>-1.3250700000000001E-2</v>
      </c>
      <c r="BB313" s="22">
        <v>303</v>
      </c>
      <c r="BC313" s="22">
        <v>1.4254800000000001</v>
      </c>
      <c r="BD313">
        <f t="shared" si="58"/>
        <v>16.358888888888888</v>
      </c>
      <c r="BE313">
        <f t="shared" si="59"/>
        <v>23.324176600000001</v>
      </c>
    </row>
    <row r="314" spans="6:57">
      <c r="F314" s="9"/>
      <c r="G314" s="22">
        <v>0.29922500000000002</v>
      </c>
      <c r="H314" s="22">
        <v>8.2269100000000002</v>
      </c>
      <c r="I314" s="22">
        <v>-1.40778E-2</v>
      </c>
      <c r="J314" s="22">
        <v>304</v>
      </c>
      <c r="K314" s="22">
        <v>0.29849199999999998</v>
      </c>
      <c r="L314">
        <f t="shared" si="48"/>
        <v>17.38</v>
      </c>
      <c r="M314">
        <f t="shared" si="49"/>
        <v>5.2005305000000002</v>
      </c>
      <c r="N314" s="9"/>
      <c r="O314" s="22">
        <v>1.43082</v>
      </c>
      <c r="P314" s="22">
        <v>12.1065</v>
      </c>
      <c r="Q314" s="22">
        <v>-1.31866E-2</v>
      </c>
      <c r="R314" s="22">
        <v>304</v>
      </c>
      <c r="S314" s="22">
        <v>1.43005</v>
      </c>
      <c r="T314">
        <f t="shared" si="50"/>
        <v>16.279753086419749</v>
      </c>
      <c r="U314">
        <f t="shared" si="51"/>
        <v>23.293396311111106</v>
      </c>
      <c r="X314" s="9"/>
      <c r="Y314" s="22">
        <v>0.29922500000000002</v>
      </c>
      <c r="Z314" s="22">
        <v>17.7211</v>
      </c>
      <c r="AA314" s="22">
        <v>-1.4196800000000001E-2</v>
      </c>
      <c r="AB314" s="22">
        <v>304</v>
      </c>
      <c r="AC314" s="22">
        <v>0.29852299999999998</v>
      </c>
      <c r="AD314">
        <f t="shared" si="52"/>
        <v>17.526913580246916</v>
      </c>
      <c r="AE314">
        <f t="shared" si="53"/>
        <v>5.2444907160493841</v>
      </c>
      <c r="AF314" s="9"/>
      <c r="AG314" s="22">
        <v>1.43082</v>
      </c>
      <c r="AH314" s="22">
        <v>21.6007</v>
      </c>
      <c r="AI314" s="22">
        <v>-1.3214099999999999E-2</v>
      </c>
      <c r="AJ314" s="22">
        <v>304</v>
      </c>
      <c r="AK314" s="22">
        <v>1.42944</v>
      </c>
      <c r="AL314">
        <f t="shared" si="54"/>
        <v>16.313703703703702</v>
      </c>
      <c r="AM314">
        <f t="shared" si="55"/>
        <v>23.341973533333331</v>
      </c>
      <c r="AP314" s="9"/>
      <c r="AQ314" s="22">
        <v>0.29922500000000002</v>
      </c>
      <c r="AR314" s="22">
        <v>27.130400000000002</v>
      </c>
      <c r="AS314" s="22">
        <v>-1.42059E-2</v>
      </c>
      <c r="AT314" s="22">
        <v>304</v>
      </c>
      <c r="AU314" s="22">
        <v>0.29846200000000001</v>
      </c>
      <c r="AV314">
        <f t="shared" si="56"/>
        <v>17.538148148148146</v>
      </c>
      <c r="AW314">
        <f t="shared" si="57"/>
        <v>5.247852379629629</v>
      </c>
      <c r="AX314" s="9"/>
      <c r="AY314" s="22">
        <v>1.43082</v>
      </c>
      <c r="AZ314" s="22">
        <v>31.01</v>
      </c>
      <c r="BA314" s="22">
        <v>-1.32172E-2</v>
      </c>
      <c r="BB314" s="22">
        <v>304</v>
      </c>
      <c r="BC314" s="22">
        <v>1.4303600000000001</v>
      </c>
      <c r="BD314">
        <f t="shared" si="58"/>
        <v>16.317530864197529</v>
      </c>
      <c r="BE314">
        <f t="shared" si="59"/>
        <v>23.347449511111108</v>
      </c>
    </row>
    <row r="315" spans="6:57">
      <c r="F315" s="9"/>
      <c r="G315" s="22">
        <v>0.29418899999999998</v>
      </c>
      <c r="H315" s="22">
        <v>8.2369800000000009</v>
      </c>
      <c r="I315" s="22">
        <v>-1.40778E-2</v>
      </c>
      <c r="J315" s="22">
        <v>305</v>
      </c>
      <c r="K315" s="22">
        <v>0.293549</v>
      </c>
      <c r="L315">
        <f t="shared" si="48"/>
        <v>17.38</v>
      </c>
      <c r="M315">
        <f t="shared" si="49"/>
        <v>5.1130048199999996</v>
      </c>
      <c r="N315" s="9"/>
      <c r="O315" s="22">
        <v>1.4358500000000001</v>
      </c>
      <c r="P315" s="22">
        <v>12.1166</v>
      </c>
      <c r="Q315" s="22">
        <v>-1.31653E-2</v>
      </c>
      <c r="R315" s="22">
        <v>305</v>
      </c>
      <c r="S315" s="22">
        <v>1.4349400000000001</v>
      </c>
      <c r="T315">
        <f t="shared" si="50"/>
        <v>16.253456790123455</v>
      </c>
      <c r="U315">
        <f t="shared" si="51"/>
        <v>23.337525932098764</v>
      </c>
      <c r="X315" s="9"/>
      <c r="Y315" s="22">
        <v>0.29418899999999998</v>
      </c>
      <c r="Z315" s="22">
        <v>17.731200000000001</v>
      </c>
      <c r="AA315" s="22">
        <v>-1.4196800000000001E-2</v>
      </c>
      <c r="AB315" s="22">
        <v>305</v>
      </c>
      <c r="AC315" s="22">
        <v>0.293549</v>
      </c>
      <c r="AD315">
        <f t="shared" si="52"/>
        <v>17.526913580246916</v>
      </c>
      <c r="AE315">
        <f t="shared" si="53"/>
        <v>5.1562251792592599</v>
      </c>
      <c r="AF315" s="9"/>
      <c r="AG315" s="22">
        <v>1.4358500000000001</v>
      </c>
      <c r="AH315" s="22">
        <v>21.610800000000001</v>
      </c>
      <c r="AI315" s="22">
        <v>-1.31897E-2</v>
      </c>
      <c r="AJ315" s="22">
        <v>305</v>
      </c>
      <c r="AK315" s="22">
        <v>1.4352400000000001</v>
      </c>
      <c r="AL315">
        <f t="shared" si="54"/>
        <v>16.28358024691358</v>
      </c>
      <c r="AM315">
        <f t="shared" si="55"/>
        <v>23.380778697530864</v>
      </c>
      <c r="AP315" s="9"/>
      <c r="AQ315" s="22">
        <v>0.29418899999999998</v>
      </c>
      <c r="AR315" s="22">
        <v>27.1404</v>
      </c>
      <c r="AS315" s="22">
        <v>-1.41937E-2</v>
      </c>
      <c r="AT315" s="22">
        <v>305</v>
      </c>
      <c r="AU315" s="22">
        <v>0.293518</v>
      </c>
      <c r="AV315">
        <f t="shared" si="56"/>
        <v>17.523086419753085</v>
      </c>
      <c r="AW315">
        <f t="shared" si="57"/>
        <v>5.1550992707407399</v>
      </c>
      <c r="AX315" s="9"/>
      <c r="AY315" s="22">
        <v>1.4358500000000001</v>
      </c>
      <c r="AZ315" s="22">
        <v>31.02</v>
      </c>
      <c r="BA315" s="22">
        <v>-1.31805E-2</v>
      </c>
      <c r="BB315" s="22">
        <v>305</v>
      </c>
      <c r="BC315" s="22">
        <v>1.4349400000000001</v>
      </c>
      <c r="BD315">
        <f t="shared" si="58"/>
        <v>16.272222222222219</v>
      </c>
      <c r="BE315">
        <f t="shared" si="59"/>
        <v>23.364470277777773</v>
      </c>
    </row>
    <row r="316" spans="6:57">
      <c r="F316" s="9"/>
      <c r="G316" s="22">
        <v>0.28915400000000002</v>
      </c>
      <c r="H316" s="22">
        <v>8.2470499999999998</v>
      </c>
      <c r="I316" s="22">
        <v>-1.40778E-2</v>
      </c>
      <c r="J316" s="22">
        <v>306</v>
      </c>
      <c r="K316" s="22">
        <v>0.28845199999999999</v>
      </c>
      <c r="L316">
        <f t="shared" si="48"/>
        <v>17.38</v>
      </c>
      <c r="M316">
        <f t="shared" si="49"/>
        <v>5.0254965199999999</v>
      </c>
      <c r="N316" s="9"/>
      <c r="O316" s="22">
        <v>1.44089</v>
      </c>
      <c r="P316" s="22">
        <v>12.1267</v>
      </c>
      <c r="Q316" s="22">
        <v>-1.31287E-2</v>
      </c>
      <c r="R316" s="22">
        <v>306</v>
      </c>
      <c r="S316" s="22">
        <v>1.4398200000000001</v>
      </c>
      <c r="T316">
        <f t="shared" si="50"/>
        <v>16.208271604938268</v>
      </c>
      <c r="U316">
        <f t="shared" si="51"/>
        <v>23.354336472839503</v>
      </c>
      <c r="X316" s="9"/>
      <c r="Y316" s="22">
        <v>0.28915400000000002</v>
      </c>
      <c r="Z316" s="22">
        <v>17.741299999999999</v>
      </c>
      <c r="AA316" s="22">
        <v>-1.41998E-2</v>
      </c>
      <c r="AB316" s="22">
        <v>306</v>
      </c>
      <c r="AC316" s="22">
        <v>0.28832999999999998</v>
      </c>
      <c r="AD316">
        <f t="shared" si="52"/>
        <v>17.530617283950615</v>
      </c>
      <c r="AE316">
        <f t="shared" si="53"/>
        <v>5.0690481101234566</v>
      </c>
      <c r="AF316" s="9"/>
      <c r="AG316" s="22">
        <v>1.44089</v>
      </c>
      <c r="AH316" s="22">
        <v>21.620899999999999</v>
      </c>
      <c r="AI316" s="22">
        <v>-1.3159199999999999E-2</v>
      </c>
      <c r="AJ316" s="22">
        <v>306</v>
      </c>
      <c r="AK316" s="22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2">
        <v>0.28915400000000002</v>
      </c>
      <c r="AR316" s="22">
        <v>27.150500000000001</v>
      </c>
      <c r="AS316" s="22">
        <v>-1.4190700000000001E-2</v>
      </c>
      <c r="AT316" s="22">
        <v>306</v>
      </c>
      <c r="AU316" s="22">
        <v>0.28842200000000001</v>
      </c>
      <c r="AV316">
        <f t="shared" si="56"/>
        <v>17.519382716049382</v>
      </c>
      <c r="AW316">
        <f t="shared" si="57"/>
        <v>5.0657995898765433</v>
      </c>
      <c r="AX316" s="9"/>
      <c r="AY316" s="22">
        <v>1.44089</v>
      </c>
      <c r="AZ316" s="22">
        <v>31.030100000000001</v>
      </c>
      <c r="BA316" s="22">
        <v>-1.3159199999999999E-2</v>
      </c>
      <c r="BB316" s="22">
        <v>306</v>
      </c>
      <c r="BC316" s="22">
        <v>1.4404300000000001</v>
      </c>
      <c r="BD316">
        <f t="shared" si="58"/>
        <v>16.245925925925924</v>
      </c>
      <c r="BE316">
        <f t="shared" si="59"/>
        <v>23.408592207407406</v>
      </c>
    </row>
    <row r="317" spans="6:57">
      <c r="F317" s="9"/>
      <c r="G317" s="22">
        <v>0.28411900000000001</v>
      </c>
      <c r="H317" s="22">
        <v>8.2571200000000005</v>
      </c>
      <c r="I317" s="22">
        <v>-1.40839E-2</v>
      </c>
      <c r="J317" s="22">
        <v>307</v>
      </c>
      <c r="K317" s="22">
        <v>0.28338600000000003</v>
      </c>
      <c r="L317">
        <f t="shared" si="48"/>
        <v>17.387530864197529</v>
      </c>
      <c r="M317">
        <f t="shared" si="49"/>
        <v>4.9401278816049379</v>
      </c>
      <c r="N317" s="9"/>
      <c r="O317" s="22">
        <v>1.4459200000000001</v>
      </c>
      <c r="P317" s="22">
        <v>12.136699999999999</v>
      </c>
      <c r="Q317" s="22">
        <v>-1.3091999999999999E-2</v>
      </c>
      <c r="R317" s="22">
        <v>307</v>
      </c>
      <c r="S317" s="22">
        <v>1.4447000000000001</v>
      </c>
      <c r="T317">
        <f t="shared" si="50"/>
        <v>16.162962962962961</v>
      </c>
      <c r="U317">
        <f t="shared" si="51"/>
        <v>23.370351407407405</v>
      </c>
      <c r="X317" s="9"/>
      <c r="Y317" s="22">
        <v>0.28411900000000001</v>
      </c>
      <c r="Z317" s="22">
        <v>17.751300000000001</v>
      </c>
      <c r="AA317" s="22">
        <v>-1.4202899999999999E-2</v>
      </c>
      <c r="AB317" s="22">
        <v>307</v>
      </c>
      <c r="AC317" s="22">
        <v>0.28341699999999997</v>
      </c>
      <c r="AD317">
        <f t="shared" si="52"/>
        <v>17.534444444444443</v>
      </c>
      <c r="AE317">
        <f t="shared" si="53"/>
        <v>4.9818688211111111</v>
      </c>
      <c r="AF317" s="9"/>
      <c r="AG317" s="22">
        <v>1.4459200000000001</v>
      </c>
      <c r="AH317" s="22">
        <v>21.631</v>
      </c>
      <c r="AI317" s="22">
        <v>-1.31317E-2</v>
      </c>
      <c r="AJ317" s="22">
        <v>307</v>
      </c>
      <c r="AK317" s="22">
        <v>1.4447000000000001</v>
      </c>
      <c r="AL317">
        <f t="shared" si="54"/>
        <v>16.211975308641971</v>
      </c>
      <c r="AM317">
        <f t="shared" si="55"/>
        <v>23.441219338271601</v>
      </c>
      <c r="AP317" s="9"/>
      <c r="AQ317" s="22">
        <v>0.28411900000000001</v>
      </c>
      <c r="AR317" s="22">
        <v>27.160599999999999</v>
      </c>
      <c r="AS317" s="22">
        <v>-1.41815E-2</v>
      </c>
      <c r="AT317" s="22">
        <v>307</v>
      </c>
      <c r="AU317" s="22">
        <v>0.28341699999999997</v>
      </c>
      <c r="AV317">
        <f t="shared" si="56"/>
        <v>17.508024691358024</v>
      </c>
      <c r="AW317">
        <f t="shared" si="57"/>
        <v>4.9743624672839504</v>
      </c>
      <c r="AX317" s="9"/>
      <c r="AY317" s="22">
        <v>1.4459200000000001</v>
      </c>
      <c r="AZ317" s="22">
        <v>31.040199999999999</v>
      </c>
      <c r="BA317" s="22">
        <v>-1.3147000000000001E-2</v>
      </c>
      <c r="BB317" s="22">
        <v>307</v>
      </c>
      <c r="BC317" s="22">
        <v>1.4456199999999999</v>
      </c>
      <c r="BD317">
        <f t="shared" si="58"/>
        <v>16.230864197530863</v>
      </c>
      <c r="BE317">
        <f t="shared" si="59"/>
        <v>23.468531160493828</v>
      </c>
    </row>
    <row r="318" spans="6:57">
      <c r="F318" s="9"/>
      <c r="G318" s="22">
        <v>0.27908300000000003</v>
      </c>
      <c r="H318" s="22">
        <v>8.2671899999999994</v>
      </c>
      <c r="I318" s="22">
        <v>-1.4086899999999999E-2</v>
      </c>
      <c r="J318" s="22">
        <v>308</v>
      </c>
      <c r="K318" s="22">
        <v>0.27838099999999999</v>
      </c>
      <c r="L318">
        <f t="shared" si="48"/>
        <v>17.391234567901233</v>
      </c>
      <c r="M318">
        <f t="shared" si="49"/>
        <v>4.8535979169135803</v>
      </c>
      <c r="N318" s="9"/>
      <c r="O318" s="22">
        <v>1.45096</v>
      </c>
      <c r="P318" s="22">
        <v>12.146800000000001</v>
      </c>
      <c r="Q318" s="22">
        <v>-1.30554E-2</v>
      </c>
      <c r="R318" s="22">
        <v>308</v>
      </c>
      <c r="S318" s="22">
        <v>1.4501999999999999</v>
      </c>
      <c r="T318">
        <f t="shared" si="50"/>
        <v>16.117777777777775</v>
      </c>
      <c r="U318">
        <f t="shared" si="51"/>
        <v>23.38625084444444</v>
      </c>
      <c r="X318" s="9"/>
      <c r="Y318" s="22">
        <v>0.27908300000000003</v>
      </c>
      <c r="Z318" s="22">
        <v>17.761399999999998</v>
      </c>
      <c r="AA318" s="22">
        <v>-1.4196800000000001E-2</v>
      </c>
      <c r="AB318" s="22">
        <v>308</v>
      </c>
      <c r="AC318" s="22">
        <v>0.27835100000000002</v>
      </c>
      <c r="AD318">
        <f t="shared" si="52"/>
        <v>17.526913580246916</v>
      </c>
      <c r="AE318">
        <f t="shared" si="53"/>
        <v>4.8914636227160502</v>
      </c>
      <c r="AF318" s="9"/>
      <c r="AG318" s="22">
        <v>1.45096</v>
      </c>
      <c r="AH318" s="22">
        <v>21.640999999999998</v>
      </c>
      <c r="AI318" s="22">
        <v>-1.31042E-2</v>
      </c>
      <c r="AJ318" s="22">
        <v>308</v>
      </c>
      <c r="AK318" s="22">
        <v>1.4501999999999999</v>
      </c>
      <c r="AL318">
        <f t="shared" si="54"/>
        <v>16.178024691358022</v>
      </c>
      <c r="AM318">
        <f t="shared" si="55"/>
        <v>23.473666706172835</v>
      </c>
      <c r="AP318" s="9"/>
      <c r="AQ318" s="22">
        <v>0.27908300000000003</v>
      </c>
      <c r="AR318" s="22">
        <v>27.1706</v>
      </c>
      <c r="AS318" s="22">
        <v>-1.4190700000000001E-2</v>
      </c>
      <c r="AT318" s="22">
        <v>308</v>
      </c>
      <c r="AU318" s="22">
        <v>0.27835100000000002</v>
      </c>
      <c r="AV318">
        <f t="shared" si="56"/>
        <v>17.519382716049382</v>
      </c>
      <c r="AW318">
        <f t="shared" si="57"/>
        <v>4.8893618865432105</v>
      </c>
      <c r="AX318" s="9"/>
      <c r="AY318" s="22">
        <v>1.45096</v>
      </c>
      <c r="AZ318" s="22">
        <v>31.0503</v>
      </c>
      <c r="BA318" s="22">
        <v>-1.3125599999999999E-2</v>
      </c>
      <c r="BB318" s="22">
        <v>308</v>
      </c>
      <c r="BC318" s="22">
        <v>1.4498899999999999</v>
      </c>
      <c r="BD318">
        <f t="shared" si="58"/>
        <v>16.204444444444441</v>
      </c>
      <c r="BE318">
        <f t="shared" si="59"/>
        <v>23.512000711111106</v>
      </c>
    </row>
    <row r="319" spans="6:57">
      <c r="F319" s="9"/>
      <c r="G319" s="22">
        <v>0.27404800000000001</v>
      </c>
      <c r="H319" s="22">
        <v>8.2772600000000001</v>
      </c>
      <c r="I319" s="22">
        <v>-1.4093E-2</v>
      </c>
      <c r="J319" s="22">
        <v>309</v>
      </c>
      <c r="K319" s="22">
        <v>0.27340700000000001</v>
      </c>
      <c r="L319">
        <f t="shared" si="48"/>
        <v>17.398765432098763</v>
      </c>
      <c r="M319">
        <f t="shared" si="49"/>
        <v>4.7680968691358023</v>
      </c>
      <c r="N319" s="9"/>
      <c r="O319" s="22">
        <v>1.4559899999999999</v>
      </c>
      <c r="P319" s="22">
        <v>12.1569</v>
      </c>
      <c r="Q319" s="22">
        <v>-1.3024900000000001E-2</v>
      </c>
      <c r="R319" s="22">
        <v>309</v>
      </c>
      <c r="S319" s="22">
        <v>1.4547699999999999</v>
      </c>
      <c r="T319">
        <f t="shared" si="50"/>
        <v>16.080123456790126</v>
      </c>
      <c r="U319">
        <f t="shared" si="51"/>
        <v>23.412498951851855</v>
      </c>
      <c r="X319" s="9"/>
      <c r="Y319" s="22">
        <v>0.27404800000000001</v>
      </c>
      <c r="Z319" s="22">
        <v>17.7715</v>
      </c>
      <c r="AA319" s="22">
        <v>-1.4202899999999999E-2</v>
      </c>
      <c r="AB319" s="22">
        <v>309</v>
      </c>
      <c r="AC319" s="22">
        <v>0.27340700000000001</v>
      </c>
      <c r="AD319">
        <f t="shared" si="52"/>
        <v>17.534444444444443</v>
      </c>
      <c r="AE319">
        <f t="shared" si="53"/>
        <v>4.8052794311111109</v>
      </c>
      <c r="AF319" s="9"/>
      <c r="AG319" s="22">
        <v>1.4559899999999999</v>
      </c>
      <c r="AH319" s="22">
        <v>21.6511</v>
      </c>
      <c r="AI319" s="22">
        <v>-1.3070699999999999E-2</v>
      </c>
      <c r="AJ319" s="22">
        <v>309</v>
      </c>
      <c r="AK319" s="22">
        <v>1.4553799999999999</v>
      </c>
      <c r="AL319">
        <f t="shared" si="54"/>
        <v>16.136666666666663</v>
      </c>
      <c r="AM319">
        <f t="shared" si="55"/>
        <v>23.494825299999992</v>
      </c>
      <c r="AP319" s="9"/>
      <c r="AQ319" s="22">
        <v>0.27404800000000001</v>
      </c>
      <c r="AR319" s="22">
        <v>27.180700000000002</v>
      </c>
      <c r="AS319" s="22">
        <v>-1.41937E-2</v>
      </c>
      <c r="AT319" s="22">
        <v>309</v>
      </c>
      <c r="AU319" s="22">
        <v>0.27334599999999998</v>
      </c>
      <c r="AV319">
        <f t="shared" si="56"/>
        <v>17.523086419753085</v>
      </c>
      <c r="AW319">
        <f t="shared" si="57"/>
        <v>4.8021667871604938</v>
      </c>
      <c r="AX319" s="9"/>
      <c r="AY319" s="22">
        <v>1.4559899999999999</v>
      </c>
      <c r="AZ319" s="22">
        <v>31.060300000000002</v>
      </c>
      <c r="BA319" s="22">
        <v>-1.30981E-2</v>
      </c>
      <c r="BB319" s="22">
        <v>309</v>
      </c>
      <c r="BC319" s="22">
        <v>1.4550799999999999</v>
      </c>
      <c r="BD319">
        <f t="shared" si="58"/>
        <v>16.170493827160495</v>
      </c>
      <c r="BE319">
        <f t="shared" si="59"/>
        <v>23.544077307407409</v>
      </c>
    </row>
    <row r="320" spans="6:57">
      <c r="F320" s="9"/>
      <c r="G320" s="22">
        <v>0.26901199999999997</v>
      </c>
      <c r="H320" s="22">
        <v>8.2873300000000008</v>
      </c>
      <c r="I320" s="22">
        <v>-1.40961E-2</v>
      </c>
      <c r="J320" s="22">
        <v>310</v>
      </c>
      <c r="K320" s="22">
        <v>0.26831100000000002</v>
      </c>
      <c r="L320">
        <f t="shared" si="48"/>
        <v>17.40259259259259</v>
      </c>
      <c r="M320">
        <f t="shared" si="49"/>
        <v>4.6815062385185175</v>
      </c>
      <c r="N320" s="9"/>
      <c r="O320" s="22">
        <v>1.4610300000000001</v>
      </c>
      <c r="P320" s="22">
        <v>12.1669</v>
      </c>
      <c r="Q320" s="22">
        <v>-1.3003499999999999E-2</v>
      </c>
      <c r="R320" s="22">
        <v>310</v>
      </c>
      <c r="S320" s="22">
        <v>1.45966</v>
      </c>
      <c r="T320">
        <f t="shared" si="50"/>
        <v>16.0537037037037</v>
      </c>
      <c r="U320">
        <f t="shared" si="51"/>
        <v>23.454942722222217</v>
      </c>
      <c r="X320" s="9"/>
      <c r="Y320" s="22">
        <v>0.26901199999999997</v>
      </c>
      <c r="Z320" s="22">
        <v>17.781600000000001</v>
      </c>
      <c r="AA320" s="22">
        <v>-1.4202899999999999E-2</v>
      </c>
      <c r="AB320" s="22">
        <v>310</v>
      </c>
      <c r="AC320" s="22">
        <v>0.26831100000000002</v>
      </c>
      <c r="AD320">
        <f t="shared" si="52"/>
        <v>17.534444444444443</v>
      </c>
      <c r="AE320">
        <f t="shared" si="53"/>
        <v>4.7169759688888879</v>
      </c>
      <c r="AF320" s="9"/>
      <c r="AG320" s="22">
        <v>1.4610300000000001</v>
      </c>
      <c r="AH320" s="22">
        <v>21.661200000000001</v>
      </c>
      <c r="AI320" s="22">
        <v>-1.30341E-2</v>
      </c>
      <c r="AJ320" s="22">
        <v>310</v>
      </c>
      <c r="AK320" s="22">
        <v>1.4599599999999999</v>
      </c>
      <c r="AL320">
        <f t="shared" si="54"/>
        <v>16.09148148148148</v>
      </c>
      <c r="AM320">
        <f t="shared" si="55"/>
        <v>23.510137188888887</v>
      </c>
      <c r="AP320" s="9"/>
      <c r="AQ320" s="22">
        <v>0.26901199999999997</v>
      </c>
      <c r="AR320" s="22">
        <v>27.190799999999999</v>
      </c>
      <c r="AS320" s="22">
        <v>-1.4202899999999999E-2</v>
      </c>
      <c r="AT320" s="22">
        <v>310</v>
      </c>
      <c r="AU320" s="22">
        <v>0.268372</v>
      </c>
      <c r="AV320">
        <f t="shared" si="56"/>
        <v>17.534444444444443</v>
      </c>
      <c r="AW320">
        <f t="shared" si="57"/>
        <v>4.7169759688888879</v>
      </c>
      <c r="AX320" s="9"/>
      <c r="AY320" s="22">
        <v>1.4610300000000001</v>
      </c>
      <c r="AZ320" s="22">
        <v>31.070399999999999</v>
      </c>
      <c r="BA320" s="22">
        <v>-1.30676E-2</v>
      </c>
      <c r="BB320" s="22">
        <v>310</v>
      </c>
      <c r="BC320" s="22">
        <v>1.4599599999999999</v>
      </c>
      <c r="BD320">
        <f t="shared" si="58"/>
        <v>16.132839506172839</v>
      </c>
      <c r="BE320">
        <f t="shared" si="59"/>
        <v>23.570562503703705</v>
      </c>
    </row>
    <row r="321" spans="6:57">
      <c r="F321" s="9"/>
      <c r="G321" s="22">
        <v>0.26397700000000002</v>
      </c>
      <c r="H321" s="22">
        <v>8.2973999999999997</v>
      </c>
      <c r="I321" s="22">
        <v>-1.4108300000000001E-2</v>
      </c>
      <c r="J321" s="22">
        <v>311</v>
      </c>
      <c r="K321" s="22">
        <v>0.26327499999999998</v>
      </c>
      <c r="L321">
        <f t="shared" si="48"/>
        <v>17.417654320987655</v>
      </c>
      <c r="M321">
        <f t="shared" si="49"/>
        <v>4.5978601346913583</v>
      </c>
      <c r="N321" s="9"/>
      <c r="O321" s="22">
        <v>1.4660599999999999</v>
      </c>
      <c r="P321" s="22">
        <v>12.177</v>
      </c>
      <c r="Q321" s="22">
        <v>-1.2976100000000001E-2</v>
      </c>
      <c r="R321" s="22">
        <v>311</v>
      </c>
      <c r="S321" s="22">
        <v>1.4654499999999999</v>
      </c>
      <c r="T321">
        <f t="shared" si="50"/>
        <v>16.019876543209875</v>
      </c>
      <c r="U321">
        <f t="shared" si="51"/>
        <v>23.486100204938268</v>
      </c>
      <c r="X321" s="9"/>
      <c r="Y321" s="22">
        <v>0.26397700000000002</v>
      </c>
      <c r="Z321" s="22">
        <v>17.791599999999999</v>
      </c>
      <c r="AA321" s="22">
        <v>-1.4196800000000001E-2</v>
      </c>
      <c r="AB321" s="22">
        <v>311</v>
      </c>
      <c r="AC321" s="22">
        <v>0.26333600000000001</v>
      </c>
      <c r="AD321">
        <f t="shared" si="52"/>
        <v>17.526913580246916</v>
      </c>
      <c r="AE321">
        <f t="shared" si="53"/>
        <v>4.6267020661728404</v>
      </c>
      <c r="AF321" s="9"/>
      <c r="AG321" s="22">
        <v>1.4660599999999999</v>
      </c>
      <c r="AH321" s="22">
        <v>21.671199999999999</v>
      </c>
      <c r="AI321" s="22">
        <v>-1.30005E-2</v>
      </c>
      <c r="AJ321" s="22">
        <v>311</v>
      </c>
      <c r="AK321" s="22">
        <v>1.46515</v>
      </c>
      <c r="AL321">
        <f t="shared" si="54"/>
        <v>16.049999999999997</v>
      </c>
      <c r="AM321">
        <f t="shared" si="55"/>
        <v>23.530262999999994</v>
      </c>
      <c r="AP321" s="9"/>
      <c r="AQ321" s="22">
        <v>0.26397700000000002</v>
      </c>
      <c r="AR321" s="22">
        <v>27.200900000000001</v>
      </c>
      <c r="AS321" s="22">
        <v>-1.4202899999999999E-2</v>
      </c>
      <c r="AT321" s="22">
        <v>311</v>
      </c>
      <c r="AU321" s="22">
        <v>0.26330599999999998</v>
      </c>
      <c r="AV321">
        <f t="shared" si="56"/>
        <v>17.534444444444443</v>
      </c>
      <c r="AW321">
        <f t="shared" si="57"/>
        <v>4.6286900411111107</v>
      </c>
      <c r="AX321" s="9"/>
      <c r="AY321" s="22">
        <v>1.4660599999999999</v>
      </c>
      <c r="AZ321" s="22">
        <v>31.080500000000001</v>
      </c>
      <c r="BA321" s="22">
        <v>-1.30402E-2</v>
      </c>
      <c r="BB321" s="22">
        <v>311</v>
      </c>
      <c r="BC321" s="22">
        <v>1.46515</v>
      </c>
      <c r="BD321">
        <f t="shared" si="58"/>
        <v>16.099012345679011</v>
      </c>
      <c r="BE321">
        <f t="shared" si="59"/>
        <v>23.60211803950617</v>
      </c>
    </row>
    <row r="322" spans="6:57">
      <c r="F322" s="9"/>
      <c r="G322" s="22">
        <v>0.25894200000000001</v>
      </c>
      <c r="H322" s="22">
        <v>8.3074700000000004</v>
      </c>
      <c r="I322" s="22">
        <v>-1.4120499999999999E-2</v>
      </c>
      <c r="J322" s="22">
        <v>312</v>
      </c>
      <c r="K322" s="22">
        <v>0.25824000000000003</v>
      </c>
      <c r="L322">
        <f t="shared" si="48"/>
        <v>17.432716049382716</v>
      </c>
      <c r="M322">
        <f t="shared" si="49"/>
        <v>4.5140623592592597</v>
      </c>
      <c r="N322" s="9"/>
      <c r="O322" s="22">
        <v>1.4711000000000001</v>
      </c>
      <c r="P322" s="22">
        <v>12.187099999999999</v>
      </c>
      <c r="Q322" s="22">
        <v>-1.29517E-2</v>
      </c>
      <c r="R322" s="22">
        <v>312</v>
      </c>
      <c r="S322" s="22">
        <v>1.4706399999999999</v>
      </c>
      <c r="T322">
        <f t="shared" si="50"/>
        <v>15.989753086419752</v>
      </c>
      <c r="U322">
        <f t="shared" si="51"/>
        <v>23.522525765432096</v>
      </c>
      <c r="X322" s="9"/>
      <c r="Y322" s="22">
        <v>0.25894200000000001</v>
      </c>
      <c r="Z322" s="22">
        <v>17.8017</v>
      </c>
      <c r="AA322" s="22">
        <v>-1.4190700000000001E-2</v>
      </c>
      <c r="AB322" s="22">
        <v>312</v>
      </c>
      <c r="AC322" s="22">
        <v>0.25827</v>
      </c>
      <c r="AD322">
        <f t="shared" si="52"/>
        <v>17.519382716049382</v>
      </c>
      <c r="AE322">
        <f t="shared" si="53"/>
        <v>4.5365039992592591</v>
      </c>
      <c r="AF322" s="9"/>
      <c r="AG322" s="22">
        <v>1.4711000000000001</v>
      </c>
      <c r="AH322" s="22">
        <v>21.6813</v>
      </c>
      <c r="AI322" s="22">
        <v>-1.29791E-2</v>
      </c>
      <c r="AJ322" s="22">
        <v>312</v>
      </c>
      <c r="AK322" s="22">
        <v>1.4700299999999999</v>
      </c>
      <c r="AL322">
        <f t="shared" si="54"/>
        <v>16.023580246913578</v>
      </c>
      <c r="AM322">
        <f t="shared" si="55"/>
        <v>23.572288901234565</v>
      </c>
      <c r="AP322" s="9"/>
      <c r="AQ322" s="22">
        <v>0.25894200000000001</v>
      </c>
      <c r="AR322" s="22">
        <v>27.210899999999999</v>
      </c>
      <c r="AS322" s="22">
        <v>-1.42059E-2</v>
      </c>
      <c r="AT322" s="22">
        <v>312</v>
      </c>
      <c r="AU322" s="22">
        <v>0.25827</v>
      </c>
      <c r="AV322">
        <f t="shared" si="56"/>
        <v>17.538148148148146</v>
      </c>
      <c r="AW322">
        <f t="shared" si="57"/>
        <v>4.5413631577777771</v>
      </c>
      <c r="AX322" s="9"/>
      <c r="AY322" s="22">
        <v>1.4711000000000001</v>
      </c>
      <c r="AZ322" s="22">
        <v>31.090499999999999</v>
      </c>
      <c r="BA322" s="22">
        <v>-1.30127E-2</v>
      </c>
      <c r="BB322" s="22">
        <v>312</v>
      </c>
      <c r="BC322" s="22">
        <v>1.4706399999999999</v>
      </c>
      <c r="BD322">
        <f t="shared" si="58"/>
        <v>16.065061728395062</v>
      </c>
      <c r="BE322">
        <f t="shared" si="59"/>
        <v>23.633312308641976</v>
      </c>
    </row>
    <row r="323" spans="6:57">
      <c r="F323" s="9"/>
      <c r="G323" s="22">
        <v>0.25390600000000002</v>
      </c>
      <c r="H323" s="22">
        <v>8.3175399999999993</v>
      </c>
      <c r="I323" s="22">
        <v>-1.41327E-2</v>
      </c>
      <c r="J323" s="22">
        <v>313</v>
      </c>
      <c r="K323" s="22">
        <v>0.25320399999999998</v>
      </c>
      <c r="L323">
        <f t="shared" si="48"/>
        <v>17.447777777777777</v>
      </c>
      <c r="M323">
        <f t="shared" si="49"/>
        <v>4.4300954644444444</v>
      </c>
      <c r="N323" s="9"/>
      <c r="O323" s="22">
        <v>1.47614</v>
      </c>
      <c r="P323" s="22">
        <v>12.1972</v>
      </c>
      <c r="Q323" s="22">
        <v>-1.29211E-2</v>
      </c>
      <c r="R323" s="22">
        <v>313</v>
      </c>
      <c r="S323" s="22">
        <v>1.47461</v>
      </c>
      <c r="T323">
        <f t="shared" si="50"/>
        <v>15.951975308641973</v>
      </c>
      <c r="U323">
        <f t="shared" si="51"/>
        <v>23.547348832098763</v>
      </c>
      <c r="X323" s="9"/>
      <c r="Y323" s="22">
        <v>0.25390600000000002</v>
      </c>
      <c r="Z323" s="22">
        <v>17.811800000000002</v>
      </c>
      <c r="AA323" s="22">
        <v>-1.4190700000000001E-2</v>
      </c>
      <c r="AB323" s="22">
        <v>313</v>
      </c>
      <c r="AC323" s="22">
        <v>0.25320399999999998</v>
      </c>
      <c r="AD323">
        <f t="shared" si="52"/>
        <v>17.519382716049382</v>
      </c>
      <c r="AE323">
        <f t="shared" si="53"/>
        <v>4.4482763879012346</v>
      </c>
      <c r="AF323" s="9"/>
      <c r="AG323" s="22">
        <v>1.47614</v>
      </c>
      <c r="AH323" s="22">
        <v>21.691400000000002</v>
      </c>
      <c r="AI323" s="22">
        <v>-1.29547E-2</v>
      </c>
      <c r="AJ323" s="22">
        <v>313</v>
      </c>
      <c r="AK323" s="22">
        <v>1.47522</v>
      </c>
      <c r="AL323">
        <f t="shared" si="54"/>
        <v>15.993456790123457</v>
      </c>
      <c r="AM323">
        <f t="shared" si="55"/>
        <v>23.608581306172841</v>
      </c>
      <c r="AP323" s="9"/>
      <c r="AQ323" s="22">
        <v>0.25390600000000002</v>
      </c>
      <c r="AR323" s="22">
        <v>27.221</v>
      </c>
      <c r="AS323" s="22">
        <v>-1.4208999999999999E-2</v>
      </c>
      <c r="AT323" s="22">
        <v>313</v>
      </c>
      <c r="AU323" s="22">
        <v>0.25314300000000001</v>
      </c>
      <c r="AV323">
        <f t="shared" si="56"/>
        <v>17.541975308641973</v>
      </c>
      <c r="AW323">
        <f t="shared" si="57"/>
        <v>4.4540127827160489</v>
      </c>
      <c r="AX323" s="9"/>
      <c r="AY323" s="22">
        <v>1.47614</v>
      </c>
      <c r="AZ323" s="22">
        <v>31.1006</v>
      </c>
      <c r="BA323" s="22">
        <v>-1.2991300000000001E-2</v>
      </c>
      <c r="BB323" s="22">
        <v>313</v>
      </c>
      <c r="BC323" s="22">
        <v>1.4749099999999999</v>
      </c>
      <c r="BD323">
        <f t="shared" si="58"/>
        <v>16.038641975308643</v>
      </c>
      <c r="BE323">
        <f t="shared" si="59"/>
        <v>23.675280965432101</v>
      </c>
    </row>
    <row r="324" spans="6:57">
      <c r="F324" s="9"/>
      <c r="G324" s="22">
        <v>0.24887100000000001</v>
      </c>
      <c r="H324" s="22">
        <v>8.3276199999999996</v>
      </c>
      <c r="I324" s="22">
        <v>-1.41479E-2</v>
      </c>
      <c r="J324" s="22">
        <v>314</v>
      </c>
      <c r="K324" s="22">
        <v>0.24826000000000001</v>
      </c>
      <c r="L324">
        <f t="shared" si="48"/>
        <v>17.466543209876541</v>
      </c>
      <c r="M324">
        <f t="shared" si="49"/>
        <v>4.3469160751851845</v>
      </c>
      <c r="N324" s="9"/>
      <c r="O324" s="22">
        <v>1.4811700000000001</v>
      </c>
      <c r="P324" s="22">
        <v>12.2072</v>
      </c>
      <c r="Q324" s="22">
        <v>-1.2887600000000001E-2</v>
      </c>
      <c r="R324" s="22">
        <v>314</v>
      </c>
      <c r="S324" s="22">
        <v>1.48041</v>
      </c>
      <c r="T324">
        <f t="shared" si="50"/>
        <v>15.910617283950618</v>
      </c>
      <c r="U324">
        <f t="shared" si="51"/>
        <v>23.566329002469139</v>
      </c>
      <c r="X324" s="9"/>
      <c r="Y324" s="22">
        <v>0.24887100000000001</v>
      </c>
      <c r="Z324" s="22">
        <v>17.8218</v>
      </c>
      <c r="AA324" s="22">
        <v>-1.4190700000000001E-2</v>
      </c>
      <c r="AB324" s="22">
        <v>314</v>
      </c>
      <c r="AC324" s="22">
        <v>0.24823000000000001</v>
      </c>
      <c r="AD324">
        <f t="shared" si="52"/>
        <v>17.519382716049382</v>
      </c>
      <c r="AE324">
        <f t="shared" si="53"/>
        <v>4.3600662959259262</v>
      </c>
      <c r="AF324" s="9"/>
      <c r="AG324" s="22">
        <v>1.4811700000000001</v>
      </c>
      <c r="AH324" s="22">
        <v>21.701499999999999</v>
      </c>
      <c r="AI324" s="22">
        <v>-1.29272E-2</v>
      </c>
      <c r="AJ324" s="22">
        <v>314</v>
      </c>
      <c r="AK324" s="22">
        <v>1.4801</v>
      </c>
      <c r="AL324">
        <f t="shared" si="54"/>
        <v>15.959506172839506</v>
      </c>
      <c r="AM324">
        <f t="shared" si="55"/>
        <v>23.638741758024693</v>
      </c>
      <c r="AP324" s="9"/>
      <c r="AQ324" s="22">
        <v>0.24887100000000001</v>
      </c>
      <c r="AR324" s="22">
        <v>27.231100000000001</v>
      </c>
      <c r="AS324" s="22">
        <v>-1.4212000000000001E-2</v>
      </c>
      <c r="AT324" s="22">
        <v>314</v>
      </c>
      <c r="AU324" s="22">
        <v>0.248169</v>
      </c>
      <c r="AV324">
        <f t="shared" si="56"/>
        <v>17.54567901234568</v>
      </c>
      <c r="AW324">
        <f t="shared" si="57"/>
        <v>4.3666106814814816</v>
      </c>
      <c r="AX324" s="9"/>
      <c r="AY324" s="22">
        <v>1.4811700000000001</v>
      </c>
      <c r="AZ324" s="22">
        <v>31.110700000000001</v>
      </c>
      <c r="BA324" s="22">
        <v>-1.29578E-2</v>
      </c>
      <c r="BB324" s="22">
        <v>314</v>
      </c>
      <c r="BC324" s="22">
        <v>1.48041</v>
      </c>
      <c r="BD324">
        <f t="shared" si="58"/>
        <v>15.997283950617284</v>
      </c>
      <c r="BE324">
        <f t="shared" si="59"/>
        <v>23.694697069135803</v>
      </c>
    </row>
    <row r="325" spans="6:57">
      <c r="F325" s="9"/>
      <c r="G325" s="22">
        <v>0.243835</v>
      </c>
      <c r="H325" s="22">
        <v>8.3376900000000003</v>
      </c>
      <c r="I325" s="22">
        <v>-1.4154099999999999E-2</v>
      </c>
      <c r="J325" s="22">
        <v>315</v>
      </c>
      <c r="K325" s="22">
        <v>0.24319499999999999</v>
      </c>
      <c r="L325">
        <f t="shared" si="48"/>
        <v>17.474197530864195</v>
      </c>
      <c r="M325">
        <f t="shared" si="49"/>
        <v>4.2608209549382714</v>
      </c>
      <c r="N325" s="9"/>
      <c r="O325" s="22">
        <v>1.48621</v>
      </c>
      <c r="P325" s="22">
        <v>12.2173</v>
      </c>
      <c r="Q325" s="22">
        <v>-1.28632E-2</v>
      </c>
      <c r="R325" s="22">
        <v>315</v>
      </c>
      <c r="S325" s="22">
        <v>1.48529</v>
      </c>
      <c r="T325">
        <f t="shared" si="50"/>
        <v>15.880493827160493</v>
      </c>
      <c r="U325">
        <f t="shared" si="51"/>
        <v>23.601748730864195</v>
      </c>
      <c r="X325" s="9"/>
      <c r="Y325" s="22">
        <v>0.243835</v>
      </c>
      <c r="Z325" s="22">
        <v>17.831900000000001</v>
      </c>
      <c r="AA325" s="22">
        <v>-1.41876E-2</v>
      </c>
      <c r="AB325" s="22">
        <v>315</v>
      </c>
      <c r="AC325" s="22">
        <v>0.24319499999999999</v>
      </c>
      <c r="AD325">
        <f t="shared" si="52"/>
        <v>17.515555555555554</v>
      </c>
      <c r="AE325">
        <f t="shared" si="53"/>
        <v>4.2709054888888884</v>
      </c>
      <c r="AF325" s="9"/>
      <c r="AG325" s="22">
        <v>1.48621</v>
      </c>
      <c r="AH325" s="22">
        <v>21.711500000000001</v>
      </c>
      <c r="AI325" s="22">
        <v>-1.2893699999999999E-2</v>
      </c>
      <c r="AJ325" s="22">
        <v>315</v>
      </c>
      <c r="AK325" s="22">
        <v>1.48529</v>
      </c>
      <c r="AL325">
        <f t="shared" si="54"/>
        <v>15.918148148148147</v>
      </c>
      <c r="AM325">
        <f t="shared" si="55"/>
        <v>23.657710959259258</v>
      </c>
      <c r="AP325" s="9"/>
      <c r="AQ325" s="22">
        <v>0.243835</v>
      </c>
      <c r="AR325" s="22">
        <v>27.241099999999999</v>
      </c>
      <c r="AS325" s="22">
        <v>-1.4208999999999999E-2</v>
      </c>
      <c r="AT325" s="22">
        <v>315</v>
      </c>
      <c r="AU325" s="22">
        <v>0.24316399999999999</v>
      </c>
      <c r="AV325">
        <f t="shared" si="56"/>
        <v>17.541975308641973</v>
      </c>
      <c r="AW325">
        <f t="shared" si="57"/>
        <v>4.2773475493827151</v>
      </c>
      <c r="AX325" s="9"/>
      <c r="AY325" s="22">
        <v>1.48621</v>
      </c>
      <c r="AZ325" s="22">
        <v>31.120799999999999</v>
      </c>
      <c r="BA325" s="22">
        <v>-1.29272E-2</v>
      </c>
      <c r="BB325" s="22">
        <v>315</v>
      </c>
      <c r="BC325" s="22">
        <v>1.48529</v>
      </c>
      <c r="BD325">
        <f t="shared" si="58"/>
        <v>15.959506172839506</v>
      </c>
      <c r="BE325">
        <f t="shared" si="59"/>
        <v>23.719177669135803</v>
      </c>
    </row>
    <row r="326" spans="6:57">
      <c r="F326" s="9"/>
      <c r="G326" s="22">
        <v>0.23880000000000001</v>
      </c>
      <c r="H326" s="22">
        <v>8.3477599999999992</v>
      </c>
      <c r="I326" s="22">
        <v>-1.4157100000000001E-2</v>
      </c>
      <c r="J326" s="22">
        <v>316</v>
      </c>
      <c r="K326" s="22">
        <v>0.23812900000000001</v>
      </c>
      <c r="L326">
        <f t="shared" si="48"/>
        <v>17.477901234567902</v>
      </c>
      <c r="M326">
        <f t="shared" si="49"/>
        <v>4.1737228148148153</v>
      </c>
      <c r="N326" s="9"/>
      <c r="O326" s="22">
        <v>1.4912399999999999</v>
      </c>
      <c r="P326" s="22">
        <v>12.227399999999999</v>
      </c>
      <c r="Q326" s="22">
        <v>-1.2826499999999999E-2</v>
      </c>
      <c r="R326" s="22">
        <v>316</v>
      </c>
      <c r="S326" s="22">
        <v>1.49048</v>
      </c>
      <c r="T326">
        <f t="shared" si="50"/>
        <v>15.835185185185185</v>
      </c>
      <c r="U326">
        <f t="shared" si="51"/>
        <v>23.614061555555555</v>
      </c>
      <c r="X326" s="9"/>
      <c r="Y326" s="22">
        <v>0.23880000000000001</v>
      </c>
      <c r="Z326" s="22">
        <v>17.841999999999999</v>
      </c>
      <c r="AA326" s="22">
        <v>-1.41876E-2</v>
      </c>
      <c r="AB326" s="22">
        <v>316</v>
      </c>
      <c r="AC326" s="22">
        <v>0.23815900000000001</v>
      </c>
      <c r="AD326">
        <f t="shared" si="52"/>
        <v>17.515555555555554</v>
      </c>
      <c r="AE326">
        <f t="shared" si="53"/>
        <v>4.1827146666666666</v>
      </c>
      <c r="AF326" s="9"/>
      <c r="AG326" s="22">
        <v>1.4912399999999999</v>
      </c>
      <c r="AH326" s="22">
        <v>21.721599999999999</v>
      </c>
      <c r="AI326" s="22">
        <v>-1.2851E-2</v>
      </c>
      <c r="AJ326" s="22">
        <v>316</v>
      </c>
      <c r="AK326" s="22">
        <v>1.48987</v>
      </c>
      <c r="AL326">
        <f t="shared" si="54"/>
        <v>15.865432098765432</v>
      </c>
      <c r="AM326">
        <f t="shared" si="55"/>
        <v>23.65916696296296</v>
      </c>
      <c r="AP326" s="9"/>
      <c r="AQ326" s="22">
        <v>0.23880000000000001</v>
      </c>
      <c r="AR326" s="22">
        <v>27.251200000000001</v>
      </c>
      <c r="AS326" s="22">
        <v>-1.4208999999999999E-2</v>
      </c>
      <c r="AT326" s="22">
        <v>316</v>
      </c>
      <c r="AU326" s="22">
        <v>0.23815900000000001</v>
      </c>
      <c r="AV326">
        <f t="shared" si="56"/>
        <v>17.541975308641973</v>
      </c>
      <c r="AW326">
        <f t="shared" si="57"/>
        <v>4.189023703703703</v>
      </c>
      <c r="AX326" s="9"/>
      <c r="AY326" s="22">
        <v>1.4912399999999999</v>
      </c>
      <c r="AZ326" s="22">
        <v>31.130800000000001</v>
      </c>
      <c r="BA326" s="22">
        <v>-1.2899799999999999E-2</v>
      </c>
      <c r="BB326" s="22">
        <v>316</v>
      </c>
      <c r="BC326" s="22">
        <v>1.48987</v>
      </c>
      <c r="BD326">
        <f t="shared" si="58"/>
        <v>15.925679012345679</v>
      </c>
      <c r="BE326">
        <f t="shared" si="59"/>
        <v>23.749009570370369</v>
      </c>
    </row>
    <row r="327" spans="6:57">
      <c r="F327" s="9"/>
      <c r="G327" s="22">
        <v>0.233765</v>
      </c>
      <c r="H327" s="22">
        <v>8.3578299999999999</v>
      </c>
      <c r="I327" s="22">
        <v>-1.4157100000000001E-2</v>
      </c>
      <c r="J327" s="22">
        <v>317</v>
      </c>
      <c r="K327" s="22">
        <v>0.23306299999999999</v>
      </c>
      <c r="L327">
        <f t="shared" si="48"/>
        <v>17.477901234567902</v>
      </c>
      <c r="M327">
        <f t="shared" si="49"/>
        <v>4.085721582098766</v>
      </c>
      <c r="N327" s="9"/>
      <c r="O327" s="22">
        <v>1.4962800000000001</v>
      </c>
      <c r="P327" s="22">
        <v>12.237399999999999</v>
      </c>
      <c r="Q327" s="22">
        <v>-1.2793000000000001E-2</v>
      </c>
      <c r="R327" s="22">
        <v>317</v>
      </c>
      <c r="S327" s="22">
        <v>1.4950600000000001</v>
      </c>
      <c r="T327">
        <f t="shared" si="50"/>
        <v>15.793827160493827</v>
      </c>
      <c r="U327">
        <f t="shared" si="51"/>
        <v>23.631987703703704</v>
      </c>
      <c r="X327" s="9"/>
      <c r="Y327" s="22">
        <v>0.233765</v>
      </c>
      <c r="Z327" s="22">
        <v>17.8521</v>
      </c>
      <c r="AA327" s="22">
        <v>-1.4190700000000001E-2</v>
      </c>
      <c r="AB327" s="22">
        <v>317</v>
      </c>
      <c r="AC327" s="22">
        <v>0.23309299999999999</v>
      </c>
      <c r="AD327">
        <f t="shared" si="52"/>
        <v>17.519382716049382</v>
      </c>
      <c r="AE327">
        <f t="shared" si="53"/>
        <v>4.0954185006172841</v>
      </c>
      <c r="AF327" s="9"/>
      <c r="AG327" s="22">
        <v>1.4962800000000001</v>
      </c>
      <c r="AH327" s="22">
        <v>21.7317</v>
      </c>
      <c r="AI327" s="22">
        <v>-1.28174E-2</v>
      </c>
      <c r="AJ327" s="22">
        <v>317</v>
      </c>
      <c r="AK327" s="22">
        <v>1.4950600000000001</v>
      </c>
      <c r="AL327">
        <f t="shared" si="54"/>
        <v>15.82395061728395</v>
      </c>
      <c r="AM327">
        <f t="shared" si="55"/>
        <v>23.677060829629628</v>
      </c>
      <c r="AP327" s="9"/>
      <c r="AQ327" s="22">
        <v>0.233765</v>
      </c>
      <c r="AR327" s="22">
        <v>27.261299999999999</v>
      </c>
      <c r="AS327" s="22">
        <v>-1.4208999999999999E-2</v>
      </c>
      <c r="AT327" s="22">
        <v>317</v>
      </c>
      <c r="AU327" s="22">
        <v>0.233124</v>
      </c>
      <c r="AV327">
        <f t="shared" si="56"/>
        <v>17.541975308641973</v>
      </c>
      <c r="AW327">
        <f t="shared" si="57"/>
        <v>4.1006998580246909</v>
      </c>
      <c r="AX327" s="9"/>
      <c r="AY327" s="22">
        <v>1.4962800000000001</v>
      </c>
      <c r="AZ327" s="22">
        <v>31.140899999999998</v>
      </c>
      <c r="BA327" s="22">
        <v>-1.28662E-2</v>
      </c>
      <c r="BB327" s="22">
        <v>317</v>
      </c>
      <c r="BC327" s="22">
        <v>1.4950600000000001</v>
      </c>
      <c r="BD327">
        <f t="shared" si="58"/>
        <v>15.884197530864196</v>
      </c>
      <c r="BE327">
        <f t="shared" si="59"/>
        <v>23.76720708148148</v>
      </c>
    </row>
    <row r="328" spans="6:57">
      <c r="F328" s="9"/>
      <c r="G328" s="22">
        <v>0.22872899999999999</v>
      </c>
      <c r="H328" s="22">
        <v>8.3679000000000006</v>
      </c>
      <c r="I328" s="22">
        <v>-1.4163200000000001E-2</v>
      </c>
      <c r="J328" s="22">
        <v>318</v>
      </c>
      <c r="K328" s="22">
        <v>0.22799700000000001</v>
      </c>
      <c r="L328">
        <f t="shared" si="48"/>
        <v>17.485432098765433</v>
      </c>
      <c r="M328">
        <f t="shared" si="49"/>
        <v>3.9994253985185186</v>
      </c>
      <c r="N328" s="9"/>
      <c r="O328" s="22">
        <v>1.5013099999999999</v>
      </c>
      <c r="P328" s="22">
        <v>12.2475</v>
      </c>
      <c r="Q328" s="22">
        <v>-1.27563E-2</v>
      </c>
      <c r="R328" s="22">
        <v>318</v>
      </c>
      <c r="S328" s="22">
        <v>1.5005500000000001</v>
      </c>
      <c r="T328">
        <f t="shared" si="50"/>
        <v>15.748518518518516</v>
      </c>
      <c r="U328">
        <f t="shared" si="51"/>
        <v>23.64340833703703</v>
      </c>
      <c r="X328" s="9"/>
      <c r="Y328" s="22">
        <v>0.22872899999999999</v>
      </c>
      <c r="Z328" s="22">
        <v>17.862100000000002</v>
      </c>
      <c r="AA328" s="22">
        <v>-1.4202899999999999E-2</v>
      </c>
      <c r="AB328" s="22">
        <v>318</v>
      </c>
      <c r="AC328" s="22">
        <v>0.22799700000000001</v>
      </c>
      <c r="AD328">
        <f t="shared" si="52"/>
        <v>17.534444444444443</v>
      </c>
      <c r="AE328">
        <f t="shared" si="53"/>
        <v>4.010635943333333</v>
      </c>
      <c r="AF328" s="9"/>
      <c r="AG328" s="22">
        <v>1.5013099999999999</v>
      </c>
      <c r="AH328" s="22">
        <v>21.741700000000002</v>
      </c>
      <c r="AI328" s="22">
        <v>-1.2777699999999999E-2</v>
      </c>
      <c r="AJ328" s="22">
        <v>318</v>
      </c>
      <c r="AK328" s="22">
        <v>1.50024</v>
      </c>
      <c r="AL328">
        <f t="shared" si="54"/>
        <v>15.774938271604935</v>
      </c>
      <c r="AM328">
        <f t="shared" si="55"/>
        <v>23.683072576543204</v>
      </c>
      <c r="AP328" s="9"/>
      <c r="AQ328" s="22">
        <v>0.22872899999999999</v>
      </c>
      <c r="AR328" s="22">
        <v>27.2714</v>
      </c>
      <c r="AS328" s="22">
        <v>-1.42151E-2</v>
      </c>
      <c r="AT328" s="22">
        <v>318</v>
      </c>
      <c r="AU328" s="22">
        <v>0.22802700000000001</v>
      </c>
      <c r="AV328">
        <f t="shared" si="56"/>
        <v>17.549506172839507</v>
      </c>
      <c r="AW328">
        <f t="shared" si="57"/>
        <v>4.0140809974074072</v>
      </c>
      <c r="AX328" s="9"/>
      <c r="AY328" s="22">
        <v>1.5013099999999999</v>
      </c>
      <c r="AZ328" s="22">
        <v>31.151</v>
      </c>
      <c r="BA328" s="22">
        <v>-1.28296E-2</v>
      </c>
      <c r="BB328" s="22">
        <v>318</v>
      </c>
      <c r="BC328" s="22">
        <v>1.4999400000000001</v>
      </c>
      <c r="BD328">
        <f t="shared" si="58"/>
        <v>15.839012345679013</v>
      </c>
      <c r="BE328">
        <f t="shared" si="59"/>
        <v>23.779267624691357</v>
      </c>
    </row>
    <row r="329" spans="6:57">
      <c r="F329" s="9"/>
      <c r="G329" s="22">
        <v>0.223694</v>
      </c>
      <c r="H329" s="22">
        <v>8.3779699999999995</v>
      </c>
      <c r="I329" s="22">
        <v>-1.4163200000000001E-2</v>
      </c>
      <c r="J329" s="22">
        <v>319</v>
      </c>
      <c r="K329" s="22">
        <v>0.223022</v>
      </c>
      <c r="L329">
        <f t="shared" si="48"/>
        <v>17.485432098765433</v>
      </c>
      <c r="M329">
        <f t="shared" si="49"/>
        <v>3.9113862479012349</v>
      </c>
      <c r="N329" s="9"/>
      <c r="O329" s="22">
        <v>1.5063500000000001</v>
      </c>
      <c r="P329" s="22">
        <v>12.2576</v>
      </c>
      <c r="Q329" s="22">
        <v>-1.27197E-2</v>
      </c>
      <c r="R329" s="22">
        <v>319</v>
      </c>
      <c r="S329" s="22">
        <v>1.50543</v>
      </c>
      <c r="T329">
        <f t="shared" si="50"/>
        <v>15.703333333333333</v>
      </c>
      <c r="U329">
        <f t="shared" si="51"/>
        <v>23.654716166666667</v>
      </c>
      <c r="X329" s="9"/>
      <c r="Y329" s="22">
        <v>0.223694</v>
      </c>
      <c r="Z329" s="22">
        <v>17.872199999999999</v>
      </c>
      <c r="AA329" s="22">
        <v>-1.42059E-2</v>
      </c>
      <c r="AB329" s="22">
        <v>319</v>
      </c>
      <c r="AC329" s="22">
        <v>0.223053</v>
      </c>
      <c r="AD329">
        <f t="shared" si="52"/>
        <v>17.538148148148146</v>
      </c>
      <c r="AE329">
        <f t="shared" si="53"/>
        <v>3.9231785118518512</v>
      </c>
      <c r="AF329" s="9"/>
      <c r="AG329" s="22">
        <v>1.5063500000000001</v>
      </c>
      <c r="AH329" s="22">
        <v>21.751799999999999</v>
      </c>
      <c r="AI329" s="22">
        <v>-1.27411E-2</v>
      </c>
      <c r="AJ329" s="22">
        <v>319</v>
      </c>
      <c r="AK329" s="22">
        <v>1.50543</v>
      </c>
      <c r="AL329">
        <f t="shared" si="54"/>
        <v>15.729753086419752</v>
      </c>
      <c r="AM329">
        <f t="shared" si="55"/>
        <v>23.694513561728396</v>
      </c>
      <c r="AP329" s="9"/>
      <c r="AQ329" s="22">
        <v>0.223694</v>
      </c>
      <c r="AR329" s="22">
        <v>27.281400000000001</v>
      </c>
      <c r="AS329" s="22">
        <v>-1.4208999999999999E-2</v>
      </c>
      <c r="AT329" s="22">
        <v>319</v>
      </c>
      <c r="AU329" s="22">
        <v>0.223053</v>
      </c>
      <c r="AV329">
        <f t="shared" si="56"/>
        <v>17.541975308641973</v>
      </c>
      <c r="AW329">
        <f t="shared" si="57"/>
        <v>3.9240346246913576</v>
      </c>
      <c r="AX329" s="9"/>
      <c r="AY329" s="22">
        <v>1.5063500000000001</v>
      </c>
      <c r="AZ329" s="22">
        <v>31.161000000000001</v>
      </c>
      <c r="BA329" s="22">
        <v>-1.2796E-2</v>
      </c>
      <c r="BB329" s="22">
        <v>319</v>
      </c>
      <c r="BC329" s="22">
        <v>1.50543</v>
      </c>
      <c r="BD329">
        <f t="shared" si="58"/>
        <v>15.79753086419753</v>
      </c>
      <c r="BE329">
        <f t="shared" si="59"/>
        <v>23.79661061728395</v>
      </c>
    </row>
    <row r="330" spans="6:57">
      <c r="F330" s="9"/>
      <c r="G330" s="22">
        <v>0.21865799999999999</v>
      </c>
      <c r="H330" s="22">
        <v>8.3880400000000002</v>
      </c>
      <c r="I330" s="22">
        <v>-1.41602E-2</v>
      </c>
      <c r="J330" s="22">
        <v>320</v>
      </c>
      <c r="K330" s="22">
        <v>0.21801799999999999</v>
      </c>
      <c r="L330">
        <f t="shared" si="48"/>
        <v>17.481728395061729</v>
      </c>
      <c r="M330">
        <f t="shared" si="49"/>
        <v>3.8225197674074076</v>
      </c>
      <c r="N330" s="9"/>
      <c r="O330" s="22">
        <v>1.5113799999999999</v>
      </c>
      <c r="P330" s="22">
        <v>12.2677</v>
      </c>
      <c r="Q330" s="22">
        <v>-1.2683099999999999E-2</v>
      </c>
      <c r="R330" s="22">
        <v>320</v>
      </c>
      <c r="S330" s="22">
        <v>1.51031</v>
      </c>
      <c r="T330">
        <f t="shared" si="50"/>
        <v>15.658148148148147</v>
      </c>
      <c r="U330">
        <f t="shared" si="51"/>
        <v>23.665411948148144</v>
      </c>
      <c r="X330" s="9"/>
      <c r="Y330" s="22">
        <v>0.21865799999999999</v>
      </c>
      <c r="Z330" s="22">
        <v>17.882300000000001</v>
      </c>
      <c r="AA330" s="22">
        <v>-1.4202899999999999E-2</v>
      </c>
      <c r="AB330" s="22">
        <v>320</v>
      </c>
      <c r="AC330" s="22">
        <v>0.21804799999999999</v>
      </c>
      <c r="AD330">
        <f t="shared" si="52"/>
        <v>17.534444444444443</v>
      </c>
      <c r="AE330">
        <f t="shared" si="53"/>
        <v>3.8340465533333328</v>
      </c>
      <c r="AF330" s="9"/>
      <c r="AG330" s="22">
        <v>1.5113799999999999</v>
      </c>
      <c r="AH330" s="22">
        <v>21.761900000000001</v>
      </c>
      <c r="AI330" s="22">
        <v>-1.27075E-2</v>
      </c>
      <c r="AJ330" s="22">
        <v>320</v>
      </c>
      <c r="AK330" s="22">
        <v>1.5100100000000001</v>
      </c>
      <c r="AL330">
        <f t="shared" si="54"/>
        <v>15.68827160493827</v>
      </c>
      <c r="AM330">
        <f t="shared" si="55"/>
        <v>23.710939938271601</v>
      </c>
      <c r="AP330" s="9"/>
      <c r="AQ330" s="22">
        <v>0.21865799999999999</v>
      </c>
      <c r="AR330" s="22">
        <v>27.291499999999999</v>
      </c>
      <c r="AS330" s="22">
        <v>-1.4208999999999999E-2</v>
      </c>
      <c r="AT330" s="22">
        <v>320</v>
      </c>
      <c r="AU330" s="22">
        <v>0.21801799999999999</v>
      </c>
      <c r="AV330">
        <f t="shared" si="56"/>
        <v>17.541975308641973</v>
      </c>
      <c r="AW330">
        <f t="shared" si="57"/>
        <v>3.8356932370370362</v>
      </c>
      <c r="AX330" s="9"/>
      <c r="AY330" s="22">
        <v>1.5113799999999999</v>
      </c>
      <c r="AZ330" s="22">
        <v>31.171099999999999</v>
      </c>
      <c r="BA330" s="22">
        <v>-1.2759400000000001E-2</v>
      </c>
      <c r="BB330" s="22">
        <v>320</v>
      </c>
      <c r="BC330" s="22">
        <v>1.5106200000000001</v>
      </c>
      <c r="BD330">
        <f t="shared" si="58"/>
        <v>15.752345679012343</v>
      </c>
      <c r="BE330">
        <f t="shared" si="59"/>
        <v>23.807780212345673</v>
      </c>
    </row>
    <row r="331" spans="6:57">
      <c r="F331" s="9"/>
      <c r="G331" s="22">
        <v>0.21362300000000001</v>
      </c>
      <c r="H331" s="22">
        <v>8.3981100000000009</v>
      </c>
      <c r="I331" s="22">
        <v>-1.4151E-2</v>
      </c>
      <c r="J331" s="22">
        <v>321</v>
      </c>
      <c r="K331" s="22">
        <v>0.21301300000000001</v>
      </c>
      <c r="L331">
        <f t="shared" si="48"/>
        <v>17.470370370370368</v>
      </c>
      <c r="M331">
        <f t="shared" si="49"/>
        <v>3.7320729296296293</v>
      </c>
      <c r="N331" s="9"/>
      <c r="O331" s="22">
        <v>1.5164200000000001</v>
      </c>
      <c r="P331" s="22">
        <v>12.277699999999999</v>
      </c>
      <c r="Q331" s="22">
        <v>-1.26526E-2</v>
      </c>
      <c r="R331" s="22">
        <v>321</v>
      </c>
      <c r="S331" s="22">
        <v>1.5152000000000001</v>
      </c>
      <c r="T331">
        <f t="shared" si="50"/>
        <v>15.620493827160493</v>
      </c>
      <c r="U331">
        <f t="shared" si="51"/>
        <v>23.687229249382717</v>
      </c>
      <c r="X331" s="9"/>
      <c r="Y331" s="22">
        <v>0.21362300000000001</v>
      </c>
      <c r="Z331" s="22">
        <v>17.892299999999999</v>
      </c>
      <c r="AA331" s="22">
        <v>-1.4202899999999999E-2</v>
      </c>
      <c r="AB331" s="22">
        <v>321</v>
      </c>
      <c r="AC331" s="22">
        <v>0.212952</v>
      </c>
      <c r="AD331">
        <f t="shared" si="52"/>
        <v>17.534444444444443</v>
      </c>
      <c r="AE331">
        <f t="shared" si="53"/>
        <v>3.7457606255555551</v>
      </c>
      <c r="AF331" s="9"/>
      <c r="AG331" s="22">
        <v>1.5164200000000001</v>
      </c>
      <c r="AH331" s="22">
        <v>21.771899999999999</v>
      </c>
      <c r="AI331" s="22">
        <v>-1.26678E-2</v>
      </c>
      <c r="AJ331" s="22">
        <v>321</v>
      </c>
      <c r="AK331" s="22">
        <v>1.5155000000000001</v>
      </c>
      <c r="AL331">
        <f t="shared" si="54"/>
        <v>15.639259259259259</v>
      </c>
      <c r="AM331">
        <f t="shared" si="55"/>
        <v>23.715685525925927</v>
      </c>
      <c r="AP331" s="9"/>
      <c r="AQ331" s="22">
        <v>0.21362300000000001</v>
      </c>
      <c r="AR331" s="22">
        <v>27.301600000000001</v>
      </c>
      <c r="AS331" s="22">
        <v>-1.4212000000000001E-2</v>
      </c>
      <c r="AT331" s="22">
        <v>321</v>
      </c>
      <c r="AU331" s="22">
        <v>0.212982</v>
      </c>
      <c r="AV331">
        <f t="shared" si="56"/>
        <v>17.54567901234568</v>
      </c>
      <c r="AW331">
        <f t="shared" si="57"/>
        <v>3.7481605876543211</v>
      </c>
      <c r="AX331" s="9"/>
      <c r="AY331" s="22">
        <v>1.5164200000000001</v>
      </c>
      <c r="AZ331" s="22">
        <v>31.1812</v>
      </c>
      <c r="BA331" s="22">
        <v>-1.2722799999999999E-2</v>
      </c>
      <c r="BB331" s="22">
        <v>321</v>
      </c>
      <c r="BC331" s="22">
        <v>1.5155000000000001</v>
      </c>
      <c r="BD331">
        <f t="shared" si="58"/>
        <v>15.707160493827157</v>
      </c>
      <c r="BE331">
        <f t="shared" si="59"/>
        <v>23.818652316049381</v>
      </c>
    </row>
    <row r="332" spans="6:57">
      <c r="F332" s="9"/>
      <c r="G332" s="22">
        <v>0.208588</v>
      </c>
      <c r="H332" s="22">
        <v>8.4081799999999998</v>
      </c>
      <c r="I332" s="22">
        <v>-1.41449E-2</v>
      </c>
      <c r="J332" s="22">
        <v>322</v>
      </c>
      <c r="K332" s="22">
        <v>0.207977</v>
      </c>
      <c r="L332">
        <f t="shared" ref="L332:L394" si="60">-I332/$F$2*1000</f>
        <v>17.462839506172838</v>
      </c>
      <c r="M332">
        <f t="shared" ref="M332:M394" si="61">L332*G332</f>
        <v>3.6425387669135798</v>
      </c>
      <c r="N332" s="9"/>
      <c r="O332" s="22">
        <v>1.52145</v>
      </c>
      <c r="P332" s="22">
        <v>12.287800000000001</v>
      </c>
      <c r="Q332" s="22">
        <v>-1.26251E-2</v>
      </c>
      <c r="R332" s="22">
        <v>322</v>
      </c>
      <c r="S332" s="22">
        <v>1.5209999999999999</v>
      </c>
      <c r="T332">
        <f t="shared" ref="T332:T394" si="62">-Q332/$F$2*1000</f>
        <v>15.586543209876544</v>
      </c>
      <c r="U332">
        <f t="shared" ref="U332:U394" si="63">T332*O332</f>
        <v>23.714146166666666</v>
      </c>
      <c r="X332" s="9"/>
      <c r="Y332" s="22">
        <v>0.208588</v>
      </c>
      <c r="Z332" s="22">
        <v>17.9024</v>
      </c>
      <c r="AA332" s="22">
        <v>-1.41998E-2</v>
      </c>
      <c r="AB332" s="22">
        <v>322</v>
      </c>
      <c r="AC332" s="22">
        <v>0.20791599999999999</v>
      </c>
      <c r="AD332">
        <f t="shared" ref="AD332:AD394" si="64">-AA332/$F$2*1000</f>
        <v>17.530617283950615</v>
      </c>
      <c r="AE332">
        <f t="shared" ref="AE332:AE394" si="65">AD332*Y332</f>
        <v>3.656676398024691</v>
      </c>
      <c r="AF332" s="9"/>
      <c r="AG332" s="22">
        <v>1.52145</v>
      </c>
      <c r="AH332" s="22">
        <v>21.782</v>
      </c>
      <c r="AI332" s="22">
        <v>-1.26251E-2</v>
      </c>
      <c r="AJ332" s="22">
        <v>322</v>
      </c>
      <c r="AK332" s="22">
        <v>1.5200800000000001</v>
      </c>
      <c r="AL332">
        <f t="shared" ref="AL332:AL394" si="66">-AI332/$F$2*1000</f>
        <v>15.586543209876544</v>
      </c>
      <c r="AM332">
        <f t="shared" ref="AM332:AM394" si="67">AL332*AG332</f>
        <v>23.714146166666666</v>
      </c>
      <c r="AP332" s="9"/>
      <c r="AQ332" s="22">
        <v>0.208588</v>
      </c>
      <c r="AR332" s="22">
        <v>27.311599999999999</v>
      </c>
      <c r="AS332" s="22">
        <v>-1.4212000000000001E-2</v>
      </c>
      <c r="AT332" s="22">
        <v>322</v>
      </c>
      <c r="AU332" s="22">
        <v>0.207977</v>
      </c>
      <c r="AV332">
        <f t="shared" ref="AV332:AV394" si="68">-AS332/$F$2*1000</f>
        <v>17.54567901234568</v>
      </c>
      <c r="AW332">
        <f t="shared" ref="AW332:AW394" si="69">AV332*AQ332</f>
        <v>3.6598180938271607</v>
      </c>
      <c r="AX332" s="9"/>
      <c r="AY332" s="22">
        <v>1.52145</v>
      </c>
      <c r="AZ332" s="22">
        <v>31.191299999999998</v>
      </c>
      <c r="BA332" s="22">
        <v>-1.2683099999999999E-2</v>
      </c>
      <c r="BB332" s="22">
        <v>322</v>
      </c>
      <c r="BC332" s="22">
        <v>1.5203899999999999</v>
      </c>
      <c r="BD332">
        <f t="shared" ref="BD332:BD394" si="70">-BA332/$F$2*1000</f>
        <v>15.658148148148147</v>
      </c>
      <c r="BE332">
        <f t="shared" ref="BE332:BE394" si="71">BD332*AY332</f>
        <v>23.823089499999998</v>
      </c>
    </row>
    <row r="333" spans="6:57">
      <c r="F333" s="9"/>
      <c r="G333" s="22">
        <v>0.20355200000000001</v>
      </c>
      <c r="H333" s="22">
        <v>8.4182500000000005</v>
      </c>
      <c r="I333" s="22">
        <v>-1.4151E-2</v>
      </c>
      <c r="J333" s="22">
        <v>323</v>
      </c>
      <c r="K333" s="22">
        <v>0.20288100000000001</v>
      </c>
      <c r="L333">
        <f t="shared" si="60"/>
        <v>17.470370370370368</v>
      </c>
      <c r="M333">
        <f t="shared" si="61"/>
        <v>3.5561288296296292</v>
      </c>
      <c r="N333" s="9"/>
      <c r="O333" s="22">
        <v>1.5264899999999999</v>
      </c>
      <c r="P333" s="22">
        <v>12.2979</v>
      </c>
      <c r="Q333" s="22">
        <v>-1.25793E-2</v>
      </c>
      <c r="R333" s="22">
        <v>323</v>
      </c>
      <c r="S333" s="22">
        <v>1.5261800000000001</v>
      </c>
      <c r="T333">
        <f t="shared" si="62"/>
        <v>15.53</v>
      </c>
      <c r="U333">
        <f t="shared" si="63"/>
        <v>23.706389699999999</v>
      </c>
      <c r="X333" s="9"/>
      <c r="Y333" s="22">
        <v>0.20355200000000001</v>
      </c>
      <c r="Z333" s="22">
        <v>17.912500000000001</v>
      </c>
      <c r="AA333" s="22">
        <v>-1.4208999999999999E-2</v>
      </c>
      <c r="AB333" s="22">
        <v>323</v>
      </c>
      <c r="AC333" s="22">
        <v>0.20282</v>
      </c>
      <c r="AD333">
        <f t="shared" si="64"/>
        <v>17.541975308641973</v>
      </c>
      <c r="AE333">
        <f t="shared" si="65"/>
        <v>3.5707041580246912</v>
      </c>
      <c r="AF333" s="9"/>
      <c r="AG333" s="22">
        <v>1.5264899999999999</v>
      </c>
      <c r="AH333" s="22">
        <v>21.792100000000001</v>
      </c>
      <c r="AI333" s="22">
        <v>-1.2582400000000001E-2</v>
      </c>
      <c r="AJ333" s="22">
        <v>323</v>
      </c>
      <c r="AK333" s="22">
        <v>1.5258799999999999</v>
      </c>
      <c r="AL333">
        <f t="shared" si="66"/>
        <v>15.533827160493827</v>
      </c>
      <c r="AM333">
        <f t="shared" si="67"/>
        <v>23.712231822222218</v>
      </c>
      <c r="AP333" s="9"/>
      <c r="AQ333" s="22">
        <v>0.20355200000000001</v>
      </c>
      <c r="AR333" s="22">
        <v>27.3217</v>
      </c>
      <c r="AS333" s="22">
        <v>-1.4212000000000001E-2</v>
      </c>
      <c r="AT333" s="22">
        <v>323</v>
      </c>
      <c r="AU333" s="22">
        <v>0.20291100000000001</v>
      </c>
      <c r="AV333">
        <f t="shared" si="68"/>
        <v>17.54567901234568</v>
      </c>
      <c r="AW333">
        <f t="shared" si="69"/>
        <v>3.571458054320988</v>
      </c>
      <c r="AX333" s="9"/>
      <c r="AY333" s="22">
        <v>1.5264899999999999</v>
      </c>
      <c r="AZ333" s="22">
        <v>31.2013</v>
      </c>
      <c r="BA333" s="22">
        <v>-1.2643400000000001E-2</v>
      </c>
      <c r="BB333" s="22">
        <v>323</v>
      </c>
      <c r="BC333" s="22">
        <v>1.5255700000000001</v>
      </c>
      <c r="BD333">
        <f t="shared" si="70"/>
        <v>15.609135802469137</v>
      </c>
      <c r="BE333">
        <f t="shared" si="71"/>
        <v>23.82718971111111</v>
      </c>
    </row>
    <row r="334" spans="6:57">
      <c r="F334" s="9"/>
      <c r="G334" s="22">
        <v>0.198517</v>
      </c>
      <c r="H334" s="22">
        <v>8.4283300000000008</v>
      </c>
      <c r="I334" s="22">
        <v>-1.41602E-2</v>
      </c>
      <c r="J334" s="22">
        <v>324</v>
      </c>
      <c r="K334" s="22">
        <v>0.197937</v>
      </c>
      <c r="L334">
        <f t="shared" si="60"/>
        <v>17.481728395061729</v>
      </c>
      <c r="M334">
        <f t="shared" si="61"/>
        <v>3.4704202758024691</v>
      </c>
      <c r="N334" s="9"/>
      <c r="O334" s="22">
        <v>1.53152</v>
      </c>
      <c r="P334" s="22">
        <v>12.3079</v>
      </c>
      <c r="Q334" s="22">
        <v>-1.25366E-2</v>
      </c>
      <c r="R334" s="22">
        <v>324</v>
      </c>
      <c r="S334" s="22">
        <v>1.5307599999999999</v>
      </c>
      <c r="T334">
        <f t="shared" si="62"/>
        <v>15.477283950617283</v>
      </c>
      <c r="U334">
        <f t="shared" si="63"/>
        <v>23.703769916049382</v>
      </c>
      <c r="X334" s="9"/>
      <c r="Y334" s="22">
        <v>0.198517</v>
      </c>
      <c r="Z334" s="22">
        <v>17.922499999999999</v>
      </c>
      <c r="AA334" s="22">
        <v>-1.4208999999999999E-2</v>
      </c>
      <c r="AB334" s="22">
        <v>324</v>
      </c>
      <c r="AC334" s="22">
        <v>0.197876</v>
      </c>
      <c r="AD334">
        <f t="shared" si="64"/>
        <v>17.541975308641973</v>
      </c>
      <c r="AE334">
        <f t="shared" si="65"/>
        <v>3.4823803123456787</v>
      </c>
      <c r="AF334" s="9"/>
      <c r="AG334" s="22">
        <v>1.53152</v>
      </c>
      <c r="AH334" s="22">
        <v>21.802199999999999</v>
      </c>
      <c r="AI334" s="22">
        <v>-1.25427E-2</v>
      </c>
      <c r="AJ334" s="22">
        <v>324</v>
      </c>
      <c r="AK334" s="22">
        <v>1.5307599999999999</v>
      </c>
      <c r="AL334">
        <f t="shared" si="66"/>
        <v>15.484814814814815</v>
      </c>
      <c r="AM334">
        <f t="shared" si="67"/>
        <v>23.715303585185186</v>
      </c>
      <c r="AP334" s="9"/>
      <c r="AQ334" s="22">
        <v>0.198517</v>
      </c>
      <c r="AR334" s="22">
        <v>27.331800000000001</v>
      </c>
      <c r="AS334" s="22">
        <v>-1.42151E-2</v>
      </c>
      <c r="AT334" s="22">
        <v>324</v>
      </c>
      <c r="AU334" s="22">
        <v>0.197937</v>
      </c>
      <c r="AV334">
        <f t="shared" si="68"/>
        <v>17.549506172839507</v>
      </c>
      <c r="AW334">
        <f t="shared" si="69"/>
        <v>3.4838753169135805</v>
      </c>
      <c r="AX334" s="9"/>
      <c r="AY334" s="22">
        <v>1.53152</v>
      </c>
      <c r="AZ334" s="22">
        <v>31.211400000000001</v>
      </c>
      <c r="BA334" s="22">
        <v>-1.26038E-2</v>
      </c>
      <c r="BB334" s="22">
        <v>324</v>
      </c>
      <c r="BC334" s="22">
        <v>1.5307599999999999</v>
      </c>
      <c r="BD334">
        <f t="shared" si="70"/>
        <v>15.560246913580245</v>
      </c>
      <c r="BE334">
        <f t="shared" si="71"/>
        <v>23.830829353086418</v>
      </c>
    </row>
    <row r="335" spans="6:57">
      <c r="F335" s="9"/>
      <c r="G335" s="22">
        <v>0.19348099999999999</v>
      </c>
      <c r="H335" s="22">
        <v>8.4383999999999997</v>
      </c>
      <c r="I335" s="22">
        <v>-1.41602E-2</v>
      </c>
      <c r="J335" s="22">
        <v>325</v>
      </c>
      <c r="K335" s="22">
        <v>0.19278000000000001</v>
      </c>
      <c r="L335">
        <f t="shared" si="60"/>
        <v>17.481728395061729</v>
      </c>
      <c r="M335">
        <f t="shared" si="61"/>
        <v>3.3823822916049382</v>
      </c>
      <c r="N335" s="9"/>
      <c r="O335" s="22">
        <v>1.5365599999999999</v>
      </c>
      <c r="P335" s="22">
        <v>12.318</v>
      </c>
      <c r="Q335" s="22">
        <v>-1.24878E-2</v>
      </c>
      <c r="R335" s="22">
        <v>325</v>
      </c>
      <c r="S335" s="22">
        <v>1.5362499999999999</v>
      </c>
      <c r="T335">
        <f t="shared" si="62"/>
        <v>15.417037037037037</v>
      </c>
      <c r="U335">
        <f t="shared" si="63"/>
        <v>23.689202429629628</v>
      </c>
      <c r="X335" s="9"/>
      <c r="Y335" s="22">
        <v>0.19348099999999999</v>
      </c>
      <c r="Z335" s="22">
        <v>17.932600000000001</v>
      </c>
      <c r="AA335" s="22">
        <v>-1.4208999999999999E-2</v>
      </c>
      <c r="AB335" s="22">
        <v>325</v>
      </c>
      <c r="AC335" s="22">
        <v>0.19278000000000001</v>
      </c>
      <c r="AD335">
        <f t="shared" si="64"/>
        <v>17.541975308641973</v>
      </c>
      <c r="AE335">
        <f t="shared" si="65"/>
        <v>3.3940389246913574</v>
      </c>
      <c r="AF335" s="9"/>
      <c r="AG335" s="22">
        <v>1.5365599999999999</v>
      </c>
      <c r="AH335" s="22">
        <v>21.812200000000001</v>
      </c>
      <c r="AI335" s="22">
        <v>-1.24969E-2</v>
      </c>
      <c r="AJ335" s="22">
        <v>325</v>
      </c>
      <c r="AK335" s="22">
        <v>1.5359499999999999</v>
      </c>
      <c r="AL335">
        <f t="shared" si="66"/>
        <v>15.428271604938271</v>
      </c>
      <c r="AM335">
        <f t="shared" si="67"/>
        <v>23.706465017283946</v>
      </c>
      <c r="AP335" s="9"/>
      <c r="AQ335" s="22">
        <v>0.19348099999999999</v>
      </c>
      <c r="AR335" s="22">
        <v>27.341899999999999</v>
      </c>
      <c r="AS335" s="22">
        <v>-1.4218099999999999E-2</v>
      </c>
      <c r="AT335" s="22">
        <v>325</v>
      </c>
      <c r="AU335" s="22">
        <v>0.19281000000000001</v>
      </c>
      <c r="AV335">
        <f t="shared" si="68"/>
        <v>17.553209876543207</v>
      </c>
      <c r="AW335">
        <f t="shared" si="69"/>
        <v>3.396212600123456</v>
      </c>
      <c r="AX335" s="9"/>
      <c r="AY335" s="22">
        <v>1.5365599999999999</v>
      </c>
      <c r="AZ335" s="22">
        <v>31.221499999999999</v>
      </c>
      <c r="BA335" s="22">
        <v>-1.25519E-2</v>
      </c>
      <c r="BB335" s="22">
        <v>325</v>
      </c>
      <c r="BC335" s="22">
        <v>1.5359499999999999</v>
      </c>
      <c r="BD335">
        <f t="shared" si="70"/>
        <v>15.496172839506173</v>
      </c>
      <c r="BE335">
        <f t="shared" si="71"/>
        <v>23.810799338271604</v>
      </c>
    </row>
    <row r="336" spans="6:57">
      <c r="F336" s="9"/>
      <c r="G336" s="22">
        <v>0.188446</v>
      </c>
      <c r="H336" s="22">
        <v>8.4484700000000004</v>
      </c>
      <c r="I336" s="22">
        <v>-1.4163200000000001E-2</v>
      </c>
      <c r="J336" s="22">
        <v>326</v>
      </c>
      <c r="K336" s="22">
        <v>0.18786600000000001</v>
      </c>
      <c r="L336">
        <f t="shared" si="60"/>
        <v>17.485432098765433</v>
      </c>
      <c r="M336">
        <f t="shared" si="61"/>
        <v>3.295059737283951</v>
      </c>
      <c r="N336" s="9"/>
      <c r="O336" s="22">
        <v>1.5416000000000001</v>
      </c>
      <c r="P336" s="22">
        <v>12.328099999999999</v>
      </c>
      <c r="Q336" s="22">
        <v>-1.2445100000000001E-2</v>
      </c>
      <c r="R336" s="22">
        <v>326</v>
      </c>
      <c r="S336" s="22">
        <v>1.5408299999999999</v>
      </c>
      <c r="T336">
        <f t="shared" si="62"/>
        <v>15.36432098765432</v>
      </c>
      <c r="U336">
        <f t="shared" si="63"/>
        <v>23.685637234567903</v>
      </c>
      <c r="X336" s="9"/>
      <c r="Y336" s="22">
        <v>0.188446</v>
      </c>
      <c r="Z336" s="22">
        <v>17.942699999999999</v>
      </c>
      <c r="AA336" s="22">
        <v>-1.4212000000000001E-2</v>
      </c>
      <c r="AB336" s="22">
        <v>326</v>
      </c>
      <c r="AC336" s="22">
        <v>0.18774399999999999</v>
      </c>
      <c r="AD336">
        <f t="shared" si="64"/>
        <v>17.54567901234568</v>
      </c>
      <c r="AE336">
        <f t="shared" si="65"/>
        <v>3.3064130271604939</v>
      </c>
      <c r="AF336" s="9"/>
      <c r="AG336" s="22">
        <v>1.5416000000000001</v>
      </c>
      <c r="AH336" s="22">
        <v>21.822299999999998</v>
      </c>
      <c r="AI336" s="22">
        <v>-1.24481E-2</v>
      </c>
      <c r="AJ336" s="22">
        <v>326</v>
      </c>
      <c r="AK336" s="22">
        <v>1.5402199999999999</v>
      </c>
      <c r="AL336">
        <f t="shared" si="66"/>
        <v>15.368024691358023</v>
      </c>
      <c r="AM336">
        <f t="shared" si="67"/>
        <v>23.691346864197531</v>
      </c>
      <c r="AP336" s="9"/>
      <c r="AQ336" s="22">
        <v>0.188446</v>
      </c>
      <c r="AR336" s="22">
        <v>27.351900000000001</v>
      </c>
      <c r="AS336" s="22">
        <v>-1.4212000000000001E-2</v>
      </c>
      <c r="AT336" s="22">
        <v>326</v>
      </c>
      <c r="AU336" s="22">
        <v>0.18771399999999999</v>
      </c>
      <c r="AV336">
        <f t="shared" si="68"/>
        <v>17.54567901234568</v>
      </c>
      <c r="AW336">
        <f t="shared" si="69"/>
        <v>3.3064130271604939</v>
      </c>
      <c r="AX336" s="9"/>
      <c r="AY336" s="22">
        <v>1.5416000000000001</v>
      </c>
      <c r="AZ336" s="22">
        <v>31.2315</v>
      </c>
      <c r="BA336" s="22">
        <v>-1.2500000000000001E-2</v>
      </c>
      <c r="BB336" s="22">
        <v>326</v>
      </c>
      <c r="BC336" s="22">
        <v>1.5408299999999999</v>
      </c>
      <c r="BD336">
        <f t="shared" si="70"/>
        <v>15.432098765432098</v>
      </c>
      <c r="BE336">
        <f t="shared" si="71"/>
        <v>23.790123456790123</v>
      </c>
    </row>
    <row r="337" spans="6:57">
      <c r="F337" s="9"/>
      <c r="G337" s="22">
        <v>0.18341099999999999</v>
      </c>
      <c r="H337" s="22">
        <v>8.4585399999999993</v>
      </c>
      <c r="I337" s="22">
        <v>-1.4169299999999999E-2</v>
      </c>
      <c r="J337" s="22">
        <v>327</v>
      </c>
      <c r="K337" s="22">
        <v>0.18273900000000001</v>
      </c>
      <c r="L337">
        <f t="shared" si="60"/>
        <v>17.492962962962959</v>
      </c>
      <c r="M337">
        <f t="shared" si="61"/>
        <v>3.2084018299999992</v>
      </c>
      <c r="N337" s="9"/>
      <c r="O337" s="22">
        <v>1.5466299999999999</v>
      </c>
      <c r="P337" s="22">
        <v>12.338200000000001</v>
      </c>
      <c r="Q337" s="22">
        <v>-1.23871E-2</v>
      </c>
      <c r="R337" s="22">
        <v>327</v>
      </c>
      <c r="S337" s="22">
        <v>1.5460199999999999</v>
      </c>
      <c r="T337">
        <f t="shared" si="62"/>
        <v>15.292716049382715</v>
      </c>
      <c r="U337">
        <f t="shared" si="63"/>
        <v>23.652173423456787</v>
      </c>
      <c r="X337" s="9"/>
      <c r="Y337" s="22">
        <v>0.18341099999999999</v>
      </c>
      <c r="Z337" s="22">
        <v>17.9528</v>
      </c>
      <c r="AA337" s="22">
        <v>-1.42212E-2</v>
      </c>
      <c r="AB337" s="22">
        <v>327</v>
      </c>
      <c r="AC337" s="22">
        <v>0.18273900000000001</v>
      </c>
      <c r="AD337">
        <f t="shared" si="64"/>
        <v>17.557037037037034</v>
      </c>
      <c r="AE337">
        <f t="shared" si="65"/>
        <v>3.2201537199999994</v>
      </c>
      <c r="AF337" s="9"/>
      <c r="AG337" s="22">
        <v>1.5466299999999999</v>
      </c>
      <c r="AH337" s="22">
        <v>21.8324</v>
      </c>
      <c r="AI337" s="22">
        <v>-1.24054E-2</v>
      </c>
      <c r="AJ337" s="22">
        <v>327</v>
      </c>
      <c r="AK337" s="22">
        <v>1.54541</v>
      </c>
      <c r="AL337">
        <f t="shared" si="66"/>
        <v>15.315308641975308</v>
      </c>
      <c r="AM337">
        <f t="shared" si="67"/>
        <v>23.687115804938269</v>
      </c>
      <c r="AP337" s="9"/>
      <c r="AQ337" s="22">
        <v>0.18341099999999999</v>
      </c>
      <c r="AR337" s="22">
        <v>27.361999999999998</v>
      </c>
      <c r="AS337" s="22">
        <v>-1.4212000000000001E-2</v>
      </c>
      <c r="AT337" s="22">
        <v>327</v>
      </c>
      <c r="AU337" s="22">
        <v>0.18267800000000001</v>
      </c>
      <c r="AV337">
        <f t="shared" si="68"/>
        <v>17.54567901234568</v>
      </c>
      <c r="AW337">
        <f t="shared" si="69"/>
        <v>3.2180705333333335</v>
      </c>
      <c r="AX337" s="9"/>
      <c r="AY337" s="22">
        <v>1.5466299999999999</v>
      </c>
      <c r="AZ337" s="22">
        <v>31.241599999999998</v>
      </c>
      <c r="BA337" s="22">
        <v>-1.2442E-2</v>
      </c>
      <c r="BB337" s="22">
        <v>327</v>
      </c>
      <c r="BC337" s="22">
        <v>1.54541</v>
      </c>
      <c r="BD337">
        <f t="shared" si="70"/>
        <v>15.360493827160493</v>
      </c>
      <c r="BE337">
        <f t="shared" si="71"/>
        <v>23.757000567901233</v>
      </c>
    </row>
    <row r="338" spans="6:57">
      <c r="F338" s="9"/>
      <c r="G338" s="22">
        <v>0.17837500000000001</v>
      </c>
      <c r="H338" s="22">
        <v>8.46861</v>
      </c>
      <c r="I338" s="22">
        <v>-1.4175399999999999E-2</v>
      </c>
      <c r="J338" s="22">
        <v>328</v>
      </c>
      <c r="K338" s="22">
        <v>0.177673</v>
      </c>
      <c r="L338">
        <f t="shared" si="60"/>
        <v>17.500493827160494</v>
      </c>
      <c r="M338">
        <f t="shared" si="61"/>
        <v>3.121650586419753</v>
      </c>
      <c r="N338" s="9"/>
      <c r="O338" s="22">
        <v>1.5516700000000001</v>
      </c>
      <c r="P338" s="22">
        <v>12.3482</v>
      </c>
      <c r="Q338" s="22">
        <v>-1.2323000000000001E-2</v>
      </c>
      <c r="R338" s="22">
        <v>328</v>
      </c>
      <c r="S338" s="22">
        <v>1.5506</v>
      </c>
      <c r="T338">
        <f t="shared" si="62"/>
        <v>15.213580246913581</v>
      </c>
      <c r="U338">
        <f t="shared" si="63"/>
        <v>23.606456061728398</v>
      </c>
      <c r="X338" s="9"/>
      <c r="Y338" s="22">
        <v>0.17837500000000001</v>
      </c>
      <c r="Z338" s="22">
        <v>17.962800000000001</v>
      </c>
      <c r="AA338" s="22">
        <v>-1.42212E-2</v>
      </c>
      <c r="AB338" s="22">
        <v>328</v>
      </c>
      <c r="AC338" s="22">
        <v>0.177673</v>
      </c>
      <c r="AD338">
        <f t="shared" si="64"/>
        <v>17.557037037037034</v>
      </c>
      <c r="AE338">
        <f t="shared" si="65"/>
        <v>3.131736481481481</v>
      </c>
      <c r="AF338" s="9"/>
      <c r="AG338" s="22">
        <v>1.5516700000000001</v>
      </c>
      <c r="AH338" s="22">
        <v>21.842400000000001</v>
      </c>
      <c r="AI338" s="22">
        <v>-1.23535E-2</v>
      </c>
      <c r="AJ338" s="22">
        <v>328</v>
      </c>
      <c r="AK338" s="22">
        <v>1.55121</v>
      </c>
      <c r="AL338">
        <f t="shared" si="66"/>
        <v>15.251234567901234</v>
      </c>
      <c r="AM338">
        <f t="shared" si="67"/>
        <v>23.664883141975309</v>
      </c>
      <c r="AP338" s="9"/>
      <c r="AQ338" s="22">
        <v>0.17837500000000001</v>
      </c>
      <c r="AR338" s="22">
        <v>27.3721</v>
      </c>
      <c r="AS338" s="22">
        <v>-1.4202899999999999E-2</v>
      </c>
      <c r="AT338" s="22">
        <v>328</v>
      </c>
      <c r="AU338" s="22">
        <v>0.17776500000000001</v>
      </c>
      <c r="AV338">
        <f t="shared" si="68"/>
        <v>17.534444444444443</v>
      </c>
      <c r="AW338">
        <f t="shared" si="69"/>
        <v>3.1277065277777774</v>
      </c>
      <c r="AX338" s="9"/>
      <c r="AY338" s="22">
        <v>1.5516700000000001</v>
      </c>
      <c r="AZ338" s="22">
        <v>31.2517</v>
      </c>
      <c r="BA338" s="22">
        <v>-1.23871E-2</v>
      </c>
      <c r="BB338" s="22">
        <v>328</v>
      </c>
      <c r="BC338" s="22">
        <v>1.5506</v>
      </c>
      <c r="BD338">
        <f t="shared" si="70"/>
        <v>15.292716049382715</v>
      </c>
      <c r="BE338">
        <f t="shared" si="71"/>
        <v>23.729248712345679</v>
      </c>
    </row>
    <row r="339" spans="6:57">
      <c r="F339" s="9"/>
      <c r="G339" s="22">
        <v>0.17333999999999999</v>
      </c>
      <c r="H339" s="22">
        <v>8.4786800000000007</v>
      </c>
      <c r="I339" s="22">
        <v>-1.4169299999999999E-2</v>
      </c>
      <c r="J339" s="22">
        <v>329</v>
      </c>
      <c r="K339" s="22">
        <v>0.17266799999999999</v>
      </c>
      <c r="L339">
        <f t="shared" si="60"/>
        <v>17.492962962962959</v>
      </c>
      <c r="M339">
        <f t="shared" si="61"/>
        <v>3.0322301999999994</v>
      </c>
      <c r="N339" s="9"/>
      <c r="O339" s="22">
        <v>1.5567</v>
      </c>
      <c r="P339" s="22">
        <v>12.3583</v>
      </c>
      <c r="Q339" s="22">
        <v>-1.2268100000000001E-2</v>
      </c>
      <c r="R339" s="22">
        <v>329</v>
      </c>
      <c r="S339" s="22">
        <v>1.55487</v>
      </c>
      <c r="T339">
        <f t="shared" si="62"/>
        <v>15.145802469135802</v>
      </c>
      <c r="U339">
        <f t="shared" si="63"/>
        <v>23.577470703703703</v>
      </c>
      <c r="X339" s="9"/>
      <c r="Y339" s="22">
        <v>0.17333999999999999</v>
      </c>
      <c r="Z339" s="22">
        <v>17.972899999999999</v>
      </c>
      <c r="AA339" s="22">
        <v>-1.4224199999999999E-2</v>
      </c>
      <c r="AB339" s="22">
        <v>329</v>
      </c>
      <c r="AC339" s="22">
        <v>0.17269899999999999</v>
      </c>
      <c r="AD339">
        <f t="shared" si="64"/>
        <v>17.560740740740737</v>
      </c>
      <c r="AE339">
        <f t="shared" si="65"/>
        <v>3.0439787999999992</v>
      </c>
      <c r="AF339" s="9"/>
      <c r="AG339" s="22">
        <v>1.5567</v>
      </c>
      <c r="AH339" s="22">
        <v>21.852499999999999</v>
      </c>
      <c r="AI339" s="22">
        <v>-1.22925E-2</v>
      </c>
      <c r="AJ339" s="22">
        <v>329</v>
      </c>
      <c r="AK339" s="22">
        <v>1.55579</v>
      </c>
      <c r="AL339">
        <f t="shared" si="66"/>
        <v>15.175925925925924</v>
      </c>
      <c r="AM339">
        <f t="shared" si="67"/>
        <v>23.624363888888887</v>
      </c>
      <c r="AP339" s="9"/>
      <c r="AQ339" s="22">
        <v>0.17333999999999999</v>
      </c>
      <c r="AR339" s="22">
        <v>27.382100000000001</v>
      </c>
      <c r="AS339" s="22">
        <v>-1.41998E-2</v>
      </c>
      <c r="AT339" s="22">
        <v>329</v>
      </c>
      <c r="AU339" s="22">
        <v>0.17266799999999999</v>
      </c>
      <c r="AV339">
        <f t="shared" si="68"/>
        <v>17.530617283950615</v>
      </c>
      <c r="AW339">
        <f t="shared" si="69"/>
        <v>3.0387571999999996</v>
      </c>
      <c r="AX339" s="9"/>
      <c r="AY339" s="22">
        <v>1.5567</v>
      </c>
      <c r="AZ339" s="22">
        <v>31.261700000000001</v>
      </c>
      <c r="BA339" s="22">
        <v>-1.2329100000000001E-2</v>
      </c>
      <c r="BB339" s="22">
        <v>329</v>
      </c>
      <c r="BC339" s="22">
        <v>1.55548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2">
        <v>0.16830400000000001</v>
      </c>
      <c r="H340" s="22">
        <v>8.4887499999999996</v>
      </c>
      <c r="I340" s="22">
        <v>-1.41724E-2</v>
      </c>
      <c r="J340" s="22">
        <v>330</v>
      </c>
      <c r="K340" s="22">
        <v>0.167603</v>
      </c>
      <c r="L340">
        <f t="shared" si="60"/>
        <v>17.496790123456787</v>
      </c>
      <c r="M340">
        <f t="shared" si="61"/>
        <v>2.9447797649382714</v>
      </c>
      <c r="N340" s="9"/>
      <c r="O340" s="22">
        <v>1.5617399999999999</v>
      </c>
      <c r="P340" s="22">
        <v>12.368399999999999</v>
      </c>
      <c r="Q340" s="22">
        <v>-1.2200900000000001E-2</v>
      </c>
      <c r="R340" s="22">
        <v>330</v>
      </c>
      <c r="S340" s="22">
        <v>1.56097</v>
      </c>
      <c r="T340">
        <f t="shared" si="62"/>
        <v>15.062839506172839</v>
      </c>
      <c r="U340">
        <f t="shared" si="63"/>
        <v>23.524238970370369</v>
      </c>
      <c r="X340" s="9"/>
      <c r="Y340" s="22">
        <v>0.16830400000000001</v>
      </c>
      <c r="Z340" s="22">
        <v>17.983000000000001</v>
      </c>
      <c r="AA340" s="22">
        <v>-1.42334E-2</v>
      </c>
      <c r="AB340" s="22">
        <v>330</v>
      </c>
      <c r="AC340" s="22">
        <v>0.167633</v>
      </c>
      <c r="AD340">
        <f t="shared" si="64"/>
        <v>17.572098765432099</v>
      </c>
      <c r="AE340">
        <f t="shared" si="65"/>
        <v>2.9574545106172843</v>
      </c>
      <c r="AF340" s="9"/>
      <c r="AG340" s="22">
        <v>1.5617399999999999</v>
      </c>
      <c r="AH340" s="22">
        <v>21.8626</v>
      </c>
      <c r="AI340" s="22">
        <v>-1.22314E-2</v>
      </c>
      <c r="AJ340" s="22">
        <v>330</v>
      </c>
      <c r="AK340" s="22">
        <v>1.56067</v>
      </c>
      <c r="AL340">
        <f t="shared" si="66"/>
        <v>15.100493827160493</v>
      </c>
      <c r="AM340">
        <f t="shared" si="67"/>
        <v>23.583045229629626</v>
      </c>
      <c r="AP340" s="9"/>
      <c r="AQ340" s="22">
        <v>0.16830400000000001</v>
      </c>
      <c r="AR340" s="22">
        <v>27.392199999999999</v>
      </c>
      <c r="AS340" s="22">
        <v>-1.42059E-2</v>
      </c>
      <c r="AT340" s="22">
        <v>330</v>
      </c>
      <c r="AU340" s="22">
        <v>0.167572</v>
      </c>
      <c r="AV340">
        <f t="shared" si="68"/>
        <v>17.538148148148146</v>
      </c>
      <c r="AW340">
        <f t="shared" si="69"/>
        <v>2.9517404859259257</v>
      </c>
      <c r="AX340" s="9"/>
      <c r="AY340" s="22">
        <v>1.5617399999999999</v>
      </c>
      <c r="AZ340" s="22">
        <v>31.271799999999999</v>
      </c>
      <c r="BA340" s="22">
        <v>-1.22711E-2</v>
      </c>
      <c r="BB340" s="22">
        <v>330</v>
      </c>
      <c r="BC340" s="22">
        <v>1.56067</v>
      </c>
      <c r="BD340">
        <f t="shared" si="70"/>
        <v>15.149506172839505</v>
      </c>
      <c r="BE340">
        <f t="shared" si="71"/>
        <v>23.659589770370367</v>
      </c>
    </row>
    <row r="341" spans="6:57">
      <c r="F341" s="9"/>
      <c r="G341" s="22">
        <v>0.163269</v>
      </c>
      <c r="H341" s="22">
        <v>8.4988200000000003</v>
      </c>
      <c r="I341" s="22">
        <v>-1.41663E-2</v>
      </c>
      <c r="J341" s="22">
        <v>331</v>
      </c>
      <c r="K341" s="22">
        <v>0.162659</v>
      </c>
      <c r="L341">
        <f t="shared" si="60"/>
        <v>17.489259259259256</v>
      </c>
      <c r="M341">
        <f t="shared" si="61"/>
        <v>2.8554538699999994</v>
      </c>
      <c r="N341" s="9"/>
      <c r="O341" s="22">
        <v>1.56677</v>
      </c>
      <c r="P341" s="22">
        <v>12.378399999999999</v>
      </c>
      <c r="Q341" s="22">
        <v>-1.21399E-2</v>
      </c>
      <c r="R341" s="22">
        <v>331</v>
      </c>
      <c r="S341" s="22">
        <v>1.56586</v>
      </c>
      <c r="T341">
        <f t="shared" si="62"/>
        <v>14.987530864197531</v>
      </c>
      <c r="U341">
        <f t="shared" si="63"/>
        <v>23.482013732098764</v>
      </c>
      <c r="X341" s="9"/>
      <c r="Y341" s="22">
        <v>0.163269</v>
      </c>
      <c r="Z341" s="22">
        <v>17.992999999999999</v>
      </c>
      <c r="AA341" s="22">
        <v>-1.42395E-2</v>
      </c>
      <c r="AB341" s="22">
        <v>331</v>
      </c>
      <c r="AC341" s="22">
        <v>0.16259799999999999</v>
      </c>
      <c r="AD341">
        <f t="shared" si="64"/>
        <v>17.579629629629629</v>
      </c>
      <c r="AE341">
        <f t="shared" si="65"/>
        <v>2.8702085500000001</v>
      </c>
      <c r="AF341" s="9"/>
      <c r="AG341" s="22">
        <v>1.56677</v>
      </c>
      <c r="AH341" s="22">
        <v>21.872699999999998</v>
      </c>
      <c r="AI341" s="22">
        <v>-1.21735E-2</v>
      </c>
      <c r="AJ341" s="22">
        <v>331</v>
      </c>
      <c r="AK341" s="22">
        <v>1.56586</v>
      </c>
      <c r="AL341">
        <f t="shared" si="66"/>
        <v>15.029012345679011</v>
      </c>
      <c r="AM341">
        <f t="shared" si="67"/>
        <v>23.547005672839504</v>
      </c>
      <c r="AP341" s="9"/>
      <c r="AQ341" s="22">
        <v>0.163269</v>
      </c>
      <c r="AR341" s="22">
        <v>27.4023</v>
      </c>
      <c r="AS341" s="22">
        <v>-1.42059E-2</v>
      </c>
      <c r="AT341" s="22">
        <v>331</v>
      </c>
      <c r="AU341" s="22">
        <v>0.162659</v>
      </c>
      <c r="AV341">
        <f t="shared" si="68"/>
        <v>17.538148148148146</v>
      </c>
      <c r="AW341">
        <f t="shared" si="69"/>
        <v>2.8634359099999998</v>
      </c>
      <c r="AX341" s="9"/>
      <c r="AY341" s="22">
        <v>1.56677</v>
      </c>
      <c r="AZ341" s="22">
        <v>31.2819</v>
      </c>
      <c r="BA341" s="22">
        <v>-1.2207000000000001E-2</v>
      </c>
      <c r="BB341" s="22">
        <v>331</v>
      </c>
      <c r="BC341" s="22">
        <v>1.56555</v>
      </c>
      <c r="BD341">
        <f t="shared" si="70"/>
        <v>15.070370370370371</v>
      </c>
      <c r="BE341">
        <f t="shared" si="71"/>
        <v>23.611804185185186</v>
      </c>
    </row>
    <row r="342" spans="6:57">
      <c r="F342" s="9"/>
      <c r="G342" s="22">
        <v>0.15823400000000001</v>
      </c>
      <c r="H342" s="22">
        <v>8.5088899999999992</v>
      </c>
      <c r="I342" s="22">
        <v>-1.41602E-2</v>
      </c>
      <c r="J342" s="22">
        <v>332</v>
      </c>
      <c r="K342" s="22">
        <v>0.15756200000000001</v>
      </c>
      <c r="L342">
        <f t="shared" si="60"/>
        <v>17.481728395061729</v>
      </c>
      <c r="M342">
        <f t="shared" si="61"/>
        <v>2.766203810864198</v>
      </c>
      <c r="N342" s="9"/>
      <c r="O342" s="22">
        <v>1.5718099999999999</v>
      </c>
      <c r="P342" s="22">
        <v>12.388500000000001</v>
      </c>
      <c r="Q342" s="22">
        <v>-1.20789E-2</v>
      </c>
      <c r="R342" s="22">
        <v>332</v>
      </c>
      <c r="S342" s="22">
        <v>1.57074</v>
      </c>
      <c r="T342">
        <f t="shared" si="62"/>
        <v>14.912222222222221</v>
      </c>
      <c r="U342">
        <f t="shared" si="63"/>
        <v>23.439180011111109</v>
      </c>
      <c r="X342" s="9"/>
      <c r="Y342" s="22">
        <v>0.15823400000000001</v>
      </c>
      <c r="Z342" s="22">
        <v>18.0031</v>
      </c>
      <c r="AA342" s="22">
        <v>-1.4242599999999999E-2</v>
      </c>
      <c r="AB342" s="22">
        <v>332</v>
      </c>
      <c r="AC342" s="22">
        <v>0.15759300000000001</v>
      </c>
      <c r="AD342">
        <f t="shared" si="64"/>
        <v>17.583456790123453</v>
      </c>
      <c r="AE342">
        <f t="shared" si="65"/>
        <v>2.7823007017283947</v>
      </c>
      <c r="AF342" s="9"/>
      <c r="AG342" s="22">
        <v>1.5718099999999999</v>
      </c>
      <c r="AH342" s="22">
        <v>21.8827</v>
      </c>
      <c r="AI342" s="22">
        <v>-1.21216E-2</v>
      </c>
      <c r="AJ342" s="22">
        <v>332</v>
      </c>
      <c r="AK342" s="22">
        <v>1.57013</v>
      </c>
      <c r="AL342">
        <f t="shared" si="66"/>
        <v>14.964938271604938</v>
      </c>
      <c r="AM342">
        <f t="shared" si="67"/>
        <v>23.522039624691356</v>
      </c>
      <c r="AP342" s="9"/>
      <c r="AQ342" s="22">
        <v>0.15823400000000001</v>
      </c>
      <c r="AR342" s="22">
        <v>27.412299999999998</v>
      </c>
      <c r="AS342" s="22">
        <v>-1.41998E-2</v>
      </c>
      <c r="AT342" s="22">
        <v>332</v>
      </c>
      <c r="AU342" s="22">
        <v>0.15756200000000001</v>
      </c>
      <c r="AV342">
        <f t="shared" si="68"/>
        <v>17.530617283950615</v>
      </c>
      <c r="AW342">
        <f t="shared" si="69"/>
        <v>2.7739396953086417</v>
      </c>
      <c r="AX342" s="9"/>
      <c r="AY342" s="22">
        <v>1.5718099999999999</v>
      </c>
      <c r="AZ342" s="22">
        <v>31.292000000000002</v>
      </c>
      <c r="BA342" s="22">
        <v>-1.21429E-2</v>
      </c>
      <c r="BB342" s="22">
        <v>332</v>
      </c>
      <c r="BC342" s="22">
        <v>1.57043</v>
      </c>
      <c r="BD342">
        <f t="shared" si="70"/>
        <v>14.991234567901234</v>
      </c>
      <c r="BE342">
        <f t="shared" si="71"/>
        <v>23.563372406172839</v>
      </c>
    </row>
    <row r="343" spans="6:57">
      <c r="F343" s="9"/>
      <c r="G343" s="22">
        <v>0.153198</v>
      </c>
      <c r="H343" s="22">
        <v>8.5189599999999999</v>
      </c>
      <c r="I343" s="22">
        <v>-1.41663E-2</v>
      </c>
      <c r="J343" s="22">
        <v>333</v>
      </c>
      <c r="K343" s="22">
        <v>0.152557</v>
      </c>
      <c r="L343">
        <f t="shared" si="60"/>
        <v>17.489259259259256</v>
      </c>
      <c r="M343">
        <f t="shared" si="61"/>
        <v>2.6793195399999994</v>
      </c>
      <c r="N343" s="9"/>
      <c r="O343" s="22">
        <v>1.57684</v>
      </c>
      <c r="P343" s="22">
        <v>12.3986</v>
      </c>
      <c r="Q343" s="22">
        <v>-1.2014800000000001E-2</v>
      </c>
      <c r="R343" s="22">
        <v>333</v>
      </c>
      <c r="S343" s="22">
        <v>1.57623</v>
      </c>
      <c r="T343">
        <f t="shared" si="62"/>
        <v>14.833086419753087</v>
      </c>
      <c r="U343">
        <f t="shared" si="63"/>
        <v>23.389403990123458</v>
      </c>
      <c r="X343" s="9"/>
      <c r="Y343" s="22">
        <v>0.153198</v>
      </c>
      <c r="Z343" s="22">
        <v>18.013200000000001</v>
      </c>
      <c r="AA343" s="22">
        <v>-1.4251700000000001E-2</v>
      </c>
      <c r="AB343" s="22">
        <v>333</v>
      </c>
      <c r="AC343" s="22">
        <v>0.152618</v>
      </c>
      <c r="AD343">
        <f t="shared" si="64"/>
        <v>17.594691358024694</v>
      </c>
      <c r="AE343">
        <f t="shared" si="65"/>
        <v>2.6954715266666671</v>
      </c>
      <c r="AF343" s="9"/>
      <c r="AG343" s="22">
        <v>1.57684</v>
      </c>
      <c r="AH343" s="22">
        <v>21.892800000000001</v>
      </c>
      <c r="AI343" s="22">
        <v>-1.20544E-2</v>
      </c>
      <c r="AJ343" s="22">
        <v>333</v>
      </c>
      <c r="AK343" s="22">
        <v>1.5765400000000001</v>
      </c>
      <c r="AL343">
        <f t="shared" si="66"/>
        <v>14.881975308641973</v>
      </c>
      <c r="AM343">
        <f t="shared" si="67"/>
        <v>23.466493945679009</v>
      </c>
      <c r="AP343" s="9"/>
      <c r="AQ343" s="22">
        <v>0.153198</v>
      </c>
      <c r="AR343" s="22">
        <v>27.4224</v>
      </c>
      <c r="AS343" s="22">
        <v>-1.41998E-2</v>
      </c>
      <c r="AT343" s="22">
        <v>333</v>
      </c>
      <c r="AU343" s="22">
        <v>0.152557</v>
      </c>
      <c r="AV343">
        <f t="shared" si="68"/>
        <v>17.530617283950615</v>
      </c>
      <c r="AW343">
        <f t="shared" si="69"/>
        <v>2.6856555066666665</v>
      </c>
      <c r="AX343" s="9"/>
      <c r="AY343" s="22">
        <v>1.57684</v>
      </c>
      <c r="AZ343" s="22">
        <v>31.302</v>
      </c>
      <c r="BA343" s="22">
        <v>-1.2075799999999999E-2</v>
      </c>
      <c r="BB343" s="22">
        <v>333</v>
      </c>
      <c r="BC343" s="22">
        <v>1.5759300000000001</v>
      </c>
      <c r="BD343">
        <f t="shared" si="70"/>
        <v>14.908395061728394</v>
      </c>
      <c r="BE343">
        <f t="shared" si="71"/>
        <v>23.508153669135801</v>
      </c>
    </row>
    <row r="344" spans="6:57">
      <c r="F344" s="9"/>
      <c r="G344" s="22">
        <v>0.14816299999999999</v>
      </c>
      <c r="H344" s="22">
        <v>8.5290400000000002</v>
      </c>
      <c r="I344" s="22">
        <v>-1.4175399999999999E-2</v>
      </c>
      <c r="J344" s="22">
        <v>334</v>
      </c>
      <c r="K344" s="22">
        <v>0.14752199999999999</v>
      </c>
      <c r="L344">
        <f t="shared" si="60"/>
        <v>17.500493827160494</v>
      </c>
      <c r="M344">
        <f t="shared" si="61"/>
        <v>2.5929256669135801</v>
      </c>
      <c r="N344" s="9"/>
      <c r="O344" s="22">
        <v>1.58188</v>
      </c>
      <c r="P344" s="22">
        <v>12.4087</v>
      </c>
      <c r="Q344" s="22">
        <v>-1.19507E-2</v>
      </c>
      <c r="R344" s="22">
        <v>334</v>
      </c>
      <c r="S344" s="22">
        <v>1.5811200000000001</v>
      </c>
      <c r="T344">
        <f t="shared" si="62"/>
        <v>14.75395061728395</v>
      </c>
      <c r="U344">
        <f t="shared" si="63"/>
        <v>23.338979402469135</v>
      </c>
      <c r="X344" s="9"/>
      <c r="Y344" s="22">
        <v>0.14816299999999999</v>
      </c>
      <c r="Z344" s="22">
        <v>18.023299999999999</v>
      </c>
      <c r="AA344" s="22">
        <v>-1.4267E-2</v>
      </c>
      <c r="AB344" s="22">
        <v>334</v>
      </c>
      <c r="AC344" s="22">
        <v>0.14758299999999999</v>
      </c>
      <c r="AD344">
        <f t="shared" si="64"/>
        <v>17.613580246913582</v>
      </c>
      <c r="AE344">
        <f t="shared" si="65"/>
        <v>2.6096808901234567</v>
      </c>
      <c r="AF344" s="9"/>
      <c r="AG344" s="22">
        <v>1.58188</v>
      </c>
      <c r="AH344" s="22">
        <v>21.902899999999999</v>
      </c>
      <c r="AI344" s="22">
        <v>-1.19843E-2</v>
      </c>
      <c r="AJ344" s="22">
        <v>334</v>
      </c>
      <c r="AK344" s="22">
        <v>1.5805100000000001</v>
      </c>
      <c r="AL344">
        <f t="shared" si="66"/>
        <v>14.795432098765431</v>
      </c>
      <c r="AM344">
        <f t="shared" si="67"/>
        <v>23.404598128395058</v>
      </c>
      <c r="AP344" s="9"/>
      <c r="AQ344" s="22">
        <v>0.14816299999999999</v>
      </c>
      <c r="AR344" s="22">
        <v>27.432500000000001</v>
      </c>
      <c r="AS344" s="22">
        <v>-1.41937E-2</v>
      </c>
      <c r="AT344" s="22">
        <v>334</v>
      </c>
      <c r="AU344" s="22">
        <v>0.14749100000000001</v>
      </c>
      <c r="AV344">
        <f t="shared" si="68"/>
        <v>17.523086419753085</v>
      </c>
      <c r="AW344">
        <f t="shared" si="69"/>
        <v>2.5962730532098761</v>
      </c>
      <c r="AX344" s="9"/>
      <c r="AY344" s="22">
        <v>1.58188</v>
      </c>
      <c r="AZ344" s="22">
        <v>31.312100000000001</v>
      </c>
      <c r="BA344" s="22">
        <v>-1.20056E-2</v>
      </c>
      <c r="BB344" s="22">
        <v>334</v>
      </c>
      <c r="BC344" s="22">
        <v>1.58081</v>
      </c>
      <c r="BD344">
        <f t="shared" si="70"/>
        <v>14.821728395061728</v>
      </c>
      <c r="BE344">
        <f t="shared" si="71"/>
        <v>23.446195713580245</v>
      </c>
    </row>
    <row r="345" spans="6:57">
      <c r="F345" s="9"/>
      <c r="G345" s="22">
        <v>0.143127</v>
      </c>
      <c r="H345" s="22">
        <v>8.5391100000000009</v>
      </c>
      <c r="I345" s="22">
        <v>-1.41876E-2</v>
      </c>
      <c r="J345" s="22">
        <v>335</v>
      </c>
      <c r="K345" s="22">
        <v>0.142517</v>
      </c>
      <c r="L345">
        <f t="shared" si="60"/>
        <v>17.515555555555554</v>
      </c>
      <c r="M345">
        <f t="shared" si="61"/>
        <v>2.5069489199999997</v>
      </c>
      <c r="N345" s="9"/>
      <c r="O345" s="22">
        <v>1.58691</v>
      </c>
      <c r="P345" s="22">
        <v>12.418699999999999</v>
      </c>
      <c r="Q345" s="22">
        <v>-1.1886600000000001E-2</v>
      </c>
      <c r="R345" s="22">
        <v>335</v>
      </c>
      <c r="S345" s="22">
        <v>1.58569</v>
      </c>
      <c r="T345">
        <f t="shared" si="62"/>
        <v>14.674814814814814</v>
      </c>
      <c r="U345">
        <f t="shared" si="63"/>
        <v>23.287610377777778</v>
      </c>
      <c r="X345" s="9"/>
      <c r="Y345" s="22">
        <v>0.143127</v>
      </c>
      <c r="Z345" s="22">
        <v>18.033300000000001</v>
      </c>
      <c r="AA345" s="22">
        <v>-1.42731E-2</v>
      </c>
      <c r="AB345" s="22">
        <v>335</v>
      </c>
      <c r="AC345" s="22">
        <v>0.142456</v>
      </c>
      <c r="AD345">
        <f t="shared" si="64"/>
        <v>17.621111111111112</v>
      </c>
      <c r="AE345">
        <f t="shared" si="65"/>
        <v>2.5220567700000003</v>
      </c>
      <c r="AF345" s="9"/>
      <c r="AG345" s="22">
        <v>1.58691</v>
      </c>
      <c r="AH345" s="22">
        <v>21.9129</v>
      </c>
      <c r="AI345" s="22">
        <v>-1.1908E-2</v>
      </c>
      <c r="AJ345" s="22">
        <v>335</v>
      </c>
      <c r="AK345" s="22">
        <v>1.58569</v>
      </c>
      <c r="AL345">
        <f t="shared" si="66"/>
        <v>14.701234567901233</v>
      </c>
      <c r="AM345">
        <f t="shared" si="67"/>
        <v>23.329536148148147</v>
      </c>
      <c r="AP345" s="9"/>
      <c r="AQ345" s="22">
        <v>0.143127</v>
      </c>
      <c r="AR345" s="22">
        <v>27.442599999999999</v>
      </c>
      <c r="AS345" s="22">
        <v>-1.41846E-2</v>
      </c>
      <c r="AT345" s="22">
        <v>335</v>
      </c>
      <c r="AU345" s="22">
        <v>0.14239499999999999</v>
      </c>
      <c r="AV345">
        <f t="shared" si="68"/>
        <v>17.511851851851851</v>
      </c>
      <c r="AW345">
        <f t="shared" si="69"/>
        <v>2.5064188199999999</v>
      </c>
      <c r="AX345" s="9"/>
      <c r="AY345" s="22">
        <v>1.58691</v>
      </c>
      <c r="AZ345" s="22">
        <v>31.322199999999999</v>
      </c>
      <c r="BA345" s="22">
        <v>-1.1938499999999999E-2</v>
      </c>
      <c r="BB345" s="22">
        <v>335</v>
      </c>
      <c r="BC345" s="22">
        <v>1.5863</v>
      </c>
      <c r="BD345">
        <f t="shared" si="70"/>
        <v>14.738888888888887</v>
      </c>
      <c r="BE345">
        <f t="shared" si="71"/>
        <v>23.389290166666665</v>
      </c>
    </row>
    <row r="346" spans="6:57">
      <c r="F346" s="9"/>
      <c r="G346" s="22">
        <v>0.13809199999999999</v>
      </c>
      <c r="H346" s="22">
        <v>8.5491799999999998</v>
      </c>
      <c r="I346" s="22">
        <v>-1.41785E-2</v>
      </c>
      <c r="J346" s="22">
        <v>336</v>
      </c>
      <c r="K346" s="22">
        <v>0.13742099999999999</v>
      </c>
      <c r="L346">
        <f t="shared" si="60"/>
        <v>17.504320987654321</v>
      </c>
      <c r="M346">
        <f t="shared" si="61"/>
        <v>2.4172066938271604</v>
      </c>
      <c r="N346" s="9"/>
      <c r="O346" s="22">
        <v>1.59195</v>
      </c>
      <c r="P346" s="22">
        <v>12.428800000000001</v>
      </c>
      <c r="Q346" s="22">
        <v>-1.18195E-2</v>
      </c>
      <c r="R346" s="22">
        <v>336</v>
      </c>
      <c r="S346" s="22">
        <v>1.5908800000000001</v>
      </c>
      <c r="T346">
        <f t="shared" si="62"/>
        <v>14.591975308641976</v>
      </c>
      <c r="U346">
        <f t="shared" si="63"/>
        <v>23.229695092592593</v>
      </c>
      <c r="X346" s="9"/>
      <c r="Y346" s="22">
        <v>0.13809199999999999</v>
      </c>
      <c r="Z346" s="22">
        <v>18.043399999999998</v>
      </c>
      <c r="AA346" s="22">
        <v>-1.42761E-2</v>
      </c>
      <c r="AB346" s="22">
        <v>336</v>
      </c>
      <c r="AC346" s="22">
        <v>0.13742099999999999</v>
      </c>
      <c r="AD346">
        <f t="shared" si="64"/>
        <v>17.624814814814812</v>
      </c>
      <c r="AE346">
        <f t="shared" si="65"/>
        <v>2.4338459274074067</v>
      </c>
      <c r="AF346" s="9"/>
      <c r="AG346" s="22">
        <v>1.59195</v>
      </c>
      <c r="AH346" s="22">
        <v>21.922999999999998</v>
      </c>
      <c r="AI346" s="22">
        <v>-1.1831700000000001E-2</v>
      </c>
      <c r="AJ346" s="22">
        <v>336</v>
      </c>
      <c r="AK346" s="22">
        <v>1.5908800000000001</v>
      </c>
      <c r="AL346">
        <f t="shared" si="66"/>
        <v>14.607037037037037</v>
      </c>
      <c r="AM346">
        <f t="shared" si="67"/>
        <v>23.25367261111111</v>
      </c>
      <c r="AP346" s="9"/>
      <c r="AQ346" s="22">
        <v>0.13809199999999999</v>
      </c>
      <c r="AR346" s="22">
        <v>27.4526</v>
      </c>
      <c r="AS346" s="22">
        <v>-1.41815E-2</v>
      </c>
      <c r="AT346" s="22">
        <v>336</v>
      </c>
      <c r="AU346" s="22">
        <v>0.13745099999999999</v>
      </c>
      <c r="AV346">
        <f t="shared" si="68"/>
        <v>17.508024691358024</v>
      </c>
      <c r="AW346">
        <f t="shared" si="69"/>
        <v>2.4177181456790122</v>
      </c>
      <c r="AX346" s="9"/>
      <c r="AY346" s="22">
        <v>1.59195</v>
      </c>
      <c r="AZ346" s="22">
        <v>31.3322</v>
      </c>
      <c r="BA346" s="22">
        <v>-1.18622E-2</v>
      </c>
      <c r="BB346" s="22">
        <v>336</v>
      </c>
      <c r="BC346" s="22">
        <v>1.5911900000000001</v>
      </c>
      <c r="BD346">
        <f t="shared" si="70"/>
        <v>14.644691358024689</v>
      </c>
      <c r="BE346">
        <f t="shared" si="71"/>
        <v>23.313616407407402</v>
      </c>
    </row>
    <row r="347" spans="6:57">
      <c r="F347" s="9"/>
      <c r="G347" s="22">
        <v>0.13305700000000001</v>
      </c>
      <c r="H347" s="22">
        <v>8.5592500000000005</v>
      </c>
      <c r="I347" s="22">
        <v>-1.41724E-2</v>
      </c>
      <c r="J347" s="22">
        <v>337</v>
      </c>
      <c r="K347" s="22">
        <v>0.132385</v>
      </c>
      <c r="L347">
        <f t="shared" si="60"/>
        <v>17.496790123456787</v>
      </c>
      <c r="M347">
        <f t="shared" si="61"/>
        <v>2.3280704034567901</v>
      </c>
      <c r="N347" s="9"/>
      <c r="O347" s="22">
        <v>1.5969800000000001</v>
      </c>
      <c r="P347" s="22">
        <v>12.4389</v>
      </c>
      <c r="Q347" s="22">
        <v>-1.17462E-2</v>
      </c>
      <c r="R347" s="22">
        <v>337</v>
      </c>
      <c r="S347" s="22">
        <v>1.5963700000000001</v>
      </c>
      <c r="T347">
        <f t="shared" si="62"/>
        <v>14.501481481481481</v>
      </c>
      <c r="U347">
        <f t="shared" si="63"/>
        <v>23.158575896296295</v>
      </c>
      <c r="X347" s="9"/>
      <c r="Y347" s="22">
        <v>0.13305700000000001</v>
      </c>
      <c r="Z347" s="22">
        <v>18.0535</v>
      </c>
      <c r="AA347" s="22">
        <v>-1.42731E-2</v>
      </c>
      <c r="AB347" s="22">
        <v>337</v>
      </c>
      <c r="AC347" s="22">
        <v>0.13247700000000001</v>
      </c>
      <c r="AD347">
        <f t="shared" si="64"/>
        <v>17.621111111111112</v>
      </c>
      <c r="AE347">
        <f t="shared" si="65"/>
        <v>2.3446121811111116</v>
      </c>
      <c r="AF347" s="9"/>
      <c r="AG347" s="22">
        <v>1.5969800000000001</v>
      </c>
      <c r="AH347" s="22">
        <v>21.9331</v>
      </c>
      <c r="AI347" s="22">
        <v>-1.17462E-2</v>
      </c>
      <c r="AJ347" s="22">
        <v>337</v>
      </c>
      <c r="AK347" s="22">
        <v>1.5960700000000001</v>
      </c>
      <c r="AL347">
        <f t="shared" si="66"/>
        <v>14.501481481481481</v>
      </c>
      <c r="AM347">
        <f t="shared" si="67"/>
        <v>23.158575896296295</v>
      </c>
      <c r="AP347" s="9"/>
      <c r="AQ347" s="22">
        <v>0.13305700000000001</v>
      </c>
      <c r="AR347" s="22">
        <v>27.462700000000002</v>
      </c>
      <c r="AS347" s="22">
        <v>-1.41876E-2</v>
      </c>
      <c r="AT347" s="22">
        <v>337</v>
      </c>
      <c r="AU347" s="22">
        <v>0.13241600000000001</v>
      </c>
      <c r="AV347">
        <f t="shared" si="68"/>
        <v>17.515555555555554</v>
      </c>
      <c r="AW347">
        <f t="shared" si="69"/>
        <v>2.3305672755555555</v>
      </c>
      <c r="AX347" s="9"/>
      <c r="AY347" s="22">
        <v>1.5969800000000001</v>
      </c>
      <c r="AZ347" s="22">
        <v>31.342300000000002</v>
      </c>
      <c r="BA347" s="22">
        <v>-1.17828E-2</v>
      </c>
      <c r="BB347" s="22">
        <v>337</v>
      </c>
      <c r="BC347" s="22">
        <v>1.5960700000000001</v>
      </c>
      <c r="BD347">
        <f t="shared" si="70"/>
        <v>14.546666666666665</v>
      </c>
      <c r="BE347">
        <f t="shared" si="71"/>
        <v>23.230735733333333</v>
      </c>
    </row>
    <row r="348" spans="6:57">
      <c r="F348" s="9"/>
      <c r="G348" s="22">
        <v>0.128021</v>
      </c>
      <c r="H348" s="22">
        <v>8.5693199999999994</v>
      </c>
      <c r="I348" s="22">
        <v>-1.41785E-2</v>
      </c>
      <c r="J348" s="22">
        <v>338</v>
      </c>
      <c r="K348" s="22">
        <v>0.12731899999999999</v>
      </c>
      <c r="L348">
        <f t="shared" si="60"/>
        <v>17.504320987654321</v>
      </c>
      <c r="M348">
        <f t="shared" si="61"/>
        <v>2.2409206771604939</v>
      </c>
      <c r="N348" s="9"/>
      <c r="O348" s="22">
        <v>1.60202</v>
      </c>
      <c r="P348" s="22">
        <v>12.4489</v>
      </c>
      <c r="Q348" s="22">
        <v>-1.16699E-2</v>
      </c>
      <c r="R348" s="22">
        <v>338</v>
      </c>
      <c r="S348" s="22">
        <v>1.6015600000000001</v>
      </c>
      <c r="T348">
        <f t="shared" si="62"/>
        <v>14.407283950617282</v>
      </c>
      <c r="U348">
        <f t="shared" si="63"/>
        <v>23.080757034567899</v>
      </c>
      <c r="X348" s="9"/>
      <c r="Y348" s="22">
        <v>0.128021</v>
      </c>
      <c r="Z348" s="22">
        <v>18.063500000000001</v>
      </c>
      <c r="AA348" s="22">
        <v>-1.4267E-2</v>
      </c>
      <c r="AB348" s="22">
        <v>338</v>
      </c>
      <c r="AC348" s="22">
        <v>0.12737999999999999</v>
      </c>
      <c r="AD348">
        <f t="shared" si="64"/>
        <v>17.613580246913582</v>
      </c>
      <c r="AE348">
        <f t="shared" si="65"/>
        <v>2.2549081567901235</v>
      </c>
      <c r="AF348" s="9"/>
      <c r="AG348" s="22">
        <v>1.60202</v>
      </c>
      <c r="AH348" s="22">
        <v>21.943200000000001</v>
      </c>
      <c r="AI348" s="22">
        <v>-1.1666899999999999E-2</v>
      </c>
      <c r="AJ348" s="22">
        <v>338</v>
      </c>
      <c r="AK348" s="22">
        <v>1.6009500000000001</v>
      </c>
      <c r="AL348">
        <f t="shared" si="66"/>
        <v>14.403580246913579</v>
      </c>
      <c r="AM348">
        <f t="shared" si="67"/>
        <v>23.074823627160491</v>
      </c>
      <c r="AP348" s="9"/>
      <c r="AQ348" s="22">
        <v>0.128021</v>
      </c>
      <c r="AR348" s="22">
        <v>27.472799999999999</v>
      </c>
      <c r="AS348" s="22">
        <v>-1.4190700000000001E-2</v>
      </c>
      <c r="AT348" s="22">
        <v>338</v>
      </c>
      <c r="AU348" s="22">
        <v>0.12737999999999999</v>
      </c>
      <c r="AV348">
        <f t="shared" si="68"/>
        <v>17.519382716049382</v>
      </c>
      <c r="AW348">
        <f t="shared" si="69"/>
        <v>2.2428488946913578</v>
      </c>
      <c r="AX348" s="9"/>
      <c r="AY348" s="22">
        <v>1.60202</v>
      </c>
      <c r="AZ348" s="22">
        <v>31.352399999999999</v>
      </c>
      <c r="BA348" s="22">
        <v>-1.17004E-2</v>
      </c>
      <c r="BB348" s="22">
        <v>338</v>
      </c>
      <c r="BC348" s="22">
        <v>1.6009500000000001</v>
      </c>
      <c r="BD348">
        <f t="shared" si="70"/>
        <v>14.444938271604938</v>
      </c>
      <c r="BE348">
        <f t="shared" si="71"/>
        <v>23.141080009876543</v>
      </c>
    </row>
    <row r="349" spans="6:57">
      <c r="F349" s="9"/>
      <c r="G349" s="22">
        <v>0.122986</v>
      </c>
      <c r="H349" s="22">
        <v>8.5793900000000001</v>
      </c>
      <c r="I349" s="22">
        <v>-1.41785E-2</v>
      </c>
      <c r="J349" s="22">
        <v>339</v>
      </c>
      <c r="K349" s="22">
        <v>0.122345</v>
      </c>
      <c r="L349">
        <f t="shared" si="60"/>
        <v>17.504320987654321</v>
      </c>
      <c r="M349">
        <f t="shared" si="61"/>
        <v>2.1527864209876544</v>
      </c>
      <c r="N349" s="9"/>
      <c r="O349" s="22">
        <v>1.6070599999999999</v>
      </c>
      <c r="P349" s="22">
        <v>12.459</v>
      </c>
      <c r="Q349" s="22">
        <v>-1.1587500000000001E-2</v>
      </c>
      <c r="R349" s="22">
        <v>339</v>
      </c>
      <c r="S349" s="22">
        <v>1.6061399999999999</v>
      </c>
      <c r="T349">
        <f t="shared" si="62"/>
        <v>14.305555555555555</v>
      </c>
      <c r="U349">
        <f t="shared" si="63"/>
        <v>22.989886111111108</v>
      </c>
      <c r="X349" s="9"/>
      <c r="Y349" s="22">
        <v>0.122986</v>
      </c>
      <c r="Z349" s="22">
        <v>18.073599999999999</v>
      </c>
      <c r="AA349" s="22">
        <v>-1.4257799999999999E-2</v>
      </c>
      <c r="AB349" s="22">
        <v>339</v>
      </c>
      <c r="AC349" s="22">
        <v>0.122345</v>
      </c>
      <c r="AD349">
        <f t="shared" si="64"/>
        <v>17.60222222222222</v>
      </c>
      <c r="AE349">
        <f t="shared" si="65"/>
        <v>2.164826902222222</v>
      </c>
      <c r="AF349" s="9"/>
      <c r="AG349" s="22">
        <v>1.6070599999999999</v>
      </c>
      <c r="AH349" s="22">
        <v>21.953199999999999</v>
      </c>
      <c r="AI349" s="22">
        <v>-1.1587500000000001E-2</v>
      </c>
      <c r="AJ349" s="22">
        <v>339</v>
      </c>
      <c r="AK349" s="22">
        <v>1.6058300000000001</v>
      </c>
      <c r="AL349">
        <f t="shared" si="66"/>
        <v>14.305555555555555</v>
      </c>
      <c r="AM349">
        <f t="shared" si="67"/>
        <v>22.989886111111108</v>
      </c>
      <c r="AP349" s="9"/>
      <c r="AQ349" s="22">
        <v>0.122986</v>
      </c>
      <c r="AR349" s="22">
        <v>27.482800000000001</v>
      </c>
      <c r="AS349" s="22">
        <v>-1.4196800000000001E-2</v>
      </c>
      <c r="AT349" s="22">
        <v>339</v>
      </c>
      <c r="AU349" s="22">
        <v>0.122345</v>
      </c>
      <c r="AV349">
        <f t="shared" si="68"/>
        <v>17.526913580246916</v>
      </c>
      <c r="AW349">
        <f t="shared" si="69"/>
        <v>2.155564993580247</v>
      </c>
      <c r="AX349" s="9"/>
      <c r="AY349" s="22">
        <v>1.6070599999999999</v>
      </c>
      <c r="AZ349" s="22">
        <v>31.362500000000001</v>
      </c>
      <c r="BA349" s="22">
        <v>-1.16119E-2</v>
      </c>
      <c r="BB349" s="22">
        <v>339</v>
      </c>
      <c r="BC349" s="22">
        <v>1.6064499999999999</v>
      </c>
      <c r="BD349">
        <f t="shared" si="70"/>
        <v>14.335679012345677</v>
      </c>
      <c r="BE349">
        <f t="shared" si="71"/>
        <v>23.038296313580243</v>
      </c>
    </row>
    <row r="350" spans="6:57">
      <c r="F350" s="9"/>
      <c r="G350" s="22">
        <v>0.11795</v>
      </c>
      <c r="H350" s="22">
        <v>8.5894600000000008</v>
      </c>
      <c r="I350" s="22">
        <v>-1.4190700000000001E-2</v>
      </c>
      <c r="J350" s="22">
        <v>340</v>
      </c>
      <c r="K350" s="22">
        <v>0.11734</v>
      </c>
      <c r="L350">
        <f t="shared" si="60"/>
        <v>17.519382716049382</v>
      </c>
      <c r="M350">
        <f t="shared" si="61"/>
        <v>2.0664111913580245</v>
      </c>
      <c r="N350" s="9"/>
      <c r="O350" s="22">
        <v>1.61209</v>
      </c>
      <c r="P350" s="22">
        <v>12.469099999999999</v>
      </c>
      <c r="Q350" s="22">
        <v>-1.1499000000000001E-2</v>
      </c>
      <c r="R350" s="22">
        <v>340</v>
      </c>
      <c r="S350" s="22">
        <v>1.6110199999999999</v>
      </c>
      <c r="T350">
        <f t="shared" si="62"/>
        <v>14.196296296296296</v>
      </c>
      <c r="U350">
        <f t="shared" si="63"/>
        <v>22.885707296296296</v>
      </c>
      <c r="X350" s="9"/>
      <c r="Y350" s="22">
        <v>0.11795</v>
      </c>
      <c r="Z350" s="22">
        <v>18.0837</v>
      </c>
      <c r="AA350" s="22">
        <v>-1.4251700000000001E-2</v>
      </c>
      <c r="AB350" s="22">
        <v>340</v>
      </c>
      <c r="AC350" s="22">
        <v>0.11731</v>
      </c>
      <c r="AD350">
        <f t="shared" si="64"/>
        <v>17.594691358024694</v>
      </c>
      <c r="AE350">
        <f t="shared" si="65"/>
        <v>2.0752938456790124</v>
      </c>
      <c r="AF350" s="9"/>
      <c r="AG350" s="22">
        <v>1.61209</v>
      </c>
      <c r="AH350" s="22">
        <v>21.9633</v>
      </c>
      <c r="AI350" s="22">
        <v>-1.1502099999999999E-2</v>
      </c>
      <c r="AJ350" s="22">
        <v>340</v>
      </c>
      <c r="AK350" s="22">
        <v>1.6116299999999999</v>
      </c>
      <c r="AL350">
        <f t="shared" si="66"/>
        <v>14.200123456790122</v>
      </c>
      <c r="AM350">
        <f t="shared" si="67"/>
        <v>22.891877023456789</v>
      </c>
      <c r="AP350" s="9"/>
      <c r="AQ350" s="22">
        <v>0.11795</v>
      </c>
      <c r="AR350" s="22">
        <v>27.492899999999999</v>
      </c>
      <c r="AS350" s="22">
        <v>-1.4202899999999999E-2</v>
      </c>
      <c r="AT350" s="22">
        <v>340</v>
      </c>
      <c r="AU350" s="22">
        <v>0.11731</v>
      </c>
      <c r="AV350">
        <f t="shared" si="68"/>
        <v>17.534444444444443</v>
      </c>
      <c r="AW350">
        <f t="shared" si="69"/>
        <v>2.068187722222222</v>
      </c>
      <c r="AX350" s="9"/>
      <c r="AY350" s="22">
        <v>1.61209</v>
      </c>
      <c r="AZ350" s="22">
        <v>31.372499999999999</v>
      </c>
      <c r="BA350" s="22">
        <v>-1.1538700000000001E-2</v>
      </c>
      <c r="BB350" s="22">
        <v>340</v>
      </c>
      <c r="BC350" s="22">
        <v>1.6113299999999999</v>
      </c>
      <c r="BD350">
        <f t="shared" si="70"/>
        <v>14.245308641975308</v>
      </c>
      <c r="BE350">
        <f t="shared" si="71"/>
        <v>22.964719608641975</v>
      </c>
    </row>
    <row r="351" spans="6:57">
      <c r="F351" s="9"/>
      <c r="G351" s="22">
        <v>0.112915</v>
      </c>
      <c r="H351" s="22">
        <v>8.5995299999999997</v>
      </c>
      <c r="I351" s="22">
        <v>-1.41937E-2</v>
      </c>
      <c r="J351" s="22">
        <v>341</v>
      </c>
      <c r="K351" s="22">
        <v>0.112244</v>
      </c>
      <c r="L351">
        <f t="shared" si="60"/>
        <v>17.523086419753085</v>
      </c>
      <c r="M351">
        <f t="shared" si="61"/>
        <v>1.9786193030864196</v>
      </c>
      <c r="N351" s="9"/>
      <c r="O351" s="22">
        <v>1.61713</v>
      </c>
      <c r="P351" s="22">
        <v>12.479100000000001</v>
      </c>
      <c r="Q351" s="22">
        <v>-1.1410500000000001E-2</v>
      </c>
      <c r="R351" s="22">
        <v>341</v>
      </c>
      <c r="S351" s="22">
        <v>1.6162099999999999</v>
      </c>
      <c r="T351">
        <f t="shared" si="62"/>
        <v>14.087037037037037</v>
      </c>
      <c r="U351">
        <f t="shared" si="63"/>
        <v>22.780570203703704</v>
      </c>
      <c r="X351" s="9"/>
      <c r="Y351" s="22">
        <v>0.112915</v>
      </c>
      <c r="Z351" s="22">
        <v>18.093800000000002</v>
      </c>
      <c r="AA351" s="22">
        <v>-1.4245600000000001E-2</v>
      </c>
      <c r="AB351" s="22">
        <v>341</v>
      </c>
      <c r="AC351" s="22">
        <v>0.112274</v>
      </c>
      <c r="AD351">
        <f t="shared" si="64"/>
        <v>17.58716049382716</v>
      </c>
      <c r="AE351">
        <f t="shared" si="65"/>
        <v>1.9858542271604938</v>
      </c>
      <c r="AF351" s="9"/>
      <c r="AG351" s="22">
        <v>1.61713</v>
      </c>
      <c r="AH351" s="22">
        <v>21.973400000000002</v>
      </c>
      <c r="AI351" s="22">
        <v>-1.1422699999999999E-2</v>
      </c>
      <c r="AJ351" s="22">
        <v>341</v>
      </c>
      <c r="AK351" s="22">
        <v>1.6162099999999999</v>
      </c>
      <c r="AL351">
        <f t="shared" si="66"/>
        <v>14.102098765432096</v>
      </c>
      <c r="AM351">
        <f t="shared" si="67"/>
        <v>22.804926976543204</v>
      </c>
      <c r="AP351" s="9"/>
      <c r="AQ351" s="22">
        <v>0.112915</v>
      </c>
      <c r="AR351" s="22">
        <v>27.503</v>
      </c>
      <c r="AS351" s="22">
        <v>-1.4218099999999999E-2</v>
      </c>
      <c r="AT351" s="22">
        <v>341</v>
      </c>
      <c r="AU351" s="22">
        <v>0.112274</v>
      </c>
      <c r="AV351">
        <f t="shared" si="68"/>
        <v>17.553209876543207</v>
      </c>
      <c r="AW351">
        <f t="shared" si="69"/>
        <v>1.9820206932098763</v>
      </c>
      <c r="AX351" s="9"/>
      <c r="AY351" s="22">
        <v>1.61713</v>
      </c>
      <c r="AZ351" s="22">
        <v>31.3826</v>
      </c>
      <c r="BA351" s="22">
        <v>-1.1450200000000001E-2</v>
      </c>
      <c r="BB351" s="22">
        <v>341</v>
      </c>
      <c r="BC351" s="22">
        <v>1.6162099999999999</v>
      </c>
      <c r="BD351">
        <f t="shared" si="70"/>
        <v>14.136049382716049</v>
      </c>
      <c r="BE351">
        <f t="shared" si="71"/>
        <v>22.859829538271605</v>
      </c>
    </row>
    <row r="352" spans="6:57">
      <c r="F352" s="9"/>
      <c r="G352" s="22">
        <v>0.10788</v>
      </c>
      <c r="H352" s="22">
        <v>8.6096000000000004</v>
      </c>
      <c r="I352" s="22">
        <v>-1.4196800000000001E-2</v>
      </c>
      <c r="J352" s="22">
        <v>342</v>
      </c>
      <c r="K352" s="22">
        <v>0.107239</v>
      </c>
      <c r="L352">
        <f t="shared" si="60"/>
        <v>17.526913580246916</v>
      </c>
      <c r="M352">
        <f t="shared" si="61"/>
        <v>1.8908034370370372</v>
      </c>
      <c r="N352" s="9"/>
      <c r="O352" s="22">
        <v>1.62216</v>
      </c>
      <c r="P352" s="22">
        <v>12.4892</v>
      </c>
      <c r="Q352" s="22">
        <v>-1.1322E-2</v>
      </c>
      <c r="R352" s="22">
        <v>342</v>
      </c>
      <c r="S352" s="22">
        <v>1.6216999999999999</v>
      </c>
      <c r="T352">
        <f t="shared" si="62"/>
        <v>13.977777777777778</v>
      </c>
      <c r="U352">
        <f t="shared" si="63"/>
        <v>22.674192000000001</v>
      </c>
      <c r="X352" s="9"/>
      <c r="Y352" s="22">
        <v>0.10788</v>
      </c>
      <c r="Z352" s="22">
        <v>18.1038</v>
      </c>
      <c r="AA352" s="22">
        <v>-1.42395E-2</v>
      </c>
      <c r="AB352" s="22">
        <v>342</v>
      </c>
      <c r="AC352" s="22">
        <v>0.107239</v>
      </c>
      <c r="AD352">
        <f t="shared" si="64"/>
        <v>17.579629629629629</v>
      </c>
      <c r="AE352">
        <f t="shared" si="65"/>
        <v>1.8964904444444444</v>
      </c>
      <c r="AF352" s="9"/>
      <c r="AG352" s="22">
        <v>1.62216</v>
      </c>
      <c r="AH352" s="22">
        <v>21.9834</v>
      </c>
      <c r="AI352" s="22">
        <v>-1.13373E-2</v>
      </c>
      <c r="AJ352" s="22">
        <v>342</v>
      </c>
      <c r="AK352" s="22">
        <v>1.6210899999999999</v>
      </c>
      <c r="AL352">
        <f t="shared" si="66"/>
        <v>13.996666666666666</v>
      </c>
      <c r="AM352">
        <f t="shared" si="67"/>
        <v>22.704832799999998</v>
      </c>
      <c r="AP352" s="9"/>
      <c r="AQ352" s="22">
        <v>0.10788</v>
      </c>
      <c r="AR352" s="22">
        <v>27.513100000000001</v>
      </c>
      <c r="AS352" s="22">
        <v>-1.42273E-2</v>
      </c>
      <c r="AT352" s="22">
        <v>342</v>
      </c>
      <c r="AU352" s="22">
        <v>0.107239</v>
      </c>
      <c r="AV352">
        <f t="shared" si="68"/>
        <v>17.564567901234565</v>
      </c>
      <c r="AW352">
        <f t="shared" si="69"/>
        <v>1.894865585185185</v>
      </c>
      <c r="AX352" s="9"/>
      <c r="AY352" s="22">
        <v>1.62216</v>
      </c>
      <c r="AZ352" s="22">
        <v>31.392700000000001</v>
      </c>
      <c r="BA352" s="22">
        <v>-1.13525E-2</v>
      </c>
      <c r="BB352" s="22">
        <v>342</v>
      </c>
      <c r="BC352" s="22">
        <v>1.6210899999999999</v>
      </c>
      <c r="BD352">
        <f t="shared" si="70"/>
        <v>14.015432098765432</v>
      </c>
      <c r="BE352">
        <f t="shared" si="71"/>
        <v>22.735273333333335</v>
      </c>
    </row>
    <row r="353" spans="6:57">
      <c r="F353" s="9"/>
      <c r="G353" s="22">
        <v>0.102844</v>
      </c>
      <c r="H353" s="22">
        <v>8.6196699999999993</v>
      </c>
      <c r="I353" s="22">
        <v>-1.41876E-2</v>
      </c>
      <c r="J353" s="22">
        <v>343</v>
      </c>
      <c r="K353" s="22">
        <v>0.102203</v>
      </c>
      <c r="L353">
        <f t="shared" si="60"/>
        <v>17.515555555555554</v>
      </c>
      <c r="M353">
        <f t="shared" si="61"/>
        <v>1.8013697955555554</v>
      </c>
      <c r="N353" s="9"/>
      <c r="O353" s="22">
        <v>1.6272</v>
      </c>
      <c r="P353" s="22">
        <v>12.4993</v>
      </c>
      <c r="Q353" s="22">
        <v>-1.1224400000000001E-2</v>
      </c>
      <c r="R353" s="22">
        <v>343</v>
      </c>
      <c r="S353" s="22">
        <v>1.6262799999999999</v>
      </c>
      <c r="T353">
        <f t="shared" si="62"/>
        <v>13.857283950617285</v>
      </c>
      <c r="U353">
        <f t="shared" si="63"/>
        <v>22.548572444444446</v>
      </c>
      <c r="X353" s="9"/>
      <c r="Y353" s="22">
        <v>0.102844</v>
      </c>
      <c r="Z353" s="22">
        <v>18.113900000000001</v>
      </c>
      <c r="AA353" s="22">
        <v>-1.42395E-2</v>
      </c>
      <c r="AB353" s="22">
        <v>343</v>
      </c>
      <c r="AC353" s="22">
        <v>0.102203</v>
      </c>
      <c r="AD353">
        <f t="shared" si="64"/>
        <v>17.579629629629629</v>
      </c>
      <c r="AE353">
        <f t="shared" si="65"/>
        <v>1.8079594296296297</v>
      </c>
      <c r="AF353" s="9"/>
      <c r="AG353" s="22">
        <v>1.6272</v>
      </c>
      <c r="AH353" s="22">
        <v>21.993500000000001</v>
      </c>
      <c r="AI353" s="22">
        <v>-1.12488E-2</v>
      </c>
      <c r="AJ353" s="22">
        <v>343</v>
      </c>
      <c r="AK353" s="22">
        <v>1.62659</v>
      </c>
      <c r="AL353">
        <f t="shared" si="66"/>
        <v>13.887407407407405</v>
      </c>
      <c r="AM353">
        <f t="shared" si="67"/>
        <v>22.597589333333328</v>
      </c>
      <c r="AP353" s="9"/>
      <c r="AQ353" s="22">
        <v>0.102844</v>
      </c>
      <c r="AR353" s="22">
        <v>27.523099999999999</v>
      </c>
      <c r="AS353" s="22">
        <v>-1.42334E-2</v>
      </c>
      <c r="AT353" s="22">
        <v>343</v>
      </c>
      <c r="AU353" s="22">
        <v>0.102203</v>
      </c>
      <c r="AV353">
        <f t="shared" si="68"/>
        <v>17.572098765432099</v>
      </c>
      <c r="AW353">
        <f t="shared" si="69"/>
        <v>1.8071849254320989</v>
      </c>
      <c r="AX353" s="9"/>
      <c r="AY353" s="22">
        <v>1.6272</v>
      </c>
      <c r="AZ353" s="22">
        <v>31.402699999999999</v>
      </c>
      <c r="BA353" s="22">
        <v>-1.12488E-2</v>
      </c>
      <c r="BB353" s="22">
        <v>343</v>
      </c>
      <c r="BC353" s="22">
        <v>1.62598</v>
      </c>
      <c r="BD353">
        <f t="shared" si="70"/>
        <v>13.887407407407405</v>
      </c>
      <c r="BE353">
        <f t="shared" si="71"/>
        <v>22.597589333333328</v>
      </c>
    </row>
    <row r="354" spans="6:57">
      <c r="F354" s="9"/>
      <c r="G354" s="22">
        <v>9.7808800000000001E-2</v>
      </c>
      <c r="H354" s="22">
        <v>8.6297499999999996</v>
      </c>
      <c r="I354" s="22">
        <v>-1.41815E-2</v>
      </c>
      <c r="J354" s="22">
        <v>344</v>
      </c>
      <c r="K354" s="22">
        <v>9.7168000000000004E-2</v>
      </c>
      <c r="L354">
        <f t="shared" si="60"/>
        <v>17.508024691358024</v>
      </c>
      <c r="M354">
        <f t="shared" si="61"/>
        <v>1.7124388854320987</v>
      </c>
      <c r="N354" s="9"/>
      <c r="O354" s="22">
        <v>1.6322300000000001</v>
      </c>
      <c r="P354" s="22">
        <v>12.509399999999999</v>
      </c>
      <c r="Q354" s="22">
        <v>-1.11267E-2</v>
      </c>
      <c r="R354" s="22">
        <v>344</v>
      </c>
      <c r="S354" s="22">
        <v>1.6311599999999999</v>
      </c>
      <c r="T354">
        <f t="shared" si="62"/>
        <v>13.736666666666666</v>
      </c>
      <c r="U354">
        <f t="shared" si="63"/>
        <v>22.421399433333335</v>
      </c>
      <c r="X354" s="9"/>
      <c r="Y354" s="22">
        <v>9.7808800000000001E-2</v>
      </c>
      <c r="Z354" s="22">
        <v>18.123999999999999</v>
      </c>
      <c r="AA354" s="22">
        <v>-1.42334E-2</v>
      </c>
      <c r="AB354" s="22">
        <v>344</v>
      </c>
      <c r="AC354" s="22">
        <v>9.7198499999999993E-2</v>
      </c>
      <c r="AD354">
        <f t="shared" si="64"/>
        <v>17.572098765432099</v>
      </c>
      <c r="AE354">
        <f t="shared" si="65"/>
        <v>1.718705893728395</v>
      </c>
      <c r="AF354" s="9"/>
      <c r="AG354" s="22">
        <v>1.6322300000000001</v>
      </c>
      <c r="AH354" s="22">
        <v>22.003599999999999</v>
      </c>
      <c r="AI354" s="22">
        <v>-1.11542E-2</v>
      </c>
      <c r="AJ354" s="22">
        <v>344</v>
      </c>
      <c r="AK354" s="22">
        <v>1.6311599999999999</v>
      </c>
      <c r="AL354">
        <f t="shared" si="66"/>
        <v>13.770617283950616</v>
      </c>
      <c r="AM354">
        <f t="shared" si="67"/>
        <v>22.476814649382714</v>
      </c>
      <c r="AP354" s="9"/>
      <c r="AQ354" s="22">
        <v>9.7808800000000001E-2</v>
      </c>
      <c r="AR354" s="22">
        <v>27.533200000000001</v>
      </c>
      <c r="AS354" s="22">
        <v>-1.42334E-2</v>
      </c>
      <c r="AT354" s="22">
        <v>344</v>
      </c>
      <c r="AU354" s="22">
        <v>9.7106899999999996E-2</v>
      </c>
      <c r="AV354">
        <f t="shared" si="68"/>
        <v>17.572098765432099</v>
      </c>
      <c r="AW354">
        <f t="shared" si="69"/>
        <v>1.718705893728395</v>
      </c>
      <c r="AX354" s="9"/>
      <c r="AY354" s="22">
        <v>1.6322300000000001</v>
      </c>
      <c r="AZ354" s="22">
        <v>31.412800000000001</v>
      </c>
      <c r="BA354" s="22">
        <v>-1.1151100000000001E-2</v>
      </c>
      <c r="BB354" s="22">
        <v>344</v>
      </c>
      <c r="BC354" s="22">
        <v>1.63147</v>
      </c>
      <c r="BD354">
        <f t="shared" si="70"/>
        <v>13.76679012345679</v>
      </c>
      <c r="BE354">
        <f t="shared" si="71"/>
        <v>22.470567843209878</v>
      </c>
    </row>
    <row r="355" spans="6:57">
      <c r="F355" s="9"/>
      <c r="G355" s="22">
        <v>9.2773400000000006E-2</v>
      </c>
      <c r="H355" s="22">
        <v>8.6398200000000003</v>
      </c>
      <c r="I355" s="22">
        <v>-1.41724E-2</v>
      </c>
      <c r="J355" s="22">
        <v>345</v>
      </c>
      <c r="K355" s="22">
        <v>9.2193600000000001E-2</v>
      </c>
      <c r="L355">
        <f t="shared" si="60"/>
        <v>17.496790123456787</v>
      </c>
      <c r="M355">
        <f t="shared" si="61"/>
        <v>1.6232367088395059</v>
      </c>
      <c r="N355" s="9"/>
      <c r="O355" s="22">
        <v>1.63727</v>
      </c>
      <c r="P355" s="22">
        <v>12.519399999999999</v>
      </c>
      <c r="Q355" s="22">
        <v>-1.1025999999999999E-2</v>
      </c>
      <c r="R355" s="22">
        <v>345</v>
      </c>
      <c r="S355" s="22">
        <v>1.63635</v>
      </c>
      <c r="T355">
        <f t="shared" si="62"/>
        <v>13.612345679012344</v>
      </c>
      <c r="U355">
        <f t="shared" si="63"/>
        <v>22.28708520987654</v>
      </c>
      <c r="X355" s="9"/>
      <c r="Y355" s="22">
        <v>9.2773400000000006E-2</v>
      </c>
      <c r="Z355" s="22">
        <v>18.134</v>
      </c>
      <c r="AA355" s="22">
        <v>-1.42303E-2</v>
      </c>
      <c r="AB355" s="22">
        <v>345</v>
      </c>
      <c r="AC355" s="22">
        <v>9.2224100000000003E-2</v>
      </c>
      <c r="AD355">
        <f t="shared" si="64"/>
        <v>17.568271604938271</v>
      </c>
      <c r="AE355">
        <f t="shared" si="65"/>
        <v>1.6298682889135803</v>
      </c>
      <c r="AF355" s="9"/>
      <c r="AG355" s="22">
        <v>1.63727</v>
      </c>
      <c r="AH355" s="22">
        <v>22.0137</v>
      </c>
      <c r="AI355" s="22">
        <v>-1.1047400000000001E-2</v>
      </c>
      <c r="AJ355" s="22">
        <v>345</v>
      </c>
      <c r="AK355" s="22">
        <v>1.63666</v>
      </c>
      <c r="AL355">
        <f t="shared" si="66"/>
        <v>13.638765432098765</v>
      </c>
      <c r="AM355">
        <f t="shared" si="67"/>
        <v>22.330341479012343</v>
      </c>
      <c r="AP355" s="9"/>
      <c r="AQ355" s="22">
        <v>9.2773400000000006E-2</v>
      </c>
      <c r="AR355" s="22">
        <v>27.543299999999999</v>
      </c>
      <c r="AS355" s="22">
        <v>-1.4218099999999999E-2</v>
      </c>
      <c r="AT355" s="22">
        <v>345</v>
      </c>
      <c r="AU355" s="22">
        <v>9.2102100000000006E-2</v>
      </c>
      <c r="AV355">
        <f t="shared" si="68"/>
        <v>17.553209876543207</v>
      </c>
      <c r="AW355">
        <f t="shared" si="69"/>
        <v>1.6284709611604937</v>
      </c>
      <c r="AX355" s="9"/>
      <c r="AY355" s="22">
        <v>1.63727</v>
      </c>
      <c r="AZ355" s="22">
        <v>31.422899999999998</v>
      </c>
      <c r="BA355" s="22">
        <v>-1.10443E-2</v>
      </c>
      <c r="BB355" s="22">
        <v>345</v>
      </c>
      <c r="BC355" s="22">
        <v>1.63605</v>
      </c>
      <c r="BD355">
        <f t="shared" si="70"/>
        <v>13.634938271604938</v>
      </c>
      <c r="BE355">
        <f t="shared" si="71"/>
        <v>22.324075383950618</v>
      </c>
    </row>
    <row r="356" spans="6:57">
      <c r="F356" s="9"/>
      <c r="G356" s="22">
        <v>8.7737999999999997E-2</v>
      </c>
      <c r="H356" s="22">
        <v>8.6498899999999992</v>
      </c>
      <c r="I356" s="22">
        <v>-1.41602E-2</v>
      </c>
      <c r="J356" s="22">
        <v>346</v>
      </c>
      <c r="K356" s="22">
        <v>8.70972E-2</v>
      </c>
      <c r="L356">
        <f t="shared" si="60"/>
        <v>17.481728395061729</v>
      </c>
      <c r="M356">
        <f t="shared" si="61"/>
        <v>1.533811885925926</v>
      </c>
      <c r="N356" s="9"/>
      <c r="O356" s="22">
        <v>1.6423000000000001</v>
      </c>
      <c r="P356" s="22">
        <v>12.529500000000001</v>
      </c>
      <c r="Q356" s="22">
        <v>-1.09131E-2</v>
      </c>
      <c r="R356" s="22">
        <v>346</v>
      </c>
      <c r="S356" s="22">
        <v>1.64124</v>
      </c>
      <c r="T356">
        <f t="shared" si="62"/>
        <v>13.472962962962963</v>
      </c>
      <c r="U356">
        <f t="shared" si="63"/>
        <v>22.126647074074075</v>
      </c>
      <c r="X356" s="9"/>
      <c r="Y356" s="22">
        <v>8.7737999999999997E-2</v>
      </c>
      <c r="Z356" s="22">
        <v>18.144100000000002</v>
      </c>
      <c r="AA356" s="22">
        <v>-1.4236499999999999E-2</v>
      </c>
      <c r="AB356" s="22">
        <v>346</v>
      </c>
      <c r="AC356" s="22">
        <v>8.7158200000000005E-2</v>
      </c>
      <c r="AD356">
        <f t="shared" si="64"/>
        <v>17.575925925925926</v>
      </c>
      <c r="AE356">
        <f t="shared" si="65"/>
        <v>1.5420765888888888</v>
      </c>
      <c r="AF356" s="9"/>
      <c r="AG356" s="22">
        <v>1.6423000000000001</v>
      </c>
      <c r="AH356" s="22">
        <v>22.023700000000002</v>
      </c>
      <c r="AI356" s="22">
        <v>-1.09436E-2</v>
      </c>
      <c r="AJ356" s="22">
        <v>346</v>
      </c>
      <c r="AK356" s="22">
        <v>1.64154</v>
      </c>
      <c r="AL356">
        <f t="shared" si="66"/>
        <v>13.510617283950616</v>
      </c>
      <c r="AM356">
        <f t="shared" si="67"/>
        <v>22.188486765432099</v>
      </c>
      <c r="AP356" s="9"/>
      <c r="AQ356" s="22">
        <v>8.7737999999999997E-2</v>
      </c>
      <c r="AR356" s="22">
        <v>27.5533</v>
      </c>
      <c r="AS356" s="22">
        <v>-1.4212000000000001E-2</v>
      </c>
      <c r="AT356" s="22">
        <v>346</v>
      </c>
      <c r="AU356" s="22">
        <v>8.7127700000000002E-2</v>
      </c>
      <c r="AV356">
        <f t="shared" si="68"/>
        <v>17.54567901234568</v>
      </c>
      <c r="AW356">
        <f t="shared" si="69"/>
        <v>1.5394227851851852</v>
      </c>
      <c r="AX356" s="9"/>
      <c r="AY356" s="22">
        <v>1.6423000000000001</v>
      </c>
      <c r="AZ356" s="22">
        <v>31.433</v>
      </c>
      <c r="BA356" s="22">
        <v>-1.09283E-2</v>
      </c>
      <c r="BB356" s="22">
        <v>346</v>
      </c>
      <c r="BC356" s="22">
        <v>1.64124</v>
      </c>
      <c r="BD356">
        <f t="shared" si="70"/>
        <v>13.491728395061727</v>
      </c>
      <c r="BE356">
        <f t="shared" si="71"/>
        <v>22.157465543209877</v>
      </c>
    </row>
    <row r="357" spans="6:57">
      <c r="F357" s="9"/>
      <c r="G357" s="22">
        <v>8.2702600000000001E-2</v>
      </c>
      <c r="H357" s="22">
        <v>8.6599599999999999</v>
      </c>
      <c r="I357" s="22">
        <v>-1.4157100000000001E-2</v>
      </c>
      <c r="J357" s="22">
        <v>347</v>
      </c>
      <c r="K357" s="22">
        <v>8.2153299999999999E-2</v>
      </c>
      <c r="L357">
        <f t="shared" si="60"/>
        <v>17.477901234567902</v>
      </c>
      <c r="M357">
        <f t="shared" si="61"/>
        <v>1.4454678746419753</v>
      </c>
      <c r="N357" s="9"/>
      <c r="O357" s="22">
        <v>1.64734</v>
      </c>
      <c r="P357" s="22">
        <v>12.5396</v>
      </c>
      <c r="Q357" s="22">
        <v>-1.0800199999999999E-2</v>
      </c>
      <c r="R357" s="22">
        <v>347</v>
      </c>
      <c r="S357" s="22">
        <v>1.64612</v>
      </c>
      <c r="T357">
        <f t="shared" si="62"/>
        <v>13.333580246913579</v>
      </c>
      <c r="U357">
        <f t="shared" si="63"/>
        <v>21.964940083950616</v>
      </c>
      <c r="X357" s="9"/>
      <c r="Y357" s="22">
        <v>8.2702600000000001E-2</v>
      </c>
      <c r="Z357" s="22">
        <v>18.154199999999999</v>
      </c>
      <c r="AA357" s="22">
        <v>-1.4245600000000001E-2</v>
      </c>
      <c r="AB357" s="22">
        <v>347</v>
      </c>
      <c r="AC357" s="22">
        <v>8.2153299999999999E-2</v>
      </c>
      <c r="AD357">
        <f t="shared" si="64"/>
        <v>17.58716049382716</v>
      </c>
      <c r="AE357">
        <f t="shared" si="65"/>
        <v>1.45450389945679</v>
      </c>
      <c r="AF357" s="9"/>
      <c r="AG357" s="22">
        <v>1.64734</v>
      </c>
      <c r="AH357" s="22">
        <v>22.033799999999999</v>
      </c>
      <c r="AI357" s="22">
        <v>-1.08246E-2</v>
      </c>
      <c r="AJ357" s="22">
        <v>347</v>
      </c>
      <c r="AK357" s="22">
        <v>1.64673</v>
      </c>
      <c r="AL357">
        <f t="shared" si="66"/>
        <v>13.363703703703703</v>
      </c>
      <c r="AM357">
        <f t="shared" si="67"/>
        <v>22.014563659259256</v>
      </c>
      <c r="AP357" s="9"/>
      <c r="AQ357" s="22">
        <v>8.2702600000000001E-2</v>
      </c>
      <c r="AR357" s="22">
        <v>27.563400000000001</v>
      </c>
      <c r="AS357" s="22">
        <v>-1.4212000000000001E-2</v>
      </c>
      <c r="AT357" s="22">
        <v>347</v>
      </c>
      <c r="AU357" s="22">
        <v>8.2092300000000007E-2</v>
      </c>
      <c r="AV357">
        <f t="shared" si="68"/>
        <v>17.54567901234568</v>
      </c>
      <c r="AW357">
        <f t="shared" si="69"/>
        <v>1.4510732730864198</v>
      </c>
      <c r="AX357" s="9"/>
      <c r="AY357" s="22">
        <v>1.64734</v>
      </c>
      <c r="AZ357" s="22">
        <v>31.443000000000001</v>
      </c>
      <c r="BA357" s="22">
        <v>-1.0803200000000001E-2</v>
      </c>
      <c r="BB357" s="22">
        <v>347</v>
      </c>
      <c r="BC357" s="22">
        <v>1.64673</v>
      </c>
      <c r="BD357">
        <f t="shared" si="70"/>
        <v>13.337283950617284</v>
      </c>
      <c r="BE357">
        <f t="shared" si="71"/>
        <v>21.971041343209876</v>
      </c>
    </row>
    <row r="358" spans="6:57">
      <c r="F358" s="9"/>
      <c r="G358" s="22">
        <v>7.7667200000000006E-2</v>
      </c>
      <c r="H358" s="22">
        <v>8.6700300000000006</v>
      </c>
      <c r="I358" s="22">
        <v>-1.4154099999999999E-2</v>
      </c>
      <c r="J358" s="22">
        <v>348</v>
      </c>
      <c r="K358" s="22">
        <v>7.7148400000000006E-2</v>
      </c>
      <c r="L358">
        <f t="shared" si="60"/>
        <v>17.474197530864195</v>
      </c>
      <c r="M358">
        <f t="shared" si="61"/>
        <v>1.3571719944691358</v>
      </c>
      <c r="N358" s="9"/>
      <c r="O358" s="22">
        <v>1.6523699999999999</v>
      </c>
      <c r="P358" s="22">
        <v>12.5496</v>
      </c>
      <c r="Q358" s="22">
        <v>-1.06873E-2</v>
      </c>
      <c r="R358" s="22">
        <v>348</v>
      </c>
      <c r="S358" s="22">
        <v>1.6513100000000001</v>
      </c>
      <c r="T358">
        <f t="shared" si="62"/>
        <v>13.194197530864198</v>
      </c>
      <c r="U358">
        <f t="shared" si="63"/>
        <v>21.801696174074074</v>
      </c>
      <c r="X358" s="9"/>
      <c r="Y358" s="22">
        <v>7.7667200000000006E-2</v>
      </c>
      <c r="Z358" s="22">
        <v>18.164300000000001</v>
      </c>
      <c r="AA358" s="22">
        <v>-1.42487E-2</v>
      </c>
      <c r="AB358" s="22">
        <v>348</v>
      </c>
      <c r="AC358" s="22">
        <v>7.7026399999999995E-2</v>
      </c>
      <c r="AD358">
        <f t="shared" si="64"/>
        <v>17.590987654320987</v>
      </c>
      <c r="AE358">
        <f t="shared" si="65"/>
        <v>1.3662427563456792</v>
      </c>
      <c r="AF358" s="9"/>
      <c r="AG358" s="22">
        <v>1.6523699999999999</v>
      </c>
      <c r="AH358" s="22">
        <v>22.043900000000001</v>
      </c>
      <c r="AI358" s="22">
        <v>-1.07086E-2</v>
      </c>
      <c r="AJ358" s="22">
        <v>348</v>
      </c>
      <c r="AK358" s="22">
        <v>1.6513100000000001</v>
      </c>
      <c r="AL358">
        <f t="shared" si="66"/>
        <v>13.220493827160492</v>
      </c>
      <c r="AM358">
        <f t="shared" si="67"/>
        <v>21.845147385185182</v>
      </c>
      <c r="AP358" s="9"/>
      <c r="AQ358" s="22">
        <v>7.7667200000000006E-2</v>
      </c>
      <c r="AR358" s="22">
        <v>27.573499999999999</v>
      </c>
      <c r="AS358" s="22">
        <v>-1.4208999999999999E-2</v>
      </c>
      <c r="AT358" s="22">
        <v>348</v>
      </c>
      <c r="AU358" s="22">
        <v>7.70874E-2</v>
      </c>
      <c r="AV358">
        <f t="shared" si="68"/>
        <v>17.541975308641973</v>
      </c>
      <c r="AW358">
        <f t="shared" si="69"/>
        <v>1.362436104691358</v>
      </c>
      <c r="AX358" s="9"/>
      <c r="AY358" s="22">
        <v>1.6523699999999999</v>
      </c>
      <c r="AZ358" s="22">
        <v>31.453099999999999</v>
      </c>
      <c r="BA358" s="22">
        <v>-1.06842E-2</v>
      </c>
      <c r="BB358" s="22">
        <v>348</v>
      </c>
      <c r="BC358" s="22">
        <v>1.65161</v>
      </c>
      <c r="BD358">
        <f t="shared" si="70"/>
        <v>13.190370370370371</v>
      </c>
      <c r="BE358">
        <f t="shared" si="71"/>
        <v>21.795372288888888</v>
      </c>
    </row>
    <row r="359" spans="6:57">
      <c r="F359" s="9"/>
      <c r="G359" s="22">
        <v>7.2631799999999996E-2</v>
      </c>
      <c r="H359" s="22">
        <v>8.6800999999999995</v>
      </c>
      <c r="I359" s="22">
        <v>-1.4151E-2</v>
      </c>
      <c r="J359" s="22">
        <v>349</v>
      </c>
      <c r="K359" s="22">
        <v>7.1990999999999999E-2</v>
      </c>
      <c r="L359">
        <f t="shared" si="60"/>
        <v>17.470370370370368</v>
      </c>
      <c r="M359">
        <f t="shared" si="61"/>
        <v>1.2689044466666664</v>
      </c>
      <c r="N359" s="9"/>
      <c r="O359" s="22">
        <v>1.65741</v>
      </c>
      <c r="P359" s="22">
        <v>12.559699999999999</v>
      </c>
      <c r="Q359" s="22">
        <v>-1.05621E-2</v>
      </c>
      <c r="R359" s="22">
        <v>349</v>
      </c>
      <c r="S359" s="22">
        <v>1.6561900000000001</v>
      </c>
      <c r="T359">
        <f t="shared" si="62"/>
        <v>13.039629629629628</v>
      </c>
      <c r="U359">
        <f t="shared" si="63"/>
        <v>21.612012544444443</v>
      </c>
      <c r="X359" s="9"/>
      <c r="Y359" s="22">
        <v>7.2631799999999996E-2</v>
      </c>
      <c r="Z359" s="22">
        <v>18.174299999999999</v>
      </c>
      <c r="AA359" s="22">
        <v>-1.42487E-2</v>
      </c>
      <c r="AB359" s="22">
        <v>349</v>
      </c>
      <c r="AC359" s="22">
        <v>7.2052000000000005E-2</v>
      </c>
      <c r="AD359">
        <f t="shared" si="64"/>
        <v>17.590987654320987</v>
      </c>
      <c r="AE359">
        <f t="shared" si="65"/>
        <v>1.277665097111111</v>
      </c>
      <c r="AF359" s="9"/>
      <c r="AG359" s="22">
        <v>1.65741</v>
      </c>
      <c r="AH359" s="22">
        <v>22.053899999999999</v>
      </c>
      <c r="AI359" s="22">
        <v>-1.05713E-2</v>
      </c>
      <c r="AJ359" s="22">
        <v>349</v>
      </c>
      <c r="AK359" s="22">
        <v>1.65649</v>
      </c>
      <c r="AL359">
        <f t="shared" si="66"/>
        <v>13.050987654320988</v>
      </c>
      <c r="AM359">
        <f t="shared" si="67"/>
        <v>21.630837448148149</v>
      </c>
      <c r="AP359" s="9"/>
      <c r="AQ359" s="22">
        <v>7.2631799999999996E-2</v>
      </c>
      <c r="AR359" s="22">
        <v>27.583600000000001</v>
      </c>
      <c r="AS359" s="22">
        <v>-1.4208999999999999E-2</v>
      </c>
      <c r="AT359" s="22">
        <v>349</v>
      </c>
      <c r="AU359" s="22">
        <v>7.2052000000000005E-2</v>
      </c>
      <c r="AV359">
        <f t="shared" si="68"/>
        <v>17.541975308641973</v>
      </c>
      <c r="AW359">
        <f t="shared" si="69"/>
        <v>1.2741052422222221</v>
      </c>
      <c r="AX359" s="9"/>
      <c r="AY359" s="22">
        <v>1.65741</v>
      </c>
      <c r="AZ359" s="22">
        <v>31.463200000000001</v>
      </c>
      <c r="BA359" s="22">
        <v>-1.05469E-2</v>
      </c>
      <c r="BB359" s="22">
        <v>349</v>
      </c>
      <c r="BC359" s="22">
        <v>1.6568000000000001</v>
      </c>
      <c r="BD359">
        <f t="shared" si="70"/>
        <v>13.020864197530864</v>
      </c>
      <c r="BE359">
        <f t="shared" si="71"/>
        <v>21.58091052962963</v>
      </c>
    </row>
    <row r="360" spans="6:57">
      <c r="F360" s="9"/>
      <c r="G360" s="22">
        <v>6.7596400000000001E-2</v>
      </c>
      <c r="H360" s="22">
        <v>8.6901700000000002</v>
      </c>
      <c r="I360" s="22">
        <v>-1.4163200000000001E-2</v>
      </c>
      <c r="J360" s="22">
        <v>350</v>
      </c>
      <c r="K360" s="22">
        <v>6.6924999999999998E-2</v>
      </c>
      <c r="L360">
        <f t="shared" si="60"/>
        <v>17.485432098765433</v>
      </c>
      <c r="M360">
        <f t="shared" si="61"/>
        <v>1.1819522623209877</v>
      </c>
      <c r="N360" s="9"/>
      <c r="O360" s="22">
        <v>1.66245</v>
      </c>
      <c r="P360" s="22">
        <v>12.569800000000001</v>
      </c>
      <c r="Q360" s="22">
        <v>-1.04309E-2</v>
      </c>
      <c r="R360" s="22">
        <v>350</v>
      </c>
      <c r="S360" s="22">
        <v>1.66107</v>
      </c>
      <c r="T360">
        <f t="shared" si="62"/>
        <v>12.877654320987654</v>
      </c>
      <c r="U360">
        <f t="shared" si="63"/>
        <v>21.408456425925927</v>
      </c>
      <c r="X360" s="9"/>
      <c r="Y360" s="22">
        <v>6.7596400000000001E-2</v>
      </c>
      <c r="Z360" s="22">
        <v>18.1844</v>
      </c>
      <c r="AA360" s="22">
        <v>-1.42548E-2</v>
      </c>
      <c r="AB360" s="22">
        <v>350</v>
      </c>
      <c r="AC360" s="22">
        <v>6.6924999999999998E-2</v>
      </c>
      <c r="AD360">
        <f t="shared" si="64"/>
        <v>17.598518518518517</v>
      </c>
      <c r="AE360">
        <f t="shared" si="65"/>
        <v>1.1895964971851851</v>
      </c>
      <c r="AF360" s="9"/>
      <c r="AG360" s="22">
        <v>1.66245</v>
      </c>
      <c r="AH360" s="22">
        <v>22.064</v>
      </c>
      <c r="AI360" s="22">
        <v>-1.04309E-2</v>
      </c>
      <c r="AJ360" s="22">
        <v>350</v>
      </c>
      <c r="AK360" s="22">
        <v>1.66168</v>
      </c>
      <c r="AL360">
        <f t="shared" si="66"/>
        <v>12.877654320987654</v>
      </c>
      <c r="AM360">
        <f t="shared" si="67"/>
        <v>21.408456425925927</v>
      </c>
      <c r="AP360" s="9"/>
      <c r="AQ360" s="22">
        <v>6.7596400000000001E-2</v>
      </c>
      <c r="AR360" s="22">
        <v>27.593599999999999</v>
      </c>
      <c r="AS360" s="22">
        <v>-1.41998E-2</v>
      </c>
      <c r="AT360" s="22">
        <v>350</v>
      </c>
      <c r="AU360" s="22">
        <v>6.6955600000000004E-2</v>
      </c>
      <c r="AV360">
        <f t="shared" si="68"/>
        <v>17.530617283950615</v>
      </c>
      <c r="AW360">
        <f t="shared" si="69"/>
        <v>1.1850066181728394</v>
      </c>
      <c r="AX360" s="9"/>
      <c r="AY360" s="22">
        <v>1.66245</v>
      </c>
      <c r="AZ360" s="22">
        <v>31.473199999999999</v>
      </c>
      <c r="BA360" s="22">
        <v>-1.0415600000000001E-2</v>
      </c>
      <c r="BB360" s="22">
        <v>350</v>
      </c>
      <c r="BC360" s="22">
        <v>1.6613800000000001</v>
      </c>
      <c r="BD360">
        <f t="shared" si="70"/>
        <v>12.858765432098766</v>
      </c>
      <c r="BE360">
        <f t="shared" si="71"/>
        <v>21.377054592592593</v>
      </c>
    </row>
    <row r="361" spans="6:57">
      <c r="F361" s="9"/>
      <c r="G361" s="22">
        <v>6.2561000000000005E-2</v>
      </c>
      <c r="H361" s="22">
        <v>8.7002400000000009</v>
      </c>
      <c r="I361" s="22">
        <v>-1.41602E-2</v>
      </c>
      <c r="J361" s="22">
        <v>351</v>
      </c>
      <c r="K361" s="22">
        <v>6.1950699999999997E-2</v>
      </c>
      <c r="L361">
        <f t="shared" si="60"/>
        <v>17.481728395061729</v>
      </c>
      <c r="M361">
        <f t="shared" si="61"/>
        <v>1.093674410123457</v>
      </c>
      <c r="N361" s="9"/>
      <c r="O361" s="22">
        <v>1.6674800000000001</v>
      </c>
      <c r="P361" s="22">
        <v>12.5799</v>
      </c>
      <c r="Q361" s="22">
        <v>-1.02875E-2</v>
      </c>
      <c r="R361" s="22">
        <v>351</v>
      </c>
      <c r="S361" s="22">
        <v>1.6662600000000001</v>
      </c>
      <c r="T361">
        <f t="shared" si="62"/>
        <v>12.700617283950615</v>
      </c>
      <c r="U361">
        <f t="shared" si="63"/>
        <v>21.178025308641974</v>
      </c>
      <c r="X361" s="9"/>
      <c r="Y361" s="22">
        <v>6.2561000000000005E-2</v>
      </c>
      <c r="Z361" s="22">
        <v>18.194500000000001</v>
      </c>
      <c r="AA361" s="22">
        <v>-1.4251700000000001E-2</v>
      </c>
      <c r="AB361" s="22">
        <v>351</v>
      </c>
      <c r="AC361" s="22">
        <v>6.1920200000000002E-2</v>
      </c>
      <c r="AD361">
        <f t="shared" si="64"/>
        <v>17.594691358024694</v>
      </c>
      <c r="AE361">
        <f t="shared" si="65"/>
        <v>1.1007414860493829</v>
      </c>
      <c r="AF361" s="9"/>
      <c r="AG361" s="22">
        <v>1.6674800000000001</v>
      </c>
      <c r="AH361" s="22">
        <v>22.074100000000001</v>
      </c>
      <c r="AI361" s="22">
        <v>-1.0275299999999999E-2</v>
      </c>
      <c r="AJ361" s="22">
        <v>351</v>
      </c>
      <c r="AK361" s="22">
        <v>1.6668700000000001</v>
      </c>
      <c r="AL361">
        <f t="shared" si="66"/>
        <v>12.685555555555554</v>
      </c>
      <c r="AM361">
        <f t="shared" si="67"/>
        <v>21.152910177777777</v>
      </c>
      <c r="AP361" s="9"/>
      <c r="AQ361" s="22">
        <v>6.2561000000000005E-2</v>
      </c>
      <c r="AR361" s="22">
        <v>27.6037</v>
      </c>
      <c r="AS361" s="22">
        <v>-1.4202899999999999E-2</v>
      </c>
      <c r="AT361" s="22">
        <v>351</v>
      </c>
      <c r="AU361" s="22">
        <v>6.19812E-2</v>
      </c>
      <c r="AV361">
        <f t="shared" si="68"/>
        <v>17.534444444444443</v>
      </c>
      <c r="AW361">
        <f t="shared" si="69"/>
        <v>1.096972378888889</v>
      </c>
      <c r="AX361" s="9"/>
      <c r="AY361" s="22">
        <v>1.6674800000000001</v>
      </c>
      <c r="AZ361" s="22">
        <v>31.4833</v>
      </c>
      <c r="BA361" s="22">
        <v>-1.026E-2</v>
      </c>
      <c r="BB361" s="22">
        <v>351</v>
      </c>
      <c r="BC361" s="22">
        <v>1.66656</v>
      </c>
      <c r="BD361">
        <f t="shared" si="70"/>
        <v>12.666666666666666</v>
      </c>
      <c r="BE361">
        <f t="shared" si="71"/>
        <v>21.121413333333333</v>
      </c>
    </row>
    <row r="362" spans="6:57">
      <c r="F362" s="9"/>
      <c r="G362" s="22">
        <v>5.7525600000000003E-2</v>
      </c>
      <c r="H362" s="22">
        <v>8.7103099999999998</v>
      </c>
      <c r="I362" s="22">
        <v>-1.4157100000000001E-2</v>
      </c>
      <c r="J362" s="22">
        <v>352</v>
      </c>
      <c r="K362" s="22">
        <v>5.6976300000000001E-2</v>
      </c>
      <c r="L362">
        <f t="shared" si="60"/>
        <v>17.477901234567902</v>
      </c>
      <c r="M362">
        <f t="shared" si="61"/>
        <v>1.0054267552592593</v>
      </c>
      <c r="N362" s="9"/>
      <c r="O362" s="22">
        <v>1.67252</v>
      </c>
      <c r="P362" s="22">
        <v>12.5899</v>
      </c>
      <c r="Q362" s="22">
        <v>-1.0134900000000001E-2</v>
      </c>
      <c r="R362" s="22">
        <v>352</v>
      </c>
      <c r="S362" s="22">
        <v>1.6717500000000001</v>
      </c>
      <c r="T362">
        <f t="shared" si="62"/>
        <v>12.512222222222221</v>
      </c>
      <c r="U362">
        <f t="shared" si="63"/>
        <v>20.926941911111108</v>
      </c>
      <c r="X362" s="9"/>
      <c r="Y362" s="22">
        <v>5.7525600000000003E-2</v>
      </c>
      <c r="Z362" s="22">
        <v>18.204499999999999</v>
      </c>
      <c r="AA362" s="22">
        <v>-1.4245600000000001E-2</v>
      </c>
      <c r="AB362" s="22">
        <v>352</v>
      </c>
      <c r="AC362" s="22">
        <v>5.6976300000000001E-2</v>
      </c>
      <c r="AD362">
        <f t="shared" si="64"/>
        <v>17.58716049382716</v>
      </c>
      <c r="AE362">
        <f t="shared" si="65"/>
        <v>1.0117119597037036</v>
      </c>
      <c r="AF362" s="9"/>
      <c r="AG362" s="22">
        <v>1.67252</v>
      </c>
      <c r="AH362" s="22">
        <v>22.084099999999999</v>
      </c>
      <c r="AI362" s="22">
        <v>-1.01257E-2</v>
      </c>
      <c r="AJ362" s="22">
        <v>352</v>
      </c>
      <c r="AK362" s="22">
        <v>1.6711400000000001</v>
      </c>
      <c r="AL362">
        <f t="shared" si="66"/>
        <v>12.500864197530863</v>
      </c>
      <c r="AM362">
        <f t="shared" si="67"/>
        <v>20.907945387654319</v>
      </c>
      <c r="AP362" s="9"/>
      <c r="AQ362" s="22">
        <v>5.7525600000000003E-2</v>
      </c>
      <c r="AR362" s="22">
        <v>27.613800000000001</v>
      </c>
      <c r="AS362" s="22">
        <v>-1.4212000000000001E-2</v>
      </c>
      <c r="AT362" s="22">
        <v>352</v>
      </c>
      <c r="AU362" s="22">
        <v>5.6915300000000002E-2</v>
      </c>
      <c r="AV362">
        <f t="shared" si="68"/>
        <v>17.54567901234568</v>
      </c>
      <c r="AW362">
        <f t="shared" si="69"/>
        <v>1.0093257125925927</v>
      </c>
      <c r="AX362" s="9"/>
      <c r="AY362" s="22">
        <v>1.67252</v>
      </c>
      <c r="AZ362" s="22">
        <v>31.493400000000001</v>
      </c>
      <c r="BA362" s="22">
        <v>-1.0113499999999999E-2</v>
      </c>
      <c r="BB362" s="22">
        <v>352</v>
      </c>
      <c r="BC362" s="22">
        <v>1.6717500000000001</v>
      </c>
      <c r="BD362">
        <f t="shared" si="70"/>
        <v>12.4858024691358</v>
      </c>
      <c r="BE362">
        <f t="shared" si="71"/>
        <v>20.882754345679007</v>
      </c>
    </row>
    <row r="363" spans="6:57">
      <c r="F363" s="9"/>
      <c r="G363" s="22">
        <v>5.2490200000000001E-2</v>
      </c>
      <c r="H363" s="22">
        <v>8.7203800000000005</v>
      </c>
      <c r="I363" s="22">
        <v>-1.4154099999999999E-2</v>
      </c>
      <c r="J363" s="22">
        <v>353</v>
      </c>
      <c r="K363" s="22">
        <v>5.1971400000000001E-2</v>
      </c>
      <c r="L363">
        <f t="shared" si="60"/>
        <v>17.474197530864195</v>
      </c>
      <c r="M363">
        <f t="shared" si="61"/>
        <v>0.91722412323456781</v>
      </c>
      <c r="N363" s="9"/>
      <c r="O363" s="22">
        <v>1.6775500000000001</v>
      </c>
      <c r="P363" s="22">
        <v>12.6</v>
      </c>
      <c r="Q363" s="22">
        <v>-9.9731400000000001E-3</v>
      </c>
      <c r="R363" s="22">
        <v>353</v>
      </c>
      <c r="S363" s="22">
        <v>1.6763300000000001</v>
      </c>
      <c r="T363">
        <f t="shared" si="62"/>
        <v>12.312518518518518</v>
      </c>
      <c r="U363">
        <f t="shared" si="63"/>
        <v>20.654865440740739</v>
      </c>
      <c r="X363" s="9"/>
      <c r="Y363" s="22">
        <v>5.2490200000000001E-2</v>
      </c>
      <c r="Z363" s="22">
        <v>18.214600000000001</v>
      </c>
      <c r="AA363" s="22">
        <v>-1.4236499999999999E-2</v>
      </c>
      <c r="AB363" s="22">
        <v>353</v>
      </c>
      <c r="AC363" s="22">
        <v>5.18799E-2</v>
      </c>
      <c r="AD363">
        <f t="shared" si="64"/>
        <v>17.575925925925926</v>
      </c>
      <c r="AE363">
        <f t="shared" si="65"/>
        <v>0.92256386703703708</v>
      </c>
      <c r="AF363" s="9"/>
      <c r="AG363" s="22">
        <v>1.6775500000000001</v>
      </c>
      <c r="AH363" s="22">
        <v>22.094200000000001</v>
      </c>
      <c r="AI363" s="22">
        <v>-9.9548299999999996E-3</v>
      </c>
      <c r="AJ363" s="22">
        <v>353</v>
      </c>
      <c r="AK363" s="22">
        <v>1.6766399999999999</v>
      </c>
      <c r="AL363">
        <f t="shared" si="66"/>
        <v>12.289913580246912</v>
      </c>
      <c r="AM363">
        <f t="shared" si="67"/>
        <v>20.616944526543207</v>
      </c>
      <c r="AP363" s="9"/>
      <c r="AQ363" s="22">
        <v>5.2490200000000001E-2</v>
      </c>
      <c r="AR363" s="22">
        <v>27.623799999999999</v>
      </c>
      <c r="AS363" s="22">
        <v>-1.4212000000000001E-2</v>
      </c>
      <c r="AT363" s="22">
        <v>353</v>
      </c>
      <c r="AU363" s="22">
        <v>5.1910400000000002E-2</v>
      </c>
      <c r="AV363">
        <f t="shared" si="68"/>
        <v>17.54567901234568</v>
      </c>
      <c r="AW363">
        <f t="shared" si="69"/>
        <v>0.92097620049382722</v>
      </c>
      <c r="AX363" s="9"/>
      <c r="AY363" s="22">
        <v>1.6775500000000001</v>
      </c>
      <c r="AZ363" s="22">
        <v>31.503499999999999</v>
      </c>
      <c r="BA363" s="22">
        <v>-9.9334699999999998E-3</v>
      </c>
      <c r="BB363" s="22">
        <v>353</v>
      </c>
      <c r="BC363" s="22">
        <v>1.6766399999999999</v>
      </c>
      <c r="BD363">
        <f t="shared" si="70"/>
        <v>12.263543209876541</v>
      </c>
      <c r="BE363">
        <f t="shared" si="71"/>
        <v>20.572706911728392</v>
      </c>
    </row>
    <row r="364" spans="6:57">
      <c r="F364" s="9"/>
      <c r="G364" s="22">
        <v>4.7454799999999998E-2</v>
      </c>
      <c r="H364" s="22">
        <v>8.7304600000000008</v>
      </c>
      <c r="I364" s="22">
        <v>-1.41602E-2</v>
      </c>
      <c r="J364" s="22">
        <v>354</v>
      </c>
      <c r="K364" s="22">
        <v>4.7296100000000001E-2</v>
      </c>
      <c r="L364">
        <f t="shared" si="60"/>
        <v>17.481728395061729</v>
      </c>
      <c r="M364">
        <f t="shared" si="61"/>
        <v>0.82959192464197529</v>
      </c>
      <c r="N364" s="9"/>
      <c r="O364" s="22">
        <v>1.68259</v>
      </c>
      <c r="P364" s="22">
        <v>12.610099999999999</v>
      </c>
      <c r="Q364" s="22">
        <v>-9.7930900000000008E-3</v>
      </c>
      <c r="R364" s="22">
        <v>354</v>
      </c>
      <c r="S364" s="22">
        <v>1.6815199999999999</v>
      </c>
      <c r="T364">
        <f t="shared" si="62"/>
        <v>12.090234567901234</v>
      </c>
      <c r="U364">
        <f t="shared" si="63"/>
        <v>20.342907781604939</v>
      </c>
      <c r="X364" s="9"/>
      <c r="Y364" s="22">
        <v>4.7454799999999998E-2</v>
      </c>
      <c r="Z364" s="22">
        <v>18.224699999999999</v>
      </c>
      <c r="AA364" s="22">
        <v>-1.42334E-2</v>
      </c>
      <c r="AB364" s="22">
        <v>354</v>
      </c>
      <c r="AC364" s="22">
        <v>4.7280900000000001E-2</v>
      </c>
      <c r="AD364">
        <f t="shared" si="64"/>
        <v>17.572098765432099</v>
      </c>
      <c r="AE364">
        <f t="shared" si="65"/>
        <v>0.83388043249382715</v>
      </c>
      <c r="AF364" s="9"/>
      <c r="AG364" s="22">
        <v>1.68259</v>
      </c>
      <c r="AH364" s="22">
        <v>22.104299999999999</v>
      </c>
      <c r="AI364" s="22">
        <v>-9.7778299999999995E-3</v>
      </c>
      <c r="AJ364" s="22">
        <v>354</v>
      </c>
      <c r="AK364" s="22">
        <v>1.6806000000000001</v>
      </c>
      <c r="AL364">
        <f t="shared" si="66"/>
        <v>12.071395061728394</v>
      </c>
      <c r="AM364">
        <f t="shared" si="67"/>
        <v>20.311208616913579</v>
      </c>
      <c r="AP364" s="9"/>
      <c r="AQ364" s="22">
        <v>4.7454799999999998E-2</v>
      </c>
      <c r="AR364" s="22">
        <v>27.633900000000001</v>
      </c>
      <c r="AS364" s="22">
        <v>-1.4202899999999999E-2</v>
      </c>
      <c r="AT364" s="22">
        <v>354</v>
      </c>
      <c r="AU364" s="22">
        <v>4.7302200000000003E-2</v>
      </c>
      <c r="AV364">
        <f t="shared" si="68"/>
        <v>17.534444444444443</v>
      </c>
      <c r="AW364">
        <f t="shared" si="69"/>
        <v>0.83209355422222209</v>
      </c>
      <c r="AX364" s="9"/>
      <c r="AY364" s="22">
        <v>1.68259</v>
      </c>
      <c r="AZ364" s="22">
        <v>31.513500000000001</v>
      </c>
      <c r="BA364" s="22">
        <v>-9.7595200000000007E-3</v>
      </c>
      <c r="BB364" s="22">
        <v>354</v>
      </c>
      <c r="BC364" s="22">
        <v>1.6815199999999999</v>
      </c>
      <c r="BD364">
        <f t="shared" si="70"/>
        <v>12.04879012345679</v>
      </c>
      <c r="BE364">
        <f t="shared" si="71"/>
        <v>20.27317377382716</v>
      </c>
    </row>
    <row r="365" spans="6:57">
      <c r="F365" s="9"/>
      <c r="G365" s="22">
        <v>4.2419400000000003E-2</v>
      </c>
      <c r="H365" s="22">
        <v>8.7405299999999997</v>
      </c>
      <c r="I365" s="22">
        <v>-1.4163200000000001E-2</v>
      </c>
      <c r="J365" s="22">
        <v>355</v>
      </c>
      <c r="K365" s="22">
        <v>4.2309600000000003E-2</v>
      </c>
      <c r="L365">
        <f t="shared" si="60"/>
        <v>17.485432098765433</v>
      </c>
      <c r="M365">
        <f t="shared" si="61"/>
        <v>0.74172153837037047</v>
      </c>
      <c r="N365" s="9"/>
      <c r="O365" s="22">
        <v>1.6876199999999999</v>
      </c>
      <c r="P365" s="22">
        <v>12.620100000000001</v>
      </c>
      <c r="Q365" s="22">
        <v>-9.6099900000000005E-3</v>
      </c>
      <c r="R365" s="22">
        <v>355</v>
      </c>
      <c r="S365" s="22">
        <v>1.6860999999999999</v>
      </c>
      <c r="T365">
        <f t="shared" si="62"/>
        <v>11.864185185185185</v>
      </c>
      <c r="U365">
        <f t="shared" si="63"/>
        <v>20.022236202222221</v>
      </c>
      <c r="X365" s="9"/>
      <c r="Y365" s="22">
        <v>4.2419400000000003E-2</v>
      </c>
      <c r="Z365" s="22">
        <v>18.2347</v>
      </c>
      <c r="AA365" s="22">
        <v>-1.42334E-2</v>
      </c>
      <c r="AB365" s="22">
        <v>355</v>
      </c>
      <c r="AC365" s="22">
        <v>4.2318700000000001E-2</v>
      </c>
      <c r="AD365">
        <f t="shared" si="64"/>
        <v>17.572098765432099</v>
      </c>
      <c r="AE365">
        <f t="shared" si="65"/>
        <v>0.74539788637037041</v>
      </c>
      <c r="AF365" s="9"/>
      <c r="AG365" s="22">
        <v>1.6876199999999999</v>
      </c>
      <c r="AH365" s="22">
        <v>22.1144</v>
      </c>
      <c r="AI365" s="22">
        <v>-9.5977800000000002E-3</v>
      </c>
      <c r="AJ365" s="22">
        <v>355</v>
      </c>
      <c r="AK365" s="22">
        <v>1.6870099999999999</v>
      </c>
      <c r="AL365">
        <f t="shared" si="66"/>
        <v>11.84911111111111</v>
      </c>
      <c r="AM365">
        <f t="shared" si="67"/>
        <v>19.996796893333332</v>
      </c>
      <c r="AP365" s="9"/>
      <c r="AQ365" s="22">
        <v>4.2419400000000003E-2</v>
      </c>
      <c r="AR365" s="22">
        <v>27.643999999999998</v>
      </c>
      <c r="AS365" s="22">
        <v>-1.42059E-2</v>
      </c>
      <c r="AT365" s="22">
        <v>355</v>
      </c>
      <c r="AU365" s="22">
        <v>4.2291299999999997E-2</v>
      </c>
      <c r="AV365">
        <f t="shared" si="68"/>
        <v>17.538148148148146</v>
      </c>
      <c r="AW365">
        <f t="shared" si="69"/>
        <v>0.74395772155555551</v>
      </c>
      <c r="AX365" s="9"/>
      <c r="AY365" s="22">
        <v>1.6876199999999999</v>
      </c>
      <c r="AZ365" s="22">
        <v>31.523599999999998</v>
      </c>
      <c r="BA365" s="22">
        <v>-9.5703100000000003E-3</v>
      </c>
      <c r="BB365" s="22">
        <v>355</v>
      </c>
      <c r="BC365" s="22">
        <v>1.6870099999999999</v>
      </c>
      <c r="BD365">
        <f t="shared" si="70"/>
        <v>11.815197530864198</v>
      </c>
      <c r="BE365">
        <f t="shared" si="71"/>
        <v>19.939563657037038</v>
      </c>
    </row>
    <row r="366" spans="6:57">
      <c r="F366" s="9"/>
      <c r="G366" s="22">
        <v>3.7384000000000001E-2</v>
      </c>
      <c r="H366" s="22">
        <v>8.7506000000000004</v>
      </c>
      <c r="I366" s="22">
        <v>-1.4169299999999999E-2</v>
      </c>
      <c r="J366" s="22">
        <v>356</v>
      </c>
      <c r="K366" s="22">
        <v>3.72375E-2</v>
      </c>
      <c r="L366">
        <f t="shared" si="60"/>
        <v>17.492962962962959</v>
      </c>
      <c r="M366">
        <f t="shared" si="61"/>
        <v>0.6539569274074073</v>
      </c>
      <c r="N366" s="9"/>
      <c r="O366" s="22">
        <v>1.6926600000000001</v>
      </c>
      <c r="P366" s="22">
        <v>12.6302</v>
      </c>
      <c r="Q366" s="22">
        <v>-9.4238299999999994E-3</v>
      </c>
      <c r="R366" s="22">
        <v>356</v>
      </c>
      <c r="S366" s="22">
        <v>1.6918899999999999</v>
      </c>
      <c r="T366">
        <f t="shared" si="62"/>
        <v>11.634358024691355</v>
      </c>
      <c r="U366">
        <f t="shared" si="63"/>
        <v>19.693012454074069</v>
      </c>
      <c r="X366" s="9"/>
      <c r="Y366" s="22">
        <v>3.7384000000000001E-2</v>
      </c>
      <c r="Z366" s="22">
        <v>18.244800000000001</v>
      </c>
      <c r="AA366" s="22">
        <v>-1.42395E-2</v>
      </c>
      <c r="AB366" s="22">
        <v>356</v>
      </c>
      <c r="AC366" s="22">
        <v>3.72375E-2</v>
      </c>
      <c r="AD366">
        <f t="shared" si="64"/>
        <v>17.579629629629629</v>
      </c>
      <c r="AE366">
        <f t="shared" si="65"/>
        <v>0.65719687407407401</v>
      </c>
      <c r="AF366" s="9"/>
      <c r="AG366" s="22">
        <v>1.6926600000000001</v>
      </c>
      <c r="AH366" s="22">
        <v>22.124400000000001</v>
      </c>
      <c r="AI366" s="22">
        <v>-9.4085699999999998E-3</v>
      </c>
      <c r="AJ366" s="22">
        <v>356</v>
      </c>
      <c r="AK366" s="22">
        <v>1.6915899999999999</v>
      </c>
      <c r="AL366">
        <f t="shared" si="66"/>
        <v>11.615518518518519</v>
      </c>
      <c r="AM366">
        <f t="shared" si="67"/>
        <v>19.661123575555557</v>
      </c>
      <c r="AP366" s="9"/>
      <c r="AQ366" s="22">
        <v>3.7384000000000001E-2</v>
      </c>
      <c r="AR366" s="22">
        <v>27.6541</v>
      </c>
      <c r="AS366" s="22">
        <v>-1.4218099999999999E-2</v>
      </c>
      <c r="AT366" s="22">
        <v>356</v>
      </c>
      <c r="AU366" s="22">
        <v>3.7225300000000003E-2</v>
      </c>
      <c r="AV366">
        <f t="shared" si="68"/>
        <v>17.553209876543207</v>
      </c>
      <c r="AW366">
        <f t="shared" si="69"/>
        <v>0.65620919802469124</v>
      </c>
      <c r="AX366" s="9"/>
      <c r="AY366" s="22">
        <v>1.6926600000000001</v>
      </c>
      <c r="AZ366" s="22">
        <v>31.5337</v>
      </c>
      <c r="BA366" s="22">
        <v>-9.3780500000000006E-3</v>
      </c>
      <c r="BB366" s="22">
        <v>356</v>
      </c>
      <c r="BC366" s="22">
        <v>1.6915899999999999</v>
      </c>
      <c r="BD366">
        <f t="shared" si="70"/>
        <v>11.57783950617284</v>
      </c>
      <c r="BE366">
        <f t="shared" si="71"/>
        <v>19.597345818518519</v>
      </c>
    </row>
    <row r="367" spans="6:57">
      <c r="F367" s="9"/>
      <c r="G367" s="22">
        <v>3.2348599999999998E-2</v>
      </c>
      <c r="H367" s="22">
        <v>8.7606699999999993</v>
      </c>
      <c r="I367" s="22">
        <v>-1.41785E-2</v>
      </c>
      <c r="J367" s="22">
        <v>357</v>
      </c>
      <c r="K367" s="22">
        <v>3.2174700000000001E-2</v>
      </c>
      <c r="L367">
        <f t="shared" si="60"/>
        <v>17.504320987654321</v>
      </c>
      <c r="M367">
        <f t="shared" si="61"/>
        <v>0.56624027790123455</v>
      </c>
      <c r="N367" s="9"/>
      <c r="O367" s="22">
        <v>1.6976899999999999</v>
      </c>
      <c r="P367" s="22">
        <v>12.6403</v>
      </c>
      <c r="Q367" s="22">
        <v>-9.2285200000000005E-3</v>
      </c>
      <c r="R367" s="22">
        <v>357</v>
      </c>
      <c r="S367" s="22">
        <v>1.69617</v>
      </c>
      <c r="T367">
        <f t="shared" si="62"/>
        <v>11.393234567901235</v>
      </c>
      <c r="U367">
        <f t="shared" si="63"/>
        <v>19.342180393580247</v>
      </c>
      <c r="X367" s="9"/>
      <c r="Y367" s="22">
        <v>3.2348599999999998E-2</v>
      </c>
      <c r="Z367" s="22">
        <v>18.254899999999999</v>
      </c>
      <c r="AA367" s="22">
        <v>-1.42487E-2</v>
      </c>
      <c r="AB367" s="22">
        <v>357</v>
      </c>
      <c r="AC367" s="22">
        <v>3.21899E-2</v>
      </c>
      <c r="AD367">
        <f t="shared" si="64"/>
        <v>17.590987654320987</v>
      </c>
      <c r="AE367">
        <f t="shared" si="65"/>
        <v>0.56904382323456781</v>
      </c>
      <c r="AF367" s="9"/>
      <c r="AG367" s="22">
        <v>1.6976899999999999</v>
      </c>
      <c r="AH367" s="22">
        <v>22.134499999999999</v>
      </c>
      <c r="AI367" s="22">
        <v>-9.1949500000000003E-3</v>
      </c>
      <c r="AJ367" s="22">
        <v>357</v>
      </c>
      <c r="AK367" s="22">
        <v>1.6976899999999999</v>
      </c>
      <c r="AL367">
        <f t="shared" si="66"/>
        <v>11.351790123456791</v>
      </c>
      <c r="AM367">
        <f t="shared" si="67"/>
        <v>19.271820574691358</v>
      </c>
      <c r="AP367" s="9"/>
      <c r="AQ367" s="22">
        <v>3.2348599999999998E-2</v>
      </c>
      <c r="AR367" s="22">
        <v>27.664100000000001</v>
      </c>
      <c r="AS367" s="22">
        <v>-1.42212E-2</v>
      </c>
      <c r="AT367" s="22">
        <v>357</v>
      </c>
      <c r="AU367" s="22">
        <v>3.2144199999999998E-2</v>
      </c>
      <c r="AV367">
        <f t="shared" si="68"/>
        <v>17.557037037037034</v>
      </c>
      <c r="AW367">
        <f t="shared" si="69"/>
        <v>0.56794556829629617</v>
      </c>
      <c r="AX367" s="9"/>
      <c r="AY367" s="22">
        <v>1.6976899999999999</v>
      </c>
      <c r="AZ367" s="22">
        <v>31.543700000000001</v>
      </c>
      <c r="BA367" s="22">
        <v>-9.1674800000000004E-3</v>
      </c>
      <c r="BB367" s="22">
        <v>357</v>
      </c>
      <c r="BC367" s="22">
        <v>1.69739</v>
      </c>
      <c r="BD367">
        <f t="shared" si="70"/>
        <v>11.317876543209875</v>
      </c>
      <c r="BE367">
        <f t="shared" si="71"/>
        <v>19.214245828641971</v>
      </c>
    </row>
    <row r="368" spans="6:57">
      <c r="F368" s="9"/>
      <c r="G368" s="22">
        <v>2.7313199999999999E-2</v>
      </c>
      <c r="H368" s="22">
        <v>8.77074</v>
      </c>
      <c r="I368" s="22">
        <v>-1.41815E-2</v>
      </c>
      <c r="J368" s="22">
        <v>358</v>
      </c>
      <c r="K368" s="22">
        <v>2.7108799999999999E-2</v>
      </c>
      <c r="L368">
        <f t="shared" si="60"/>
        <v>17.508024691358024</v>
      </c>
      <c r="M368">
        <f t="shared" si="61"/>
        <v>0.47820017999999997</v>
      </c>
      <c r="N368" s="9"/>
      <c r="O368" s="22">
        <v>1.7027300000000001</v>
      </c>
      <c r="P368" s="22">
        <v>12.650399999999999</v>
      </c>
      <c r="Q368" s="22">
        <v>-9.0118400000000001E-3</v>
      </c>
      <c r="R368" s="22">
        <v>358</v>
      </c>
      <c r="S368" s="22">
        <v>1.70166</v>
      </c>
      <c r="T368">
        <f t="shared" si="62"/>
        <v>11.125728395061728</v>
      </c>
      <c r="U368">
        <f t="shared" si="63"/>
        <v>18.944111510123456</v>
      </c>
      <c r="X368" s="9"/>
      <c r="Y368" s="22">
        <v>2.7313199999999999E-2</v>
      </c>
      <c r="Z368" s="22">
        <v>18.265000000000001</v>
      </c>
      <c r="AA368" s="22">
        <v>-1.4257799999999999E-2</v>
      </c>
      <c r="AB368" s="22">
        <v>358</v>
      </c>
      <c r="AC368" s="22">
        <v>2.71027E-2</v>
      </c>
      <c r="AD368">
        <f t="shared" si="64"/>
        <v>17.60222222222222</v>
      </c>
      <c r="AE368">
        <f t="shared" si="65"/>
        <v>0.48077301599999994</v>
      </c>
      <c r="AF368" s="9"/>
      <c r="AG368" s="22">
        <v>1.7027300000000001</v>
      </c>
      <c r="AH368" s="22">
        <v>22.144600000000001</v>
      </c>
      <c r="AI368" s="22">
        <v>-8.9813199999999992E-3</v>
      </c>
      <c r="AJ368" s="22">
        <v>358</v>
      </c>
      <c r="AK368" s="22">
        <v>1.70166</v>
      </c>
      <c r="AL368">
        <f t="shared" si="66"/>
        <v>11.088049382716047</v>
      </c>
      <c r="AM368">
        <f t="shared" si="67"/>
        <v>18.879954325432095</v>
      </c>
      <c r="AP368" s="9"/>
      <c r="AQ368" s="22">
        <v>2.7313199999999999E-2</v>
      </c>
      <c r="AR368" s="22">
        <v>27.674199999999999</v>
      </c>
      <c r="AS368" s="22">
        <v>-1.42151E-2</v>
      </c>
      <c r="AT368" s="22">
        <v>358</v>
      </c>
      <c r="AU368" s="22">
        <v>2.7127100000000001E-2</v>
      </c>
      <c r="AV368">
        <f t="shared" si="68"/>
        <v>17.549506172839507</v>
      </c>
      <c r="AW368">
        <f t="shared" si="69"/>
        <v>0.47933317200000003</v>
      </c>
      <c r="AX368" s="9"/>
      <c r="AY368" s="22">
        <v>1.7027300000000001</v>
      </c>
      <c r="AZ368" s="22">
        <v>31.553799999999999</v>
      </c>
      <c r="BA368" s="22">
        <v>-8.9416500000000006E-3</v>
      </c>
      <c r="BB368" s="22">
        <v>358</v>
      </c>
      <c r="BC368" s="22">
        <v>1.70166</v>
      </c>
      <c r="BD368">
        <f t="shared" si="70"/>
        <v>11.039074074074074</v>
      </c>
      <c r="BE368">
        <f t="shared" si="71"/>
        <v>18.796562598148149</v>
      </c>
    </row>
    <row r="369" spans="6:57">
      <c r="F369" s="9"/>
      <c r="G369" s="22">
        <v>2.22778E-2</v>
      </c>
      <c r="H369" s="22">
        <v>8.7808100000000007</v>
      </c>
      <c r="I369" s="22">
        <v>-1.41876E-2</v>
      </c>
      <c r="J369" s="22">
        <v>359</v>
      </c>
      <c r="K369" s="22">
        <v>2.2051999999999999E-2</v>
      </c>
      <c r="L369">
        <f t="shared" si="60"/>
        <v>17.515555555555554</v>
      </c>
      <c r="M369">
        <f t="shared" si="61"/>
        <v>0.39020804355555555</v>
      </c>
      <c r="N369" s="9"/>
      <c r="O369" s="22">
        <v>1.7077599999999999</v>
      </c>
      <c r="P369" s="22">
        <v>12.660399999999999</v>
      </c>
      <c r="Q369" s="22">
        <v>-8.7829599999999994E-3</v>
      </c>
      <c r="R369" s="22">
        <v>359</v>
      </c>
      <c r="S369" s="22">
        <v>1.7065399999999999</v>
      </c>
      <c r="T369">
        <f t="shared" si="62"/>
        <v>10.84316049382716</v>
      </c>
      <c r="U369">
        <f t="shared" si="63"/>
        <v>18.51751576493827</v>
      </c>
      <c r="X369" s="9"/>
      <c r="Y369" s="22">
        <v>2.22778E-2</v>
      </c>
      <c r="Z369" s="22">
        <v>18.274999999999999</v>
      </c>
      <c r="AA369" s="22">
        <v>-1.427E-2</v>
      </c>
      <c r="AB369" s="22">
        <v>359</v>
      </c>
      <c r="AC369" s="22">
        <v>2.2055100000000001E-2</v>
      </c>
      <c r="AD369">
        <f t="shared" si="64"/>
        <v>17.617283950617285</v>
      </c>
      <c r="AE369">
        <f t="shared" si="65"/>
        <v>0.39247432839506174</v>
      </c>
      <c r="AF369" s="9"/>
      <c r="AG369" s="22">
        <v>1.7077599999999999</v>
      </c>
      <c r="AH369" s="22">
        <v>22.154599999999999</v>
      </c>
      <c r="AI369" s="22">
        <v>-8.7432900000000008E-3</v>
      </c>
      <c r="AJ369" s="22">
        <v>359</v>
      </c>
      <c r="AK369" s="22">
        <v>1.7071499999999999</v>
      </c>
      <c r="AL369">
        <f t="shared" si="66"/>
        <v>10.794185185185187</v>
      </c>
      <c r="AM369">
        <f t="shared" si="67"/>
        <v>18.433877691851855</v>
      </c>
      <c r="AP369" s="9"/>
      <c r="AQ369" s="22">
        <v>2.22778E-2</v>
      </c>
      <c r="AR369" s="22">
        <v>27.6843</v>
      </c>
      <c r="AS369" s="22">
        <v>-1.4212000000000001E-2</v>
      </c>
      <c r="AT369" s="22">
        <v>359</v>
      </c>
      <c r="AU369" s="22">
        <v>2.2113000000000001E-2</v>
      </c>
      <c r="AV369">
        <f t="shared" si="68"/>
        <v>17.54567901234568</v>
      </c>
      <c r="AW369">
        <f t="shared" si="69"/>
        <v>0.39087912790123458</v>
      </c>
      <c r="AX369" s="9"/>
      <c r="AY369" s="22">
        <v>1.7077599999999999</v>
      </c>
      <c r="AZ369" s="22">
        <v>31.5639</v>
      </c>
      <c r="BA369" s="22">
        <v>-8.6975100000000003E-3</v>
      </c>
      <c r="BB369" s="22">
        <v>359</v>
      </c>
      <c r="BC369" s="22">
        <v>1.7065399999999999</v>
      </c>
      <c r="BD369">
        <f t="shared" si="70"/>
        <v>10.737666666666666</v>
      </c>
      <c r="BE369">
        <f t="shared" si="71"/>
        <v>18.337357626666666</v>
      </c>
    </row>
    <row r="370" spans="6:57">
      <c r="F370" s="9"/>
      <c r="G370" s="22">
        <v>1.7242400000000001E-2</v>
      </c>
      <c r="H370" s="22">
        <v>8.7908799999999996</v>
      </c>
      <c r="I370" s="22">
        <v>-1.41815E-2</v>
      </c>
      <c r="J370" s="22">
        <v>360</v>
      </c>
      <c r="K370" s="22">
        <v>1.7050200000000001E-2</v>
      </c>
      <c r="L370">
        <f t="shared" si="60"/>
        <v>17.508024691358024</v>
      </c>
      <c r="M370">
        <f t="shared" si="61"/>
        <v>0.30188036493827164</v>
      </c>
      <c r="N370" s="9"/>
      <c r="O370" s="22">
        <v>1.7128000000000001</v>
      </c>
      <c r="P370" s="22">
        <v>12.670500000000001</v>
      </c>
      <c r="Q370" s="22">
        <v>-8.54187E-3</v>
      </c>
      <c r="R370" s="22">
        <v>360</v>
      </c>
      <c r="S370" s="22">
        <v>1.71173</v>
      </c>
      <c r="T370">
        <f t="shared" si="62"/>
        <v>10.545518518518518</v>
      </c>
      <c r="U370">
        <f t="shared" si="63"/>
        <v>18.06236411851852</v>
      </c>
      <c r="X370" s="9"/>
      <c r="Y370" s="22">
        <v>1.7242400000000001E-2</v>
      </c>
      <c r="Z370" s="22">
        <v>18.2851</v>
      </c>
      <c r="AA370" s="22">
        <v>-1.4257799999999999E-2</v>
      </c>
      <c r="AB370" s="22">
        <v>360</v>
      </c>
      <c r="AC370" s="22">
        <v>1.7038000000000001E-2</v>
      </c>
      <c r="AD370">
        <f t="shared" si="64"/>
        <v>17.60222222222222</v>
      </c>
      <c r="AE370">
        <f t="shared" si="65"/>
        <v>0.30350455644444446</v>
      </c>
      <c r="AF370" s="9"/>
      <c r="AG370" s="22">
        <v>1.7128000000000001</v>
      </c>
      <c r="AH370" s="22">
        <v>22.1647</v>
      </c>
      <c r="AI370" s="22">
        <v>-8.5021999999999997E-3</v>
      </c>
      <c r="AJ370" s="22">
        <v>360</v>
      </c>
      <c r="AK370" s="22">
        <v>1.71173</v>
      </c>
      <c r="AL370">
        <f t="shared" si="66"/>
        <v>10.496543209876542</v>
      </c>
      <c r="AM370">
        <f t="shared" si="67"/>
        <v>17.978479209876543</v>
      </c>
      <c r="AP370" s="9"/>
      <c r="AQ370" s="22">
        <v>1.7242400000000001E-2</v>
      </c>
      <c r="AR370" s="22">
        <v>27.694299999999998</v>
      </c>
      <c r="AS370" s="22">
        <v>-1.4212000000000001E-2</v>
      </c>
      <c r="AT370" s="22">
        <v>360</v>
      </c>
      <c r="AU370" s="22">
        <v>1.70288E-2</v>
      </c>
      <c r="AV370">
        <f t="shared" si="68"/>
        <v>17.54567901234568</v>
      </c>
      <c r="AW370">
        <f t="shared" si="69"/>
        <v>0.30252961580246918</v>
      </c>
      <c r="AX370" s="9"/>
      <c r="AY370" s="22">
        <v>1.7128000000000001</v>
      </c>
      <c r="AZ370" s="22">
        <v>31.574000000000002</v>
      </c>
      <c r="BA370" s="22">
        <v>-8.4381100000000004E-3</v>
      </c>
      <c r="BB370" s="22">
        <v>360</v>
      </c>
      <c r="BC370" s="22">
        <v>1.71234</v>
      </c>
      <c r="BD370">
        <f t="shared" si="70"/>
        <v>10.417419753086421</v>
      </c>
      <c r="BE370">
        <f t="shared" si="71"/>
        <v>17.842956553086424</v>
      </c>
    </row>
    <row r="371" spans="6:57">
      <c r="F371" s="9"/>
      <c r="G371" s="22">
        <v>1.2207000000000001E-2</v>
      </c>
      <c r="H371" s="22">
        <v>8.8009500000000003</v>
      </c>
      <c r="I371" s="22">
        <v>-1.41815E-2</v>
      </c>
      <c r="J371" s="22">
        <v>361</v>
      </c>
      <c r="K371" s="22">
        <v>1.19904E-2</v>
      </c>
      <c r="L371">
        <f t="shared" si="60"/>
        <v>17.508024691358024</v>
      </c>
      <c r="M371">
        <f t="shared" si="61"/>
        <v>0.21372045740740742</v>
      </c>
      <c r="N371" s="9"/>
      <c r="O371" s="22">
        <v>1.71783</v>
      </c>
      <c r="P371" s="22">
        <v>12.6806</v>
      </c>
      <c r="Q371" s="22">
        <v>-8.2733200000000007E-3</v>
      </c>
      <c r="R371" s="22">
        <v>361</v>
      </c>
      <c r="S371" s="22">
        <v>1.71722</v>
      </c>
      <c r="T371">
        <f t="shared" si="62"/>
        <v>10.213975308641976</v>
      </c>
      <c r="U371">
        <f t="shared" si="63"/>
        <v>17.545873204444444</v>
      </c>
      <c r="X371" s="9"/>
      <c r="Y371" s="22">
        <v>1.2207000000000001E-2</v>
      </c>
      <c r="Z371" s="22">
        <v>18.295200000000001</v>
      </c>
      <c r="AA371" s="22">
        <v>-1.42487E-2</v>
      </c>
      <c r="AB371" s="22">
        <v>361</v>
      </c>
      <c r="AC371" s="22">
        <v>1.20026E-2</v>
      </c>
      <c r="AD371">
        <f t="shared" si="64"/>
        <v>17.590987654320987</v>
      </c>
      <c r="AE371">
        <f t="shared" si="65"/>
        <v>0.21473318629629631</v>
      </c>
      <c r="AF371" s="9"/>
      <c r="AG371" s="22">
        <v>1.71783</v>
      </c>
      <c r="AH371" s="22">
        <v>22.174800000000001</v>
      </c>
      <c r="AI371" s="22">
        <v>-8.2275400000000002E-3</v>
      </c>
      <c r="AJ371" s="22">
        <v>361</v>
      </c>
      <c r="AK371" s="22">
        <v>1.71722</v>
      </c>
      <c r="AL371">
        <f t="shared" si="66"/>
        <v>10.157456790123456</v>
      </c>
      <c r="AM371">
        <f t="shared" si="67"/>
        <v>17.448783997777777</v>
      </c>
      <c r="AP371" s="9"/>
      <c r="AQ371" s="22">
        <v>1.2207000000000001E-2</v>
      </c>
      <c r="AR371" s="22">
        <v>27.7044</v>
      </c>
      <c r="AS371" s="22">
        <v>-1.42059E-2</v>
      </c>
      <c r="AT371" s="22">
        <v>361</v>
      </c>
      <c r="AU371" s="22">
        <v>1.2014800000000001E-2</v>
      </c>
      <c r="AV371">
        <f t="shared" si="68"/>
        <v>17.538148148148146</v>
      </c>
      <c r="AW371">
        <f t="shared" si="69"/>
        <v>0.21408817444444442</v>
      </c>
      <c r="AX371" s="9"/>
      <c r="AY371" s="22">
        <v>1.71783</v>
      </c>
      <c r="AZ371" s="22">
        <v>31.584</v>
      </c>
      <c r="BA371" s="22">
        <v>-8.1542999999999997E-3</v>
      </c>
      <c r="BB371" s="22">
        <v>361</v>
      </c>
      <c r="BC371" s="22">
        <v>1.71661</v>
      </c>
      <c r="BD371">
        <f t="shared" si="70"/>
        <v>10.067037037037036</v>
      </c>
      <c r="BE371">
        <f t="shared" si="71"/>
        <v>17.293458233333332</v>
      </c>
    </row>
    <row r="372" spans="6:57">
      <c r="F372" s="9"/>
      <c r="G372" s="22">
        <v>7.17163E-3</v>
      </c>
      <c r="H372" s="22">
        <v>8.8110199999999992</v>
      </c>
      <c r="I372" s="22">
        <v>-1.41846E-2</v>
      </c>
      <c r="J372" s="22">
        <v>362</v>
      </c>
      <c r="K372" s="22">
        <v>6.8450899999999999E-3</v>
      </c>
      <c r="L372">
        <f t="shared" si="60"/>
        <v>17.511851851851851</v>
      </c>
      <c r="M372">
        <f t="shared" si="61"/>
        <v>0.12558852209629628</v>
      </c>
      <c r="N372" s="9"/>
      <c r="O372" s="22">
        <v>1.7228699999999999</v>
      </c>
      <c r="P372" s="22">
        <v>12.6906</v>
      </c>
      <c r="Q372" s="22">
        <v>-7.9956100000000002E-3</v>
      </c>
      <c r="R372" s="22">
        <v>362</v>
      </c>
      <c r="S372" s="22">
        <v>1.72241</v>
      </c>
      <c r="T372">
        <f t="shared" si="62"/>
        <v>9.8711234567901247</v>
      </c>
      <c r="U372">
        <f t="shared" si="63"/>
        <v>17.006662470000002</v>
      </c>
      <c r="X372" s="9"/>
      <c r="Y372" s="22">
        <v>7.17163E-3</v>
      </c>
      <c r="Z372" s="22">
        <v>18.305199999999999</v>
      </c>
      <c r="AA372" s="22">
        <v>-1.4242599999999999E-2</v>
      </c>
      <c r="AB372" s="22">
        <v>362</v>
      </c>
      <c r="AC372" s="22">
        <v>6.9366499999999999E-3</v>
      </c>
      <c r="AD372">
        <f t="shared" si="64"/>
        <v>17.583456790123453</v>
      </c>
      <c r="AE372">
        <f t="shared" si="65"/>
        <v>0.12610204621975307</v>
      </c>
      <c r="AF372" s="9"/>
      <c r="AG372" s="22">
        <v>1.7228699999999999</v>
      </c>
      <c r="AH372" s="22">
        <v>22.184899999999999</v>
      </c>
      <c r="AI372" s="22">
        <v>-7.9376199999999994E-3</v>
      </c>
      <c r="AJ372" s="22">
        <v>362</v>
      </c>
      <c r="AK372" s="22">
        <v>1.72211</v>
      </c>
      <c r="AL372">
        <f t="shared" si="66"/>
        <v>9.7995308641975303</v>
      </c>
      <c r="AM372">
        <f t="shared" si="67"/>
        <v>16.883317739999999</v>
      </c>
      <c r="AP372" s="9"/>
      <c r="AQ372" s="22">
        <v>7.17163E-3</v>
      </c>
      <c r="AR372" s="22">
        <v>27.714500000000001</v>
      </c>
      <c r="AS372" s="22">
        <v>-1.4202899999999999E-2</v>
      </c>
      <c r="AT372" s="22">
        <v>362</v>
      </c>
      <c r="AU372" s="22">
        <v>6.9213900000000004E-3</v>
      </c>
      <c r="AV372">
        <f t="shared" si="68"/>
        <v>17.534444444444443</v>
      </c>
      <c r="AW372">
        <f t="shared" si="69"/>
        <v>0.12575054781111109</v>
      </c>
      <c r="AX372" s="9"/>
      <c r="AY372" s="22">
        <v>1.7228699999999999</v>
      </c>
      <c r="AZ372" s="22">
        <v>31.594100000000001</v>
      </c>
      <c r="BA372" s="22">
        <v>-7.8582800000000005E-3</v>
      </c>
      <c r="BB372" s="22">
        <v>362</v>
      </c>
      <c r="BC372" s="22">
        <v>1.7215</v>
      </c>
      <c r="BD372">
        <f t="shared" si="70"/>
        <v>9.7015802469135792</v>
      </c>
      <c r="BE372">
        <f t="shared" si="71"/>
        <v>16.714561559999996</v>
      </c>
    </row>
    <row r="373" spans="6:57">
      <c r="F373" s="9"/>
      <c r="G373" s="22">
        <v>2.1362299999999998E-3</v>
      </c>
      <c r="H373" s="22">
        <v>8.8210899999999999</v>
      </c>
      <c r="I373" s="22">
        <v>-1.41876E-2</v>
      </c>
      <c r="J373" s="22">
        <v>363</v>
      </c>
      <c r="K373" s="22">
        <v>1.8829300000000001E-3</v>
      </c>
      <c r="L373">
        <f t="shared" si="60"/>
        <v>17.515555555555554</v>
      </c>
      <c r="M373">
        <f t="shared" si="61"/>
        <v>3.741725524444444E-2</v>
      </c>
      <c r="N373" s="9"/>
      <c r="O373" s="22">
        <v>1.7279100000000001</v>
      </c>
      <c r="P373" s="22">
        <v>12.700699999999999</v>
      </c>
      <c r="Q373" s="22">
        <v>-7.7117899999999996E-3</v>
      </c>
      <c r="R373" s="22">
        <v>363</v>
      </c>
      <c r="S373" s="22">
        <v>1.72699</v>
      </c>
      <c r="T373">
        <f t="shared" si="62"/>
        <v>9.5207283950617274</v>
      </c>
      <c r="U373">
        <f t="shared" si="63"/>
        <v>16.450961801111109</v>
      </c>
      <c r="X373" s="9"/>
      <c r="Y373" s="22">
        <v>2.1362299999999998E-3</v>
      </c>
      <c r="Z373" s="22">
        <v>18.315300000000001</v>
      </c>
      <c r="AA373" s="22">
        <v>-1.4236499999999999E-2</v>
      </c>
      <c r="AB373" s="22">
        <v>363</v>
      </c>
      <c r="AC373" s="22">
        <v>1.9104E-3</v>
      </c>
      <c r="AD373">
        <f t="shared" si="64"/>
        <v>17.575925925925926</v>
      </c>
      <c r="AE373">
        <f t="shared" si="65"/>
        <v>3.7546220240740738E-2</v>
      </c>
      <c r="AF373" s="9"/>
      <c r="AG373" s="22">
        <v>1.7279100000000001</v>
      </c>
      <c r="AH373" s="22">
        <v>22.194900000000001</v>
      </c>
      <c r="AI373" s="22">
        <v>-7.6202400000000003E-3</v>
      </c>
      <c r="AJ373" s="22">
        <v>363</v>
      </c>
      <c r="AK373" s="22">
        <v>1.72699</v>
      </c>
      <c r="AL373">
        <f t="shared" si="66"/>
        <v>9.407703703703703</v>
      </c>
      <c r="AM373">
        <f t="shared" si="67"/>
        <v>16.255665306666668</v>
      </c>
      <c r="AP373" s="9"/>
      <c r="AQ373" s="22">
        <v>2.1362299999999998E-3</v>
      </c>
      <c r="AR373" s="22">
        <v>27.724499999999999</v>
      </c>
      <c r="AS373" s="22">
        <v>-1.4212000000000001E-2</v>
      </c>
      <c r="AT373" s="22">
        <v>363</v>
      </c>
      <c r="AU373" s="22">
        <v>1.88904E-3</v>
      </c>
      <c r="AV373">
        <f t="shared" si="68"/>
        <v>17.54567901234568</v>
      </c>
      <c r="AW373">
        <f t="shared" si="69"/>
        <v>3.7481605876543207E-2</v>
      </c>
      <c r="AX373" s="9"/>
      <c r="AY373" s="22">
        <v>1.7279100000000001</v>
      </c>
      <c r="AZ373" s="22">
        <v>31.604199999999999</v>
      </c>
      <c r="BA373" s="22">
        <v>-7.5286900000000002E-3</v>
      </c>
      <c r="BB373" s="22">
        <v>363</v>
      </c>
      <c r="BC373" s="22">
        <v>1.72699</v>
      </c>
      <c r="BD373">
        <f t="shared" si="70"/>
        <v>9.2946790123456786</v>
      </c>
      <c r="BE373">
        <f t="shared" si="71"/>
        <v>16.060368812222222</v>
      </c>
    </row>
    <row r="374" spans="6:57">
      <c r="F374" s="9"/>
      <c r="G374" s="22">
        <v>-2.89917E-3</v>
      </c>
      <c r="H374" s="22">
        <v>8.8311700000000002</v>
      </c>
      <c r="I374" s="22">
        <v>-1.4196800000000001E-2</v>
      </c>
      <c r="J374" s="22">
        <v>364</v>
      </c>
      <c r="K374" s="22">
        <v>-3.2165499999999999E-3</v>
      </c>
      <c r="L374">
        <f t="shared" si="60"/>
        <v>17.526913580246916</v>
      </c>
      <c r="M374">
        <f t="shared" si="61"/>
        <v>-5.0813502044444452E-2</v>
      </c>
      <c r="N374" s="9"/>
      <c r="O374" s="22">
        <v>1.7329399999999999</v>
      </c>
      <c r="P374" s="22">
        <v>12.710800000000001</v>
      </c>
      <c r="Q374" s="22">
        <v>-7.3913599999999996E-3</v>
      </c>
      <c r="R374" s="22">
        <v>364</v>
      </c>
      <c r="S374" s="22">
        <v>1.7315700000000001</v>
      </c>
      <c r="T374">
        <f t="shared" si="62"/>
        <v>9.1251358024691349</v>
      </c>
      <c r="U374">
        <f t="shared" si="63"/>
        <v>15.813312837530862</v>
      </c>
      <c r="X374" s="9"/>
      <c r="Y374" s="22">
        <v>-2.89917E-3</v>
      </c>
      <c r="Z374" s="22">
        <v>18.325399999999998</v>
      </c>
      <c r="AA374" s="22">
        <v>-1.42395E-2</v>
      </c>
      <c r="AB374" s="22">
        <v>364</v>
      </c>
      <c r="AC374" s="22">
        <v>-3.2074E-3</v>
      </c>
      <c r="AD374">
        <f t="shared" si="64"/>
        <v>17.579629629629629</v>
      </c>
      <c r="AE374">
        <f t="shared" si="65"/>
        <v>-5.0966334833333328E-2</v>
      </c>
      <c r="AF374" s="9"/>
      <c r="AG374" s="22">
        <v>1.7329399999999999</v>
      </c>
      <c r="AH374" s="22">
        <v>22.204999999999998</v>
      </c>
      <c r="AI374" s="22">
        <v>-7.2876E-3</v>
      </c>
      <c r="AJ374" s="22">
        <v>364</v>
      </c>
      <c r="AK374" s="22">
        <v>1.73187</v>
      </c>
      <c r="AL374">
        <f t="shared" si="66"/>
        <v>8.9970370370370354</v>
      </c>
      <c r="AM374">
        <f t="shared" si="67"/>
        <v>15.591325362962959</v>
      </c>
      <c r="AP374" s="9"/>
      <c r="AQ374" s="22">
        <v>-2.89917E-3</v>
      </c>
      <c r="AR374" s="22">
        <v>27.7346</v>
      </c>
      <c r="AS374" s="22">
        <v>-1.4212000000000001E-2</v>
      </c>
      <c r="AT374" s="22">
        <v>364</v>
      </c>
      <c r="AU374" s="22">
        <v>-3.1829800000000002E-3</v>
      </c>
      <c r="AV374">
        <f t="shared" si="68"/>
        <v>17.54567901234568</v>
      </c>
      <c r="AW374">
        <f t="shared" si="69"/>
        <v>-5.0867906222222224E-2</v>
      </c>
      <c r="AX374" s="9"/>
      <c r="AY374" s="22">
        <v>1.7329399999999999</v>
      </c>
      <c r="AZ374" s="22">
        <v>31.6142</v>
      </c>
      <c r="BA374" s="22">
        <v>-7.1868899999999996E-3</v>
      </c>
      <c r="BB374" s="22">
        <v>364</v>
      </c>
      <c r="BC374" s="22">
        <v>1.73187</v>
      </c>
      <c r="BD374">
        <f t="shared" si="70"/>
        <v>8.8727037037037029</v>
      </c>
      <c r="BE374">
        <f t="shared" si="71"/>
        <v>15.375863156296294</v>
      </c>
    </row>
    <row r="375" spans="6:57">
      <c r="F375" s="9"/>
      <c r="G375" s="22">
        <v>-7.9345700000000002E-3</v>
      </c>
      <c r="H375" s="22">
        <v>8.8412400000000009</v>
      </c>
      <c r="I375" s="22">
        <v>-1.41937E-2</v>
      </c>
      <c r="J375" s="22">
        <v>365</v>
      </c>
      <c r="K375" s="22">
        <v>-8.2244899999999992E-3</v>
      </c>
      <c r="L375">
        <f t="shared" si="60"/>
        <v>17.523086419753085</v>
      </c>
      <c r="M375">
        <f t="shared" si="61"/>
        <v>-0.13903815581358023</v>
      </c>
      <c r="N375" s="9"/>
      <c r="O375" s="22">
        <v>1.7379800000000001</v>
      </c>
      <c r="P375" s="22">
        <v>12.7209</v>
      </c>
      <c r="Q375" s="22">
        <v>-7.0495599999999999E-3</v>
      </c>
      <c r="R375" s="22">
        <v>365</v>
      </c>
      <c r="S375" s="22">
        <v>1.7367600000000001</v>
      </c>
      <c r="T375">
        <f t="shared" si="62"/>
        <v>8.7031604938271592</v>
      </c>
      <c r="U375">
        <f t="shared" si="63"/>
        <v>15.125918875061727</v>
      </c>
      <c r="X375" s="9"/>
      <c r="Y375" s="22">
        <v>-7.9345700000000002E-3</v>
      </c>
      <c r="Z375" s="22">
        <v>18.3355</v>
      </c>
      <c r="AA375" s="22">
        <v>-1.4242599999999999E-2</v>
      </c>
      <c r="AB375" s="22">
        <v>365</v>
      </c>
      <c r="AC375" s="22">
        <v>-8.2946800000000005E-3</v>
      </c>
      <c r="AD375">
        <f t="shared" si="64"/>
        <v>17.583456790123453</v>
      </c>
      <c r="AE375">
        <f t="shared" si="65"/>
        <v>-0.13951716874320985</v>
      </c>
      <c r="AF375" s="9"/>
      <c r="AG375" s="22">
        <v>1.7379800000000001</v>
      </c>
      <c r="AH375" s="22">
        <v>22.2151</v>
      </c>
      <c r="AI375" s="22">
        <v>-6.9213900000000004E-3</v>
      </c>
      <c r="AJ375" s="22">
        <v>365</v>
      </c>
      <c r="AK375" s="22">
        <v>1.7367600000000001</v>
      </c>
      <c r="AL375">
        <f t="shared" si="66"/>
        <v>8.5449259259259271</v>
      </c>
      <c r="AM375">
        <f t="shared" si="67"/>
        <v>14.850910360740743</v>
      </c>
      <c r="AP375" s="9"/>
      <c r="AQ375" s="22">
        <v>-7.9345700000000002E-3</v>
      </c>
      <c r="AR375" s="22">
        <v>27.744700000000002</v>
      </c>
      <c r="AS375" s="22">
        <v>-1.42151E-2</v>
      </c>
      <c r="AT375" s="22">
        <v>365</v>
      </c>
      <c r="AU375" s="22">
        <v>-8.1207299999999996E-3</v>
      </c>
      <c r="AV375">
        <f t="shared" si="68"/>
        <v>17.549506172839507</v>
      </c>
      <c r="AW375">
        <f t="shared" si="69"/>
        <v>-0.13924778519382716</v>
      </c>
      <c r="AX375" s="9"/>
      <c r="AY375" s="22">
        <v>1.7379800000000001</v>
      </c>
      <c r="AZ375" s="22">
        <v>31.624300000000002</v>
      </c>
      <c r="BA375" s="22">
        <v>-6.8023700000000003E-3</v>
      </c>
      <c r="BB375" s="22">
        <v>365</v>
      </c>
      <c r="BC375" s="22">
        <v>1.7367600000000001</v>
      </c>
      <c r="BD375">
        <f t="shared" si="70"/>
        <v>8.3979876543209873</v>
      </c>
      <c r="BE375">
        <f t="shared" si="71"/>
        <v>14.595534583456789</v>
      </c>
    </row>
    <row r="376" spans="6:57">
      <c r="F376" s="9"/>
      <c r="G376" s="22">
        <v>-1.2970000000000001E-2</v>
      </c>
      <c r="H376" s="22">
        <v>8.8513099999999998</v>
      </c>
      <c r="I376" s="22">
        <v>-1.41876E-2</v>
      </c>
      <c r="J376" s="22">
        <v>366</v>
      </c>
      <c r="K376" s="22">
        <v>-1.32874E-2</v>
      </c>
      <c r="L376">
        <f t="shared" si="60"/>
        <v>17.515555555555554</v>
      </c>
      <c r="M376">
        <f t="shared" si="61"/>
        <v>-0.22717675555555555</v>
      </c>
      <c r="N376" s="9"/>
      <c r="O376" s="22">
        <v>1.7430099999999999</v>
      </c>
      <c r="P376" s="22">
        <v>12.7309</v>
      </c>
      <c r="Q376" s="22">
        <v>-6.6680899999999998E-3</v>
      </c>
      <c r="R376" s="22">
        <v>366</v>
      </c>
      <c r="S376" s="22">
        <v>1.74194</v>
      </c>
      <c r="T376">
        <f t="shared" si="62"/>
        <v>8.2322098765432088</v>
      </c>
      <c r="U376">
        <f t="shared" si="63"/>
        <v>14.348824136913578</v>
      </c>
      <c r="X376" s="9"/>
      <c r="Y376" s="22">
        <v>-1.2970000000000001E-2</v>
      </c>
      <c r="Z376" s="22">
        <v>18.345500000000001</v>
      </c>
      <c r="AA376" s="22">
        <v>-1.42487E-2</v>
      </c>
      <c r="AB376" s="22">
        <v>366</v>
      </c>
      <c r="AC376" s="22">
        <v>-1.3284300000000001E-2</v>
      </c>
      <c r="AD376">
        <f t="shared" si="64"/>
        <v>17.590987654320987</v>
      </c>
      <c r="AE376">
        <f t="shared" si="65"/>
        <v>-0.22815510987654322</v>
      </c>
      <c r="AF376" s="9"/>
      <c r="AG376" s="22">
        <v>1.7430099999999999</v>
      </c>
      <c r="AH376" s="22">
        <v>22.225100000000001</v>
      </c>
      <c r="AI376" s="22">
        <v>-6.5368700000000002E-3</v>
      </c>
      <c r="AJ376" s="22">
        <v>366</v>
      </c>
      <c r="AK376" s="22">
        <v>1.74194</v>
      </c>
      <c r="AL376">
        <f t="shared" si="66"/>
        <v>8.0702098765432098</v>
      </c>
      <c r="AM376">
        <f t="shared" si="67"/>
        <v>14.066456516913579</v>
      </c>
      <c r="AP376" s="9"/>
      <c r="AQ376" s="22">
        <v>-1.2970000000000001E-2</v>
      </c>
      <c r="AR376" s="22">
        <v>27.754799999999999</v>
      </c>
      <c r="AS376" s="22">
        <v>-1.4218099999999999E-2</v>
      </c>
      <c r="AT376" s="22">
        <v>366</v>
      </c>
      <c r="AU376" s="22">
        <v>-1.3284300000000001E-2</v>
      </c>
      <c r="AV376">
        <f t="shared" si="68"/>
        <v>17.553209876543207</v>
      </c>
      <c r="AW376">
        <f t="shared" si="69"/>
        <v>-0.2276651320987654</v>
      </c>
      <c r="AX376" s="9"/>
      <c r="AY376" s="22">
        <v>1.7430099999999999</v>
      </c>
      <c r="AZ376" s="22">
        <v>31.634399999999999</v>
      </c>
      <c r="BA376" s="22">
        <v>-6.3995399999999996E-3</v>
      </c>
      <c r="BB376" s="22">
        <v>366</v>
      </c>
      <c r="BC376" s="22">
        <v>1.7422500000000001</v>
      </c>
      <c r="BD376">
        <f t="shared" si="70"/>
        <v>7.9006666666666652</v>
      </c>
      <c r="BE376">
        <f t="shared" si="71"/>
        <v>13.770941006666664</v>
      </c>
    </row>
    <row r="377" spans="6:57">
      <c r="F377" s="9"/>
      <c r="G377" s="22">
        <v>-1.8005400000000001E-2</v>
      </c>
      <c r="H377" s="22">
        <v>8.8613800000000005</v>
      </c>
      <c r="I377" s="22">
        <v>-1.41815E-2</v>
      </c>
      <c r="J377" s="22">
        <v>367</v>
      </c>
      <c r="K377" s="22">
        <v>-1.8350200000000001E-2</v>
      </c>
      <c r="L377">
        <f t="shared" si="60"/>
        <v>17.508024691358024</v>
      </c>
      <c r="M377">
        <f t="shared" si="61"/>
        <v>-0.31523898777777781</v>
      </c>
      <c r="N377" s="9"/>
      <c r="O377" s="22">
        <v>1.7480500000000001</v>
      </c>
      <c r="P377" s="22">
        <v>12.741</v>
      </c>
      <c r="Q377" s="22">
        <v>-6.2530499999999996E-3</v>
      </c>
      <c r="R377" s="22">
        <v>367</v>
      </c>
      <c r="S377" s="22">
        <v>1.7465200000000001</v>
      </c>
      <c r="T377">
        <f t="shared" si="62"/>
        <v>7.7198148148148142</v>
      </c>
      <c r="U377">
        <f t="shared" si="63"/>
        <v>13.494622287037037</v>
      </c>
      <c r="X377" s="9"/>
      <c r="Y377" s="22">
        <v>-1.8005400000000001E-2</v>
      </c>
      <c r="Z377" s="22">
        <v>18.355599999999999</v>
      </c>
      <c r="AA377" s="22">
        <v>-1.4251700000000001E-2</v>
      </c>
      <c r="AB377" s="22">
        <v>367</v>
      </c>
      <c r="AC377" s="22">
        <v>-1.8350200000000001E-2</v>
      </c>
      <c r="AD377">
        <f t="shared" si="64"/>
        <v>17.594691358024694</v>
      </c>
      <c r="AE377">
        <f t="shared" si="65"/>
        <v>-0.31679945577777785</v>
      </c>
      <c r="AF377" s="9"/>
      <c r="AG377" s="22">
        <v>1.7480500000000001</v>
      </c>
      <c r="AH377" s="22">
        <v>22.235199999999999</v>
      </c>
      <c r="AI377" s="22">
        <v>-6.0943600000000001E-3</v>
      </c>
      <c r="AJ377" s="22">
        <v>367</v>
      </c>
      <c r="AK377" s="22">
        <v>1.7465200000000001</v>
      </c>
      <c r="AL377">
        <f t="shared" si="66"/>
        <v>7.5239012345679015</v>
      </c>
      <c r="AM377">
        <f t="shared" si="67"/>
        <v>13.152155553086422</v>
      </c>
      <c r="AP377" s="9"/>
      <c r="AQ377" s="22">
        <v>-1.8005400000000001E-2</v>
      </c>
      <c r="AR377" s="22">
        <v>27.764800000000001</v>
      </c>
      <c r="AS377" s="22">
        <v>-1.42151E-2</v>
      </c>
      <c r="AT377" s="22">
        <v>367</v>
      </c>
      <c r="AU377" s="22">
        <v>-1.83258E-2</v>
      </c>
      <c r="AV377">
        <f t="shared" si="68"/>
        <v>17.549506172839507</v>
      </c>
      <c r="AW377">
        <f t="shared" si="69"/>
        <v>-0.31598587844444448</v>
      </c>
      <c r="AX377" s="9"/>
      <c r="AY377" s="22">
        <v>1.7480500000000001</v>
      </c>
      <c r="AZ377" s="22">
        <v>31.644400000000001</v>
      </c>
      <c r="BA377" s="22">
        <v>-5.94788E-3</v>
      </c>
      <c r="BB377" s="22">
        <v>367</v>
      </c>
      <c r="BC377" s="22">
        <v>1.7468300000000001</v>
      </c>
      <c r="BD377">
        <f t="shared" si="70"/>
        <v>7.3430617283950612</v>
      </c>
      <c r="BE377">
        <f t="shared" si="71"/>
        <v>12.836039054320988</v>
      </c>
    </row>
    <row r="378" spans="6:57">
      <c r="F378" s="9"/>
      <c r="G378" s="22">
        <v>-2.30408E-2</v>
      </c>
      <c r="H378" s="22">
        <v>8.8714499999999994</v>
      </c>
      <c r="I378" s="22">
        <v>-1.4175399999999999E-2</v>
      </c>
      <c r="J378" s="22">
        <v>368</v>
      </c>
      <c r="K378" s="22">
        <v>-2.3391700000000001E-2</v>
      </c>
      <c r="L378">
        <f t="shared" si="60"/>
        <v>17.500493827160494</v>
      </c>
      <c r="M378">
        <f t="shared" si="61"/>
        <v>-0.40322537817283949</v>
      </c>
      <c r="N378" s="9"/>
      <c r="O378" s="22">
        <v>1.75308</v>
      </c>
      <c r="P378" s="22">
        <v>12.751099999999999</v>
      </c>
      <c r="Q378" s="22">
        <v>-5.80139E-3</v>
      </c>
      <c r="R378" s="22">
        <v>368</v>
      </c>
      <c r="S378" s="22">
        <v>1.7520100000000001</v>
      </c>
      <c r="T378">
        <f t="shared" si="62"/>
        <v>7.1622098765432094</v>
      </c>
      <c r="U378">
        <f t="shared" si="63"/>
        <v>12.555926890370369</v>
      </c>
      <c r="X378" s="9"/>
      <c r="Y378" s="22">
        <v>-2.30408E-2</v>
      </c>
      <c r="Z378" s="22">
        <v>18.3657</v>
      </c>
      <c r="AA378" s="22">
        <v>-1.42548E-2</v>
      </c>
      <c r="AB378" s="22">
        <v>368</v>
      </c>
      <c r="AC378" s="22">
        <v>-2.3367300000000001E-2</v>
      </c>
      <c r="AD378">
        <f t="shared" si="64"/>
        <v>17.598518518518517</v>
      </c>
      <c r="AE378">
        <f t="shared" si="65"/>
        <v>-0.40548394548148148</v>
      </c>
      <c r="AF378" s="9"/>
      <c r="AG378" s="22">
        <v>1.75308</v>
      </c>
      <c r="AH378" s="22">
        <v>22.2453</v>
      </c>
      <c r="AI378" s="22">
        <v>-5.6335400000000002E-3</v>
      </c>
      <c r="AJ378" s="22">
        <v>368</v>
      </c>
      <c r="AK378" s="22">
        <v>1.7523200000000001</v>
      </c>
      <c r="AL378">
        <f t="shared" si="66"/>
        <v>6.9549876543209876</v>
      </c>
      <c r="AM378">
        <f t="shared" si="67"/>
        <v>12.192649757037037</v>
      </c>
      <c r="AP378" s="9"/>
      <c r="AQ378" s="22">
        <v>-2.30408E-2</v>
      </c>
      <c r="AR378" s="22">
        <v>27.774899999999999</v>
      </c>
      <c r="AS378" s="22">
        <v>-1.4212000000000001E-2</v>
      </c>
      <c r="AT378" s="22">
        <v>368</v>
      </c>
      <c r="AU378" s="22">
        <v>-2.341E-2</v>
      </c>
      <c r="AV378">
        <f t="shared" si="68"/>
        <v>17.54567901234568</v>
      </c>
      <c r="AW378">
        <f t="shared" si="69"/>
        <v>-0.40426648098765433</v>
      </c>
      <c r="AX378" s="9"/>
      <c r="AY378" s="22">
        <v>1.75308</v>
      </c>
      <c r="AZ378" s="22">
        <v>31.654499999999999</v>
      </c>
      <c r="BA378" s="22">
        <v>-5.4565400000000002E-3</v>
      </c>
      <c r="BB378" s="22">
        <v>368</v>
      </c>
      <c r="BC378" s="22">
        <v>1.7523200000000001</v>
      </c>
      <c r="BD378">
        <f t="shared" si="70"/>
        <v>6.7364691358024693</v>
      </c>
      <c r="BE378">
        <f t="shared" si="71"/>
        <v>11.809569312592593</v>
      </c>
    </row>
    <row r="379" spans="6:57">
      <c r="F379" s="9"/>
      <c r="G379" s="22">
        <v>-2.8076199999999999E-2</v>
      </c>
      <c r="H379" s="22">
        <v>8.8815200000000001</v>
      </c>
      <c r="I379" s="22">
        <v>-1.4169299999999999E-2</v>
      </c>
      <c r="J379" s="22">
        <v>369</v>
      </c>
      <c r="K379" s="22">
        <v>-2.8436300000000001E-2</v>
      </c>
      <c r="L379">
        <f t="shared" si="60"/>
        <v>17.492962962962959</v>
      </c>
      <c r="M379">
        <f t="shared" si="61"/>
        <v>-0.49113592674074064</v>
      </c>
      <c r="N379" s="9"/>
      <c r="O379" s="22">
        <v>1.7581199999999999</v>
      </c>
      <c r="P379" s="22">
        <v>12.761100000000001</v>
      </c>
      <c r="Q379" s="22">
        <v>-5.3008999999999999E-3</v>
      </c>
      <c r="R379" s="22">
        <v>369</v>
      </c>
      <c r="S379" s="22">
        <v>1.7572000000000001</v>
      </c>
      <c r="T379">
        <f t="shared" si="62"/>
        <v>6.5443209876543209</v>
      </c>
      <c r="U379">
        <f t="shared" si="63"/>
        <v>11.505701614814814</v>
      </c>
      <c r="X379" s="9"/>
      <c r="Y379" s="22">
        <v>-2.8076199999999999E-2</v>
      </c>
      <c r="Z379" s="22">
        <v>18.375699999999998</v>
      </c>
      <c r="AA379" s="22">
        <v>-1.4263899999999999E-2</v>
      </c>
      <c r="AB379" s="22">
        <v>369</v>
      </c>
      <c r="AC379" s="22">
        <v>-2.8430199999999999E-2</v>
      </c>
      <c r="AD379">
        <f t="shared" si="64"/>
        <v>17.609753086419751</v>
      </c>
      <c r="AE379">
        <f t="shared" si="65"/>
        <v>-0.4944149496049382</v>
      </c>
      <c r="AF379" s="9"/>
      <c r="AG379" s="22">
        <v>1.7581199999999999</v>
      </c>
      <c r="AH379" s="22">
        <v>22.255400000000002</v>
      </c>
      <c r="AI379" s="22">
        <v>-5.1177999999999996E-3</v>
      </c>
      <c r="AJ379" s="22">
        <v>369</v>
      </c>
      <c r="AK379" s="22">
        <v>1.7572000000000001</v>
      </c>
      <c r="AL379">
        <f t="shared" si="66"/>
        <v>6.3182716049382712</v>
      </c>
      <c r="AM379">
        <f t="shared" si="67"/>
        <v>11.108279674074073</v>
      </c>
      <c r="AP379" s="9"/>
      <c r="AQ379" s="22">
        <v>-2.8076199999999999E-2</v>
      </c>
      <c r="AR379" s="22">
        <v>27.785</v>
      </c>
      <c r="AS379" s="22">
        <v>-1.42059E-2</v>
      </c>
      <c r="AT379" s="22">
        <v>369</v>
      </c>
      <c r="AU379" s="22">
        <v>-2.8448500000000002E-2</v>
      </c>
      <c r="AV379">
        <f t="shared" si="68"/>
        <v>17.538148148148146</v>
      </c>
      <c r="AW379">
        <f t="shared" si="69"/>
        <v>-0.49240455503703695</v>
      </c>
      <c r="AX379" s="9"/>
      <c r="AY379" s="22">
        <v>1.7581199999999999</v>
      </c>
      <c r="AZ379" s="22">
        <v>31.6646</v>
      </c>
      <c r="BA379" s="22">
        <v>-4.9115000000000001E-3</v>
      </c>
      <c r="BB379" s="22">
        <v>369</v>
      </c>
      <c r="BC379" s="22">
        <v>1.7575099999999999</v>
      </c>
      <c r="BD379">
        <f t="shared" si="70"/>
        <v>6.0635802469135793</v>
      </c>
      <c r="BE379">
        <f t="shared" si="71"/>
        <v>10.660501703703702</v>
      </c>
    </row>
    <row r="380" spans="6:57">
      <c r="F380" s="9"/>
      <c r="G380" s="22">
        <v>-3.3111599999999998E-2</v>
      </c>
      <c r="H380" s="22">
        <v>8.8915900000000008</v>
      </c>
      <c r="I380" s="22">
        <v>-1.41663E-2</v>
      </c>
      <c r="J380" s="22">
        <v>370</v>
      </c>
      <c r="K380" s="22">
        <v>-3.3422899999999998E-2</v>
      </c>
      <c r="L380">
        <f t="shared" si="60"/>
        <v>17.489259259259256</v>
      </c>
      <c r="M380">
        <f t="shared" si="61"/>
        <v>-0.57909735688888875</v>
      </c>
      <c r="N380" s="9"/>
      <c r="O380" s="22">
        <v>1.76315</v>
      </c>
      <c r="P380" s="22">
        <v>12.7712</v>
      </c>
      <c r="Q380" s="22">
        <v>-4.7665399999999997E-3</v>
      </c>
      <c r="R380" s="22">
        <v>370</v>
      </c>
      <c r="S380" s="22">
        <v>1.7617799999999999</v>
      </c>
      <c r="T380">
        <f t="shared" si="62"/>
        <v>5.8846172839506163</v>
      </c>
      <c r="U380">
        <f t="shared" si="63"/>
        <v>10.37546296419753</v>
      </c>
      <c r="X380" s="9"/>
      <c r="Y380" s="22">
        <v>-3.3111599999999998E-2</v>
      </c>
      <c r="Z380" s="22">
        <v>18.3858</v>
      </c>
      <c r="AA380" s="22">
        <v>-1.427E-2</v>
      </c>
      <c r="AB380" s="22">
        <v>370</v>
      </c>
      <c r="AC380" s="22">
        <v>-3.3480799999999998E-2</v>
      </c>
      <c r="AD380">
        <f t="shared" si="64"/>
        <v>17.617283950617285</v>
      </c>
      <c r="AE380">
        <f t="shared" si="65"/>
        <v>-0.58333645925925925</v>
      </c>
      <c r="AF380" s="9"/>
      <c r="AG380" s="22">
        <v>1.76315</v>
      </c>
      <c r="AH380" s="22">
        <v>22.2654</v>
      </c>
      <c r="AI380" s="22">
        <v>-4.5663500000000003E-3</v>
      </c>
      <c r="AJ380" s="22">
        <v>370</v>
      </c>
      <c r="AK380" s="22">
        <v>1.7620800000000001</v>
      </c>
      <c r="AL380">
        <f t="shared" si="66"/>
        <v>5.6374691358024691</v>
      </c>
      <c r="AM380">
        <f t="shared" si="67"/>
        <v>9.9397037067901231</v>
      </c>
      <c r="AP380" s="9"/>
      <c r="AQ380" s="22">
        <v>-3.3111599999999998E-2</v>
      </c>
      <c r="AR380" s="22">
        <v>27.795000000000002</v>
      </c>
      <c r="AS380" s="22">
        <v>-1.42059E-2</v>
      </c>
      <c r="AT380" s="22">
        <v>370</v>
      </c>
      <c r="AU380" s="22">
        <v>-3.3499099999999997E-2</v>
      </c>
      <c r="AV380">
        <f t="shared" si="68"/>
        <v>17.538148148148146</v>
      </c>
      <c r="AW380">
        <f t="shared" si="69"/>
        <v>-0.58071614622222212</v>
      </c>
      <c r="AX380" s="9"/>
      <c r="AY380" s="22">
        <v>1.76315</v>
      </c>
      <c r="AZ380" s="22">
        <v>31.674700000000001</v>
      </c>
      <c r="BA380" s="22">
        <v>-4.3209800000000003E-3</v>
      </c>
      <c r="BB380" s="22">
        <v>370</v>
      </c>
      <c r="BC380" s="22">
        <v>1.7620800000000001</v>
      </c>
      <c r="BD380">
        <f t="shared" si="70"/>
        <v>5.3345432098765428</v>
      </c>
      <c r="BE380">
        <f t="shared" si="71"/>
        <v>9.405599860493826</v>
      </c>
    </row>
    <row r="381" spans="6:57">
      <c r="F381" s="9"/>
      <c r="G381" s="22">
        <v>-3.8147E-2</v>
      </c>
      <c r="H381" s="22">
        <v>8.9016599999999997</v>
      </c>
      <c r="I381" s="22">
        <v>-1.4163200000000001E-2</v>
      </c>
      <c r="J381" s="22">
        <v>371</v>
      </c>
      <c r="K381" s="22">
        <v>-3.8513199999999997E-2</v>
      </c>
      <c r="L381">
        <f t="shared" si="60"/>
        <v>17.485432098765433</v>
      </c>
      <c r="M381">
        <f t="shared" si="61"/>
        <v>-0.66701677827160499</v>
      </c>
      <c r="N381" s="9"/>
      <c r="O381" s="22">
        <v>1.7681899999999999</v>
      </c>
      <c r="P381" s="22">
        <v>12.7813</v>
      </c>
      <c r="Q381" s="22">
        <v>-4.1601600000000004E-3</v>
      </c>
      <c r="R381" s="22">
        <v>371</v>
      </c>
      <c r="S381" s="22">
        <v>1.7672699999999999</v>
      </c>
      <c r="T381">
        <f t="shared" si="62"/>
        <v>5.1360000000000001</v>
      </c>
      <c r="U381">
        <f t="shared" si="63"/>
        <v>9.0814238399999994</v>
      </c>
      <c r="X381" s="9"/>
      <c r="Y381" s="22">
        <v>-3.8147E-2</v>
      </c>
      <c r="Z381" s="22">
        <v>18.395900000000001</v>
      </c>
      <c r="AA381" s="22">
        <v>-1.427E-2</v>
      </c>
      <c r="AB381" s="22">
        <v>371</v>
      </c>
      <c r="AC381" s="22">
        <v>-3.8482700000000002E-2</v>
      </c>
      <c r="AD381">
        <f t="shared" si="64"/>
        <v>17.617283950617285</v>
      </c>
      <c r="AE381">
        <f t="shared" si="65"/>
        <v>-0.67204653086419752</v>
      </c>
      <c r="AF381" s="9"/>
      <c r="AG381" s="22">
        <v>1.7681899999999999</v>
      </c>
      <c r="AH381" s="22">
        <v>22.275500000000001</v>
      </c>
      <c r="AI381" s="22">
        <v>-3.9294400000000002E-3</v>
      </c>
      <c r="AJ381" s="22">
        <v>371</v>
      </c>
      <c r="AK381" s="22">
        <v>1.7675799999999999</v>
      </c>
      <c r="AL381">
        <f t="shared" si="66"/>
        <v>4.8511604938271606</v>
      </c>
      <c r="AM381">
        <f t="shared" si="67"/>
        <v>8.5777734735802476</v>
      </c>
      <c r="AP381" s="9"/>
      <c r="AQ381" s="22">
        <v>-3.8147E-2</v>
      </c>
      <c r="AR381" s="22">
        <v>27.805099999999999</v>
      </c>
      <c r="AS381" s="22">
        <v>-1.4202899999999999E-2</v>
      </c>
      <c r="AT381" s="22">
        <v>371</v>
      </c>
      <c r="AU381" s="22">
        <v>-3.84918E-2</v>
      </c>
      <c r="AV381">
        <f t="shared" si="68"/>
        <v>17.534444444444443</v>
      </c>
      <c r="AW381">
        <f t="shared" si="69"/>
        <v>-0.66888645222222221</v>
      </c>
      <c r="AX381" s="9"/>
      <c r="AY381" s="22">
        <v>1.7681899999999999</v>
      </c>
      <c r="AZ381" s="22">
        <v>31.684699999999999</v>
      </c>
      <c r="BA381" s="22">
        <v>-3.6477699999999998E-3</v>
      </c>
      <c r="BB381" s="22">
        <v>371</v>
      </c>
      <c r="BC381" s="22">
        <v>1.7669699999999999</v>
      </c>
      <c r="BD381">
        <f t="shared" si="70"/>
        <v>4.5034197530864191</v>
      </c>
      <c r="BE381">
        <f t="shared" si="71"/>
        <v>7.9629017732098752</v>
      </c>
    </row>
    <row r="382" spans="6:57">
      <c r="F382" s="9"/>
      <c r="G382" s="22">
        <v>-4.3182400000000003E-2</v>
      </c>
      <c r="H382" s="22">
        <v>8.9117300000000004</v>
      </c>
      <c r="I382" s="22">
        <v>-1.41602E-2</v>
      </c>
      <c r="J382" s="22">
        <v>372</v>
      </c>
      <c r="K382" s="22">
        <v>-4.3585199999999998E-2</v>
      </c>
      <c r="L382">
        <f t="shared" si="60"/>
        <v>17.481728395061729</v>
      </c>
      <c r="M382">
        <f t="shared" si="61"/>
        <v>-0.75490298824691371</v>
      </c>
      <c r="N382" s="9"/>
      <c r="O382" s="22">
        <v>1.77322</v>
      </c>
      <c r="P382" s="22">
        <v>12.791399999999999</v>
      </c>
      <c r="Q382" s="22">
        <v>-3.4957899999999999E-3</v>
      </c>
      <c r="R382" s="22">
        <v>372</v>
      </c>
      <c r="S382" s="22">
        <v>1.77277</v>
      </c>
      <c r="T382">
        <f t="shared" si="62"/>
        <v>4.3157901234567895</v>
      </c>
      <c r="U382">
        <f t="shared" si="63"/>
        <v>7.6528453627160484</v>
      </c>
      <c r="X382" s="9"/>
      <c r="Y382" s="22">
        <v>-4.3182400000000003E-2</v>
      </c>
      <c r="Z382" s="22">
        <v>18.405999999999999</v>
      </c>
      <c r="AA382" s="22">
        <v>-1.4263899999999999E-2</v>
      </c>
      <c r="AB382" s="22">
        <v>372</v>
      </c>
      <c r="AC382" s="22">
        <v>-4.3594399999999998E-2</v>
      </c>
      <c r="AD382">
        <f t="shared" si="64"/>
        <v>17.609753086419751</v>
      </c>
      <c r="AE382">
        <f t="shared" si="65"/>
        <v>-0.76043140167901235</v>
      </c>
      <c r="AF382" s="9"/>
      <c r="AG382" s="22">
        <v>1.77322</v>
      </c>
      <c r="AH382" s="22">
        <v>22.285599999999999</v>
      </c>
      <c r="AI382" s="22">
        <v>-3.23975E-3</v>
      </c>
      <c r="AJ382" s="22">
        <v>372</v>
      </c>
      <c r="AK382" s="22">
        <v>1.7718499999999999</v>
      </c>
      <c r="AL382">
        <f t="shared" si="66"/>
        <v>3.9996913580246911</v>
      </c>
      <c r="AM382">
        <f t="shared" si="67"/>
        <v>7.0923327098765432</v>
      </c>
      <c r="AP382" s="9"/>
      <c r="AQ382" s="22">
        <v>-4.3182400000000003E-2</v>
      </c>
      <c r="AR382" s="22">
        <v>27.815200000000001</v>
      </c>
      <c r="AS382" s="22">
        <v>-1.42151E-2</v>
      </c>
      <c r="AT382" s="22">
        <v>372</v>
      </c>
      <c r="AU382" s="22">
        <v>-4.3569900000000002E-2</v>
      </c>
      <c r="AV382">
        <f t="shared" si="68"/>
        <v>17.549506172839507</v>
      </c>
      <c r="AW382">
        <f t="shared" si="69"/>
        <v>-0.75782979535802475</v>
      </c>
      <c r="AX382" s="9"/>
      <c r="AY382" s="22">
        <v>1.77322</v>
      </c>
      <c r="AZ382" s="22">
        <v>31.694800000000001</v>
      </c>
      <c r="BA382" s="22">
        <v>-2.9113799999999999E-3</v>
      </c>
      <c r="BB382" s="22">
        <v>372</v>
      </c>
      <c r="BC382" s="22">
        <v>1.77277</v>
      </c>
      <c r="BD382">
        <f t="shared" si="70"/>
        <v>3.5942962962962959</v>
      </c>
      <c r="BE382">
        <f t="shared" si="71"/>
        <v>6.3734780785185174</v>
      </c>
    </row>
    <row r="383" spans="6:57">
      <c r="F383" s="9"/>
      <c r="G383" s="22">
        <v>-4.8217799999999998E-2</v>
      </c>
      <c r="H383" s="22">
        <v>8.9217999999999993</v>
      </c>
      <c r="I383" s="22">
        <v>-1.41602E-2</v>
      </c>
      <c r="J383" s="22">
        <v>373</v>
      </c>
      <c r="K383" s="22">
        <v>-4.8675499999999997E-2</v>
      </c>
      <c r="L383">
        <f t="shared" si="60"/>
        <v>17.481728395061729</v>
      </c>
      <c r="M383">
        <f t="shared" si="61"/>
        <v>-0.84293048340740739</v>
      </c>
      <c r="N383" s="9"/>
      <c r="O383" s="22">
        <v>1.77826</v>
      </c>
      <c r="P383" s="22">
        <v>12.801399999999999</v>
      </c>
      <c r="Q383" s="22">
        <v>-2.75421E-3</v>
      </c>
      <c r="R383" s="22">
        <v>373</v>
      </c>
      <c r="S383" s="22">
        <v>1.77765</v>
      </c>
      <c r="T383">
        <f t="shared" si="62"/>
        <v>3.4002592592592591</v>
      </c>
      <c r="U383">
        <f t="shared" si="63"/>
        <v>6.0465450303703703</v>
      </c>
      <c r="X383" s="9"/>
      <c r="Y383" s="22">
        <v>-4.8217799999999998E-2</v>
      </c>
      <c r="Z383" s="22">
        <v>18.416</v>
      </c>
      <c r="AA383" s="22">
        <v>-1.42548E-2</v>
      </c>
      <c r="AB383" s="22">
        <v>373</v>
      </c>
      <c r="AC383" s="22">
        <v>-4.8596199999999999E-2</v>
      </c>
      <c r="AD383">
        <f t="shared" si="64"/>
        <v>17.598518518518517</v>
      </c>
      <c r="AE383">
        <f t="shared" si="65"/>
        <v>-0.84856184622222208</v>
      </c>
      <c r="AF383" s="9"/>
      <c r="AG383" s="22">
        <v>1.77826</v>
      </c>
      <c r="AH383" s="22">
        <v>22.2956</v>
      </c>
      <c r="AI383" s="22">
        <v>-2.45758E-3</v>
      </c>
      <c r="AJ383" s="22">
        <v>373</v>
      </c>
      <c r="AK383" s="22">
        <v>1.7773399999999999</v>
      </c>
      <c r="AL383">
        <f t="shared" si="66"/>
        <v>3.0340493827160491</v>
      </c>
      <c r="AM383">
        <f t="shared" si="67"/>
        <v>5.3953286553086413</v>
      </c>
      <c r="AP383" s="9"/>
      <c r="AQ383" s="22">
        <v>-4.8217799999999998E-2</v>
      </c>
      <c r="AR383" s="22">
        <v>27.825299999999999</v>
      </c>
      <c r="AS383" s="22">
        <v>-1.42212E-2</v>
      </c>
      <c r="AT383" s="22">
        <v>373</v>
      </c>
      <c r="AU383" s="22">
        <v>-4.8584000000000002E-2</v>
      </c>
      <c r="AV383">
        <f t="shared" si="68"/>
        <v>17.557037037037034</v>
      </c>
      <c r="AW383">
        <f t="shared" si="69"/>
        <v>-0.84656170044444423</v>
      </c>
      <c r="AX383" s="9"/>
      <c r="AY383" s="22">
        <v>1.77826</v>
      </c>
      <c r="AZ383" s="22">
        <v>31.704899999999999</v>
      </c>
      <c r="BA383" s="22">
        <v>-2.0733599999999998E-3</v>
      </c>
      <c r="BB383" s="22">
        <v>373</v>
      </c>
      <c r="BC383" s="22">
        <v>1.77765</v>
      </c>
      <c r="BD383">
        <f t="shared" si="70"/>
        <v>2.5597037037037031</v>
      </c>
      <c r="BE383">
        <f t="shared" si="71"/>
        <v>4.5518187081481472</v>
      </c>
    </row>
    <row r="384" spans="6:57">
      <c r="F384" s="9"/>
      <c r="G384" s="22">
        <v>-5.3253200000000001E-2</v>
      </c>
      <c r="H384" s="22">
        <v>8.9318799999999996</v>
      </c>
      <c r="I384" s="22">
        <v>-1.4163200000000001E-2</v>
      </c>
      <c r="J384" s="22">
        <v>374</v>
      </c>
      <c r="K384" s="22">
        <v>-5.3832999999999999E-2</v>
      </c>
      <c r="L384">
        <f t="shared" si="60"/>
        <v>17.485432098765433</v>
      </c>
      <c r="M384">
        <f t="shared" si="61"/>
        <v>-0.93115521264197532</v>
      </c>
      <c r="N384" s="9"/>
      <c r="O384" s="22">
        <v>1.78329</v>
      </c>
      <c r="P384" s="22">
        <v>12.811500000000001</v>
      </c>
      <c r="Q384" s="22">
        <v>-1.9287099999999999E-3</v>
      </c>
      <c r="R384" s="22">
        <v>374</v>
      </c>
      <c r="S384" s="22">
        <v>1.78284</v>
      </c>
      <c r="T384">
        <f t="shared" si="62"/>
        <v>2.3811234567901232</v>
      </c>
      <c r="U384">
        <f t="shared" si="63"/>
        <v>4.2462336492592589</v>
      </c>
      <c r="X384" s="9"/>
      <c r="Y384" s="22">
        <v>-5.3253200000000001E-2</v>
      </c>
      <c r="Z384" s="22">
        <v>18.426100000000002</v>
      </c>
      <c r="AA384" s="22">
        <v>-1.42548E-2</v>
      </c>
      <c r="AB384" s="22">
        <v>374</v>
      </c>
      <c r="AC384" s="22">
        <v>-5.3802500000000003E-2</v>
      </c>
      <c r="AD384">
        <f t="shared" si="64"/>
        <v>17.598518518518517</v>
      </c>
      <c r="AE384">
        <f t="shared" si="65"/>
        <v>-0.93717742637037027</v>
      </c>
      <c r="AF384" s="9"/>
      <c r="AG384" s="22">
        <v>1.78329</v>
      </c>
      <c r="AH384" s="22">
        <v>22.305700000000002</v>
      </c>
      <c r="AI384" s="22">
        <v>-1.58844E-3</v>
      </c>
      <c r="AJ384" s="22">
        <v>374</v>
      </c>
      <c r="AK384" s="22">
        <v>1.7819199999999999</v>
      </c>
      <c r="AL384">
        <f t="shared" si="66"/>
        <v>1.9610370370370367</v>
      </c>
      <c r="AM384">
        <f t="shared" si="67"/>
        <v>3.4970977377777772</v>
      </c>
      <c r="AP384" s="9"/>
      <c r="AQ384" s="22">
        <v>-5.3253200000000001E-2</v>
      </c>
      <c r="AR384" s="22">
        <v>27.8353</v>
      </c>
      <c r="AS384" s="22">
        <v>-1.42151E-2</v>
      </c>
      <c r="AT384" s="22">
        <v>374</v>
      </c>
      <c r="AU384" s="22">
        <v>-5.3863500000000002E-2</v>
      </c>
      <c r="AV384">
        <f t="shared" si="68"/>
        <v>17.549506172839507</v>
      </c>
      <c r="AW384">
        <f t="shared" si="69"/>
        <v>-0.93456736212345681</v>
      </c>
      <c r="AX384" s="9"/>
      <c r="AY384" s="22">
        <v>1.78329</v>
      </c>
      <c r="AZ384" s="22">
        <v>31.7149</v>
      </c>
      <c r="BA384" s="22">
        <v>-1.15723E-3</v>
      </c>
      <c r="BB384" s="22">
        <v>374</v>
      </c>
      <c r="BC384" s="22">
        <v>1.78223</v>
      </c>
      <c r="BD384">
        <f t="shared" si="70"/>
        <v>1.428679012345679</v>
      </c>
      <c r="BE384">
        <f t="shared" si="71"/>
        <v>2.5477489959259261</v>
      </c>
    </row>
    <row r="385" spans="6:57">
      <c r="F385" s="9"/>
      <c r="G385" s="22">
        <v>-5.8288600000000003E-2</v>
      </c>
      <c r="H385" s="22">
        <v>8.9419500000000003</v>
      </c>
      <c r="I385" s="22">
        <v>-1.4163200000000001E-2</v>
      </c>
      <c r="J385" s="22">
        <v>375</v>
      </c>
      <c r="K385" s="22">
        <v>-5.8837899999999999E-2</v>
      </c>
      <c r="L385">
        <f t="shared" si="60"/>
        <v>17.485432098765433</v>
      </c>
      <c r="M385">
        <f t="shared" si="61"/>
        <v>-1.0192013574320988</v>
      </c>
      <c r="N385" s="9"/>
      <c r="O385" s="22">
        <v>1.78833</v>
      </c>
      <c r="P385" s="22">
        <v>12.8216</v>
      </c>
      <c r="Q385" s="22">
        <v>-9.8053000000000007E-4</v>
      </c>
      <c r="R385" s="22">
        <v>375</v>
      </c>
      <c r="S385" s="22">
        <v>1.78711</v>
      </c>
      <c r="T385">
        <f t="shared" si="62"/>
        <v>1.2105308641975308</v>
      </c>
      <c r="U385">
        <f t="shared" si="63"/>
        <v>2.1648286603703704</v>
      </c>
      <c r="X385" s="9"/>
      <c r="Y385" s="22">
        <v>-5.8288600000000003E-2</v>
      </c>
      <c r="Z385" s="22">
        <v>18.436199999999999</v>
      </c>
      <c r="AA385" s="22">
        <v>-1.4251700000000001E-2</v>
      </c>
      <c r="AB385" s="22">
        <v>375</v>
      </c>
      <c r="AC385" s="22">
        <v>-5.8807400000000003E-2</v>
      </c>
      <c r="AD385">
        <f t="shared" si="64"/>
        <v>17.594691358024694</v>
      </c>
      <c r="AE385">
        <f t="shared" si="65"/>
        <v>-1.0255699266913583</v>
      </c>
      <c r="AF385" s="9"/>
      <c r="AG385" s="22">
        <v>1.78833</v>
      </c>
      <c r="AH385" s="22">
        <v>22.315799999999999</v>
      </c>
      <c r="AI385" s="22">
        <v>-5.9356700000000003E-4</v>
      </c>
      <c r="AJ385" s="22">
        <v>375</v>
      </c>
      <c r="AK385" s="22">
        <v>1.7874099999999999</v>
      </c>
      <c r="AL385">
        <f t="shared" si="66"/>
        <v>0.73279876543209876</v>
      </c>
      <c r="AM385">
        <f t="shared" si="67"/>
        <v>1.3104860161851852</v>
      </c>
      <c r="AP385" s="9"/>
      <c r="AQ385" s="22">
        <v>-5.8288600000000003E-2</v>
      </c>
      <c r="AR385" s="22">
        <v>27.845400000000001</v>
      </c>
      <c r="AS385" s="22">
        <v>-1.4208999999999999E-2</v>
      </c>
      <c r="AT385" s="22">
        <v>375</v>
      </c>
      <c r="AU385" s="22">
        <v>-5.8837899999999999E-2</v>
      </c>
      <c r="AV385">
        <f t="shared" si="68"/>
        <v>17.541975308641973</v>
      </c>
      <c r="AW385">
        <f t="shared" si="69"/>
        <v>-1.0224971819753086</v>
      </c>
      <c r="AX385" s="9"/>
      <c r="AY385" s="22">
        <v>1.78833</v>
      </c>
      <c r="AZ385" s="22">
        <v>31.725000000000001</v>
      </c>
      <c r="BA385" s="22">
        <v>-1.0626199999999999E-4</v>
      </c>
      <c r="BB385" s="22">
        <v>375</v>
      </c>
      <c r="BC385" s="22">
        <v>1.78711</v>
      </c>
      <c r="BD385">
        <f t="shared" si="70"/>
        <v>0.13118765432098764</v>
      </c>
      <c r="BE385">
        <f t="shared" si="71"/>
        <v>0.23460681785185183</v>
      </c>
    </row>
    <row r="386" spans="6:57">
      <c r="F386" s="9"/>
      <c r="G386" s="22">
        <v>-6.3324000000000005E-2</v>
      </c>
      <c r="H386" s="22">
        <v>8.9520199999999992</v>
      </c>
      <c r="I386" s="22">
        <v>-1.4163200000000001E-2</v>
      </c>
      <c r="J386" s="22">
        <v>376</v>
      </c>
      <c r="K386" s="22">
        <v>-6.3873299999999994E-2</v>
      </c>
      <c r="L386">
        <f t="shared" si="60"/>
        <v>17.485432098765433</v>
      </c>
      <c r="M386">
        <f t="shared" si="61"/>
        <v>-1.1072475022222223</v>
      </c>
      <c r="N386" s="9"/>
      <c r="O386" s="22">
        <v>1.7933699999999999</v>
      </c>
      <c r="P386" s="22">
        <v>12.8316</v>
      </c>
      <c r="Q386" s="25">
        <v>6.7718499999999999E-5</v>
      </c>
      <c r="R386" s="22">
        <v>376</v>
      </c>
      <c r="S386" s="22">
        <v>1.79199</v>
      </c>
      <c r="T386">
        <f t="shared" si="62"/>
        <v>-8.3603086419753073E-2</v>
      </c>
      <c r="U386">
        <f t="shared" si="63"/>
        <v>-0.14993126709259255</v>
      </c>
      <c r="X386" s="9"/>
      <c r="Y386" s="22">
        <v>-6.3324000000000005E-2</v>
      </c>
      <c r="Z386" s="22">
        <v>18.446200000000001</v>
      </c>
      <c r="AA386" s="22">
        <v>-1.4251700000000001E-2</v>
      </c>
      <c r="AB386" s="22">
        <v>376</v>
      </c>
      <c r="AC386" s="22">
        <v>-6.3873299999999994E-2</v>
      </c>
      <c r="AD386">
        <f t="shared" si="64"/>
        <v>17.594691358024694</v>
      </c>
      <c r="AE386">
        <f t="shared" si="65"/>
        <v>-1.1141662355555557</v>
      </c>
      <c r="AF386" s="9"/>
      <c r="AG386" s="22">
        <v>1.7933699999999999</v>
      </c>
      <c r="AH386" s="22">
        <v>22.325900000000001</v>
      </c>
      <c r="AI386" s="22">
        <v>5.1239000000000005E-4</v>
      </c>
      <c r="AJ386" s="22">
        <v>376</v>
      </c>
      <c r="AK386" s="22">
        <v>1.7923</v>
      </c>
      <c r="AL386">
        <f t="shared" si="66"/>
        <v>-0.63258024691358028</v>
      </c>
      <c r="AM386">
        <f t="shared" si="67"/>
        <v>-1.1344504374074074</v>
      </c>
      <c r="AP386" s="9"/>
      <c r="AQ386" s="22">
        <v>-6.3324000000000005E-2</v>
      </c>
      <c r="AR386" s="22">
        <v>27.855499999999999</v>
      </c>
      <c r="AS386" s="22">
        <v>-1.42059E-2</v>
      </c>
      <c r="AT386" s="22">
        <v>376</v>
      </c>
      <c r="AU386" s="22">
        <v>-6.3903799999999997E-2</v>
      </c>
      <c r="AV386">
        <f t="shared" si="68"/>
        <v>17.538148148148146</v>
      </c>
      <c r="AW386">
        <f t="shared" si="69"/>
        <v>-1.1105856933333333</v>
      </c>
      <c r="AX386" s="9"/>
      <c r="AY386" s="22">
        <v>1.7933699999999999</v>
      </c>
      <c r="AZ386" s="22">
        <v>31.735099999999999</v>
      </c>
      <c r="BA386" s="22">
        <v>1.0665900000000001E-3</v>
      </c>
      <c r="BB386" s="22">
        <v>376</v>
      </c>
      <c r="BC386" s="22">
        <v>1.7923</v>
      </c>
      <c r="BD386">
        <f t="shared" si="70"/>
        <v>-1.3167777777777778</v>
      </c>
      <c r="BE386">
        <f t="shared" si="71"/>
        <v>-2.3614697633333335</v>
      </c>
    </row>
    <row r="387" spans="6:57">
      <c r="F387" s="9"/>
      <c r="G387" s="22">
        <v>-6.8359400000000001E-2</v>
      </c>
      <c r="H387" s="22">
        <v>8.9620899999999999</v>
      </c>
      <c r="I387" s="22">
        <v>-1.4157100000000001E-2</v>
      </c>
      <c r="J387" s="22">
        <v>377</v>
      </c>
      <c r="K387" s="22">
        <v>-6.8939200000000006E-2</v>
      </c>
      <c r="L387">
        <f t="shared" si="60"/>
        <v>17.477901234567902</v>
      </c>
      <c r="M387">
        <f t="shared" si="61"/>
        <v>-1.194778841654321</v>
      </c>
      <c r="N387" s="9"/>
      <c r="O387" s="22">
        <v>1.7984</v>
      </c>
      <c r="P387" s="22">
        <v>12.841699999999999</v>
      </c>
      <c r="Q387" s="22">
        <v>1.27625E-3</v>
      </c>
      <c r="R387" s="22">
        <v>377</v>
      </c>
      <c r="S387" s="22">
        <v>1.79718</v>
      </c>
      <c r="T387">
        <f t="shared" si="62"/>
        <v>-1.5756172839506173</v>
      </c>
      <c r="U387">
        <f t="shared" si="63"/>
        <v>-2.8335901234567902</v>
      </c>
      <c r="X387" s="9"/>
      <c r="Y387" s="22">
        <v>-6.8359400000000001E-2</v>
      </c>
      <c r="Z387" s="22">
        <v>18.456299999999999</v>
      </c>
      <c r="AA387" s="22">
        <v>-1.4263899999999999E-2</v>
      </c>
      <c r="AB387" s="22">
        <v>377</v>
      </c>
      <c r="AC387" s="22">
        <v>-6.8939200000000006E-2</v>
      </c>
      <c r="AD387">
        <f t="shared" si="64"/>
        <v>17.609753086419751</v>
      </c>
      <c r="AE387">
        <f t="shared" si="65"/>
        <v>-1.2037921551358024</v>
      </c>
      <c r="AF387" s="9"/>
      <c r="AG387" s="22">
        <v>1.7984</v>
      </c>
      <c r="AH387" s="22">
        <v>22.335899999999999</v>
      </c>
      <c r="AI387" s="22">
        <v>1.78101E-3</v>
      </c>
      <c r="AJ387" s="22">
        <v>377</v>
      </c>
      <c r="AK387" s="22">
        <v>1.79718</v>
      </c>
      <c r="AL387">
        <f t="shared" si="66"/>
        <v>-2.1987777777777779</v>
      </c>
      <c r="AM387">
        <f t="shared" si="67"/>
        <v>-3.9542819555555559</v>
      </c>
      <c r="AP387" s="9"/>
      <c r="AQ387" s="22">
        <v>-6.8359400000000001E-2</v>
      </c>
      <c r="AR387" s="22">
        <v>27.865500000000001</v>
      </c>
      <c r="AS387" s="22">
        <v>-1.42151E-2</v>
      </c>
      <c r="AT387" s="22">
        <v>377</v>
      </c>
      <c r="AU387" s="22">
        <v>-6.8908700000000003E-2</v>
      </c>
      <c r="AV387">
        <f t="shared" si="68"/>
        <v>17.549506172839507</v>
      </c>
      <c r="AW387">
        <f t="shared" si="69"/>
        <v>-1.199673712271605</v>
      </c>
      <c r="AX387" s="9"/>
      <c r="AY387" s="22">
        <v>1.7984</v>
      </c>
      <c r="AZ387" s="22">
        <v>31.745200000000001</v>
      </c>
      <c r="BA387" s="22">
        <v>2.4215700000000001E-3</v>
      </c>
      <c r="BB387" s="22">
        <v>377</v>
      </c>
      <c r="BC387" s="22">
        <v>1.79779</v>
      </c>
      <c r="BD387">
        <f t="shared" si="70"/>
        <v>-2.9895925925925924</v>
      </c>
      <c r="BE387">
        <f t="shared" si="71"/>
        <v>-5.3764833185185177</v>
      </c>
    </row>
    <row r="388" spans="6:57">
      <c r="F388" s="9"/>
      <c r="G388" s="22">
        <v>-7.3394799999999996E-2</v>
      </c>
      <c r="H388" s="22">
        <v>8.9721600000000006</v>
      </c>
      <c r="I388" s="22">
        <v>-1.4151E-2</v>
      </c>
      <c r="J388" s="22">
        <v>378</v>
      </c>
      <c r="K388" s="22">
        <v>-7.3913599999999996E-2</v>
      </c>
      <c r="L388">
        <f t="shared" si="60"/>
        <v>17.470370370370368</v>
      </c>
      <c r="M388">
        <f t="shared" si="61"/>
        <v>-1.282234339259259</v>
      </c>
      <c r="N388" s="9"/>
      <c r="O388" s="22">
        <v>1.8034399999999999</v>
      </c>
      <c r="P388" s="22">
        <v>12.851800000000001</v>
      </c>
      <c r="Q388" s="22">
        <v>2.6327500000000001E-3</v>
      </c>
      <c r="R388" s="22">
        <v>378</v>
      </c>
      <c r="S388" s="22">
        <v>1.80237</v>
      </c>
      <c r="T388">
        <f t="shared" si="62"/>
        <v>-3.2503086419753084</v>
      </c>
      <c r="U388">
        <f t="shared" si="63"/>
        <v>-5.8617366172839498</v>
      </c>
      <c r="X388" s="9"/>
      <c r="Y388" s="22">
        <v>-7.3394799999999996E-2</v>
      </c>
      <c r="Z388" s="22">
        <v>18.4664</v>
      </c>
      <c r="AA388" s="22">
        <v>-1.4267E-2</v>
      </c>
      <c r="AB388" s="22">
        <v>378</v>
      </c>
      <c r="AC388" s="22">
        <v>-7.3913599999999996E-2</v>
      </c>
      <c r="AD388">
        <f t="shared" si="64"/>
        <v>17.613580246913582</v>
      </c>
      <c r="AE388">
        <f t="shared" si="65"/>
        <v>-1.2927451995061729</v>
      </c>
      <c r="AF388" s="9"/>
      <c r="AG388" s="22">
        <v>1.8034399999999999</v>
      </c>
      <c r="AH388" s="22">
        <v>22.346</v>
      </c>
      <c r="AI388" s="22">
        <v>3.2037400000000001E-3</v>
      </c>
      <c r="AJ388" s="22">
        <v>378</v>
      </c>
      <c r="AK388" s="22">
        <v>1.80267</v>
      </c>
      <c r="AL388">
        <f t="shared" si="66"/>
        <v>-3.955234567901234</v>
      </c>
      <c r="AM388">
        <f t="shared" si="67"/>
        <v>-7.1330282291358014</v>
      </c>
      <c r="AP388" s="9"/>
      <c r="AQ388" s="22">
        <v>-7.3394799999999996E-2</v>
      </c>
      <c r="AR388" s="22">
        <v>27.875599999999999</v>
      </c>
      <c r="AS388" s="22">
        <v>-1.42334E-2</v>
      </c>
      <c r="AT388" s="22">
        <v>378</v>
      </c>
      <c r="AU388" s="22">
        <v>-7.3852500000000001E-2</v>
      </c>
      <c r="AV388">
        <f t="shared" si="68"/>
        <v>17.572098765432099</v>
      </c>
      <c r="AW388">
        <f t="shared" si="69"/>
        <v>-1.2897006744691357</v>
      </c>
      <c r="AX388" s="9"/>
      <c r="AY388" s="22">
        <v>1.8034399999999999</v>
      </c>
      <c r="AZ388" s="22">
        <v>31.755199999999999</v>
      </c>
      <c r="BA388" s="22">
        <v>3.9434800000000001E-3</v>
      </c>
      <c r="BB388" s="22">
        <v>378</v>
      </c>
      <c r="BC388" s="22">
        <v>1.80237</v>
      </c>
      <c r="BD388">
        <f t="shared" si="70"/>
        <v>-4.8684938271604938</v>
      </c>
      <c r="BE388">
        <f t="shared" si="71"/>
        <v>-8.7800365076543212</v>
      </c>
    </row>
    <row r="389" spans="6:57">
      <c r="F389" s="9"/>
      <c r="G389" s="22">
        <v>-7.8430200000000005E-2</v>
      </c>
      <c r="H389" s="22">
        <v>8.9822299999999995</v>
      </c>
      <c r="I389" s="22">
        <v>-1.41449E-2</v>
      </c>
      <c r="J389" s="22">
        <v>379</v>
      </c>
      <c r="K389" s="22">
        <v>-7.90405E-2</v>
      </c>
      <c r="L389">
        <f t="shared" si="60"/>
        <v>17.462839506172838</v>
      </c>
      <c r="M389">
        <f t="shared" si="61"/>
        <v>-1.369613995037037</v>
      </c>
      <c r="N389" s="9"/>
      <c r="O389" s="22">
        <v>1.80847</v>
      </c>
      <c r="P389" s="22">
        <v>12.861800000000001</v>
      </c>
      <c r="Q389" s="22">
        <v>4.2098999999999999E-3</v>
      </c>
      <c r="R389" s="22">
        <v>379</v>
      </c>
      <c r="S389" s="22">
        <v>1.8075600000000001</v>
      </c>
      <c r="T389">
        <f t="shared" si="62"/>
        <v>-5.1974074074074066</v>
      </c>
      <c r="U389">
        <f t="shared" si="63"/>
        <v>-9.399355374074073</v>
      </c>
      <c r="X389" s="9"/>
      <c r="Y389" s="22">
        <v>-7.8430200000000005E-2</v>
      </c>
      <c r="Z389" s="22">
        <v>18.476500000000001</v>
      </c>
      <c r="AA389" s="22">
        <v>-1.42731E-2</v>
      </c>
      <c r="AB389" s="22">
        <v>379</v>
      </c>
      <c r="AC389" s="22">
        <v>-7.8979499999999994E-2</v>
      </c>
      <c r="AD389">
        <f t="shared" si="64"/>
        <v>17.621111111111112</v>
      </c>
      <c r="AE389">
        <f t="shared" si="65"/>
        <v>-1.3820272686666668</v>
      </c>
      <c r="AF389" s="9"/>
      <c r="AG389" s="22">
        <v>1.80847</v>
      </c>
      <c r="AH389" s="22">
        <v>22.356100000000001</v>
      </c>
      <c r="AI389" s="22">
        <v>4.8498500000000002E-3</v>
      </c>
      <c r="AJ389" s="22">
        <v>379</v>
      </c>
      <c r="AK389" s="22">
        <v>1.80725</v>
      </c>
      <c r="AL389">
        <f t="shared" si="66"/>
        <v>-5.9874691358024688</v>
      </c>
      <c r="AM389">
        <f t="shared" si="67"/>
        <v>-10.82815830802469</v>
      </c>
      <c r="AP389" s="9"/>
      <c r="AQ389" s="22">
        <v>-7.8430200000000005E-2</v>
      </c>
      <c r="AR389" s="22">
        <v>27.8857</v>
      </c>
      <c r="AS389" s="22">
        <v>-1.4242599999999999E-2</v>
      </c>
      <c r="AT389" s="22">
        <v>379</v>
      </c>
      <c r="AU389" s="22">
        <v>-7.8979499999999994E-2</v>
      </c>
      <c r="AV389">
        <f t="shared" si="68"/>
        <v>17.583456790123453</v>
      </c>
      <c r="AW389">
        <f t="shared" si="69"/>
        <v>-1.3790740327407405</v>
      </c>
      <c r="AX389" s="9"/>
      <c r="AY389" s="22">
        <v>1.80847</v>
      </c>
      <c r="AZ389" s="22">
        <v>31.7653</v>
      </c>
      <c r="BA389" s="22">
        <v>5.7189900000000002E-3</v>
      </c>
      <c r="BB389" s="22">
        <v>379</v>
      </c>
      <c r="BC389" s="22">
        <v>1.8075600000000001</v>
      </c>
      <c r="BD389">
        <f t="shared" si="70"/>
        <v>-7.0604814814814807</v>
      </c>
      <c r="BE389">
        <f t="shared" si="71"/>
        <v>-12.768668944814813</v>
      </c>
    </row>
    <row r="390" spans="6:57">
      <c r="F390" s="9"/>
      <c r="G390" s="22">
        <v>-8.3465600000000001E-2</v>
      </c>
      <c r="H390" s="22">
        <v>8.9923000000000002</v>
      </c>
      <c r="I390" s="22">
        <v>-1.41418E-2</v>
      </c>
      <c r="J390" s="22">
        <v>380</v>
      </c>
      <c r="K390" s="22">
        <v>-8.4045400000000006E-2</v>
      </c>
      <c r="L390">
        <f t="shared" si="60"/>
        <v>17.45901234567901</v>
      </c>
      <c r="M390">
        <f t="shared" si="61"/>
        <v>-1.457226940839506</v>
      </c>
      <c r="N390" s="9"/>
      <c r="O390" s="22">
        <v>1.81351</v>
      </c>
      <c r="P390" s="22">
        <v>12.8719</v>
      </c>
      <c r="Q390" s="22">
        <v>5.9845000000000002E-3</v>
      </c>
      <c r="R390" s="22">
        <v>380</v>
      </c>
      <c r="S390" s="22">
        <v>1.8124400000000001</v>
      </c>
      <c r="T390">
        <f t="shared" si="62"/>
        <v>-7.3882716049382715</v>
      </c>
      <c r="U390">
        <f t="shared" si="63"/>
        <v>-13.398704438271604</v>
      </c>
      <c r="X390" s="9"/>
      <c r="Y390" s="22">
        <v>-8.3465600000000001E-2</v>
      </c>
      <c r="Z390" s="22">
        <v>18.486499999999999</v>
      </c>
      <c r="AA390" s="22">
        <v>-1.4263899999999999E-2</v>
      </c>
      <c r="AB390" s="22">
        <v>380</v>
      </c>
      <c r="AC390" s="22">
        <v>-8.4014900000000003E-2</v>
      </c>
      <c r="AD390">
        <f t="shared" si="64"/>
        <v>17.609753086419751</v>
      </c>
      <c r="AE390">
        <f t="shared" si="65"/>
        <v>-1.4698086072098764</v>
      </c>
      <c r="AF390" s="9"/>
      <c r="AG390" s="22">
        <v>1.81351</v>
      </c>
      <c r="AH390" s="22">
        <v>22.366099999999999</v>
      </c>
      <c r="AI390" s="22">
        <v>6.7260699999999998E-3</v>
      </c>
      <c r="AJ390" s="22">
        <v>380</v>
      </c>
      <c r="AK390" s="22">
        <v>1.81274</v>
      </c>
      <c r="AL390">
        <f t="shared" si="66"/>
        <v>-8.3037901234567908</v>
      </c>
      <c r="AM390">
        <f t="shared" si="67"/>
        <v>-15.059006426790125</v>
      </c>
      <c r="AP390" s="9"/>
      <c r="AQ390" s="22">
        <v>-8.3465600000000001E-2</v>
      </c>
      <c r="AR390" s="22">
        <v>27.895800000000001</v>
      </c>
      <c r="AS390" s="22">
        <v>-1.42548E-2</v>
      </c>
      <c r="AT390" s="22">
        <v>380</v>
      </c>
      <c r="AU390" s="22">
        <v>-8.3984400000000001E-2</v>
      </c>
      <c r="AV390">
        <f t="shared" si="68"/>
        <v>17.598518518518517</v>
      </c>
      <c r="AW390">
        <f t="shared" si="69"/>
        <v>-1.4688709072592592</v>
      </c>
      <c r="AX390" s="9"/>
      <c r="AY390" s="22">
        <v>1.81351</v>
      </c>
      <c r="AZ390" s="22">
        <v>31.775400000000001</v>
      </c>
      <c r="BA390" s="22">
        <v>7.7209499999999999E-3</v>
      </c>
      <c r="BB390" s="22">
        <v>380</v>
      </c>
      <c r="BC390" s="22">
        <v>1.8130500000000001</v>
      </c>
      <c r="BD390">
        <f t="shared" si="70"/>
        <v>-9.5320370370370373</v>
      </c>
      <c r="BE390">
        <f t="shared" si="71"/>
        <v>-17.286444487037038</v>
      </c>
    </row>
    <row r="391" spans="6:57">
      <c r="F391" s="9"/>
      <c r="G391" s="22">
        <v>-8.8500999999999996E-2</v>
      </c>
      <c r="H391" s="22">
        <v>9.0023700000000009</v>
      </c>
      <c r="I391" s="22">
        <v>-1.41418E-2</v>
      </c>
      <c r="J391" s="22">
        <v>381</v>
      </c>
      <c r="K391" s="22">
        <v>-8.9080800000000002E-2</v>
      </c>
      <c r="L391">
        <f t="shared" si="60"/>
        <v>17.45901234567901</v>
      </c>
      <c r="M391">
        <f t="shared" si="61"/>
        <v>-1.5451400516049381</v>
      </c>
      <c r="N391" s="9"/>
      <c r="O391" s="22">
        <v>1.81854</v>
      </c>
      <c r="P391" s="22">
        <v>12.882</v>
      </c>
      <c r="Q391" s="22">
        <v>8.0505400000000001E-3</v>
      </c>
      <c r="R391" s="22">
        <v>381</v>
      </c>
      <c r="S391" s="22">
        <v>1.8170200000000001</v>
      </c>
      <c r="T391">
        <f t="shared" si="62"/>
        <v>-9.9389382716049379</v>
      </c>
      <c r="U391">
        <f t="shared" si="63"/>
        <v>-18.074356804444445</v>
      </c>
      <c r="X391" s="9"/>
      <c r="Y391" s="22">
        <v>-8.8500999999999996E-2</v>
      </c>
      <c r="Z391" s="22">
        <v>18.496600000000001</v>
      </c>
      <c r="AA391" s="22">
        <v>-1.4267E-2</v>
      </c>
      <c r="AB391" s="22">
        <v>381</v>
      </c>
      <c r="AC391" s="22">
        <v>-8.9050299999999999E-2</v>
      </c>
      <c r="AD391">
        <f t="shared" si="64"/>
        <v>17.613580246913582</v>
      </c>
      <c r="AE391">
        <f t="shared" si="65"/>
        <v>-1.5588194654320988</v>
      </c>
      <c r="AF391" s="9"/>
      <c r="AG391" s="22">
        <v>1.81854</v>
      </c>
      <c r="AH391" s="22">
        <v>22.376200000000001</v>
      </c>
      <c r="AI391" s="22">
        <v>8.8653599999999992E-3</v>
      </c>
      <c r="AJ391" s="22">
        <v>381</v>
      </c>
      <c r="AK391" s="22">
        <v>1.8170200000000001</v>
      </c>
      <c r="AL391">
        <f t="shared" si="66"/>
        <v>-10.944888888888888</v>
      </c>
      <c r="AM391">
        <f t="shared" si="67"/>
        <v>-19.90371824</v>
      </c>
      <c r="AP391" s="9"/>
      <c r="AQ391" s="22">
        <v>-8.8500999999999996E-2</v>
      </c>
      <c r="AR391" s="22">
        <v>27.905799999999999</v>
      </c>
      <c r="AS391" s="22">
        <v>-1.4257799999999999E-2</v>
      </c>
      <c r="AT391" s="22">
        <v>381</v>
      </c>
      <c r="AU391" s="22">
        <v>-8.9111300000000004E-2</v>
      </c>
      <c r="AV391">
        <f t="shared" si="68"/>
        <v>17.60222222222222</v>
      </c>
      <c r="AW391">
        <f t="shared" si="69"/>
        <v>-1.5578142688888887</v>
      </c>
      <c r="AX391" s="9"/>
      <c r="AY391" s="22">
        <v>1.81854</v>
      </c>
      <c r="AZ391" s="22">
        <v>31.785399999999999</v>
      </c>
      <c r="BA391" s="22">
        <v>9.9975600000000008E-3</v>
      </c>
      <c r="BB391" s="22">
        <v>381</v>
      </c>
      <c r="BC391" s="22">
        <v>1.81732</v>
      </c>
      <c r="BD391">
        <f t="shared" si="70"/>
        <v>-12.342666666666666</v>
      </c>
      <c r="BE391">
        <f t="shared" si="71"/>
        <v>-22.445633040000001</v>
      </c>
    </row>
    <row r="392" spans="6:57">
      <c r="F392" s="9"/>
      <c r="G392" s="22">
        <v>-9.3536400000000006E-2</v>
      </c>
      <c r="H392" s="22">
        <v>9.0124399999999998</v>
      </c>
      <c r="I392" s="22">
        <v>-1.4135699999999999E-2</v>
      </c>
      <c r="J392" s="22">
        <v>382</v>
      </c>
      <c r="K392" s="22">
        <v>-9.4024700000000003E-2</v>
      </c>
      <c r="L392">
        <f t="shared" si="60"/>
        <v>17.45148148148148</v>
      </c>
      <c r="M392">
        <f t="shared" si="61"/>
        <v>-1.6323487524444444</v>
      </c>
      <c r="N392" s="9"/>
      <c r="O392" s="22">
        <v>1.82358</v>
      </c>
      <c r="P392" s="22">
        <v>12.892099999999999</v>
      </c>
      <c r="Q392" s="22">
        <v>1.03363E-2</v>
      </c>
      <c r="R392" s="22">
        <v>382</v>
      </c>
      <c r="S392" s="22">
        <v>1.8225100000000001</v>
      </c>
      <c r="T392">
        <f t="shared" si="62"/>
        <v>-12.760864197530864</v>
      </c>
      <c r="U392">
        <f t="shared" si="63"/>
        <v>-23.270456733333333</v>
      </c>
      <c r="X392" s="9"/>
      <c r="Y392" s="22">
        <v>-9.3536400000000006E-2</v>
      </c>
      <c r="Z392" s="22">
        <v>18.506699999999999</v>
      </c>
      <c r="AA392" s="22">
        <v>-1.4267E-2</v>
      </c>
      <c r="AB392" s="22">
        <v>382</v>
      </c>
      <c r="AC392" s="22">
        <v>-9.4024700000000003E-2</v>
      </c>
      <c r="AD392">
        <f t="shared" si="64"/>
        <v>17.613580246913582</v>
      </c>
      <c r="AE392">
        <f t="shared" si="65"/>
        <v>-1.6475108874074076</v>
      </c>
      <c r="AF392" s="9"/>
      <c r="AG392" s="22">
        <v>1.82358</v>
      </c>
      <c r="AH392" s="22">
        <v>22.386299999999999</v>
      </c>
      <c r="AI392" s="22">
        <v>1.13007E-2</v>
      </c>
      <c r="AJ392" s="22">
        <v>382</v>
      </c>
      <c r="AK392" s="22">
        <v>1.82281</v>
      </c>
      <c r="AL392">
        <f t="shared" si="66"/>
        <v>-13.951481481481482</v>
      </c>
      <c r="AM392">
        <f t="shared" si="67"/>
        <v>-25.441642600000002</v>
      </c>
      <c r="AP392" s="9"/>
      <c r="AQ392" s="22">
        <v>-9.3536400000000006E-2</v>
      </c>
      <c r="AR392" s="22">
        <v>27.915900000000001</v>
      </c>
      <c r="AS392" s="22">
        <v>-1.42548E-2</v>
      </c>
      <c r="AT392" s="22">
        <v>382</v>
      </c>
      <c r="AU392" s="22">
        <v>-9.4085699999999994E-2</v>
      </c>
      <c r="AV392">
        <f t="shared" si="68"/>
        <v>17.598518518518517</v>
      </c>
      <c r="AW392">
        <f t="shared" si="69"/>
        <v>-1.6461020675555555</v>
      </c>
      <c r="AX392" s="9"/>
      <c r="AY392" s="22">
        <v>1.82358</v>
      </c>
      <c r="AZ392" s="22">
        <v>31.795500000000001</v>
      </c>
      <c r="BA392" s="22">
        <v>1.25366E-2</v>
      </c>
      <c r="BB392" s="22">
        <v>382</v>
      </c>
      <c r="BC392" s="22">
        <v>1.8225100000000001</v>
      </c>
      <c r="BD392">
        <f t="shared" si="70"/>
        <v>-15.477283950617283</v>
      </c>
      <c r="BE392">
        <f t="shared" si="71"/>
        <v>-28.224065466666662</v>
      </c>
    </row>
    <row r="393" spans="6:57">
      <c r="F393" s="9"/>
      <c r="G393" s="22">
        <v>-9.8571800000000001E-2</v>
      </c>
      <c r="H393" s="22">
        <v>9.0225100000000005</v>
      </c>
      <c r="I393" s="22">
        <v>-1.41418E-2</v>
      </c>
      <c r="J393" s="22">
        <v>383</v>
      </c>
      <c r="K393" s="22">
        <v>-9.9090600000000001E-2</v>
      </c>
      <c r="L393">
        <f t="shared" si="60"/>
        <v>17.45901234567901</v>
      </c>
      <c r="M393">
        <f t="shared" si="61"/>
        <v>-1.7209662731358022</v>
      </c>
      <c r="N393" s="9"/>
      <c r="O393" s="22">
        <v>1.8286100000000001</v>
      </c>
      <c r="P393" s="22">
        <v>12.902100000000001</v>
      </c>
      <c r="Q393" s="22">
        <v>1.2991300000000001E-2</v>
      </c>
      <c r="R393" s="22">
        <v>383</v>
      </c>
      <c r="S393" s="22">
        <v>1.8277000000000001</v>
      </c>
      <c r="T393">
        <f t="shared" si="62"/>
        <v>-16.038641975308643</v>
      </c>
      <c r="U393">
        <f t="shared" si="63"/>
        <v>-29.328421102469139</v>
      </c>
      <c r="X393" s="9"/>
      <c r="Y393" s="22">
        <v>-9.8571800000000001E-2</v>
      </c>
      <c r="Z393" s="22">
        <v>18.5167</v>
      </c>
      <c r="AA393" s="22">
        <v>-1.42731E-2</v>
      </c>
      <c r="AB393" s="22">
        <v>383</v>
      </c>
      <c r="AC393" s="22">
        <v>-9.9090600000000001E-2</v>
      </c>
      <c r="AD393">
        <f t="shared" si="64"/>
        <v>17.621111111111112</v>
      </c>
      <c r="AE393">
        <f t="shared" si="65"/>
        <v>-1.7369446402222224</v>
      </c>
      <c r="AF393" s="9"/>
      <c r="AG393" s="22">
        <v>1.8286100000000001</v>
      </c>
      <c r="AH393" s="22">
        <v>22.3964</v>
      </c>
      <c r="AI393" s="22">
        <v>1.40503E-2</v>
      </c>
      <c r="AJ393" s="22">
        <v>383</v>
      </c>
      <c r="AK393" s="22">
        <v>1.8280000000000001</v>
      </c>
      <c r="AL393">
        <f t="shared" si="66"/>
        <v>-17.34604938271605</v>
      </c>
      <c r="AM393">
        <f t="shared" si="67"/>
        <v>-31.719159361728398</v>
      </c>
      <c r="AP393" s="9"/>
      <c r="AQ393" s="22">
        <v>-9.8571800000000001E-2</v>
      </c>
      <c r="AR393" s="22">
        <v>27.925999999999998</v>
      </c>
      <c r="AS393" s="22">
        <v>-1.42487E-2</v>
      </c>
      <c r="AT393" s="22">
        <v>383</v>
      </c>
      <c r="AU393" s="22">
        <v>-9.9182099999999995E-2</v>
      </c>
      <c r="AV393">
        <f t="shared" si="68"/>
        <v>17.590987654320987</v>
      </c>
      <c r="AW393">
        <f t="shared" si="69"/>
        <v>-1.7339753168641974</v>
      </c>
      <c r="AX393" s="9"/>
      <c r="AY393" s="22">
        <v>1.8286100000000001</v>
      </c>
      <c r="AZ393" s="22">
        <v>31.805599999999998</v>
      </c>
      <c r="BA393" s="22">
        <v>1.54083E-2</v>
      </c>
      <c r="BB393" s="22">
        <v>383</v>
      </c>
      <c r="BC393" s="22">
        <v>1.8277000000000001</v>
      </c>
      <c r="BD393">
        <f t="shared" si="70"/>
        <v>-19.022592592592591</v>
      </c>
      <c r="BE393">
        <f t="shared" si="71"/>
        <v>-34.784903040740737</v>
      </c>
    </row>
    <row r="394" spans="6:57">
      <c r="F394" s="9"/>
      <c r="G394" s="22">
        <v>-0.103607</v>
      </c>
      <c r="H394" s="22">
        <v>9.0325900000000008</v>
      </c>
      <c r="I394" s="22">
        <v>-1.4154099999999999E-2</v>
      </c>
      <c r="J394" s="22">
        <v>384</v>
      </c>
      <c r="K394" s="22">
        <v>-0.10409499999999999</v>
      </c>
      <c r="L394">
        <f t="shared" si="60"/>
        <v>17.474197530864195</v>
      </c>
      <c r="M394">
        <f t="shared" si="61"/>
        <v>-1.8104491835802468</v>
      </c>
      <c r="N394" s="9"/>
      <c r="O394" s="22">
        <v>1.83365</v>
      </c>
      <c r="P394" s="22">
        <v>12.9122</v>
      </c>
      <c r="Q394" s="22">
        <v>1.58966E-2</v>
      </c>
      <c r="R394" s="22">
        <v>384</v>
      </c>
      <c r="S394" s="22">
        <v>1.8325800000000001</v>
      </c>
      <c r="T394">
        <f t="shared" si="62"/>
        <v>-19.625432098765433</v>
      </c>
      <c r="U394">
        <f t="shared" si="63"/>
        <v>-35.98617356790124</v>
      </c>
      <c r="X394" s="9"/>
      <c r="Y394" s="22">
        <v>-0.103607</v>
      </c>
      <c r="Z394" s="22">
        <v>18.526800000000001</v>
      </c>
      <c r="AA394" s="22">
        <v>-1.427E-2</v>
      </c>
      <c r="AB394" s="22">
        <v>384</v>
      </c>
      <c r="AC394" s="22">
        <v>-0.104126</v>
      </c>
      <c r="AD394">
        <f t="shared" si="64"/>
        <v>17.617283950617285</v>
      </c>
      <c r="AE394">
        <f t="shared" si="65"/>
        <v>-1.8252739382716052</v>
      </c>
      <c r="AF394" s="9"/>
      <c r="AG394" s="22">
        <v>1.83365</v>
      </c>
      <c r="AH394" s="22">
        <v>22.406400000000001</v>
      </c>
      <c r="AI394" s="22">
        <v>1.7129499999999999E-2</v>
      </c>
      <c r="AJ394" s="22">
        <v>384</v>
      </c>
      <c r="AK394" s="22">
        <v>1.8322799999999999</v>
      </c>
      <c r="AL394">
        <f t="shared" si="66"/>
        <v>-21.147530864197527</v>
      </c>
      <c r="AM394">
        <f t="shared" si="67"/>
        <v>-38.777169969135798</v>
      </c>
      <c r="AP394" s="9"/>
      <c r="AQ394" s="22">
        <v>-0.103607</v>
      </c>
      <c r="AR394" s="22">
        <v>27.936</v>
      </c>
      <c r="AS394" s="22">
        <v>-1.4242599999999999E-2</v>
      </c>
      <c r="AT394" s="22">
        <v>384</v>
      </c>
      <c r="AU394" s="22">
        <v>-0.104126</v>
      </c>
      <c r="AV394">
        <f t="shared" si="68"/>
        <v>17.583456790123453</v>
      </c>
      <c r="AW394">
        <f t="shared" si="69"/>
        <v>-1.8217692076543206</v>
      </c>
      <c r="AX394" s="9"/>
      <c r="AY394" s="22">
        <v>1.83365</v>
      </c>
      <c r="AZ394" s="22">
        <v>31.8157</v>
      </c>
      <c r="BA394" s="22">
        <v>1.8591300000000002E-2</v>
      </c>
      <c r="BB394" s="22">
        <v>384</v>
      </c>
      <c r="BC394" s="22">
        <v>1.8325800000000001</v>
      </c>
      <c r="BD394">
        <f t="shared" si="70"/>
        <v>-22.952222222222222</v>
      </c>
      <c r="BE394">
        <f t="shared" si="71"/>
        <v>-42.086342277777774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0"/>
  <sheetViews>
    <sheetView workbookViewId="0">
      <selection activeCell="BD11" sqref="BD11:BE40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2541.296612903091</v>
      </c>
      <c r="H2" s="2"/>
      <c r="I2" s="6" t="s">
        <v>12</v>
      </c>
      <c r="J2" s="2"/>
      <c r="K2" s="7" t="s">
        <v>13</v>
      </c>
      <c r="L2" s="3">
        <f>L4*I6*L9/100*100</f>
        <v>25.307319333333329</v>
      </c>
      <c r="M2" s="8" t="s">
        <v>14</v>
      </c>
      <c r="N2" s="9"/>
      <c r="O2" s="2">
        <f>ABS(S7-S6)/ABS(T7-T6)*1000</f>
        <v>1359.5585399989179</v>
      </c>
      <c r="P2" s="2"/>
      <c r="Q2" s="6" t="s">
        <v>15</v>
      </c>
      <c r="R2" s="2"/>
      <c r="S2" s="7" t="s">
        <v>13</v>
      </c>
      <c r="T2" s="3">
        <f>T4*Q6*T9/100*100</f>
        <v>24.712665154320984</v>
      </c>
      <c r="U2" s="8" t="s">
        <v>14</v>
      </c>
      <c r="X2" s="9"/>
      <c r="Y2" s="2">
        <f>ABS(AC7-AC6)/ABS(AD7-AD6)*1000</f>
        <v>650.8044590161212</v>
      </c>
      <c r="Z2" s="2"/>
      <c r="AA2" s="6" t="s">
        <v>12</v>
      </c>
      <c r="AB2" s="2"/>
      <c r="AC2" s="7" t="s">
        <v>13</v>
      </c>
      <c r="AD2" s="3">
        <f>AD4*AA6*AD9/100*100</f>
        <v>25.309890564197524</v>
      </c>
      <c r="AE2" s="8" t="s">
        <v>14</v>
      </c>
      <c r="AF2" s="9"/>
      <c r="AG2" s="2">
        <f>ABS(AK7-AK6)/ABS(AL7-AL6)*1000</f>
        <v>1339.2964918033501</v>
      </c>
      <c r="AH2" s="2"/>
      <c r="AI2" s="6" t="s">
        <v>15</v>
      </c>
      <c r="AJ2" s="2"/>
      <c r="AK2" s="7" t="s">
        <v>13</v>
      </c>
      <c r="AL2" s="3">
        <f>AL4*AI6*AL9/100*100</f>
        <v>24.928238644444434</v>
      </c>
      <c r="AM2" s="8" t="s">
        <v>14</v>
      </c>
      <c r="AP2" s="9"/>
      <c r="AQ2" s="2">
        <f>ABS(AU7-AU6)/ABS(AV7-AV6)*1000</f>
        <v>677.55039344265913</v>
      </c>
      <c r="AR2" s="2"/>
      <c r="AS2" s="6" t="s">
        <v>12</v>
      </c>
      <c r="AT2" s="2"/>
      <c r="AU2" s="7" t="s">
        <v>13</v>
      </c>
      <c r="AV2" s="3">
        <f>AV4*AS6*AV9/100*100</f>
        <v>25.728882392592599</v>
      </c>
      <c r="AW2" s="8" t="s">
        <v>14</v>
      </c>
      <c r="AX2" s="9"/>
      <c r="AY2" s="2">
        <f>ABS(BC7-BC6)/ABS(BD7-BD6)*1000</f>
        <v>485.14896593395605</v>
      </c>
      <c r="AZ2" s="2"/>
      <c r="BA2" s="6" t="s">
        <v>15</v>
      </c>
      <c r="BB2" s="2"/>
      <c r="BC2" s="7" t="s">
        <v>13</v>
      </c>
      <c r="BD2" s="3">
        <f>BD4*BA6*BD9/100*100</f>
        <v>25.47133352469136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1.8298300000000001</v>
      </c>
      <c r="J3" s="2"/>
      <c r="K3" s="10">
        <f>INDEX(L11:L1056,MATCH(I3,K11:K1056,0))</f>
        <v>-1.3363703703703702</v>
      </c>
      <c r="L3" s="33" t="s">
        <v>16</v>
      </c>
      <c r="M3" s="11">
        <f>M9</f>
        <v>25.307319333333329</v>
      </c>
      <c r="N3" s="9"/>
      <c r="O3" s="2" t="s">
        <v>44</v>
      </c>
      <c r="P3" s="2"/>
      <c r="Q3" s="2">
        <f>INDEX(S11:S1056,MATCH(0,T11:T1056,-1))</f>
        <v>1.79291</v>
      </c>
      <c r="R3" s="2"/>
      <c r="S3" s="10">
        <f>INDEX(T11:T1056,MATCH(Q3,S11:S1056,0))</f>
        <v>0.78968888888888888</v>
      </c>
      <c r="T3" s="33" t="s">
        <v>16</v>
      </c>
      <c r="U3" s="11">
        <f>U9</f>
        <v>24.712665154320984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-0.18193703703703704</v>
      </c>
      <c r="AD3" s="33" t="s">
        <v>16</v>
      </c>
      <c r="AE3" s="11">
        <f>AE9</f>
        <v>25.309890564197527</v>
      </c>
      <c r="AF3" s="9"/>
      <c r="AG3" s="2" t="s">
        <v>44</v>
      </c>
      <c r="AH3" s="2"/>
      <c r="AI3" s="2">
        <f>INDEX(AK11:AK1056,MATCH(0,AL11:AL1056,-1))</f>
        <v>1.79291</v>
      </c>
      <c r="AJ3" s="2"/>
      <c r="AK3" s="10">
        <f>INDEX(AL11:AL1056,MATCH(AI3,AK11:AK1056,0))</f>
        <v>0.18894567901234566</v>
      </c>
      <c r="AL3" s="33" t="s">
        <v>16</v>
      </c>
      <c r="AM3" s="11">
        <f>AM9</f>
        <v>24.928238644444438</v>
      </c>
      <c r="AP3" s="9"/>
      <c r="AQ3" s="2" t="s">
        <v>44</v>
      </c>
      <c r="AR3" s="2"/>
      <c r="AS3" s="2">
        <f>INDEX(AU11:AU856,MATCH(0,AV11:AV856,1))</f>
        <v>1.81854</v>
      </c>
      <c r="AT3" s="2"/>
      <c r="AU3" s="10">
        <f>INDEX(AV11:AV1056,MATCH(AS3,AU11:AU1056,0))</f>
        <v>-1.4953580246913578</v>
      </c>
      <c r="AV3" s="33" t="s">
        <v>16</v>
      </c>
      <c r="AW3" s="11">
        <f>AW9</f>
        <v>25.728882392592595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0.3870456790123456</v>
      </c>
      <c r="BD3" s="33" t="s">
        <v>16</v>
      </c>
      <c r="BE3" s="11">
        <f>BE9</f>
        <v>25.471333524691353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3.2036662264550775</v>
      </c>
      <c r="H4" s="2"/>
      <c r="I4" s="2">
        <f>INDEX(K11:K1000,1+MATCH(0,L11:L856,1))</f>
        <v>1.82281</v>
      </c>
      <c r="J4" s="2"/>
      <c r="K4" s="10">
        <f>INDEX(L11:L1056,MATCH(I4,K11:K1056,0))</f>
        <v>0.85486913580246904</v>
      </c>
      <c r="L4" s="32">
        <f>M3/(I6*L9)</f>
        <v>0.73889778469867429</v>
      </c>
      <c r="M4" s="8" t="s">
        <v>17</v>
      </c>
      <c r="N4" s="9"/>
      <c r="O4" s="2">
        <f>ABS(Q3-Q4)/ABS(S3-S4)*1000</f>
        <v>3.343452447915034</v>
      </c>
      <c r="P4" s="2"/>
      <c r="Q4" s="2">
        <f>INDEX(S11:S856,1+MATCH(0,T11:T856,-1))</f>
        <v>1.79779</v>
      </c>
      <c r="R4" s="2"/>
      <c r="S4" s="10">
        <f>INDEX(T11:T856,MATCH(Q4,S11:S856,0))</f>
        <v>-0.66988024691358017</v>
      </c>
      <c r="T4" s="32">
        <f>U3/(Q6*T9)</f>
        <v>0.74066620023123086</v>
      </c>
      <c r="U4" s="8" t="s">
        <v>17</v>
      </c>
      <c r="X4" s="9"/>
      <c r="Y4" s="2">
        <f>ABS(AA3-AA4)/ABS(AC3-AC4)*1000</f>
        <v>2.7391960210848416</v>
      </c>
      <c r="Z4" s="2"/>
      <c r="AA4" s="2">
        <f>INDEX(AC11:AC1000,1+MATCH(0,AD11:AD856,1))</f>
        <v>1.81396</v>
      </c>
      <c r="AB4" s="2"/>
      <c r="AC4" s="10">
        <f>INDEX(AD11:AD1056,MATCH(AA4,AC11:AC1056,0))</f>
        <v>1.4900864197530863</v>
      </c>
      <c r="AD4" s="32">
        <f>AE3/(AA6*AD9)</f>
        <v>0.73847144601400938</v>
      </c>
      <c r="AE4" s="8" t="s">
        <v>17</v>
      </c>
      <c r="AF4" s="9"/>
      <c r="AG4" s="2">
        <f>ABS(AI3-AI4)/ABS(AK3-AK4)*1000</f>
        <v>2.9523319905202143</v>
      </c>
      <c r="AH4" s="2"/>
      <c r="AI4" s="2">
        <f>INDEX(AK11:AK856,1+MATCH(0,AL11:AL856,-1))</f>
        <v>1.79749</v>
      </c>
      <c r="AJ4" s="2"/>
      <c r="AK4" s="10">
        <f>INDEX(AL11:AL856,MATCH(AI4,AK11:AK856,0))</f>
        <v>-1.3623703703703702</v>
      </c>
      <c r="AL4" s="32">
        <f>AM3/(AI6*AL9)</f>
        <v>0.73856353607557224</v>
      </c>
      <c r="AM4" s="8" t="s">
        <v>17</v>
      </c>
      <c r="AP4" s="9"/>
      <c r="AQ4" s="2">
        <f>ABS(AS3-AS4)/ABS(AU3-AU4)*1000</f>
        <v>2.5069780981899736</v>
      </c>
      <c r="AR4" s="2"/>
      <c r="AS4" s="2">
        <f>INDEX(AU11:AU1000,1+MATCH(0,AV11:AV856,1))</f>
        <v>1.81366</v>
      </c>
      <c r="AT4" s="2"/>
      <c r="AU4" s="10">
        <f>INDEX(AV11:AV1056,MATCH(AS4,AU11:AU1056,0))</f>
        <v>0.45120864197530863</v>
      </c>
      <c r="AV4" s="32">
        <f>AW3/(AS6*AV9)</f>
        <v>0.74048359198522151</v>
      </c>
      <c r="AW4" s="8" t="s">
        <v>17</v>
      </c>
      <c r="AX4" s="9"/>
      <c r="AY4" s="2">
        <f>ABS(BA3-BA4)/ABS(BC3-BC4)*1000</f>
        <v>2.7018149746882538</v>
      </c>
      <c r="AZ4" s="2"/>
      <c r="BA4" s="2">
        <f>INDEX(BC11:BC856,1+MATCH(0,BD11:BD856,-1))</f>
        <v>1.79718</v>
      </c>
      <c r="BB4" s="2"/>
      <c r="BC4" s="10">
        <f>INDEX(BD11:BD856,MATCH(BA4,BC11:BC856,0))</f>
        <v>-1.308111111111111</v>
      </c>
      <c r="BD4" s="32">
        <f>BE3/(BA6*BD9)</f>
        <v>0.74263984472649114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15.985925925925924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15.978395061728392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15.936913580246911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16.117777777777775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16.200740740740741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16.415432098765429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1.8255487153784093</v>
      </c>
      <c r="J6" s="32"/>
      <c r="K6" s="13">
        <f>INDEX(K11:K1056,MATCH(L6,L11:L1056,0))</f>
        <v>6.7230199999999997E-3</v>
      </c>
      <c r="L6" s="10">
        <f>INDEX(L11:L1056,MATCH(0,K11:K1056,-1))</f>
        <v>18.758888888888887</v>
      </c>
      <c r="M6" s="8" t="s">
        <v>22</v>
      </c>
      <c r="N6" s="9"/>
      <c r="O6" s="2"/>
      <c r="P6" s="2"/>
      <c r="Q6" s="36">
        <f>(Q3-Q4)/(S3-S4)*(-S4)+Q4</f>
        <v>1.7955502872486468</v>
      </c>
      <c r="R6" s="36"/>
      <c r="S6" s="13">
        <f>INDEX(S11:S1056,MATCH(T6,T11:T1056,0))</f>
        <v>-4.4250499999999998E-3</v>
      </c>
      <c r="T6" s="10">
        <f>INDEX(T11:T1056,MATCH(0,S11:S1056,1))</f>
        <v>18.585555555555555</v>
      </c>
      <c r="U6" s="8" t="s">
        <v>22</v>
      </c>
      <c r="X6" s="9"/>
      <c r="Y6" s="2"/>
      <c r="Z6" s="2"/>
      <c r="AA6" s="32">
        <f>(AA3-AA4)/(AC3-AC4)*(-AC4)+AA4</f>
        <v>1.8180416387920602</v>
      </c>
      <c r="AB6" s="32"/>
      <c r="AC6" s="13">
        <f>INDEX(AC11:AC1056,MATCH(AD6,AD11:AD1056,0))</f>
        <v>1.6509999999999999E-3</v>
      </c>
      <c r="AD6" s="10">
        <f>INDEX(AD11:AD1056,MATCH(0,AC11:AC1056,-1))</f>
        <v>18.849259259259256</v>
      </c>
      <c r="AE6" s="8" t="s">
        <v>22</v>
      </c>
      <c r="AF6" s="9"/>
      <c r="AG6" s="2"/>
      <c r="AH6" s="2"/>
      <c r="AI6" s="36">
        <f>(AI3-AI4)/(AK3-AK4)*(-AK4)+AI4</f>
        <v>1.7934678303726188</v>
      </c>
      <c r="AJ6" s="36"/>
      <c r="AK6" s="13">
        <f>INDEX(AK11:AK1056,MATCH(AL6,AL11:AL1056,0))</f>
        <v>-9.4787599999999993E-3</v>
      </c>
      <c r="AL6" s="10">
        <f>INDEX(AL11:AL1056,MATCH(0,AK11:AK1056,1))</f>
        <v>18.826666666666664</v>
      </c>
      <c r="AM6" s="8" t="s">
        <v>22</v>
      </c>
      <c r="AP6" s="9"/>
      <c r="AQ6" s="2"/>
      <c r="AR6" s="2"/>
      <c r="AS6" s="32">
        <f>(AS3-AS4)/(AU3-AU4)*(-AU4)+AS4</f>
        <v>1.8147911701831463</v>
      </c>
      <c r="AT6" s="32"/>
      <c r="AU6" s="13">
        <f>INDEX(AU11:AU1056,MATCH(AV6,AV11:AV1056,0))</f>
        <v>1.9134499999999999E-3</v>
      </c>
      <c r="AV6" s="10">
        <f>INDEX(AV11:AV1056,MATCH(0,AU11:AU1056,-1))</f>
        <v>19.14320987654321</v>
      </c>
      <c r="AW6" s="8" t="s">
        <v>22</v>
      </c>
      <c r="AX6" s="9"/>
      <c r="AY6" s="2"/>
      <c r="AZ6" s="2"/>
      <c r="BA6" s="36">
        <f>(BA3-BA4)/(BC3-BC4)*(-BC4)+BA4</f>
        <v>1.793645725811444</v>
      </c>
      <c r="BB6" s="36"/>
      <c r="BC6" s="13">
        <f>INDEX(BC11:BC1056,MATCH(BD6,BD11:BD1056,0))</f>
        <v>-4.7058100000000004E-3</v>
      </c>
      <c r="BD6" s="10">
        <f>INDEX(BD11:BD1056,MATCH(0,BC11:BC1056,1))</f>
        <v>19.131851851851852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-3.00293E-3</v>
      </c>
      <c r="L7" s="10">
        <f>INDEX(L11:L856,1+MATCH(0,K11:K856,-1))</f>
        <v>18.762716049382714</v>
      </c>
      <c r="M7" s="12">
        <f>INDEX(K11:K1056,MATCH(M9,M11:M1056,0))</f>
        <v>1.5823400000000001</v>
      </c>
      <c r="N7" s="9"/>
      <c r="O7" s="2"/>
      <c r="P7" s="2"/>
      <c r="Q7" s="2"/>
      <c r="R7" s="2"/>
      <c r="S7" s="13">
        <f>INDEX(S11:S1056,MATCH(T7,T11:T1056,0))</f>
        <v>6.1035199999999999E-4</v>
      </c>
      <c r="T7" s="10">
        <f>INDEX(T11:T1056,1+MATCH(0,S11:S1056,1))</f>
        <v>18.581851851851848</v>
      </c>
      <c r="U7" s="12">
        <f>INDEX(S11:S1056,MATCH(U9,U11:U1056,0))</f>
        <v>1.5460199999999999</v>
      </c>
      <c r="X7" s="9"/>
      <c r="Y7" s="2"/>
      <c r="Z7" s="2"/>
      <c r="AA7" s="2"/>
      <c r="AB7" s="2"/>
      <c r="AC7" s="13">
        <f>INDEX(AC11:AC856,MATCH(AD7,AD11:AD856,1))</f>
        <v>-3.25012E-3</v>
      </c>
      <c r="AD7" s="10">
        <f>INDEX(AD11:AD856,1+MATCH(0,AC11:AC856,-1))</f>
        <v>18.85679012345679</v>
      </c>
      <c r="AE7" s="12">
        <f>INDEX(AC11:AC1056,MATCH(AE9,AE11:AE1056,0))</f>
        <v>1.5872200000000001</v>
      </c>
      <c r="AF7" s="9"/>
      <c r="AG7" s="2"/>
      <c r="AH7" s="2"/>
      <c r="AI7" s="2"/>
      <c r="AJ7" s="2"/>
      <c r="AK7" s="13">
        <f>INDEX(AK11:AK1056,MATCH(AL7,AL11:AL1056,0))</f>
        <v>6.0729999999999996E-4</v>
      </c>
      <c r="AL7" s="10">
        <f>INDEX(AL11:AL1056,1+MATCH(0,AK11:AK1056,1))</f>
        <v>18.819135802469134</v>
      </c>
      <c r="AM7" s="12">
        <f>INDEX(AK11:AK1056,MATCH(AM9,AM11:AM1056,0))</f>
        <v>1.5460199999999999</v>
      </c>
      <c r="AP7" s="9"/>
      <c r="AQ7" s="2"/>
      <c r="AR7" s="2"/>
      <c r="AS7" s="2"/>
      <c r="AT7" s="2"/>
      <c r="AU7" s="13">
        <f>INDEX(AU11:AU856,MATCH(AV7,AV11:AV856,1))</f>
        <v>-3.1890899999999999E-3</v>
      </c>
      <c r="AV7" s="10">
        <f>INDEX(AV11:AV856,1+MATCH(0,AU11:AU856,-1))</f>
        <v>19.150740740740741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7.4462900000000002E-4</v>
      </c>
      <c r="BD7" s="10">
        <f>INDEX(BD11:BD1056,1+MATCH(0,BC11:BC1056,1))</f>
        <v>19.120617283950615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2.3497319932621266</v>
      </c>
      <c r="J9" s="2"/>
      <c r="K9" s="2"/>
      <c r="L9" s="3">
        <f>(L6-L7)/(K6-K7)*(-K7)+L7</f>
        <v>18.761534396684343</v>
      </c>
      <c r="M9" s="16">
        <f>MAX(M11:M1056)</f>
        <v>25.307319333333329</v>
      </c>
      <c r="N9" s="9"/>
      <c r="O9" s="2"/>
      <c r="P9" s="2"/>
      <c r="Q9" s="2"/>
      <c r="R9" s="2"/>
      <c r="S9" s="2"/>
      <c r="T9" s="3">
        <f>(T6-T7)/(S6-S7)*(-S7)+T7</f>
        <v>18.582300785812425</v>
      </c>
      <c r="U9" s="16">
        <f>MAX(U11:U1056)</f>
        <v>24.712665154320984</v>
      </c>
      <c r="X9" s="9"/>
      <c r="Y9" s="2"/>
      <c r="Z9" s="2"/>
      <c r="AA9" s="15">
        <f>(MAX(AD2,AL2)-MIN(AD2,AL2))/MAX(AD2,AL2)%</f>
        <v>1.507916119925705</v>
      </c>
      <c r="AB9" s="2"/>
      <c r="AC9" s="2"/>
      <c r="AD9" s="3">
        <f>(AD6-AD7)/(AC6-AC7)*(-AC7)+AD7</f>
        <v>18.851796119566721</v>
      </c>
      <c r="AE9" s="16">
        <f>MAX(AE11:AE1056)</f>
        <v>25.309890564197527</v>
      </c>
      <c r="AF9" s="9"/>
      <c r="AG9" s="2"/>
      <c r="AH9" s="2"/>
      <c r="AI9" s="2"/>
      <c r="AJ9" s="2"/>
      <c r="AK9" s="2"/>
      <c r="AL9" s="3">
        <f>(AL6-AL7)/(AK6-AK7)*(-AK7)+AL7</f>
        <v>18.819589249486818</v>
      </c>
      <c r="AM9" s="16">
        <f>MAX(AM11:AM1056)</f>
        <v>24.928238644444438</v>
      </c>
      <c r="AP9" s="9"/>
      <c r="AQ9" s="2"/>
      <c r="AR9" s="2"/>
      <c r="AS9" s="15">
        <f>(MAX(AV2,BD2)-MIN(AV2,BD2))/MAX(AV2,BD2)%</f>
        <v>1.0010107083990079</v>
      </c>
      <c r="AT9" s="2"/>
      <c r="AU9" s="2"/>
      <c r="AV9" s="3">
        <f>(AV6-AV7)/(AU6-AU7)*(-AU7)+AV7</f>
        <v>19.14603394692752</v>
      </c>
      <c r="AW9" s="16">
        <f>MAX(AW11:AW1056)</f>
        <v>25.728882392592595</v>
      </c>
      <c r="AX9" s="9"/>
      <c r="AY9" s="2"/>
      <c r="AZ9" s="2"/>
      <c r="BA9" s="2"/>
      <c r="BB9" s="2"/>
      <c r="BC9" s="2"/>
      <c r="BD9" s="3">
        <f>(BD6-BD7)/(BC6-BC7)*(-BC7)+BD7</f>
        <v>19.122152130054154</v>
      </c>
      <c r="BE9" s="16">
        <f>MAX(BE11:BE1056)</f>
        <v>25.471333524691353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1.8255487153784093</v>
      </c>
      <c r="B11" s="19">
        <f>IFERROR(L9,0)</f>
        <v>18.761534396684343</v>
      </c>
      <c r="C11" s="20">
        <f>IFERROR(L4,0)</f>
        <v>0.73889778469867429</v>
      </c>
      <c r="D11" s="21">
        <f>IFERROR(L2,0)</f>
        <v>25.307319333333329</v>
      </c>
      <c r="E11" s="21">
        <f>IFERROR(I9,0)</f>
        <v>2.3497319932621266</v>
      </c>
      <c r="F11" s="9"/>
      <c r="G11" s="22">
        <v>1.85501</v>
      </c>
      <c r="H11" s="22">
        <v>5.0033899999999996</v>
      </c>
      <c r="I11" s="22">
        <v>1.3201900000000001E-2</v>
      </c>
      <c r="J11" s="22">
        <v>1</v>
      </c>
      <c r="K11" s="22">
        <v>1.8545499999999999</v>
      </c>
      <c r="L11">
        <f>-I11/$F$2*1000</f>
        <v>-16.298641975308641</v>
      </c>
      <c r="M11">
        <f>L11*G11</f>
        <v>-30.234143850617283</v>
      </c>
      <c r="N11" s="9"/>
      <c r="O11" s="22">
        <v>-9.49097E-2</v>
      </c>
      <c r="P11" s="22">
        <v>8.9434299999999993</v>
      </c>
      <c r="Q11" s="22">
        <v>-1.5152000000000001E-2</v>
      </c>
      <c r="R11" s="22">
        <v>1</v>
      </c>
      <c r="S11" s="22">
        <v>-9.5214800000000002E-2</v>
      </c>
      <c r="T11">
        <f>-Q11/$F$2*1000</f>
        <v>18.706172839506173</v>
      </c>
      <c r="U11">
        <f>T11*O11</f>
        <v>-1.7753972523456791</v>
      </c>
      <c r="V11" s="23"/>
      <c r="W11" s="24"/>
      <c r="X11" s="9"/>
      <c r="Y11" s="22">
        <v>1.85501</v>
      </c>
      <c r="Z11" s="22">
        <v>14.5816</v>
      </c>
      <c r="AA11" s="22">
        <v>1.8246499999999999E-2</v>
      </c>
      <c r="AB11" s="22">
        <v>1</v>
      </c>
      <c r="AC11" s="22">
        <v>1.85425</v>
      </c>
      <c r="AD11">
        <f>-AA11/$F$2*1000</f>
        <v>-22.526543209876539</v>
      </c>
      <c r="AE11">
        <f>AD11*Y11</f>
        <v>-41.78696291975308</v>
      </c>
      <c r="AF11" s="9"/>
      <c r="AG11" s="22">
        <v>-9.49097E-2</v>
      </c>
      <c r="AH11" s="22">
        <v>18.521699999999999</v>
      </c>
      <c r="AI11" s="22">
        <v>-1.53381E-2</v>
      </c>
      <c r="AJ11" s="22">
        <v>1</v>
      </c>
      <c r="AK11" s="22">
        <v>-9.5306399999999999E-2</v>
      </c>
      <c r="AL11">
        <f>-AI11/$F$2*1000</f>
        <v>18.935925925925925</v>
      </c>
      <c r="AM11">
        <f>AL11*AG11</f>
        <v>-1.7972030488518518</v>
      </c>
      <c r="AP11" s="9"/>
      <c r="AQ11" s="22">
        <v>1.85501</v>
      </c>
      <c r="AR11" s="22">
        <v>24.154900000000001</v>
      </c>
      <c r="AS11" s="22">
        <v>2.03827E-2</v>
      </c>
      <c r="AT11" s="22">
        <v>1</v>
      </c>
      <c r="AU11" s="22">
        <v>1.85425</v>
      </c>
      <c r="AV11">
        <f>-AS11/$F$2*1000</f>
        <v>-25.163827160493828</v>
      </c>
      <c r="AW11">
        <f>AV11*AQ11</f>
        <v>-46.679151020987653</v>
      </c>
      <c r="AX11" s="9"/>
      <c r="AY11" s="22">
        <v>-9.49097E-2</v>
      </c>
      <c r="AZ11" s="22">
        <v>28.094899999999999</v>
      </c>
      <c r="BA11" s="22">
        <v>-1.5588400000000001E-2</v>
      </c>
      <c r="BB11" s="22">
        <v>1</v>
      </c>
      <c r="BC11" s="22">
        <v>-9.5428499999999999E-2</v>
      </c>
      <c r="BD11">
        <f>-BA11/$F$2*1000</f>
        <v>19.244938271604937</v>
      </c>
      <c r="BE11">
        <f>BD11*AY11</f>
        <v>-1.826531317876543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1.7955502872486468</v>
      </c>
      <c r="B12" s="19">
        <f>IFERROR(T9,0)</f>
        <v>18.582300785812425</v>
      </c>
      <c r="C12" s="20">
        <f>IFERROR(T4,0)</f>
        <v>0.74066620023123086</v>
      </c>
      <c r="D12" s="21">
        <f>IFERROR(T2,0)</f>
        <v>24.712665154320984</v>
      </c>
      <c r="E12" s="21"/>
      <c r="F12" s="9"/>
      <c r="G12" s="22">
        <v>1.84998</v>
      </c>
      <c r="H12" s="22">
        <v>5.0134600000000002</v>
      </c>
      <c r="I12" s="22">
        <v>9.7747800000000003E-3</v>
      </c>
      <c r="J12" s="22">
        <v>2</v>
      </c>
      <c r="K12" s="22">
        <v>1.84937</v>
      </c>
      <c r="L12">
        <f t="shared" ref="L12:L75" si="0">-I12/$F$2*1000</f>
        <v>-12.06762962962963</v>
      </c>
      <c r="M12">
        <f t="shared" ref="M12:M75" si="1">L12*G12</f>
        <v>-22.324873462222222</v>
      </c>
      <c r="N12" s="9"/>
      <c r="O12" s="22">
        <v>-8.9874300000000004E-2</v>
      </c>
      <c r="P12" s="22">
        <v>8.9535099999999996</v>
      </c>
      <c r="Q12" s="22">
        <v>-1.51428E-2</v>
      </c>
      <c r="R12" s="22">
        <v>2</v>
      </c>
      <c r="S12" s="22">
        <v>-9.0148900000000004E-2</v>
      </c>
      <c r="T12">
        <f t="shared" ref="T12:T75" si="2">-Q12/$F$2*1000</f>
        <v>18.694814814814812</v>
      </c>
      <c r="U12">
        <f t="shared" ref="U12:U75" si="3">T12*O12</f>
        <v>-1.6801833951111109</v>
      </c>
      <c r="V12" s="23"/>
      <c r="W12" s="24"/>
      <c r="X12" s="9"/>
      <c r="Y12" s="22">
        <v>1.84998</v>
      </c>
      <c r="Z12" s="22">
        <v>14.591699999999999</v>
      </c>
      <c r="AA12" s="22">
        <v>1.4489699999999999E-2</v>
      </c>
      <c r="AB12" s="22">
        <v>2</v>
      </c>
      <c r="AC12" s="22">
        <v>1.8490599999999999</v>
      </c>
      <c r="AD12">
        <f t="shared" ref="AD12:AD75" si="4">-AA12/$F$2*1000</f>
        <v>-17.888518518518516</v>
      </c>
      <c r="AE12">
        <f t="shared" ref="AE12:AE75" si="5">AD12*Y12</f>
        <v>-33.093401488888887</v>
      </c>
      <c r="AF12" s="9"/>
      <c r="AG12" s="22">
        <v>-8.9874300000000004E-2</v>
      </c>
      <c r="AH12" s="22">
        <v>18.531700000000001</v>
      </c>
      <c r="AI12" s="22">
        <v>-1.53381E-2</v>
      </c>
      <c r="AJ12" s="22">
        <v>2</v>
      </c>
      <c r="AK12" s="22">
        <v>-9.0271000000000004E-2</v>
      </c>
      <c r="AL12">
        <f t="shared" ref="AL12:AL75" si="6">-AI12/$F$2*1000</f>
        <v>18.935925925925925</v>
      </c>
      <c r="AM12">
        <f t="shared" ref="AM12:AM75" si="7">AL12*AG12</f>
        <v>-1.7018530874444444</v>
      </c>
      <c r="AP12" s="9"/>
      <c r="AQ12" s="22">
        <v>1.84998</v>
      </c>
      <c r="AR12" s="22">
        <v>24.164899999999999</v>
      </c>
      <c r="AS12" s="22">
        <v>1.6433699999999999E-2</v>
      </c>
      <c r="AT12" s="22">
        <v>2</v>
      </c>
      <c r="AU12" s="22">
        <v>1.8496699999999999</v>
      </c>
      <c r="AV12">
        <f t="shared" ref="AV12:AV75" si="8">-AS12/$F$2*1000</f>
        <v>-20.288518518518515</v>
      </c>
      <c r="AW12">
        <f t="shared" ref="AW12:AW75" si="9">AV12*AQ12</f>
        <v>-37.533353488888885</v>
      </c>
      <c r="AX12" s="9"/>
      <c r="AY12" s="22">
        <v>-8.9874300000000004E-2</v>
      </c>
      <c r="AZ12" s="22">
        <v>28.105</v>
      </c>
      <c r="BA12" s="22">
        <v>-1.55823E-2</v>
      </c>
      <c r="BB12" s="22">
        <v>2</v>
      </c>
      <c r="BC12" s="22">
        <v>-9.0362499999999998E-2</v>
      </c>
      <c r="BD12">
        <f t="shared" ref="BD12:BD75" si="10">-BA12/$F$2*1000</f>
        <v>19.237407407407407</v>
      </c>
      <c r="BE12">
        <f t="shared" ref="BE12:BE75" si="11">BD12*AY12</f>
        <v>-1.7289485245555556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1.8180416387920602</v>
      </c>
      <c r="B13" s="19">
        <f>IFERROR(AD9,0)</f>
        <v>18.851796119566721</v>
      </c>
      <c r="C13" s="20">
        <f>IFERROR(AD4,0)</f>
        <v>0.73847144601400938</v>
      </c>
      <c r="D13" s="21">
        <f>IFERROR(AD2,0)</f>
        <v>25.309890564197524</v>
      </c>
      <c r="E13" s="21">
        <f>IFERROR(AA9,0)</f>
        <v>1.507916119925705</v>
      </c>
      <c r="F13" s="9"/>
      <c r="G13" s="22">
        <v>1.84494</v>
      </c>
      <c r="H13" s="22">
        <v>5.0235399999999997</v>
      </c>
      <c r="I13" s="22">
        <v>7.1533200000000003E-3</v>
      </c>
      <c r="J13" s="22">
        <v>3</v>
      </c>
      <c r="K13" s="22">
        <v>1.8447899999999999</v>
      </c>
      <c r="L13">
        <f t="shared" si="0"/>
        <v>-8.8312592592592587</v>
      </c>
      <c r="M13">
        <f t="shared" si="1"/>
        <v>-16.293143457777777</v>
      </c>
      <c r="N13" s="9"/>
      <c r="O13" s="22">
        <v>-8.4838899999999995E-2</v>
      </c>
      <c r="P13" s="22">
        <v>8.9635800000000003</v>
      </c>
      <c r="Q13" s="22">
        <v>-1.51428E-2</v>
      </c>
      <c r="R13" s="22">
        <v>3</v>
      </c>
      <c r="S13" s="22">
        <v>-8.5235599999999995E-2</v>
      </c>
      <c r="T13">
        <f t="shared" si="2"/>
        <v>18.694814814814812</v>
      </c>
      <c r="U13">
        <f t="shared" si="3"/>
        <v>-1.5860475245925922</v>
      </c>
      <c r="V13" s="23"/>
      <c r="W13" s="24"/>
      <c r="X13" s="9"/>
      <c r="Y13" s="22">
        <v>1.84494</v>
      </c>
      <c r="Z13" s="22">
        <v>14.601800000000001</v>
      </c>
      <c r="AA13" s="22">
        <v>1.12274E-2</v>
      </c>
      <c r="AB13" s="22">
        <v>3</v>
      </c>
      <c r="AC13" s="22">
        <v>1.8435699999999999</v>
      </c>
      <c r="AD13">
        <f t="shared" si="4"/>
        <v>-13.860987654320986</v>
      </c>
      <c r="AE13">
        <f t="shared" si="5"/>
        <v>-25.572690562962961</v>
      </c>
      <c r="AF13" s="9"/>
      <c r="AG13" s="22">
        <v>-8.4838899999999995E-2</v>
      </c>
      <c r="AH13" s="22">
        <v>18.541799999999999</v>
      </c>
      <c r="AI13" s="22">
        <v>-1.5335100000000001E-2</v>
      </c>
      <c r="AJ13" s="22">
        <v>3</v>
      </c>
      <c r="AK13" s="22">
        <v>-8.5357699999999995E-2</v>
      </c>
      <c r="AL13">
        <f t="shared" si="6"/>
        <v>18.932222222222222</v>
      </c>
      <c r="AM13">
        <f t="shared" si="7"/>
        <v>-1.6061889078888889</v>
      </c>
      <c r="AP13" s="9"/>
      <c r="AQ13" s="22">
        <v>1.84494</v>
      </c>
      <c r="AR13" s="22">
        <v>24.175000000000001</v>
      </c>
      <c r="AS13" s="22">
        <v>1.2881500000000001E-2</v>
      </c>
      <c r="AT13" s="22">
        <v>3</v>
      </c>
      <c r="AU13" s="22">
        <v>1.8441799999999999</v>
      </c>
      <c r="AV13">
        <f t="shared" si="8"/>
        <v>-15.903086419753087</v>
      </c>
      <c r="AW13">
        <f t="shared" si="9"/>
        <v>-29.340240259259261</v>
      </c>
      <c r="AX13" s="9"/>
      <c r="AY13" s="22">
        <v>-8.4838899999999995E-2</v>
      </c>
      <c r="AZ13" s="22">
        <v>28.114999999999998</v>
      </c>
      <c r="BA13" s="22">
        <v>-1.55792E-2</v>
      </c>
      <c r="BB13" s="22">
        <v>3</v>
      </c>
      <c r="BC13" s="22">
        <v>-8.5235599999999995E-2</v>
      </c>
      <c r="BD13">
        <f t="shared" si="10"/>
        <v>19.233580246913579</v>
      </c>
      <c r="BE13">
        <f t="shared" si="11"/>
        <v>-1.6317557912098763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1.7934678303726188</v>
      </c>
      <c r="B14" s="19">
        <f>IFERROR(AL9,0)</f>
        <v>18.819589249486818</v>
      </c>
      <c r="C14" s="20">
        <f>IFERROR(AL4,0)</f>
        <v>0.73856353607557224</v>
      </c>
      <c r="D14" s="21">
        <f>IFERROR(AL2,0)</f>
        <v>24.928238644444434</v>
      </c>
      <c r="E14" s="21"/>
      <c r="F14" s="9"/>
      <c r="G14" s="22">
        <v>1.8399000000000001</v>
      </c>
      <c r="H14" s="22">
        <v>5.0336100000000004</v>
      </c>
      <c r="I14" s="22">
        <v>4.9011200000000001E-3</v>
      </c>
      <c r="J14" s="22">
        <v>4</v>
      </c>
      <c r="K14" s="22">
        <v>1.8395999999999999</v>
      </c>
      <c r="L14">
        <f t="shared" si="0"/>
        <v>-6.0507654320987649</v>
      </c>
      <c r="M14">
        <f t="shared" si="1"/>
        <v>-11.132803318518517</v>
      </c>
      <c r="N14" s="9"/>
      <c r="O14" s="22">
        <v>-7.9803499999999999E-2</v>
      </c>
      <c r="P14" s="22">
        <v>8.9736499999999992</v>
      </c>
      <c r="Q14" s="22">
        <v>-1.51337E-2</v>
      </c>
      <c r="R14" s="22">
        <v>4</v>
      </c>
      <c r="S14" s="22">
        <v>-8.0413799999999994E-2</v>
      </c>
      <c r="T14">
        <f t="shared" si="2"/>
        <v>18.683580246913579</v>
      </c>
      <c r="U14">
        <f t="shared" si="3"/>
        <v>-1.4910150962345678</v>
      </c>
      <c r="V14" s="23"/>
      <c r="W14" s="24"/>
      <c r="X14" s="9"/>
      <c r="Y14" s="22">
        <v>1.8399000000000001</v>
      </c>
      <c r="Z14" s="22">
        <v>14.611800000000001</v>
      </c>
      <c r="AA14" s="22">
        <v>8.4899899999999993E-3</v>
      </c>
      <c r="AB14" s="22">
        <v>4</v>
      </c>
      <c r="AC14" s="22">
        <v>1.8386800000000001</v>
      </c>
      <c r="AD14">
        <f t="shared" si="4"/>
        <v>-10.481469135802469</v>
      </c>
      <c r="AE14">
        <f t="shared" si="5"/>
        <v>-19.284855062962961</v>
      </c>
      <c r="AF14" s="9"/>
      <c r="AG14" s="22">
        <v>-7.9803499999999999E-2</v>
      </c>
      <c r="AH14" s="22">
        <v>18.5519</v>
      </c>
      <c r="AI14" s="22">
        <v>-1.5335100000000001E-2</v>
      </c>
      <c r="AJ14" s="22">
        <v>4</v>
      </c>
      <c r="AK14" s="22">
        <v>-8.0322299999999999E-2</v>
      </c>
      <c r="AL14">
        <f t="shared" si="6"/>
        <v>18.932222222222222</v>
      </c>
      <c r="AM14">
        <f t="shared" si="7"/>
        <v>-1.510857596111111</v>
      </c>
      <c r="AP14" s="9"/>
      <c r="AQ14" s="22">
        <v>1.8399000000000001</v>
      </c>
      <c r="AR14" s="22">
        <v>24.185099999999998</v>
      </c>
      <c r="AS14" s="22">
        <v>9.9456800000000001E-3</v>
      </c>
      <c r="AT14" s="22">
        <v>4</v>
      </c>
      <c r="AU14" s="22">
        <v>1.8392900000000001</v>
      </c>
      <c r="AV14">
        <f t="shared" si="8"/>
        <v>-12.278617283950616</v>
      </c>
      <c r="AW14">
        <f t="shared" si="9"/>
        <v>-22.59142794074074</v>
      </c>
      <c r="AX14" s="9"/>
      <c r="AY14" s="22">
        <v>-7.9803499999999999E-2</v>
      </c>
      <c r="AZ14" s="22">
        <v>28.1251</v>
      </c>
      <c r="BA14" s="22">
        <v>-1.55762E-2</v>
      </c>
      <c r="BB14" s="22">
        <v>4</v>
      </c>
      <c r="BC14" s="22">
        <v>-8.0413799999999994E-2</v>
      </c>
      <c r="BD14">
        <f t="shared" si="10"/>
        <v>19.229876543209876</v>
      </c>
      <c r="BE14">
        <f t="shared" si="11"/>
        <v>-1.5346114527160493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1.8147911701831463</v>
      </c>
      <c r="B15" s="19">
        <f>IFERROR(AV9,0)</f>
        <v>19.14603394692752</v>
      </c>
      <c r="C15" s="20">
        <f>IFERROR(AV4,0)</f>
        <v>0.74048359198522151</v>
      </c>
      <c r="D15" s="21">
        <f>IFERROR(AV2,0)</f>
        <v>25.728882392592599</v>
      </c>
      <c r="E15" s="21">
        <f>IFERROR(AS9,0)</f>
        <v>1.0010107083990079</v>
      </c>
      <c r="F15" s="9"/>
      <c r="G15" s="22">
        <v>1.83487</v>
      </c>
      <c r="H15" s="22">
        <v>5.0436800000000002</v>
      </c>
      <c r="I15" s="22">
        <v>2.8866600000000001E-3</v>
      </c>
      <c r="J15" s="22">
        <v>5</v>
      </c>
      <c r="K15" s="22">
        <v>1.8334999999999999</v>
      </c>
      <c r="L15">
        <f t="shared" si="0"/>
        <v>-3.5637777777777777</v>
      </c>
      <c r="M15">
        <f t="shared" si="1"/>
        <v>-6.5390689311111112</v>
      </c>
      <c r="N15" s="9"/>
      <c r="O15" s="22">
        <v>-7.4768100000000004E-2</v>
      </c>
      <c r="P15" s="22">
        <v>8.9837199999999999</v>
      </c>
      <c r="Q15" s="22">
        <v>-1.5124500000000001E-2</v>
      </c>
      <c r="R15" s="22">
        <v>5</v>
      </c>
      <c r="S15" s="22">
        <v>-7.5164800000000004E-2</v>
      </c>
      <c r="T15">
        <f t="shared" si="2"/>
        <v>18.672222222222221</v>
      </c>
      <c r="U15">
        <f t="shared" si="3"/>
        <v>-1.3960865783333334</v>
      </c>
      <c r="V15" s="23"/>
      <c r="W15" s="24"/>
      <c r="X15" s="9"/>
      <c r="Y15" s="22">
        <v>1.83487</v>
      </c>
      <c r="Z15" s="22">
        <v>14.6219</v>
      </c>
      <c r="AA15" s="22">
        <v>6.0180700000000004E-3</v>
      </c>
      <c r="AB15" s="22">
        <v>5</v>
      </c>
      <c r="AC15" s="22">
        <v>1.8341099999999999</v>
      </c>
      <c r="AD15">
        <f t="shared" si="4"/>
        <v>-7.4297160493827157</v>
      </c>
      <c r="AE15">
        <f t="shared" si="5"/>
        <v>-13.632563087530864</v>
      </c>
      <c r="AF15" s="9"/>
      <c r="AG15" s="22">
        <v>-7.4768100000000004E-2</v>
      </c>
      <c r="AH15" s="22">
        <v>18.561900000000001</v>
      </c>
      <c r="AI15" s="22">
        <v>-1.53259E-2</v>
      </c>
      <c r="AJ15" s="22">
        <v>5</v>
      </c>
      <c r="AK15" s="22">
        <v>-7.5469999999999995E-2</v>
      </c>
      <c r="AL15">
        <f t="shared" si="6"/>
        <v>18.920864197530861</v>
      </c>
      <c r="AM15">
        <f t="shared" si="7"/>
        <v>-1.4146770664074073</v>
      </c>
      <c r="AP15" s="9"/>
      <c r="AQ15" s="22">
        <v>1.83487</v>
      </c>
      <c r="AR15" s="22">
        <v>24.1951</v>
      </c>
      <c r="AS15" s="22">
        <v>7.31506E-3</v>
      </c>
      <c r="AT15" s="22">
        <v>5</v>
      </c>
      <c r="AU15" s="22">
        <v>1.8341099999999999</v>
      </c>
      <c r="AV15">
        <f t="shared" si="8"/>
        <v>-9.0309382716049367</v>
      </c>
      <c r="AW15">
        <f t="shared" si="9"/>
        <v>-16.57059770641975</v>
      </c>
      <c r="AX15" s="9"/>
      <c r="AY15" s="22">
        <v>-7.4768100000000004E-2</v>
      </c>
      <c r="AZ15" s="22">
        <v>28.135200000000001</v>
      </c>
      <c r="BA15" s="22">
        <v>-1.55701E-2</v>
      </c>
      <c r="BB15" s="22">
        <v>5</v>
      </c>
      <c r="BC15" s="22">
        <v>-7.4890100000000001E-2</v>
      </c>
      <c r="BD15">
        <f t="shared" si="10"/>
        <v>19.222345679012346</v>
      </c>
      <c r="BE15">
        <f t="shared" si="11"/>
        <v>-1.4372182639629631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1.793645725811444</v>
      </c>
      <c r="B16" s="19">
        <f>IFERROR(BD9,0)</f>
        <v>19.122152130054154</v>
      </c>
      <c r="C16" s="20">
        <f>IFERROR(BD4,0)</f>
        <v>0.74263984472649114</v>
      </c>
      <c r="D16" s="21">
        <f>IFERROR(BD2,0)</f>
        <v>25.47133352469136</v>
      </c>
      <c r="E16" s="21"/>
      <c r="F16" s="9"/>
      <c r="G16" s="22">
        <v>1.8298300000000001</v>
      </c>
      <c r="H16" s="22">
        <v>5.05375</v>
      </c>
      <c r="I16" s="22">
        <v>1.0824599999999999E-3</v>
      </c>
      <c r="J16" s="22">
        <v>6</v>
      </c>
      <c r="K16" s="22">
        <v>1.8298300000000001</v>
      </c>
      <c r="L16">
        <f t="shared" si="0"/>
        <v>-1.3363703703703702</v>
      </c>
      <c r="M16">
        <f t="shared" si="1"/>
        <v>-2.4453305948148145</v>
      </c>
      <c r="N16" s="9"/>
      <c r="O16" s="22">
        <v>-6.9732699999999995E-2</v>
      </c>
      <c r="P16" s="22">
        <v>8.9937900000000006</v>
      </c>
      <c r="Q16" s="22">
        <v>-1.51123E-2</v>
      </c>
      <c r="R16" s="22">
        <v>6</v>
      </c>
      <c r="S16" s="22">
        <v>-7.04346E-2</v>
      </c>
      <c r="T16">
        <f t="shared" si="2"/>
        <v>18.65716049382716</v>
      </c>
      <c r="U16">
        <f t="shared" si="3"/>
        <v>-1.301014175567901</v>
      </c>
      <c r="V16" s="23"/>
      <c r="W16" s="24"/>
      <c r="X16" s="9"/>
      <c r="Y16" s="22">
        <v>1.8298300000000001</v>
      </c>
      <c r="Z16" s="22">
        <v>14.632</v>
      </c>
      <c r="AA16" s="22">
        <v>3.8345300000000001E-3</v>
      </c>
      <c r="AB16" s="22">
        <v>6</v>
      </c>
      <c r="AC16" s="22">
        <v>1.8289200000000001</v>
      </c>
      <c r="AD16">
        <f t="shared" si="4"/>
        <v>-4.7339876543209876</v>
      </c>
      <c r="AE16">
        <f t="shared" si="5"/>
        <v>-8.6623926295061722</v>
      </c>
      <c r="AF16" s="9"/>
      <c r="AG16" s="22">
        <v>-6.9732699999999995E-2</v>
      </c>
      <c r="AH16" s="22">
        <v>18.571999999999999</v>
      </c>
      <c r="AI16" s="22">
        <v>-1.53198E-2</v>
      </c>
      <c r="AJ16" s="22">
        <v>6</v>
      </c>
      <c r="AK16" s="22">
        <v>-7.01904E-2</v>
      </c>
      <c r="AL16">
        <f t="shared" si="6"/>
        <v>18.91333333333333</v>
      </c>
      <c r="AM16">
        <f t="shared" si="7"/>
        <v>-1.3188777993333329</v>
      </c>
      <c r="AP16" s="9"/>
      <c r="AQ16" s="22">
        <v>1.8298300000000001</v>
      </c>
      <c r="AR16" s="22">
        <v>24.205200000000001</v>
      </c>
      <c r="AS16" s="22">
        <v>5.0262500000000003E-3</v>
      </c>
      <c r="AT16" s="22">
        <v>6</v>
      </c>
      <c r="AU16" s="22">
        <v>1.8286100000000001</v>
      </c>
      <c r="AV16">
        <f t="shared" si="8"/>
        <v>-6.2052469135802468</v>
      </c>
      <c r="AW16">
        <f t="shared" si="9"/>
        <v>-11.354546959876544</v>
      </c>
      <c r="AX16" s="9"/>
      <c r="AY16" s="22">
        <v>-6.9732699999999995E-2</v>
      </c>
      <c r="AZ16" s="22">
        <v>28.145199999999999</v>
      </c>
      <c r="BA16" s="22">
        <v>-1.5564E-2</v>
      </c>
      <c r="BB16" s="22">
        <v>6</v>
      </c>
      <c r="BC16" s="22">
        <v>-7.03125E-2</v>
      </c>
      <c r="BD16">
        <f t="shared" si="10"/>
        <v>19.214814814814812</v>
      </c>
      <c r="BE16">
        <f t="shared" si="11"/>
        <v>-1.3399009170370366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1.8248</v>
      </c>
      <c r="H17" s="22">
        <v>5.0638199999999998</v>
      </c>
      <c r="I17" s="22">
        <v>-6.9244399999999996E-4</v>
      </c>
      <c r="J17" s="22">
        <v>7</v>
      </c>
      <c r="K17" s="22">
        <v>1.82281</v>
      </c>
      <c r="L17">
        <f t="shared" si="0"/>
        <v>0.85486913580246904</v>
      </c>
      <c r="M17">
        <f t="shared" si="1"/>
        <v>1.5599651990123455</v>
      </c>
      <c r="N17" s="9"/>
      <c r="O17" s="22">
        <v>-6.4697299999999999E-2</v>
      </c>
      <c r="P17" s="22">
        <v>9.0038599999999995</v>
      </c>
      <c r="Q17" s="22">
        <v>-1.51062E-2</v>
      </c>
      <c r="R17" s="22">
        <v>7</v>
      </c>
      <c r="S17" s="22">
        <v>-6.5185499999999993E-2</v>
      </c>
      <c r="T17">
        <f t="shared" si="2"/>
        <v>18.649629629629626</v>
      </c>
      <c r="U17">
        <f t="shared" si="3"/>
        <v>-1.2065806830370367</v>
      </c>
      <c r="V17" s="23"/>
      <c r="W17" s="24"/>
      <c r="X17" s="9"/>
      <c r="Y17" s="22">
        <v>1.8248</v>
      </c>
      <c r="Z17" s="22">
        <v>14.641999999999999</v>
      </c>
      <c r="AA17" s="22">
        <v>1.8624900000000001E-3</v>
      </c>
      <c r="AB17" s="22">
        <v>7</v>
      </c>
      <c r="AC17" s="22">
        <v>1.8237300000000001</v>
      </c>
      <c r="AD17">
        <f t="shared" si="4"/>
        <v>-2.2993703703703705</v>
      </c>
      <c r="AE17">
        <f t="shared" si="5"/>
        <v>-4.1958910518518522</v>
      </c>
      <c r="AF17" s="9"/>
      <c r="AG17" s="22">
        <v>-6.4697299999999999E-2</v>
      </c>
      <c r="AH17" s="22">
        <v>18.582100000000001</v>
      </c>
      <c r="AI17" s="22">
        <v>-1.53168E-2</v>
      </c>
      <c r="AJ17" s="22">
        <v>7</v>
      </c>
      <c r="AK17" s="22">
        <v>-6.4941399999999996E-2</v>
      </c>
      <c r="AL17">
        <f t="shared" si="6"/>
        <v>18.909629629629627</v>
      </c>
      <c r="AM17">
        <f t="shared" si="7"/>
        <v>-1.2234019810370369</v>
      </c>
      <c r="AP17" s="9"/>
      <c r="AQ17" s="22">
        <v>1.8248</v>
      </c>
      <c r="AR17" s="22">
        <v>24.215299999999999</v>
      </c>
      <c r="AS17" s="22">
        <v>2.9611199999999998E-3</v>
      </c>
      <c r="AT17" s="22">
        <v>7</v>
      </c>
      <c r="AU17" s="22">
        <v>1.8237300000000001</v>
      </c>
      <c r="AV17">
        <f t="shared" si="8"/>
        <v>-3.6557037037037032</v>
      </c>
      <c r="AW17">
        <f t="shared" si="9"/>
        <v>-6.6709281185185176</v>
      </c>
      <c r="AX17" s="9"/>
      <c r="AY17" s="22">
        <v>-6.4697299999999999E-2</v>
      </c>
      <c r="AZ17" s="22">
        <v>28.1553</v>
      </c>
      <c r="BA17" s="22">
        <v>-1.5560900000000001E-2</v>
      </c>
      <c r="BB17" s="22">
        <v>7</v>
      </c>
      <c r="BC17" s="22">
        <v>-6.5063499999999996E-2</v>
      </c>
      <c r="BD17">
        <f t="shared" si="10"/>
        <v>19.210987654320988</v>
      </c>
      <c r="BE17">
        <f t="shared" si="11"/>
        <v>-1.2428990315679012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1.81976</v>
      </c>
      <c r="H18" s="22">
        <v>5.0738899999999996</v>
      </c>
      <c r="I18" s="22">
        <v>-6.6253700000000004E-4</v>
      </c>
      <c r="J18" s="22">
        <v>8</v>
      </c>
      <c r="K18" s="22">
        <v>1.81854</v>
      </c>
      <c r="L18">
        <f t="shared" si="0"/>
        <v>0.81794691358024685</v>
      </c>
      <c r="M18">
        <f t="shared" si="1"/>
        <v>1.4884670754567901</v>
      </c>
      <c r="N18" s="9"/>
      <c r="O18" s="22">
        <v>-5.9661899999999997E-2</v>
      </c>
      <c r="P18" s="22">
        <v>9.0139300000000002</v>
      </c>
      <c r="Q18" s="22">
        <v>-1.51031E-2</v>
      </c>
      <c r="R18" s="22">
        <v>8</v>
      </c>
      <c r="S18" s="22">
        <v>-6.0058599999999997E-2</v>
      </c>
      <c r="T18">
        <f t="shared" si="2"/>
        <v>18.645802469135798</v>
      </c>
      <c r="U18">
        <f t="shared" si="3"/>
        <v>-1.1124440023333331</v>
      </c>
      <c r="V18" s="23"/>
      <c r="W18" s="24"/>
      <c r="X18" s="9"/>
      <c r="Y18" s="22">
        <v>1.81976</v>
      </c>
      <c r="Z18" s="22">
        <v>14.652100000000001</v>
      </c>
      <c r="AA18" s="22">
        <v>1.47369E-4</v>
      </c>
      <c r="AB18" s="22">
        <v>8</v>
      </c>
      <c r="AC18" s="22">
        <v>1.81854</v>
      </c>
      <c r="AD18">
        <f t="shared" si="4"/>
        <v>-0.18193703703703704</v>
      </c>
      <c r="AE18">
        <f t="shared" si="5"/>
        <v>-0.33108174251851852</v>
      </c>
      <c r="AF18" s="9"/>
      <c r="AG18" s="22">
        <v>-5.9661899999999997E-2</v>
      </c>
      <c r="AH18" s="22">
        <v>18.592199999999998</v>
      </c>
      <c r="AI18" s="22">
        <v>-1.5307599999999999E-2</v>
      </c>
      <c r="AJ18" s="22">
        <v>8</v>
      </c>
      <c r="AK18" s="22">
        <v>-6.0089099999999999E-2</v>
      </c>
      <c r="AL18">
        <f t="shared" si="6"/>
        <v>18.89827160493827</v>
      </c>
      <c r="AM18">
        <f t="shared" si="7"/>
        <v>-1.1275067906666665</v>
      </c>
      <c r="AP18" s="9"/>
      <c r="AQ18" s="22">
        <v>1.81976</v>
      </c>
      <c r="AR18" s="22">
        <v>24.225300000000001</v>
      </c>
      <c r="AS18" s="22">
        <v>1.2112399999999999E-3</v>
      </c>
      <c r="AT18" s="22">
        <v>8</v>
      </c>
      <c r="AU18" s="22">
        <v>1.81854</v>
      </c>
      <c r="AV18">
        <f t="shared" si="8"/>
        <v>-1.4953580246913578</v>
      </c>
      <c r="AW18">
        <f t="shared" si="9"/>
        <v>-2.7211927190123455</v>
      </c>
      <c r="AX18" s="9"/>
      <c r="AY18" s="22">
        <v>-5.9661899999999997E-2</v>
      </c>
      <c r="AZ18" s="22">
        <v>28.165400000000002</v>
      </c>
      <c r="BA18" s="22">
        <v>-1.5554800000000001E-2</v>
      </c>
      <c r="BB18" s="22">
        <v>8</v>
      </c>
      <c r="BC18" s="22">
        <v>-6.0333299999999999E-2</v>
      </c>
      <c r="BD18">
        <f t="shared" si="10"/>
        <v>19.203456790123457</v>
      </c>
      <c r="BE18">
        <f t="shared" si="11"/>
        <v>-1.1457147186666667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1.81473</v>
      </c>
      <c r="H19" s="22">
        <v>5.0839600000000003</v>
      </c>
      <c r="I19" s="22">
        <v>-3.0071999999999998E-3</v>
      </c>
      <c r="J19" s="22">
        <v>9</v>
      </c>
      <c r="K19" s="22">
        <v>1.81366</v>
      </c>
      <c r="L19">
        <f t="shared" si="0"/>
        <v>3.7125925925925918</v>
      </c>
      <c r="M19">
        <f t="shared" si="1"/>
        <v>6.7373531555555539</v>
      </c>
      <c r="N19" s="9"/>
      <c r="O19" s="22">
        <v>-5.4626500000000001E-2</v>
      </c>
      <c r="P19" s="22">
        <v>9.0239999999999991</v>
      </c>
      <c r="Q19" s="22">
        <v>-1.5094E-2</v>
      </c>
      <c r="R19" s="22">
        <v>9</v>
      </c>
      <c r="S19" s="22">
        <v>-5.4748499999999999E-2</v>
      </c>
      <c r="T19">
        <f t="shared" si="2"/>
        <v>18.634567901234568</v>
      </c>
      <c r="U19">
        <f t="shared" si="3"/>
        <v>-1.0179412234567902</v>
      </c>
      <c r="V19" s="23"/>
      <c r="W19" s="24"/>
      <c r="X19" s="9"/>
      <c r="Y19" s="22">
        <v>1.81473</v>
      </c>
      <c r="Z19" s="22">
        <v>14.6622</v>
      </c>
      <c r="AA19" s="22">
        <v>-1.2069699999999999E-3</v>
      </c>
      <c r="AB19" s="22">
        <v>9</v>
      </c>
      <c r="AC19" s="22">
        <v>1.81396</v>
      </c>
      <c r="AD19">
        <f t="shared" si="4"/>
        <v>1.4900864197530863</v>
      </c>
      <c r="AE19">
        <f t="shared" si="5"/>
        <v>2.7041045285185183</v>
      </c>
      <c r="AF19" s="9"/>
      <c r="AG19" s="22">
        <v>-5.4626500000000001E-2</v>
      </c>
      <c r="AH19" s="22">
        <v>18.6022</v>
      </c>
      <c r="AI19" s="22">
        <v>-1.5301500000000001E-2</v>
      </c>
      <c r="AJ19" s="22">
        <v>9</v>
      </c>
      <c r="AK19" s="22">
        <v>-5.50842E-2</v>
      </c>
      <c r="AL19">
        <f t="shared" si="6"/>
        <v>18.890740740740739</v>
      </c>
      <c r="AM19">
        <f t="shared" si="7"/>
        <v>-1.031935049074074</v>
      </c>
      <c r="AP19" s="9"/>
      <c r="AQ19" s="22">
        <v>1.81473</v>
      </c>
      <c r="AR19" s="22">
        <v>24.235399999999998</v>
      </c>
      <c r="AS19" s="22">
        <v>-3.6547899999999999E-4</v>
      </c>
      <c r="AT19" s="22">
        <v>9</v>
      </c>
      <c r="AU19" s="22">
        <v>1.81366</v>
      </c>
      <c r="AV19">
        <f t="shared" si="8"/>
        <v>0.45120864197530863</v>
      </c>
      <c r="AW19">
        <f t="shared" si="9"/>
        <v>0.81882185885185177</v>
      </c>
      <c r="AX19" s="9"/>
      <c r="AY19" s="22">
        <v>-5.4626500000000001E-2</v>
      </c>
      <c r="AZ19" s="22">
        <v>28.1755</v>
      </c>
      <c r="BA19" s="22">
        <v>-1.55487E-2</v>
      </c>
      <c r="BB19" s="22">
        <v>9</v>
      </c>
      <c r="BC19" s="22">
        <v>-5.5053699999999997E-2</v>
      </c>
      <c r="BD19">
        <f t="shared" si="10"/>
        <v>19.195925925925927</v>
      </c>
      <c r="BE19">
        <f t="shared" si="11"/>
        <v>-1.0486062475925926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1.80969</v>
      </c>
      <c r="H20" s="22">
        <v>5.0940300000000001</v>
      </c>
      <c r="I20" s="22">
        <v>-3.8937400000000001E-3</v>
      </c>
      <c r="J20" s="22">
        <v>10</v>
      </c>
      <c r="K20" s="22">
        <v>1.8087800000000001</v>
      </c>
      <c r="L20">
        <f t="shared" si="0"/>
        <v>4.8070864197530856</v>
      </c>
      <c r="M20">
        <f t="shared" si="1"/>
        <v>8.6993362229629607</v>
      </c>
      <c r="N20" s="9"/>
      <c r="O20" s="22">
        <v>-4.9591099999999999E-2</v>
      </c>
      <c r="P20" s="22">
        <v>9.0340699999999998</v>
      </c>
      <c r="Q20" s="22">
        <v>-1.5096999999999999E-2</v>
      </c>
      <c r="R20" s="22">
        <v>10</v>
      </c>
      <c r="S20" s="22">
        <v>-5.0506599999999999E-2</v>
      </c>
      <c r="T20">
        <f t="shared" si="2"/>
        <v>18.638271604938272</v>
      </c>
      <c r="U20">
        <f t="shared" si="3"/>
        <v>-0.92429239098765426</v>
      </c>
      <c r="V20" s="23"/>
      <c r="W20" s="24"/>
      <c r="X20" s="9"/>
      <c r="Y20" s="22">
        <v>1.80969</v>
      </c>
      <c r="Z20" s="22">
        <v>14.6723</v>
      </c>
      <c r="AA20" s="22">
        <v>-2.43896E-3</v>
      </c>
      <c r="AB20" s="22">
        <v>10</v>
      </c>
      <c r="AC20" s="22">
        <v>1.8087800000000001</v>
      </c>
      <c r="AD20">
        <f t="shared" si="4"/>
        <v>3.0110617283950614</v>
      </c>
      <c r="AE20">
        <f t="shared" si="5"/>
        <v>5.4490882992592589</v>
      </c>
      <c r="AF20" s="9"/>
      <c r="AG20" s="22">
        <v>-4.9591099999999999E-2</v>
      </c>
      <c r="AH20" s="22">
        <v>18.612300000000001</v>
      </c>
      <c r="AI20" s="22">
        <v>-1.5295400000000001E-2</v>
      </c>
      <c r="AJ20" s="22">
        <v>10</v>
      </c>
      <c r="AK20" s="22">
        <v>-5.0109899999999999E-2</v>
      </c>
      <c r="AL20">
        <f t="shared" si="6"/>
        <v>18.883209876543212</v>
      </c>
      <c r="AM20">
        <f t="shared" si="7"/>
        <v>-0.93643914930864203</v>
      </c>
      <c r="AP20" s="9"/>
      <c r="AQ20" s="22">
        <v>1.80969</v>
      </c>
      <c r="AR20" s="22">
        <v>24.2455</v>
      </c>
      <c r="AS20" s="22">
        <v>-1.6827400000000001E-3</v>
      </c>
      <c r="AT20" s="22">
        <v>10</v>
      </c>
      <c r="AU20" s="22">
        <v>1.80847</v>
      </c>
      <c r="AV20">
        <f t="shared" si="8"/>
        <v>2.0774567901234566</v>
      </c>
      <c r="AW20">
        <f t="shared" si="9"/>
        <v>3.7595527785185183</v>
      </c>
      <c r="AX20" s="9"/>
      <c r="AY20" s="22">
        <v>-4.9591099999999999E-2</v>
      </c>
      <c r="AZ20" s="22">
        <v>28.185500000000001</v>
      </c>
      <c r="BA20" s="22">
        <v>-1.5545700000000001E-2</v>
      </c>
      <c r="BB20" s="22">
        <v>10</v>
      </c>
      <c r="BC20" s="22">
        <v>-4.9957300000000003E-2</v>
      </c>
      <c r="BD20">
        <f t="shared" si="10"/>
        <v>19.19222222222222</v>
      </c>
      <c r="BE20">
        <f t="shared" si="11"/>
        <v>-0.95176341144444432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1.8046599999999999</v>
      </c>
      <c r="H21" s="22">
        <v>5.1040999999999999</v>
      </c>
      <c r="I21" s="22">
        <v>-4.71771E-3</v>
      </c>
      <c r="J21" s="22">
        <v>11</v>
      </c>
      <c r="K21" s="22">
        <v>1.80359</v>
      </c>
      <c r="L21">
        <f t="shared" si="0"/>
        <v>5.8243333333333336</v>
      </c>
      <c r="M21">
        <f t="shared" si="1"/>
        <v>10.510941393333333</v>
      </c>
      <c r="N21" s="9"/>
      <c r="O21" s="22">
        <v>-4.4555699999999997E-2</v>
      </c>
      <c r="P21" s="22">
        <v>9.0441400000000005</v>
      </c>
      <c r="Q21" s="22">
        <v>-1.5096999999999999E-2</v>
      </c>
      <c r="R21" s="22">
        <v>11</v>
      </c>
      <c r="S21" s="22">
        <v>-4.4845599999999999E-2</v>
      </c>
      <c r="T21">
        <f t="shared" si="2"/>
        <v>18.638271604938272</v>
      </c>
      <c r="U21">
        <f t="shared" si="3"/>
        <v>-0.83044123814814808</v>
      </c>
      <c r="V21" s="23"/>
      <c r="W21" s="24"/>
      <c r="X21" s="9"/>
      <c r="Y21" s="22">
        <v>1.8046599999999999</v>
      </c>
      <c r="Z21" s="22">
        <v>14.6823</v>
      </c>
      <c r="AA21" s="22">
        <v>-3.4497099999999999E-3</v>
      </c>
      <c r="AB21" s="22">
        <v>11</v>
      </c>
      <c r="AC21" s="22">
        <v>1.80328</v>
      </c>
      <c r="AD21">
        <f t="shared" si="4"/>
        <v>4.2589012345679009</v>
      </c>
      <c r="AE21">
        <f t="shared" si="5"/>
        <v>7.6858687019753074</v>
      </c>
      <c r="AF21" s="9"/>
      <c r="AG21" s="22">
        <v>-4.4555699999999997E-2</v>
      </c>
      <c r="AH21" s="22">
        <v>18.622399999999999</v>
      </c>
      <c r="AI21" s="22">
        <v>-1.52893E-2</v>
      </c>
      <c r="AJ21" s="22">
        <v>11</v>
      </c>
      <c r="AK21" s="22">
        <v>-4.5028699999999998E-2</v>
      </c>
      <c r="AL21">
        <f t="shared" si="6"/>
        <v>18.875679012345678</v>
      </c>
      <c r="AM21">
        <f t="shared" si="7"/>
        <v>-0.84101909137037023</v>
      </c>
      <c r="AP21" s="9"/>
      <c r="AQ21" s="22">
        <v>1.8046599999999999</v>
      </c>
      <c r="AR21" s="22">
        <v>24.255600000000001</v>
      </c>
      <c r="AS21" s="22">
        <v>-2.8582799999999999E-3</v>
      </c>
      <c r="AT21" s="22">
        <v>11</v>
      </c>
      <c r="AU21" s="22">
        <v>1.80328</v>
      </c>
      <c r="AV21">
        <f t="shared" si="8"/>
        <v>3.5287407407407403</v>
      </c>
      <c r="AW21">
        <f t="shared" si="9"/>
        <v>6.3681772651851842</v>
      </c>
      <c r="AX21" s="9"/>
      <c r="AY21" s="22">
        <v>-4.4555699999999997E-2</v>
      </c>
      <c r="AZ21" s="22">
        <v>28.195599999999999</v>
      </c>
      <c r="BA21" s="22">
        <v>-1.5539600000000001E-2</v>
      </c>
      <c r="BB21" s="22">
        <v>11</v>
      </c>
      <c r="BC21" s="22">
        <v>-4.4793699999999999E-2</v>
      </c>
      <c r="BD21">
        <f t="shared" si="10"/>
        <v>19.18469135802469</v>
      </c>
      <c r="BE21">
        <f t="shared" si="11"/>
        <v>-0.85478735274074058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1.79962</v>
      </c>
      <c r="H22" s="22">
        <v>5.1141699999999997</v>
      </c>
      <c r="I22" s="22">
        <v>-5.4016100000000003E-3</v>
      </c>
      <c r="J22" s="22">
        <v>12</v>
      </c>
      <c r="K22" s="22">
        <v>1.7984</v>
      </c>
      <c r="L22">
        <f t="shared" si="0"/>
        <v>6.6686543209876543</v>
      </c>
      <c r="M22">
        <f t="shared" si="1"/>
        <v>12.001043689135802</v>
      </c>
      <c r="N22" s="9"/>
      <c r="O22" s="22">
        <v>-3.9520300000000001E-2</v>
      </c>
      <c r="P22" s="22">
        <v>9.0542200000000008</v>
      </c>
      <c r="Q22" s="22">
        <v>-1.5090900000000001E-2</v>
      </c>
      <c r="R22" s="22">
        <v>12</v>
      </c>
      <c r="S22" s="22">
        <v>-3.9816299999999999E-2</v>
      </c>
      <c r="T22">
        <f t="shared" si="2"/>
        <v>18.630740740740741</v>
      </c>
      <c r="U22">
        <f t="shared" si="3"/>
        <v>-0.73629246329629638</v>
      </c>
      <c r="V22" s="23"/>
      <c r="W22" s="24"/>
      <c r="X22" s="9"/>
      <c r="Y22" s="22">
        <v>1.79962</v>
      </c>
      <c r="Z22" s="22">
        <v>14.692399999999999</v>
      </c>
      <c r="AA22" s="22">
        <v>-4.3237299999999996E-3</v>
      </c>
      <c r="AB22" s="22">
        <v>12</v>
      </c>
      <c r="AC22" s="22">
        <v>1.7984</v>
      </c>
      <c r="AD22">
        <f t="shared" si="4"/>
        <v>5.3379382716049379</v>
      </c>
      <c r="AE22">
        <f t="shared" si="5"/>
        <v>9.6062604723456779</v>
      </c>
      <c r="AF22" s="9"/>
      <c r="AG22" s="22">
        <v>-3.9520300000000001E-2</v>
      </c>
      <c r="AH22" s="22">
        <v>18.632400000000001</v>
      </c>
      <c r="AI22" s="22">
        <v>-1.52832E-2</v>
      </c>
      <c r="AJ22" s="22">
        <v>12</v>
      </c>
      <c r="AK22" s="22">
        <v>-3.9682000000000002E-2</v>
      </c>
      <c r="AL22">
        <f t="shared" si="6"/>
        <v>18.868148148148148</v>
      </c>
      <c r="AM22">
        <f t="shared" si="7"/>
        <v>-0.74567487525925924</v>
      </c>
      <c r="AP22" s="9"/>
      <c r="AQ22" s="22">
        <v>1.79962</v>
      </c>
      <c r="AR22" s="22">
        <v>24.265599999999999</v>
      </c>
      <c r="AS22" s="22">
        <v>-3.8366699999999999E-3</v>
      </c>
      <c r="AT22" s="22">
        <v>12</v>
      </c>
      <c r="AU22" s="22">
        <v>1.79901</v>
      </c>
      <c r="AV22">
        <f t="shared" si="8"/>
        <v>4.7366296296296291</v>
      </c>
      <c r="AW22">
        <f t="shared" si="9"/>
        <v>8.5241334140740737</v>
      </c>
      <c r="AX22" s="9"/>
      <c r="AY22" s="22">
        <v>-3.9520300000000001E-2</v>
      </c>
      <c r="AZ22" s="22">
        <v>28.2057</v>
      </c>
      <c r="BA22" s="22">
        <v>-1.55365E-2</v>
      </c>
      <c r="BB22" s="22">
        <v>12</v>
      </c>
      <c r="BC22" s="22">
        <v>-3.9651499999999999E-2</v>
      </c>
      <c r="BD22">
        <f t="shared" si="10"/>
        <v>19.180864197530862</v>
      </c>
      <c r="BE22">
        <f t="shared" si="11"/>
        <v>-0.75803350734567898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1.7945899999999999</v>
      </c>
      <c r="H23" s="22">
        <v>5.12425</v>
      </c>
      <c r="I23" s="22">
        <v>-6.0760500000000004E-3</v>
      </c>
      <c r="J23" s="22">
        <v>13</v>
      </c>
      <c r="K23" s="22">
        <v>1.79413</v>
      </c>
      <c r="L23">
        <f t="shared" si="0"/>
        <v>7.5012962962962959</v>
      </c>
      <c r="M23">
        <f t="shared" si="1"/>
        <v>13.46175132037037</v>
      </c>
      <c r="N23" s="9"/>
      <c r="O23" s="22">
        <v>-3.4484899999999999E-2</v>
      </c>
      <c r="P23" s="22">
        <v>9.0642899999999997</v>
      </c>
      <c r="Q23" s="22">
        <v>-1.5084800000000001E-2</v>
      </c>
      <c r="R23" s="22">
        <v>13</v>
      </c>
      <c r="S23" s="22">
        <v>-3.47412E-2</v>
      </c>
      <c r="T23">
        <f t="shared" si="2"/>
        <v>18.623209876543207</v>
      </c>
      <c r="U23">
        <f t="shared" si="3"/>
        <v>-0.64221953027160483</v>
      </c>
      <c r="V23" s="23"/>
      <c r="W23" s="24"/>
      <c r="X23" s="9"/>
      <c r="Y23" s="22">
        <v>1.7945899999999999</v>
      </c>
      <c r="Z23" s="22">
        <v>14.702500000000001</v>
      </c>
      <c r="AA23" s="22">
        <v>-5.0903299999999997E-3</v>
      </c>
      <c r="AB23" s="22">
        <v>13</v>
      </c>
      <c r="AC23" s="22">
        <v>1.79352</v>
      </c>
      <c r="AD23">
        <f t="shared" si="4"/>
        <v>6.2843580246913566</v>
      </c>
      <c r="AE23">
        <f t="shared" si="5"/>
        <v>11.277846067530861</v>
      </c>
      <c r="AF23" s="9"/>
      <c r="AG23" s="22">
        <v>-3.4484899999999999E-2</v>
      </c>
      <c r="AH23" s="22">
        <v>18.642499999999998</v>
      </c>
      <c r="AI23" s="22">
        <v>-1.5286299999999999E-2</v>
      </c>
      <c r="AJ23" s="22">
        <v>13</v>
      </c>
      <c r="AK23" s="22">
        <v>-3.4765600000000001E-2</v>
      </c>
      <c r="AL23">
        <f t="shared" si="6"/>
        <v>18.871975308641971</v>
      </c>
      <c r="AM23">
        <f t="shared" si="7"/>
        <v>-0.65079818132098755</v>
      </c>
      <c r="AP23" s="9"/>
      <c r="AQ23" s="22">
        <v>1.7945899999999999</v>
      </c>
      <c r="AR23" s="22">
        <v>24.275700000000001</v>
      </c>
      <c r="AS23" s="22">
        <v>-4.6920800000000004E-3</v>
      </c>
      <c r="AT23" s="22">
        <v>13</v>
      </c>
      <c r="AU23" s="22">
        <v>1.79413</v>
      </c>
      <c r="AV23">
        <f t="shared" si="8"/>
        <v>5.7926913580246913</v>
      </c>
      <c r="AW23">
        <f t="shared" si="9"/>
        <v>10.395505984197531</v>
      </c>
      <c r="AX23" s="9"/>
      <c r="AY23" s="22">
        <v>-3.4484899999999999E-2</v>
      </c>
      <c r="AZ23" s="22">
        <v>28.215699999999998</v>
      </c>
      <c r="BA23" s="22">
        <v>-1.55304E-2</v>
      </c>
      <c r="BB23" s="22">
        <v>13</v>
      </c>
      <c r="BC23" s="22">
        <v>-3.49854E-2</v>
      </c>
      <c r="BD23">
        <f t="shared" si="10"/>
        <v>19.173333333333332</v>
      </c>
      <c r="BE23">
        <f t="shared" si="11"/>
        <v>-0.66119048266666658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1.78955</v>
      </c>
      <c r="H24" s="22">
        <v>5.1343199999999998</v>
      </c>
      <c r="I24" s="22">
        <v>-6.6284200000000003E-3</v>
      </c>
      <c r="J24" s="22">
        <v>14</v>
      </c>
      <c r="K24" s="22">
        <v>1.78833</v>
      </c>
      <c r="L24">
        <f t="shared" si="0"/>
        <v>8.1832345679012342</v>
      </c>
      <c r="M24">
        <f t="shared" si="1"/>
        <v>14.644307420987653</v>
      </c>
      <c r="N24" s="9"/>
      <c r="O24" s="22">
        <v>-2.94495E-2</v>
      </c>
      <c r="P24" s="22">
        <v>9.0743600000000004</v>
      </c>
      <c r="Q24" s="22">
        <v>-1.50787E-2</v>
      </c>
      <c r="R24" s="22">
        <v>14</v>
      </c>
      <c r="S24" s="22">
        <v>-2.9656999999999999E-2</v>
      </c>
      <c r="T24">
        <f t="shared" si="2"/>
        <v>18.61567901234568</v>
      </c>
      <c r="U24">
        <f t="shared" si="3"/>
        <v>-0.54822243907407409</v>
      </c>
      <c r="V24" s="23"/>
      <c r="W24" s="24"/>
      <c r="X24" s="9"/>
      <c r="Y24" s="22">
        <v>1.78955</v>
      </c>
      <c r="Z24" s="22">
        <v>14.7125</v>
      </c>
      <c r="AA24" s="22">
        <v>-5.77087E-3</v>
      </c>
      <c r="AB24" s="22">
        <v>14</v>
      </c>
      <c r="AC24" s="22">
        <v>1.78955</v>
      </c>
      <c r="AD24">
        <f t="shared" si="4"/>
        <v>7.1245308641975296</v>
      </c>
      <c r="AE24">
        <f t="shared" si="5"/>
        <v>12.749704208024689</v>
      </c>
      <c r="AF24" s="9"/>
      <c r="AG24" s="22">
        <v>-2.94495E-2</v>
      </c>
      <c r="AH24" s="22">
        <v>18.6526</v>
      </c>
      <c r="AI24" s="22">
        <v>-1.5280200000000001E-2</v>
      </c>
      <c r="AJ24" s="22">
        <v>14</v>
      </c>
      <c r="AK24" s="22">
        <v>-2.9687499999999999E-2</v>
      </c>
      <c r="AL24">
        <f t="shared" si="6"/>
        <v>18.864444444444445</v>
      </c>
      <c r="AM24">
        <f t="shared" si="7"/>
        <v>-0.55554845666666663</v>
      </c>
      <c r="AP24" s="9"/>
      <c r="AQ24" s="22">
        <v>1.78955</v>
      </c>
      <c r="AR24" s="22">
        <v>24.285799999999998</v>
      </c>
      <c r="AS24" s="22">
        <v>-5.4412799999999997E-3</v>
      </c>
      <c r="AT24" s="22">
        <v>14</v>
      </c>
      <c r="AU24" s="22">
        <v>1.7880199999999999</v>
      </c>
      <c r="AV24">
        <f t="shared" si="8"/>
        <v>6.717629629629629</v>
      </c>
      <c r="AW24">
        <f t="shared" si="9"/>
        <v>12.021534103703702</v>
      </c>
      <c r="AX24" s="9"/>
      <c r="AY24" s="22">
        <v>-2.94495E-2</v>
      </c>
      <c r="AZ24" s="22">
        <v>28.2258</v>
      </c>
      <c r="BA24" s="22">
        <v>-1.55243E-2</v>
      </c>
      <c r="BB24" s="22">
        <v>14</v>
      </c>
      <c r="BC24" s="22">
        <v>-2.9595900000000001E-2</v>
      </c>
      <c r="BD24">
        <f t="shared" si="10"/>
        <v>19.165802469135802</v>
      </c>
      <c r="BE24">
        <f t="shared" si="11"/>
        <v>-0.56442329981481476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1.7845200000000001</v>
      </c>
      <c r="H25" s="22">
        <v>5.1443899999999996</v>
      </c>
      <c r="I25" s="22">
        <v>-7.1502700000000002E-3</v>
      </c>
      <c r="J25" s="22">
        <v>15</v>
      </c>
      <c r="K25" s="22">
        <v>1.78345</v>
      </c>
      <c r="L25">
        <f t="shared" si="0"/>
        <v>8.8274938271604935</v>
      </c>
      <c r="M25">
        <f t="shared" si="1"/>
        <v>15.752839284444445</v>
      </c>
      <c r="N25" s="9"/>
      <c r="O25" s="22">
        <v>-2.4414100000000001E-2</v>
      </c>
      <c r="P25" s="22">
        <v>9.0844299999999993</v>
      </c>
      <c r="Q25" s="22">
        <v>-1.5075699999999999E-2</v>
      </c>
      <c r="R25" s="22">
        <v>15</v>
      </c>
      <c r="S25" s="22">
        <v>-2.46643E-2</v>
      </c>
      <c r="T25">
        <f t="shared" si="2"/>
        <v>18.611975308641973</v>
      </c>
      <c r="U25">
        <f t="shared" si="3"/>
        <v>-0.45439462638271605</v>
      </c>
      <c r="V25" s="23"/>
      <c r="W25" s="24"/>
      <c r="X25" s="9"/>
      <c r="Y25" s="22">
        <v>1.7845200000000001</v>
      </c>
      <c r="Z25" s="22">
        <v>14.7226</v>
      </c>
      <c r="AA25" s="22">
        <v>-6.3751199999999997E-3</v>
      </c>
      <c r="AB25" s="22">
        <v>15</v>
      </c>
      <c r="AC25" s="22">
        <v>1.7837499999999999</v>
      </c>
      <c r="AD25">
        <f t="shared" si="4"/>
        <v>7.8705185185185176</v>
      </c>
      <c r="AE25">
        <f t="shared" si="5"/>
        <v>14.045097706666667</v>
      </c>
      <c r="AF25" s="9"/>
      <c r="AG25" s="22">
        <v>-2.4414100000000001E-2</v>
      </c>
      <c r="AH25" s="22">
        <v>18.662600000000001</v>
      </c>
      <c r="AI25" s="22">
        <v>-1.5267899999999999E-2</v>
      </c>
      <c r="AJ25" s="22">
        <v>15</v>
      </c>
      <c r="AK25" s="22">
        <v>-2.4688700000000001E-2</v>
      </c>
      <c r="AL25">
        <f t="shared" si="6"/>
        <v>18.849259259259256</v>
      </c>
      <c r="AM25">
        <f t="shared" si="7"/>
        <v>-0.46018770048148144</v>
      </c>
      <c r="AP25" s="9"/>
      <c r="AQ25" s="22">
        <v>1.7845200000000001</v>
      </c>
      <c r="AR25" s="22">
        <v>24.2958</v>
      </c>
      <c r="AS25" s="22">
        <v>-6.1035200000000003E-3</v>
      </c>
      <c r="AT25" s="22">
        <v>15</v>
      </c>
      <c r="AU25" s="22">
        <v>1.78345</v>
      </c>
      <c r="AV25">
        <f t="shared" si="8"/>
        <v>7.5352098765432096</v>
      </c>
      <c r="AW25">
        <f t="shared" si="9"/>
        <v>13.44673272888889</v>
      </c>
      <c r="AX25" s="9"/>
      <c r="AY25" s="22">
        <v>-2.4414100000000001E-2</v>
      </c>
      <c r="AZ25" s="22">
        <v>28.235900000000001</v>
      </c>
      <c r="BA25" s="22">
        <v>-1.55151E-2</v>
      </c>
      <c r="BB25" s="22">
        <v>15</v>
      </c>
      <c r="BC25" s="22">
        <v>-2.4511700000000001E-2</v>
      </c>
      <c r="BD25">
        <f t="shared" si="10"/>
        <v>19.154444444444444</v>
      </c>
      <c r="BE25">
        <f t="shared" si="11"/>
        <v>-0.46763852211111112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1.77948</v>
      </c>
      <c r="H26" s="22">
        <v>5.1544600000000003</v>
      </c>
      <c r="I26" s="22">
        <v>-7.57751E-3</v>
      </c>
      <c r="J26" s="22">
        <v>16</v>
      </c>
      <c r="K26" s="22">
        <v>1.7785599999999999</v>
      </c>
      <c r="L26">
        <f t="shared" si="0"/>
        <v>9.3549506172839507</v>
      </c>
      <c r="M26">
        <f t="shared" si="1"/>
        <v>16.646947524444442</v>
      </c>
      <c r="N26" s="9"/>
      <c r="O26" s="22">
        <v>-1.9378699999999999E-2</v>
      </c>
      <c r="P26" s="22">
        <v>9.0945</v>
      </c>
      <c r="Q26" s="22">
        <v>-1.5069600000000001E-2</v>
      </c>
      <c r="R26" s="22">
        <v>16</v>
      </c>
      <c r="S26" s="22">
        <v>-1.9528199999999999E-2</v>
      </c>
      <c r="T26">
        <f t="shared" si="2"/>
        <v>18.604444444444443</v>
      </c>
      <c r="U26">
        <f t="shared" si="3"/>
        <v>-0.36052994755555551</v>
      </c>
      <c r="V26" s="23"/>
      <c r="W26" s="24"/>
      <c r="X26" s="9"/>
      <c r="Y26" s="22">
        <v>1.77948</v>
      </c>
      <c r="Z26" s="22">
        <v>14.732699999999999</v>
      </c>
      <c r="AA26" s="22">
        <v>-6.9183300000000003E-3</v>
      </c>
      <c r="AB26" s="22">
        <v>16</v>
      </c>
      <c r="AC26" s="22">
        <v>1.77887</v>
      </c>
      <c r="AD26">
        <f t="shared" si="4"/>
        <v>8.5411481481481477</v>
      </c>
      <c r="AE26">
        <f t="shared" si="5"/>
        <v>15.198802306666666</v>
      </c>
      <c r="AF26" s="9"/>
      <c r="AG26" s="22">
        <v>-1.9378699999999999E-2</v>
      </c>
      <c r="AH26" s="22">
        <v>18.672699999999999</v>
      </c>
      <c r="AI26" s="22">
        <v>-1.5261800000000001E-2</v>
      </c>
      <c r="AJ26" s="22">
        <v>16</v>
      </c>
      <c r="AK26" s="22">
        <v>-1.9799799999999999E-2</v>
      </c>
      <c r="AL26">
        <f t="shared" si="6"/>
        <v>18.841728395061729</v>
      </c>
      <c r="AM26">
        <f t="shared" si="7"/>
        <v>-0.36512820204938268</v>
      </c>
      <c r="AP26" s="9"/>
      <c r="AQ26" s="22">
        <v>1.77948</v>
      </c>
      <c r="AR26" s="22">
        <v>24.305900000000001</v>
      </c>
      <c r="AS26" s="22">
        <v>-6.7016599999999999E-3</v>
      </c>
      <c r="AT26" s="22">
        <v>16</v>
      </c>
      <c r="AU26" s="22">
        <v>1.7779499999999999</v>
      </c>
      <c r="AV26">
        <f t="shared" si="8"/>
        <v>8.273654320987653</v>
      </c>
      <c r="AW26">
        <f t="shared" si="9"/>
        <v>14.722802391111108</v>
      </c>
      <c r="AX26" s="9"/>
      <c r="AY26" s="22">
        <v>-1.9378699999999999E-2</v>
      </c>
      <c r="AZ26" s="22">
        <v>28.245999999999999</v>
      </c>
      <c r="BA26" s="22">
        <v>-1.5512099999999999E-2</v>
      </c>
      <c r="BB26" s="22">
        <v>16</v>
      </c>
      <c r="BC26" s="22">
        <v>-1.9406099999999999E-2</v>
      </c>
      <c r="BD26">
        <f t="shared" si="10"/>
        <v>19.150740740740741</v>
      </c>
      <c r="BE26">
        <f t="shared" si="11"/>
        <v>-0.37111645959259254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1.77444</v>
      </c>
      <c r="H27" s="22">
        <v>5.1645300000000001</v>
      </c>
      <c r="I27" s="22">
        <v>-8.0047599999999997E-3</v>
      </c>
      <c r="J27" s="22">
        <v>17</v>
      </c>
      <c r="K27" s="22">
        <v>1.7736799999999999</v>
      </c>
      <c r="L27">
        <f t="shared" si="0"/>
        <v>9.8824197530864204</v>
      </c>
      <c r="M27">
        <f t="shared" si="1"/>
        <v>17.535760906666667</v>
      </c>
      <c r="N27" s="9"/>
      <c r="O27" s="22">
        <v>-1.43433E-2</v>
      </c>
      <c r="P27" s="22">
        <v>9.1045700000000007</v>
      </c>
      <c r="Q27" s="22">
        <v>-1.50665E-2</v>
      </c>
      <c r="R27" s="22">
        <v>17</v>
      </c>
      <c r="S27" s="22">
        <v>-1.4477500000000001E-2</v>
      </c>
      <c r="T27">
        <f t="shared" si="2"/>
        <v>18.600617283950616</v>
      </c>
      <c r="U27">
        <f t="shared" si="3"/>
        <v>-0.26679423388888884</v>
      </c>
      <c r="X27" s="9"/>
      <c r="Y27" s="22">
        <v>1.77444</v>
      </c>
      <c r="Z27" s="22">
        <v>14.742800000000001</v>
      </c>
      <c r="AA27" s="22">
        <v>-7.4005099999999999E-3</v>
      </c>
      <c r="AB27" s="22">
        <v>17</v>
      </c>
      <c r="AC27" s="22">
        <v>1.77399</v>
      </c>
      <c r="AD27">
        <f t="shared" si="4"/>
        <v>9.1364320987654306</v>
      </c>
      <c r="AE27">
        <f t="shared" si="5"/>
        <v>16.212050573333332</v>
      </c>
      <c r="AF27" s="9"/>
      <c r="AG27" s="22">
        <v>-1.43433E-2</v>
      </c>
      <c r="AH27" s="22">
        <v>18.6828</v>
      </c>
      <c r="AI27" s="22">
        <v>-1.5252699999999999E-2</v>
      </c>
      <c r="AJ27" s="22">
        <v>17</v>
      </c>
      <c r="AK27" s="22">
        <v>-1.47797E-2</v>
      </c>
      <c r="AL27">
        <f t="shared" si="6"/>
        <v>18.830493827160492</v>
      </c>
      <c r="AM27">
        <f t="shared" si="7"/>
        <v>-0.27009142211111109</v>
      </c>
      <c r="AP27" s="9"/>
      <c r="AQ27" s="22">
        <v>1.77444</v>
      </c>
      <c r="AR27" s="22">
        <v>24.315999999999999</v>
      </c>
      <c r="AS27" s="22">
        <v>-7.22961E-3</v>
      </c>
      <c r="AT27" s="22">
        <v>17</v>
      </c>
      <c r="AU27" s="22">
        <v>1.77338</v>
      </c>
      <c r="AV27">
        <f t="shared" si="8"/>
        <v>8.9254444444444445</v>
      </c>
      <c r="AW27">
        <f t="shared" si="9"/>
        <v>15.837665640000001</v>
      </c>
      <c r="AX27" s="9"/>
      <c r="AY27" s="22">
        <v>-1.43433E-2</v>
      </c>
      <c r="AZ27" s="22">
        <v>28.256</v>
      </c>
      <c r="BA27" s="22">
        <v>-1.5509E-2</v>
      </c>
      <c r="BB27" s="22">
        <v>17</v>
      </c>
      <c r="BC27" s="22">
        <v>-1.4627100000000001E-2</v>
      </c>
      <c r="BD27">
        <f t="shared" si="10"/>
        <v>19.14691358024691</v>
      </c>
      <c r="BE27">
        <f t="shared" si="11"/>
        <v>-0.27462992555555549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1.7694099999999999</v>
      </c>
      <c r="H28" s="22">
        <v>5.1745999999999999</v>
      </c>
      <c r="I28" s="22">
        <v>-8.3648699999999999E-3</v>
      </c>
      <c r="J28" s="22">
        <v>18</v>
      </c>
      <c r="K28" s="22">
        <v>1.7687999999999999</v>
      </c>
      <c r="L28">
        <f t="shared" si="0"/>
        <v>10.327</v>
      </c>
      <c r="M28">
        <f t="shared" si="1"/>
        <v>18.27269707</v>
      </c>
      <c r="N28" s="9"/>
      <c r="O28" s="22">
        <v>-9.3078599999999994E-3</v>
      </c>
      <c r="P28" s="22">
        <v>9.1146399999999996</v>
      </c>
      <c r="Q28" s="22">
        <v>-1.50604E-2</v>
      </c>
      <c r="R28" s="22">
        <v>18</v>
      </c>
      <c r="S28" s="22">
        <v>-9.3902599999999992E-3</v>
      </c>
      <c r="T28">
        <f t="shared" si="2"/>
        <v>18.593086419753085</v>
      </c>
      <c r="U28">
        <f t="shared" si="3"/>
        <v>-0.17306184536296293</v>
      </c>
      <c r="X28" s="9"/>
      <c r="Y28" s="22">
        <v>1.7694099999999999</v>
      </c>
      <c r="Z28" s="22">
        <v>14.752800000000001</v>
      </c>
      <c r="AA28" s="22">
        <v>-7.8399699999999999E-3</v>
      </c>
      <c r="AB28" s="22">
        <v>18</v>
      </c>
      <c r="AC28" s="22">
        <v>1.7684899999999999</v>
      </c>
      <c r="AD28">
        <f t="shared" si="4"/>
        <v>9.6789753086419736</v>
      </c>
      <c r="AE28">
        <f t="shared" si="5"/>
        <v>17.126075700864195</v>
      </c>
      <c r="AF28" s="9"/>
      <c r="AG28" s="22">
        <v>-9.3078599999999994E-3</v>
      </c>
      <c r="AH28" s="22">
        <v>18.692900000000002</v>
      </c>
      <c r="AI28" s="22">
        <v>-1.52496E-2</v>
      </c>
      <c r="AJ28" s="22">
        <v>18</v>
      </c>
      <c r="AK28" s="22">
        <v>-9.4787599999999993E-3</v>
      </c>
      <c r="AL28">
        <f t="shared" si="6"/>
        <v>18.826666666666664</v>
      </c>
      <c r="AM28">
        <f t="shared" si="7"/>
        <v>-0.17523597759999998</v>
      </c>
      <c r="AP28" s="9"/>
      <c r="AQ28" s="22">
        <v>1.7694099999999999</v>
      </c>
      <c r="AR28" s="22">
        <v>24.3261</v>
      </c>
      <c r="AS28" s="22">
        <v>-7.7178999999999998E-3</v>
      </c>
      <c r="AT28" s="22">
        <v>18</v>
      </c>
      <c r="AU28" s="22">
        <v>1.7684899999999999</v>
      </c>
      <c r="AV28">
        <f t="shared" si="8"/>
        <v>9.5282716049382703</v>
      </c>
      <c r="AW28">
        <f t="shared" si="9"/>
        <v>16.859419060493824</v>
      </c>
      <c r="AX28" s="9"/>
      <c r="AY28" s="22">
        <v>-9.3078599999999994E-3</v>
      </c>
      <c r="AZ28" s="22">
        <v>28.266100000000002</v>
      </c>
      <c r="BA28" s="22">
        <v>-1.55029E-2</v>
      </c>
      <c r="BB28" s="22">
        <v>18</v>
      </c>
      <c r="BC28" s="22">
        <v>-9.5855699999999999E-3</v>
      </c>
      <c r="BD28">
        <f t="shared" si="10"/>
        <v>19.139382716049383</v>
      </c>
      <c r="BE28">
        <f t="shared" si="11"/>
        <v>-0.17814669480740739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1.76437</v>
      </c>
      <c r="H29" s="22">
        <v>5.1846699999999997</v>
      </c>
      <c r="I29" s="22">
        <v>-8.7280299999999995E-3</v>
      </c>
      <c r="J29" s="22">
        <v>19</v>
      </c>
      <c r="K29" s="22">
        <v>1.7633099999999999</v>
      </c>
      <c r="L29">
        <f t="shared" si="0"/>
        <v>10.775345679012345</v>
      </c>
      <c r="M29">
        <f t="shared" si="1"/>
        <v>19.01169665567901</v>
      </c>
      <c r="N29" s="9"/>
      <c r="O29" s="22">
        <v>-4.2724599999999996E-3</v>
      </c>
      <c r="P29" s="22">
        <v>9.1247100000000003</v>
      </c>
      <c r="Q29" s="22">
        <v>-1.50543E-2</v>
      </c>
      <c r="R29" s="22">
        <v>19</v>
      </c>
      <c r="S29" s="22">
        <v>-4.4250499999999998E-3</v>
      </c>
      <c r="T29">
        <f t="shared" si="2"/>
        <v>18.585555555555555</v>
      </c>
      <c r="U29">
        <f t="shared" si="3"/>
        <v>-7.9406042688888873E-2</v>
      </c>
      <c r="X29" s="9"/>
      <c r="Y29" s="22">
        <v>1.76437</v>
      </c>
      <c r="Z29" s="22">
        <v>14.7629</v>
      </c>
      <c r="AA29" s="22">
        <v>-8.2458500000000007E-3</v>
      </c>
      <c r="AB29" s="22">
        <v>19</v>
      </c>
      <c r="AC29" s="22">
        <v>1.7636099999999999</v>
      </c>
      <c r="AD29">
        <f t="shared" si="4"/>
        <v>10.180061728395062</v>
      </c>
      <c r="AE29">
        <f t="shared" si="5"/>
        <v>17.961395511728394</v>
      </c>
      <c r="AF29" s="9"/>
      <c r="AG29" s="22">
        <v>-4.2724599999999996E-3</v>
      </c>
      <c r="AH29" s="22">
        <v>18.7029</v>
      </c>
      <c r="AI29" s="22">
        <v>-1.52496E-2</v>
      </c>
      <c r="AJ29" s="22">
        <v>19</v>
      </c>
      <c r="AK29" s="22">
        <v>-4.4555699999999998E-3</v>
      </c>
      <c r="AL29">
        <f t="shared" si="6"/>
        <v>18.826666666666664</v>
      </c>
      <c r="AM29">
        <f t="shared" si="7"/>
        <v>-8.0436180266666657E-2</v>
      </c>
      <c r="AP29" s="9"/>
      <c r="AQ29" s="22">
        <v>1.76437</v>
      </c>
      <c r="AR29" s="22">
        <v>24.336099999999998</v>
      </c>
      <c r="AS29" s="22">
        <v>-8.1603999999999999E-3</v>
      </c>
      <c r="AT29" s="22">
        <v>19</v>
      </c>
      <c r="AU29" s="22">
        <v>1.7633099999999999</v>
      </c>
      <c r="AV29">
        <f t="shared" si="8"/>
        <v>10.074567901234568</v>
      </c>
      <c r="AW29">
        <f t="shared" si="9"/>
        <v>17.775265367901234</v>
      </c>
      <c r="AX29" s="9"/>
      <c r="AY29" s="22">
        <v>-4.2724599999999996E-3</v>
      </c>
      <c r="AZ29" s="22">
        <v>28.276199999999999</v>
      </c>
      <c r="BA29" s="22">
        <v>-1.54968E-2</v>
      </c>
      <c r="BB29" s="22">
        <v>19</v>
      </c>
      <c r="BC29" s="22">
        <v>-4.7058100000000004E-3</v>
      </c>
      <c r="BD29">
        <f t="shared" si="10"/>
        <v>19.131851851851852</v>
      </c>
      <c r="BE29">
        <f t="shared" si="11"/>
        <v>-8.1740071762962954E-2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1.7593399999999999</v>
      </c>
      <c r="H30" s="22">
        <v>5.1947400000000004</v>
      </c>
      <c r="I30" s="22">
        <v>-9.0362499999999991E-3</v>
      </c>
      <c r="J30" s="22">
        <v>20</v>
      </c>
      <c r="K30" s="22">
        <v>1.7587299999999999</v>
      </c>
      <c r="L30">
        <f t="shared" si="0"/>
        <v>11.155864197530862</v>
      </c>
      <c r="M30">
        <f t="shared" si="1"/>
        <v>19.626958117283944</v>
      </c>
      <c r="N30" s="9"/>
      <c r="O30" s="22">
        <v>7.6293900000000002E-4</v>
      </c>
      <c r="P30" s="22">
        <v>9.1347799999999992</v>
      </c>
      <c r="Q30" s="22">
        <v>-1.50513E-2</v>
      </c>
      <c r="R30" s="22">
        <v>20</v>
      </c>
      <c r="S30" s="22">
        <v>6.1035199999999999E-4</v>
      </c>
      <c r="T30">
        <f t="shared" si="2"/>
        <v>18.581851851851848</v>
      </c>
      <c r="U30">
        <f t="shared" si="3"/>
        <v>1.4176819469999997E-2</v>
      </c>
      <c r="X30" s="9"/>
      <c r="Y30" s="22">
        <v>1.7593399999999999</v>
      </c>
      <c r="Z30" s="22">
        <v>14.773</v>
      </c>
      <c r="AA30" s="22">
        <v>-8.6090100000000003E-3</v>
      </c>
      <c r="AB30" s="22">
        <v>20</v>
      </c>
      <c r="AC30" s="22">
        <v>1.7584200000000001</v>
      </c>
      <c r="AD30">
        <f t="shared" si="4"/>
        <v>10.628407407407408</v>
      </c>
      <c r="AE30">
        <f t="shared" si="5"/>
        <v>18.698982288148148</v>
      </c>
      <c r="AF30" s="9"/>
      <c r="AG30" s="22">
        <v>7.6293900000000002E-4</v>
      </c>
      <c r="AH30" s="22">
        <v>18.713000000000001</v>
      </c>
      <c r="AI30" s="22">
        <v>-1.52435E-2</v>
      </c>
      <c r="AJ30" s="22">
        <v>20</v>
      </c>
      <c r="AK30" s="22">
        <v>6.0729999999999996E-4</v>
      </c>
      <c r="AL30">
        <f t="shared" si="6"/>
        <v>18.819135802469134</v>
      </c>
      <c r="AM30">
        <f t="shared" si="7"/>
        <v>1.4357852649999999E-2</v>
      </c>
      <c r="AP30" s="9"/>
      <c r="AQ30" s="22">
        <v>1.7593399999999999</v>
      </c>
      <c r="AR30" s="22">
        <v>24.3462</v>
      </c>
      <c r="AS30" s="22">
        <v>-8.5601800000000006E-3</v>
      </c>
      <c r="AT30" s="22">
        <v>20</v>
      </c>
      <c r="AU30" s="22">
        <v>1.7578100000000001</v>
      </c>
      <c r="AV30">
        <f t="shared" si="8"/>
        <v>10.568123456790124</v>
      </c>
      <c r="AW30">
        <f t="shared" si="9"/>
        <v>18.592922322469136</v>
      </c>
      <c r="AX30" s="9"/>
      <c r="AY30" s="22">
        <v>7.6293900000000002E-4</v>
      </c>
      <c r="AZ30" s="22">
        <v>28.286200000000001</v>
      </c>
      <c r="BA30" s="22">
        <v>-1.54877E-2</v>
      </c>
      <c r="BB30" s="22">
        <v>20</v>
      </c>
      <c r="BC30" s="22">
        <v>7.4462900000000002E-4</v>
      </c>
      <c r="BD30">
        <f t="shared" si="10"/>
        <v>19.120617283950615</v>
      </c>
      <c r="BE30">
        <f t="shared" si="11"/>
        <v>1.4587864629999999E-2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1.7543</v>
      </c>
      <c r="H31" s="22">
        <v>5.2048100000000002</v>
      </c>
      <c r="I31" s="22">
        <v>-9.3261699999999999E-3</v>
      </c>
      <c r="J31" s="22">
        <v>21</v>
      </c>
      <c r="K31" s="22">
        <v>1.7535400000000001</v>
      </c>
      <c r="L31">
        <f t="shared" si="0"/>
        <v>11.51379012345679</v>
      </c>
      <c r="M31">
        <f t="shared" si="1"/>
        <v>20.198642013580248</v>
      </c>
      <c r="N31" s="9"/>
      <c r="O31" s="22">
        <v>5.7983399999999999E-3</v>
      </c>
      <c r="P31" s="22">
        <v>9.1448499999999999</v>
      </c>
      <c r="Q31" s="22">
        <v>-1.50513E-2</v>
      </c>
      <c r="R31" s="22">
        <v>21</v>
      </c>
      <c r="S31" s="22">
        <v>5.6182899999999997E-3</v>
      </c>
      <c r="T31">
        <f t="shared" si="2"/>
        <v>18.581851851851848</v>
      </c>
      <c r="U31">
        <f t="shared" si="3"/>
        <v>0.10774389486666665</v>
      </c>
      <c r="X31" s="9"/>
      <c r="Y31" s="22">
        <v>1.7543</v>
      </c>
      <c r="Z31" s="22">
        <v>14.782999999999999</v>
      </c>
      <c r="AA31" s="22">
        <v>-8.9324999999999995E-3</v>
      </c>
      <c r="AB31" s="22">
        <v>21</v>
      </c>
      <c r="AC31" s="22">
        <v>1.7532300000000001</v>
      </c>
      <c r="AD31">
        <f t="shared" si="4"/>
        <v>11.027777777777777</v>
      </c>
      <c r="AE31">
        <f t="shared" si="5"/>
        <v>19.346030555555554</v>
      </c>
      <c r="AF31" s="9"/>
      <c r="AG31" s="22">
        <v>5.7983399999999999E-3</v>
      </c>
      <c r="AH31" s="22">
        <v>18.723099999999999</v>
      </c>
      <c r="AI31" s="22">
        <v>-1.52374E-2</v>
      </c>
      <c r="AJ31" s="22">
        <v>21</v>
      </c>
      <c r="AK31" s="22">
        <v>5.6579600000000001E-3</v>
      </c>
      <c r="AL31">
        <f t="shared" si="6"/>
        <v>18.811604938271604</v>
      </c>
      <c r="AM31">
        <f t="shared" si="7"/>
        <v>0.10907608137777777</v>
      </c>
      <c r="AP31" s="9"/>
      <c r="AQ31" s="22">
        <v>1.7543</v>
      </c>
      <c r="AR31" s="22">
        <v>24.356300000000001</v>
      </c>
      <c r="AS31" s="22">
        <v>-8.9202900000000009E-3</v>
      </c>
      <c r="AT31" s="22">
        <v>21</v>
      </c>
      <c r="AU31" s="22">
        <v>1.7529300000000001</v>
      </c>
      <c r="AV31">
        <f t="shared" si="8"/>
        <v>11.012703703703703</v>
      </c>
      <c r="AW31">
        <f t="shared" si="9"/>
        <v>19.319586107407407</v>
      </c>
      <c r="AX31" s="9"/>
      <c r="AY31" s="22">
        <v>5.7983399999999999E-3</v>
      </c>
      <c r="AZ31" s="22">
        <v>28.296299999999999</v>
      </c>
      <c r="BA31" s="22">
        <v>-1.5484599999999999E-2</v>
      </c>
      <c r="BB31" s="22">
        <v>21</v>
      </c>
      <c r="BC31" s="22">
        <v>5.7678199999999999E-3</v>
      </c>
      <c r="BD31">
        <f t="shared" si="10"/>
        <v>19.116790123456788</v>
      </c>
      <c r="BE31">
        <f t="shared" si="11"/>
        <v>0.11084564884444444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1.7492700000000001</v>
      </c>
      <c r="H32" s="22">
        <v>5.21488</v>
      </c>
      <c r="I32" s="22">
        <v>-9.5703100000000003E-3</v>
      </c>
      <c r="J32" s="22">
        <v>22</v>
      </c>
      <c r="K32" s="22">
        <v>1.7483500000000001</v>
      </c>
      <c r="L32">
        <f t="shared" si="0"/>
        <v>11.815197530864198</v>
      </c>
      <c r="M32">
        <f t="shared" si="1"/>
        <v>20.667970584814817</v>
      </c>
      <c r="N32" s="9"/>
      <c r="O32" s="22">
        <v>1.08337E-2</v>
      </c>
      <c r="P32" s="22">
        <v>9.1549300000000002</v>
      </c>
      <c r="Q32" s="22">
        <v>-1.50543E-2</v>
      </c>
      <c r="R32" s="22">
        <v>22</v>
      </c>
      <c r="S32" s="22">
        <v>1.0705599999999999E-2</v>
      </c>
      <c r="T32">
        <f t="shared" si="2"/>
        <v>18.585555555555555</v>
      </c>
      <c r="U32">
        <f t="shared" si="3"/>
        <v>0.20135033322222221</v>
      </c>
      <c r="X32" s="9"/>
      <c r="Y32" s="22">
        <v>1.7492700000000001</v>
      </c>
      <c r="Z32" s="22">
        <v>14.793100000000001</v>
      </c>
      <c r="AA32" s="22">
        <v>-9.2285200000000005E-3</v>
      </c>
      <c r="AB32" s="22">
        <v>22</v>
      </c>
      <c r="AC32" s="22">
        <v>1.7474400000000001</v>
      </c>
      <c r="AD32">
        <f t="shared" si="4"/>
        <v>11.393234567901235</v>
      </c>
      <c r="AE32">
        <f t="shared" si="5"/>
        <v>19.929843432592595</v>
      </c>
      <c r="AF32" s="9"/>
      <c r="AG32" s="22">
        <v>1.08337E-2</v>
      </c>
      <c r="AH32" s="22">
        <v>18.7331</v>
      </c>
      <c r="AI32" s="22">
        <v>-1.52313E-2</v>
      </c>
      <c r="AJ32" s="22">
        <v>22</v>
      </c>
      <c r="AK32" s="22">
        <v>1.08521E-2</v>
      </c>
      <c r="AL32">
        <f t="shared" si="6"/>
        <v>18.804074074074073</v>
      </c>
      <c r="AM32">
        <f t="shared" si="7"/>
        <v>0.2037176972962963</v>
      </c>
      <c r="AP32" s="9"/>
      <c r="AQ32" s="22">
        <v>1.7492700000000001</v>
      </c>
      <c r="AR32" s="22">
        <v>24.366299999999999</v>
      </c>
      <c r="AS32" s="22">
        <v>-9.2437700000000001E-3</v>
      </c>
      <c r="AT32" s="22">
        <v>22</v>
      </c>
      <c r="AU32" s="22">
        <v>1.7489600000000001</v>
      </c>
      <c r="AV32">
        <f t="shared" si="8"/>
        <v>11.412061728395061</v>
      </c>
      <c r="AW32">
        <f t="shared" si="9"/>
        <v>19.962777219629629</v>
      </c>
      <c r="AX32" s="9"/>
      <c r="AY32" s="22">
        <v>1.08337E-2</v>
      </c>
      <c r="AZ32" s="22">
        <v>28.3064</v>
      </c>
      <c r="BA32" s="22">
        <v>-1.54816E-2</v>
      </c>
      <c r="BB32" s="22">
        <v>22</v>
      </c>
      <c r="BC32" s="22">
        <v>1.0614E-2</v>
      </c>
      <c r="BD32">
        <f t="shared" si="10"/>
        <v>19.113086419753085</v>
      </c>
      <c r="BE32">
        <f t="shared" si="11"/>
        <v>0.207065444345679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1.7442299999999999</v>
      </c>
      <c r="H33" s="22">
        <v>5.2249600000000003</v>
      </c>
      <c r="I33" s="22">
        <v>-9.8144500000000006E-3</v>
      </c>
      <c r="J33" s="22">
        <v>23</v>
      </c>
      <c r="K33" s="22">
        <v>1.74316</v>
      </c>
      <c r="L33">
        <f t="shared" si="0"/>
        <v>12.116604938271603</v>
      </c>
      <c r="M33">
        <f t="shared" si="1"/>
        <v>21.134145831481479</v>
      </c>
      <c r="N33" s="9"/>
      <c r="O33" s="22">
        <v>1.5869100000000001E-2</v>
      </c>
      <c r="P33" s="22">
        <v>9.1649999999999991</v>
      </c>
      <c r="Q33" s="22">
        <v>-1.5048199999999999E-2</v>
      </c>
      <c r="R33" s="22">
        <v>23</v>
      </c>
      <c r="S33" s="22">
        <v>1.5725699999999999E-2</v>
      </c>
      <c r="T33">
        <f t="shared" si="2"/>
        <v>18.578024691358021</v>
      </c>
      <c r="U33">
        <f t="shared" si="3"/>
        <v>0.29481653162962956</v>
      </c>
      <c r="X33" s="9"/>
      <c r="Y33" s="22">
        <v>1.7442299999999999</v>
      </c>
      <c r="Z33" s="22">
        <v>14.8032</v>
      </c>
      <c r="AA33" s="22">
        <v>-9.5062299999999992E-3</v>
      </c>
      <c r="AB33" s="22">
        <v>23</v>
      </c>
      <c r="AC33" s="22">
        <v>1.7434700000000001</v>
      </c>
      <c r="AD33">
        <f t="shared" si="4"/>
        <v>11.736086419753084</v>
      </c>
      <c r="AE33">
        <f t="shared" si="5"/>
        <v>20.470434015925921</v>
      </c>
      <c r="AF33" s="9"/>
      <c r="AG33" s="22">
        <v>1.5869100000000001E-2</v>
      </c>
      <c r="AH33" s="22">
        <v>18.743200000000002</v>
      </c>
      <c r="AI33" s="22">
        <v>-1.52283E-2</v>
      </c>
      <c r="AJ33" s="22">
        <v>23</v>
      </c>
      <c r="AK33" s="22">
        <v>1.5710399999999999E-2</v>
      </c>
      <c r="AL33">
        <f t="shared" si="6"/>
        <v>18.80037037037037</v>
      </c>
      <c r="AM33">
        <f t="shared" si="7"/>
        <v>0.29834495744444445</v>
      </c>
      <c r="AP33" s="9"/>
      <c r="AQ33" s="22">
        <v>1.7442299999999999</v>
      </c>
      <c r="AR33" s="22">
        <v>24.3764</v>
      </c>
      <c r="AS33" s="22">
        <v>-9.5397899999999994E-3</v>
      </c>
      <c r="AT33" s="22">
        <v>23</v>
      </c>
      <c r="AU33" s="22">
        <v>1.7434700000000001</v>
      </c>
      <c r="AV33">
        <f t="shared" si="8"/>
        <v>11.777518518518518</v>
      </c>
      <c r="AW33">
        <f t="shared" si="9"/>
        <v>20.542701125555553</v>
      </c>
      <c r="AX33" s="9"/>
      <c r="AY33" s="22">
        <v>1.5869100000000001E-2</v>
      </c>
      <c r="AZ33" s="22">
        <v>28.316500000000001</v>
      </c>
      <c r="BA33" s="22">
        <v>-1.54755E-2</v>
      </c>
      <c r="BB33" s="22">
        <v>23</v>
      </c>
      <c r="BC33" s="22">
        <v>1.56525E-2</v>
      </c>
      <c r="BD33">
        <f t="shared" si="10"/>
        <v>19.105555555555554</v>
      </c>
      <c r="BE33">
        <f t="shared" si="11"/>
        <v>0.30318797166666667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1.7392000000000001</v>
      </c>
      <c r="H34" s="22">
        <v>5.2350300000000001</v>
      </c>
      <c r="I34" s="22">
        <v>-1.0024999999999999E-2</v>
      </c>
      <c r="J34" s="22">
        <v>24</v>
      </c>
      <c r="K34" s="22">
        <v>1.73828</v>
      </c>
      <c r="L34">
        <f t="shared" si="0"/>
        <v>12.376543209876541</v>
      </c>
      <c r="M34">
        <f t="shared" si="1"/>
        <v>21.525283950617283</v>
      </c>
      <c r="N34" s="9"/>
      <c r="O34" s="22">
        <v>2.0904499999999999E-2</v>
      </c>
      <c r="P34" s="22">
        <v>9.1750699999999998</v>
      </c>
      <c r="Q34" s="22">
        <v>-1.5042099999999999E-2</v>
      </c>
      <c r="R34" s="22">
        <v>24</v>
      </c>
      <c r="S34" s="22">
        <v>2.0874E-2</v>
      </c>
      <c r="T34">
        <f t="shared" si="2"/>
        <v>18.570493827160494</v>
      </c>
      <c r="U34">
        <f t="shared" si="3"/>
        <v>0.38820688820987653</v>
      </c>
      <c r="X34" s="9"/>
      <c r="Y34" s="22">
        <v>1.7392000000000001</v>
      </c>
      <c r="Z34" s="22">
        <v>14.8132</v>
      </c>
      <c r="AA34" s="22">
        <v>-9.7564699999999997E-3</v>
      </c>
      <c r="AB34" s="22">
        <v>24</v>
      </c>
      <c r="AC34" s="22">
        <v>1.7379800000000001</v>
      </c>
      <c r="AD34">
        <f t="shared" si="4"/>
        <v>12.045024691358025</v>
      </c>
      <c r="AE34">
        <f t="shared" si="5"/>
        <v>20.948706943209878</v>
      </c>
      <c r="AF34" s="9"/>
      <c r="AG34" s="22">
        <v>2.0904499999999999E-2</v>
      </c>
      <c r="AH34" s="22">
        <v>18.753299999999999</v>
      </c>
      <c r="AI34" s="22">
        <v>-1.52222E-2</v>
      </c>
      <c r="AJ34" s="22">
        <v>24</v>
      </c>
      <c r="AK34" s="22">
        <v>2.07672E-2</v>
      </c>
      <c r="AL34">
        <f t="shared" si="6"/>
        <v>18.792839506172839</v>
      </c>
      <c r="AM34">
        <f t="shared" si="7"/>
        <v>0.39285491345679013</v>
      </c>
      <c r="AP34" s="9"/>
      <c r="AQ34" s="22">
        <v>1.7392000000000001</v>
      </c>
      <c r="AR34" s="22">
        <v>24.386500000000002</v>
      </c>
      <c r="AS34" s="22">
        <v>-9.8205600000000007E-3</v>
      </c>
      <c r="AT34" s="22">
        <v>24</v>
      </c>
      <c r="AU34" s="22">
        <v>1.7379800000000001</v>
      </c>
      <c r="AV34">
        <f t="shared" si="8"/>
        <v>12.124148148148148</v>
      </c>
      <c r="AW34">
        <f t="shared" si="9"/>
        <v>21.08631845925926</v>
      </c>
      <c r="AX34" s="9"/>
      <c r="AY34" s="22">
        <v>2.0904499999999999E-2</v>
      </c>
      <c r="AZ34" s="22">
        <v>28.326499999999999</v>
      </c>
      <c r="BA34" s="22">
        <v>-1.5472400000000001E-2</v>
      </c>
      <c r="BB34" s="22">
        <v>24</v>
      </c>
      <c r="BC34" s="22">
        <v>2.0770299999999998E-2</v>
      </c>
      <c r="BD34">
        <f t="shared" si="10"/>
        <v>19.101728395061727</v>
      </c>
      <c r="BE34">
        <f t="shared" si="11"/>
        <v>0.39931208123456785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1.7341599999999999</v>
      </c>
      <c r="H35" s="22">
        <v>5.2450999999999999</v>
      </c>
      <c r="I35" s="22">
        <v>-1.0235599999999999E-2</v>
      </c>
      <c r="J35" s="22">
        <v>25</v>
      </c>
      <c r="K35" s="22">
        <v>1.7327900000000001</v>
      </c>
      <c r="L35">
        <f t="shared" si="0"/>
        <v>12.636543209876542</v>
      </c>
      <c r="M35">
        <f t="shared" si="1"/>
        <v>21.913787772839505</v>
      </c>
      <c r="N35" s="9"/>
      <c r="O35" s="22">
        <v>2.5939899999999998E-2</v>
      </c>
      <c r="P35" s="22">
        <v>9.1851400000000005</v>
      </c>
      <c r="Q35" s="22">
        <v>-1.50391E-2</v>
      </c>
      <c r="R35" s="22">
        <v>25</v>
      </c>
      <c r="S35" s="22">
        <v>2.5680499999999998E-2</v>
      </c>
      <c r="T35">
        <f t="shared" si="2"/>
        <v>18.566790123456791</v>
      </c>
      <c r="U35">
        <f t="shared" si="3"/>
        <v>0.4816206791234568</v>
      </c>
      <c r="X35" s="9"/>
      <c r="Y35" s="22">
        <v>1.7341599999999999</v>
      </c>
      <c r="Z35" s="22">
        <v>14.8233</v>
      </c>
      <c r="AA35" s="22">
        <v>-9.9853500000000005E-3</v>
      </c>
      <c r="AB35" s="22">
        <v>25</v>
      </c>
      <c r="AC35" s="22">
        <v>1.7327900000000001</v>
      </c>
      <c r="AD35">
        <f t="shared" si="4"/>
        <v>12.327592592592593</v>
      </c>
      <c r="AE35">
        <f t="shared" si="5"/>
        <v>21.378017970370369</v>
      </c>
      <c r="AF35" s="9"/>
      <c r="AG35" s="22">
        <v>2.5939899999999998E-2</v>
      </c>
      <c r="AH35" s="22">
        <v>18.763400000000001</v>
      </c>
      <c r="AI35" s="22">
        <v>-1.52161E-2</v>
      </c>
      <c r="AJ35" s="22">
        <v>25</v>
      </c>
      <c r="AK35" s="22">
        <v>2.59308E-2</v>
      </c>
      <c r="AL35">
        <f t="shared" si="6"/>
        <v>18.785308641975305</v>
      </c>
      <c r="AM35">
        <f t="shared" si="7"/>
        <v>0.48728902764197518</v>
      </c>
      <c r="AP35" s="9"/>
      <c r="AQ35" s="22">
        <v>1.7341599999999999</v>
      </c>
      <c r="AR35" s="22">
        <v>24.396599999999999</v>
      </c>
      <c r="AS35" s="22">
        <v>-1.00708E-2</v>
      </c>
      <c r="AT35" s="22">
        <v>25</v>
      </c>
      <c r="AU35" s="22">
        <v>1.7334000000000001</v>
      </c>
      <c r="AV35">
        <f t="shared" si="8"/>
        <v>12.433086419753085</v>
      </c>
      <c r="AW35">
        <f t="shared" si="9"/>
        <v>21.560961145679009</v>
      </c>
      <c r="AX35" s="9"/>
      <c r="AY35" s="22">
        <v>2.5939899999999998E-2</v>
      </c>
      <c r="AZ35" s="22">
        <v>28.336600000000001</v>
      </c>
      <c r="BA35" s="22">
        <v>-1.5469399999999999E-2</v>
      </c>
      <c r="BB35" s="22">
        <v>25</v>
      </c>
      <c r="BC35" s="22">
        <v>2.59613E-2</v>
      </c>
      <c r="BD35">
        <f t="shared" si="10"/>
        <v>19.09802469135802</v>
      </c>
      <c r="BE35">
        <f t="shared" si="11"/>
        <v>0.49540085069135786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1.7291300000000001</v>
      </c>
      <c r="H36" s="22">
        <v>5.2551699999999997</v>
      </c>
      <c r="I36" s="22">
        <v>-1.0418699999999999E-2</v>
      </c>
      <c r="J36" s="22">
        <v>26</v>
      </c>
      <c r="K36" s="22">
        <v>1.7279100000000001</v>
      </c>
      <c r="L36">
        <f t="shared" si="0"/>
        <v>12.862592592592591</v>
      </c>
      <c r="M36">
        <f t="shared" si="1"/>
        <v>22.241094729629626</v>
      </c>
      <c r="N36" s="9"/>
      <c r="O36" s="22">
        <v>3.0975300000000001E-2</v>
      </c>
      <c r="P36" s="22">
        <v>9.1952099999999994</v>
      </c>
      <c r="Q36" s="22">
        <v>-1.5032999999999999E-2</v>
      </c>
      <c r="R36" s="22">
        <v>26</v>
      </c>
      <c r="S36" s="22">
        <v>3.0673200000000001E-2</v>
      </c>
      <c r="T36">
        <f t="shared" si="2"/>
        <v>18.559259259259257</v>
      </c>
      <c r="U36">
        <f t="shared" si="3"/>
        <v>0.57487862333333328</v>
      </c>
      <c r="X36" s="9"/>
      <c r="Y36" s="22">
        <v>1.7291300000000001</v>
      </c>
      <c r="Z36" s="22">
        <v>14.833399999999999</v>
      </c>
      <c r="AA36" s="22">
        <v>-1.0201999999999999E-2</v>
      </c>
      <c r="AB36" s="22">
        <v>26</v>
      </c>
      <c r="AC36" s="22">
        <v>1.7279100000000001</v>
      </c>
      <c r="AD36">
        <f t="shared" si="4"/>
        <v>12.595061728395061</v>
      </c>
      <c r="AE36">
        <f t="shared" si="5"/>
        <v>21.778499086419753</v>
      </c>
      <c r="AF36" s="9"/>
      <c r="AG36" s="22">
        <v>3.0975300000000001E-2</v>
      </c>
      <c r="AH36" s="22">
        <v>18.773399999999999</v>
      </c>
      <c r="AI36" s="22">
        <v>-1.5213000000000001E-2</v>
      </c>
      <c r="AJ36" s="22">
        <v>26</v>
      </c>
      <c r="AK36" s="22">
        <v>3.0831899999999999E-2</v>
      </c>
      <c r="AL36">
        <f t="shared" si="6"/>
        <v>18.781481481481482</v>
      </c>
      <c r="AM36">
        <f t="shared" si="7"/>
        <v>0.58176202333333338</v>
      </c>
      <c r="AP36" s="9"/>
      <c r="AQ36" s="22">
        <v>1.7291300000000001</v>
      </c>
      <c r="AR36" s="22">
        <v>24.406600000000001</v>
      </c>
      <c r="AS36" s="22">
        <v>-1.03088E-2</v>
      </c>
      <c r="AT36" s="22">
        <v>26</v>
      </c>
      <c r="AU36" s="22">
        <v>1.72821</v>
      </c>
      <c r="AV36">
        <f t="shared" si="8"/>
        <v>12.726913580246912</v>
      </c>
      <c r="AW36">
        <f t="shared" si="9"/>
        <v>22.006488079012342</v>
      </c>
      <c r="AX36" s="9"/>
      <c r="AY36" s="22">
        <v>3.0975300000000001E-2</v>
      </c>
      <c r="AZ36" s="22">
        <v>28.346699999999998</v>
      </c>
      <c r="BA36" s="22">
        <v>-1.5466300000000001E-2</v>
      </c>
      <c r="BB36" s="22">
        <v>26</v>
      </c>
      <c r="BC36" s="22">
        <v>3.0865500000000001E-2</v>
      </c>
      <c r="BD36">
        <f t="shared" si="10"/>
        <v>19.094197530864196</v>
      </c>
      <c r="BE36">
        <f t="shared" si="11"/>
        <v>0.59144849677777778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1.7240899999999999</v>
      </c>
      <c r="H37" s="22">
        <v>5.2652400000000004</v>
      </c>
      <c r="I37" s="22">
        <v>-1.06049E-2</v>
      </c>
      <c r="J37" s="22">
        <v>27</v>
      </c>
      <c r="K37" s="22">
        <v>1.72302</v>
      </c>
      <c r="L37">
        <f t="shared" si="0"/>
        <v>13.092469135802469</v>
      </c>
      <c r="M37">
        <f t="shared" si="1"/>
        <v>22.572595112345677</v>
      </c>
      <c r="N37" s="9"/>
      <c r="O37" s="22">
        <v>3.60107E-2</v>
      </c>
      <c r="P37" s="22">
        <v>9.2052800000000001</v>
      </c>
      <c r="Q37" s="22">
        <v>-1.5032999999999999E-2</v>
      </c>
      <c r="R37" s="22">
        <v>27</v>
      </c>
      <c r="S37" s="22">
        <v>3.5836800000000002E-2</v>
      </c>
      <c r="T37">
        <f t="shared" si="2"/>
        <v>18.559259259259257</v>
      </c>
      <c r="U37">
        <f t="shared" si="3"/>
        <v>0.66833191740740727</v>
      </c>
      <c r="X37" s="9"/>
      <c r="Y37" s="22">
        <v>1.7240899999999999</v>
      </c>
      <c r="Z37" s="22">
        <v>14.843500000000001</v>
      </c>
      <c r="AA37" s="22">
        <v>-1.03943E-2</v>
      </c>
      <c r="AB37" s="22">
        <v>27</v>
      </c>
      <c r="AC37" s="22">
        <v>1.72333</v>
      </c>
      <c r="AD37">
        <f t="shared" si="4"/>
        <v>12.832469135802469</v>
      </c>
      <c r="AE37">
        <f t="shared" si="5"/>
        <v>22.124331712345679</v>
      </c>
      <c r="AF37" s="9"/>
      <c r="AG37" s="22">
        <v>3.60107E-2</v>
      </c>
      <c r="AH37" s="22">
        <v>18.7835</v>
      </c>
      <c r="AI37" s="22">
        <v>-1.5203899999999999E-2</v>
      </c>
      <c r="AJ37" s="22">
        <v>27</v>
      </c>
      <c r="AK37" s="22">
        <v>3.5971099999999999E-2</v>
      </c>
      <c r="AL37">
        <f t="shared" si="6"/>
        <v>18.770246913580245</v>
      </c>
      <c r="AM37">
        <f t="shared" si="7"/>
        <v>0.67592973053086414</v>
      </c>
      <c r="AP37" s="9"/>
      <c r="AQ37" s="22">
        <v>1.7240899999999999</v>
      </c>
      <c r="AR37" s="22">
        <v>24.416699999999999</v>
      </c>
      <c r="AS37" s="22">
        <v>-1.05194E-2</v>
      </c>
      <c r="AT37" s="22">
        <v>27</v>
      </c>
      <c r="AU37" s="22">
        <v>1.72302</v>
      </c>
      <c r="AV37">
        <f t="shared" si="8"/>
        <v>12.986913580246913</v>
      </c>
      <c r="AW37">
        <f t="shared" si="9"/>
        <v>22.390607834567898</v>
      </c>
      <c r="AX37" s="9"/>
      <c r="AY37" s="22">
        <v>3.60107E-2</v>
      </c>
      <c r="AZ37" s="22">
        <v>28.3567</v>
      </c>
      <c r="BA37" s="22">
        <v>-1.54602E-2</v>
      </c>
      <c r="BB37" s="22">
        <v>27</v>
      </c>
      <c r="BC37" s="22">
        <v>3.5797099999999998E-2</v>
      </c>
      <c r="BD37">
        <f t="shared" si="10"/>
        <v>19.086666666666666</v>
      </c>
      <c r="BE37">
        <f t="shared" si="11"/>
        <v>0.68732422733333332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1.71906</v>
      </c>
      <c r="H38" s="22">
        <v>5.2753100000000002</v>
      </c>
      <c r="I38" s="22">
        <v>-1.07635E-2</v>
      </c>
      <c r="J38" s="22">
        <v>28</v>
      </c>
      <c r="K38" s="22">
        <v>1.71814</v>
      </c>
      <c r="L38">
        <f t="shared" si="0"/>
        <v>13.288271604938272</v>
      </c>
      <c r="M38">
        <f t="shared" si="1"/>
        <v>22.843336185185187</v>
      </c>
      <c r="N38" s="9"/>
      <c r="O38" s="22">
        <v>4.1046100000000002E-2</v>
      </c>
      <c r="P38" s="22">
        <v>9.2153500000000008</v>
      </c>
      <c r="Q38" s="22">
        <v>-1.5026899999999999E-2</v>
      </c>
      <c r="R38" s="22">
        <v>28</v>
      </c>
      <c r="S38" s="22">
        <v>4.1058299999999999E-2</v>
      </c>
      <c r="T38">
        <f t="shared" si="2"/>
        <v>18.551728395061726</v>
      </c>
      <c r="U38">
        <f t="shared" si="3"/>
        <v>0.76147609887654311</v>
      </c>
      <c r="X38" s="9"/>
      <c r="Y38" s="22">
        <v>1.71906</v>
      </c>
      <c r="Z38" s="22">
        <v>14.8535</v>
      </c>
      <c r="AA38" s="22">
        <v>-1.05743E-2</v>
      </c>
      <c r="AB38" s="22">
        <v>28</v>
      </c>
      <c r="AC38" s="22">
        <v>1.71783</v>
      </c>
      <c r="AD38">
        <f t="shared" si="4"/>
        <v>13.054691358024691</v>
      </c>
      <c r="AE38">
        <f t="shared" si="5"/>
        <v>22.441797725925927</v>
      </c>
      <c r="AF38" s="9"/>
      <c r="AG38" s="22">
        <v>4.1046100000000002E-2</v>
      </c>
      <c r="AH38" s="22">
        <v>18.793600000000001</v>
      </c>
      <c r="AI38" s="22">
        <v>-1.5197799999999999E-2</v>
      </c>
      <c r="AJ38" s="22">
        <v>28</v>
      </c>
      <c r="AK38" s="22">
        <v>4.0939299999999998E-2</v>
      </c>
      <c r="AL38">
        <f t="shared" si="6"/>
        <v>18.762716049382714</v>
      </c>
      <c r="AM38">
        <f t="shared" si="7"/>
        <v>0.77013631923456782</v>
      </c>
      <c r="AP38" s="9"/>
      <c r="AQ38" s="22">
        <v>1.71906</v>
      </c>
      <c r="AR38" s="22">
        <v>24.4268</v>
      </c>
      <c r="AS38" s="22">
        <v>-1.0720800000000001E-2</v>
      </c>
      <c r="AT38" s="22">
        <v>28</v>
      </c>
      <c r="AU38" s="22">
        <v>1.71783</v>
      </c>
      <c r="AV38">
        <f t="shared" si="8"/>
        <v>13.235555555555557</v>
      </c>
      <c r="AW38">
        <f t="shared" si="9"/>
        <v>22.752714133333335</v>
      </c>
      <c r="AX38" s="9"/>
      <c r="AY38" s="22">
        <v>4.1046100000000002E-2</v>
      </c>
      <c r="AZ38" s="22">
        <v>28.366800000000001</v>
      </c>
      <c r="BA38" s="22">
        <v>-1.54541E-2</v>
      </c>
      <c r="BB38" s="22">
        <v>28</v>
      </c>
      <c r="BC38" s="22">
        <v>4.1030900000000002E-2</v>
      </c>
      <c r="BD38">
        <f t="shared" si="10"/>
        <v>19.079135802469132</v>
      </c>
      <c r="BE38">
        <f t="shared" si="11"/>
        <v>0.78312411606172827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1.7140200000000001</v>
      </c>
      <c r="H39" s="22">
        <v>5.28538</v>
      </c>
      <c r="I39" s="22">
        <v>-1.0925300000000001E-2</v>
      </c>
      <c r="J39" s="22">
        <v>29</v>
      </c>
      <c r="K39" s="22">
        <v>1.71326</v>
      </c>
      <c r="L39">
        <f t="shared" si="0"/>
        <v>13.488024691358024</v>
      </c>
      <c r="M39">
        <f t="shared" si="1"/>
        <v>23.118744081481481</v>
      </c>
      <c r="N39" s="9"/>
      <c r="O39" s="22">
        <v>4.6081499999999997E-2</v>
      </c>
      <c r="P39" s="22">
        <v>9.2254199999999997</v>
      </c>
      <c r="Q39" s="22">
        <v>-1.5026899999999999E-2</v>
      </c>
      <c r="R39" s="22">
        <v>29</v>
      </c>
      <c r="S39" s="22">
        <v>4.5764199999999998E-2</v>
      </c>
      <c r="T39">
        <f t="shared" si="2"/>
        <v>18.551728395061726</v>
      </c>
      <c r="U39">
        <f t="shared" si="3"/>
        <v>0.85489147203703686</v>
      </c>
      <c r="X39" s="9"/>
      <c r="Y39" s="22">
        <v>1.7140200000000001</v>
      </c>
      <c r="Z39" s="22">
        <v>14.8636</v>
      </c>
      <c r="AA39" s="22">
        <v>-1.0748300000000001E-2</v>
      </c>
      <c r="AB39" s="22">
        <v>29</v>
      </c>
      <c r="AC39" s="22">
        <v>1.71295</v>
      </c>
      <c r="AD39">
        <f t="shared" si="4"/>
        <v>13.269506172839506</v>
      </c>
      <c r="AE39">
        <f t="shared" si="5"/>
        <v>22.74419897037037</v>
      </c>
      <c r="AF39" s="9"/>
      <c r="AG39" s="22">
        <v>4.6081499999999997E-2</v>
      </c>
      <c r="AH39" s="22">
        <v>18.803599999999999</v>
      </c>
      <c r="AI39" s="22">
        <v>-1.51947E-2</v>
      </c>
      <c r="AJ39" s="22">
        <v>29</v>
      </c>
      <c r="AK39" s="22">
        <v>4.6188399999999998E-2</v>
      </c>
      <c r="AL39">
        <f t="shared" si="6"/>
        <v>18.758888888888887</v>
      </c>
      <c r="AM39">
        <f t="shared" si="7"/>
        <v>0.86443773833333315</v>
      </c>
      <c r="AP39" s="9"/>
      <c r="AQ39" s="22">
        <v>1.7140200000000001</v>
      </c>
      <c r="AR39" s="22">
        <v>24.436800000000002</v>
      </c>
      <c r="AS39" s="22">
        <v>-1.09009E-2</v>
      </c>
      <c r="AT39" s="22">
        <v>29</v>
      </c>
      <c r="AU39" s="22">
        <v>1.71295</v>
      </c>
      <c r="AV39">
        <f t="shared" si="8"/>
        <v>13.457901234567899</v>
      </c>
      <c r="AW39">
        <f t="shared" si="9"/>
        <v>23.067111874074072</v>
      </c>
      <c r="AX39" s="9"/>
      <c r="AY39" s="22">
        <v>4.6081499999999997E-2</v>
      </c>
      <c r="AZ39" s="22">
        <v>28.376899999999999</v>
      </c>
      <c r="BA39" s="22">
        <v>-1.5450999999999999E-2</v>
      </c>
      <c r="BB39" s="22">
        <v>29</v>
      </c>
      <c r="BC39" s="22">
        <v>4.5992999999999999E-2</v>
      </c>
      <c r="BD39">
        <f t="shared" si="10"/>
        <v>19.075308641975305</v>
      </c>
      <c r="BE39">
        <f t="shared" si="11"/>
        <v>0.87901883518518498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1.7089799999999999</v>
      </c>
      <c r="H40" s="22">
        <v>5.2954499999999998</v>
      </c>
      <c r="I40" s="22">
        <v>-1.10718E-2</v>
      </c>
      <c r="J40" s="22">
        <v>30</v>
      </c>
      <c r="K40" s="22">
        <v>1.7083699999999999</v>
      </c>
      <c r="L40">
        <f t="shared" si="0"/>
        <v>13.668888888888889</v>
      </c>
      <c r="M40">
        <f t="shared" si="1"/>
        <v>23.359857733333332</v>
      </c>
      <c r="N40" s="9"/>
      <c r="O40" s="22">
        <v>5.11169E-2</v>
      </c>
      <c r="P40" s="22">
        <v>9.2354900000000004</v>
      </c>
      <c r="Q40" s="22">
        <v>-1.5020800000000001E-2</v>
      </c>
      <c r="R40" s="22">
        <v>30</v>
      </c>
      <c r="S40" s="22">
        <v>5.1156600000000003E-2</v>
      </c>
      <c r="T40">
        <f t="shared" si="2"/>
        <v>18.544197530864199</v>
      </c>
      <c r="U40">
        <f t="shared" si="3"/>
        <v>0.94792189076543221</v>
      </c>
      <c r="X40" s="9"/>
      <c r="Y40" s="22">
        <v>1.7089799999999999</v>
      </c>
      <c r="Z40" s="22">
        <v>14.873699999999999</v>
      </c>
      <c r="AA40" s="22">
        <v>-1.0907E-2</v>
      </c>
      <c r="AB40" s="22">
        <v>30</v>
      </c>
      <c r="AC40" s="22">
        <v>1.70746</v>
      </c>
      <c r="AD40">
        <f t="shared" si="4"/>
        <v>13.465432098765431</v>
      </c>
      <c r="AE40">
        <f t="shared" si="5"/>
        <v>23.012154148148145</v>
      </c>
      <c r="AF40" s="9"/>
      <c r="AG40" s="22">
        <v>5.11169E-2</v>
      </c>
      <c r="AH40" s="22">
        <v>18.813700000000001</v>
      </c>
      <c r="AI40" s="22">
        <v>-1.5191700000000001E-2</v>
      </c>
      <c r="AJ40" s="22">
        <v>30</v>
      </c>
      <c r="AK40" s="22">
        <v>5.1055900000000001E-2</v>
      </c>
      <c r="AL40">
        <f t="shared" si="6"/>
        <v>18.755185185185184</v>
      </c>
      <c r="AM40">
        <f t="shared" si="7"/>
        <v>0.95870692559259252</v>
      </c>
      <c r="AP40" s="9"/>
      <c r="AQ40" s="22">
        <v>1.7089799999999999</v>
      </c>
      <c r="AR40" s="22">
        <v>24.446899999999999</v>
      </c>
      <c r="AS40" s="22">
        <v>-1.1074799999999999E-2</v>
      </c>
      <c r="AT40" s="22">
        <v>30</v>
      </c>
      <c r="AU40" s="22">
        <v>1.70807</v>
      </c>
      <c r="AV40">
        <f t="shared" si="8"/>
        <v>13.67259259259259</v>
      </c>
      <c r="AW40">
        <f t="shared" si="9"/>
        <v>23.366187288888884</v>
      </c>
      <c r="AX40" s="9"/>
      <c r="AY40" s="22">
        <v>5.11169E-2</v>
      </c>
      <c r="AZ40" s="22">
        <v>28.386900000000001</v>
      </c>
      <c r="BA40" s="22">
        <v>-1.5444899999999999E-2</v>
      </c>
      <c r="BB40" s="22">
        <v>30</v>
      </c>
      <c r="BC40" s="22">
        <v>5.1083400000000001E-2</v>
      </c>
      <c r="BD40">
        <f t="shared" si="10"/>
        <v>19.067777777777778</v>
      </c>
      <c r="BE40">
        <f t="shared" si="11"/>
        <v>0.97468568988888893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1.7039500000000001</v>
      </c>
      <c r="H41" s="22">
        <v>5.3055199999999996</v>
      </c>
      <c r="I41" s="22">
        <v>-1.12061E-2</v>
      </c>
      <c r="J41" s="22">
        <v>31</v>
      </c>
      <c r="K41" s="22">
        <v>1.70319</v>
      </c>
      <c r="L41">
        <f t="shared" si="0"/>
        <v>13.834691358024692</v>
      </c>
      <c r="M41">
        <f t="shared" si="1"/>
        <v>23.573622339506176</v>
      </c>
      <c r="N41" s="9"/>
      <c r="O41" s="22">
        <v>5.6152300000000002E-2</v>
      </c>
      <c r="P41" s="22">
        <v>9.2455599999999993</v>
      </c>
      <c r="Q41" s="22">
        <v>-1.50177E-2</v>
      </c>
      <c r="R41" s="22">
        <v>31</v>
      </c>
      <c r="S41" s="22">
        <v>5.5633500000000002E-2</v>
      </c>
      <c r="T41">
        <f t="shared" si="2"/>
        <v>18.540370370370372</v>
      </c>
      <c r="U41">
        <f t="shared" si="3"/>
        <v>1.0410844391481482</v>
      </c>
      <c r="X41" s="9"/>
      <c r="Y41" s="22">
        <v>1.7039500000000001</v>
      </c>
      <c r="Z41" s="22">
        <v>14.883699999999999</v>
      </c>
      <c r="AA41" s="22">
        <v>-1.10565E-2</v>
      </c>
      <c r="AB41" s="22">
        <v>31</v>
      </c>
      <c r="AC41" s="22">
        <v>1.7028799999999999</v>
      </c>
      <c r="AD41">
        <f t="shared" si="4"/>
        <v>13.649999999999999</v>
      </c>
      <c r="AE41">
        <f t="shared" si="5"/>
        <v>23.258917499999999</v>
      </c>
      <c r="AF41" s="9"/>
      <c r="AG41" s="22">
        <v>5.6152300000000002E-2</v>
      </c>
      <c r="AH41" s="22">
        <v>18.823799999999999</v>
      </c>
      <c r="AI41" s="22">
        <v>-1.51886E-2</v>
      </c>
      <c r="AJ41" s="22">
        <v>31</v>
      </c>
      <c r="AK41" s="22">
        <v>5.5511499999999998E-2</v>
      </c>
      <c r="AL41">
        <f t="shared" si="6"/>
        <v>18.751358024691356</v>
      </c>
      <c r="AM41">
        <f t="shared" si="7"/>
        <v>1.0529318812098765</v>
      </c>
      <c r="AP41" s="9"/>
      <c r="AQ41" s="22">
        <v>1.7039500000000001</v>
      </c>
      <c r="AR41" s="22">
        <v>24.457000000000001</v>
      </c>
      <c r="AS41" s="22">
        <v>-1.12335E-2</v>
      </c>
      <c r="AT41" s="22">
        <v>31</v>
      </c>
      <c r="AU41" s="22">
        <v>1.70319</v>
      </c>
      <c r="AV41">
        <f t="shared" si="8"/>
        <v>13.868518518518519</v>
      </c>
      <c r="AW41">
        <f t="shared" si="9"/>
        <v>23.631262129629629</v>
      </c>
      <c r="AX41" s="9"/>
      <c r="AY41" s="22">
        <v>5.6152300000000002E-2</v>
      </c>
      <c r="AZ41" s="22">
        <v>28.396999999999998</v>
      </c>
      <c r="BA41" s="22">
        <v>-1.5438800000000001E-2</v>
      </c>
      <c r="BB41" s="22">
        <v>31</v>
      </c>
      <c r="BC41" s="22">
        <v>5.5603E-2</v>
      </c>
      <c r="BD41">
        <f t="shared" si="10"/>
        <v>19.060246913580247</v>
      </c>
      <c r="BE41">
        <f t="shared" si="11"/>
        <v>1.0702767027654321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1.6989099999999999</v>
      </c>
      <c r="H42" s="22">
        <v>5.3155900000000003</v>
      </c>
      <c r="I42" s="22">
        <v>-1.1328100000000001E-2</v>
      </c>
      <c r="J42" s="22">
        <v>32</v>
      </c>
      <c r="K42" s="22">
        <v>1.69739</v>
      </c>
      <c r="L42">
        <f t="shared" si="0"/>
        <v>13.985308641975308</v>
      </c>
      <c r="M42">
        <f t="shared" si="1"/>
        <v>23.759780704938269</v>
      </c>
      <c r="N42" s="9"/>
      <c r="O42" s="22">
        <v>6.1187699999999998E-2</v>
      </c>
      <c r="P42" s="22">
        <v>9.2556399999999996</v>
      </c>
      <c r="Q42" s="22">
        <v>-1.50116E-2</v>
      </c>
      <c r="R42" s="22">
        <v>32</v>
      </c>
      <c r="S42" s="22">
        <v>6.0821500000000001E-2</v>
      </c>
      <c r="T42">
        <f t="shared" si="2"/>
        <v>18.532839506172838</v>
      </c>
      <c r="U42">
        <f t="shared" si="3"/>
        <v>1.1339818238518518</v>
      </c>
      <c r="X42" s="9"/>
      <c r="Y42" s="22">
        <v>1.6989099999999999</v>
      </c>
      <c r="Z42" s="22">
        <v>14.893800000000001</v>
      </c>
      <c r="AA42" s="22">
        <v>-1.1190800000000001E-2</v>
      </c>
      <c r="AB42" s="22">
        <v>32</v>
      </c>
      <c r="AC42" s="22">
        <v>1.6982999999999999</v>
      </c>
      <c r="AD42">
        <f t="shared" si="4"/>
        <v>13.815802469135802</v>
      </c>
      <c r="AE42">
        <f t="shared" si="5"/>
        <v>23.471804972839504</v>
      </c>
      <c r="AF42" s="9"/>
      <c r="AG42" s="22">
        <v>6.1187699999999998E-2</v>
      </c>
      <c r="AH42" s="22">
        <v>18.8339</v>
      </c>
      <c r="AI42" s="22">
        <v>-1.5185499999999999E-2</v>
      </c>
      <c r="AJ42" s="22">
        <v>32</v>
      </c>
      <c r="AK42" s="22">
        <v>6.0668899999999998E-2</v>
      </c>
      <c r="AL42">
        <f t="shared" si="6"/>
        <v>18.747530864197529</v>
      </c>
      <c r="AM42">
        <f t="shared" si="7"/>
        <v>1.147118294259259</v>
      </c>
      <c r="AP42" s="9"/>
      <c r="AQ42" s="22">
        <v>1.6989099999999999</v>
      </c>
      <c r="AR42" s="22">
        <v>24.467099999999999</v>
      </c>
      <c r="AS42" s="22">
        <v>-1.1379999999999999E-2</v>
      </c>
      <c r="AT42" s="22">
        <v>32</v>
      </c>
      <c r="AU42" s="22">
        <v>1.6982999999999999</v>
      </c>
      <c r="AV42">
        <f t="shared" si="8"/>
        <v>14.049382716049381</v>
      </c>
      <c r="AW42">
        <f t="shared" si="9"/>
        <v>23.868636790123453</v>
      </c>
      <c r="AX42" s="9"/>
      <c r="AY42" s="22">
        <v>6.1187699999999998E-2</v>
      </c>
      <c r="AZ42" s="22">
        <v>28.4071</v>
      </c>
      <c r="BA42" s="22">
        <v>-1.54358E-2</v>
      </c>
      <c r="BB42" s="22">
        <v>32</v>
      </c>
      <c r="BC42" s="22">
        <v>6.0638400000000002E-2</v>
      </c>
      <c r="BD42">
        <f t="shared" si="10"/>
        <v>19.056543209876541</v>
      </c>
      <c r="BE42">
        <f t="shared" si="11"/>
        <v>1.1660260489629628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1.6938800000000001</v>
      </c>
      <c r="H43" s="22">
        <v>5.3256699999999997</v>
      </c>
      <c r="I43" s="22">
        <v>-1.14471E-2</v>
      </c>
      <c r="J43" s="22">
        <v>33</v>
      </c>
      <c r="K43" s="22">
        <v>1.6924999999999999</v>
      </c>
      <c r="L43">
        <f t="shared" si="0"/>
        <v>14.132222222222222</v>
      </c>
      <c r="M43">
        <f t="shared" si="1"/>
        <v>23.938288577777776</v>
      </c>
      <c r="N43" s="9"/>
      <c r="O43" s="22">
        <v>6.6223099999999993E-2</v>
      </c>
      <c r="P43" s="22">
        <v>9.2657100000000003</v>
      </c>
      <c r="Q43" s="22">
        <v>-1.5008499999999999E-2</v>
      </c>
      <c r="R43" s="22">
        <v>33</v>
      </c>
      <c r="S43" s="22">
        <v>6.5918000000000004E-2</v>
      </c>
      <c r="T43">
        <f t="shared" si="2"/>
        <v>18.529012345679011</v>
      </c>
      <c r="U43">
        <f t="shared" si="3"/>
        <v>1.2270486374691356</v>
      </c>
      <c r="X43" s="9"/>
      <c r="Y43" s="22">
        <v>1.6938800000000001</v>
      </c>
      <c r="Z43" s="22">
        <v>14.9039</v>
      </c>
      <c r="AA43" s="22">
        <v>-1.1312900000000001E-2</v>
      </c>
      <c r="AB43" s="22">
        <v>33</v>
      </c>
      <c r="AC43" s="22">
        <v>1.6928099999999999</v>
      </c>
      <c r="AD43">
        <f t="shared" si="4"/>
        <v>13.966543209876543</v>
      </c>
      <c r="AE43">
        <f t="shared" si="5"/>
        <v>23.657648212345677</v>
      </c>
      <c r="AF43" s="9"/>
      <c r="AG43" s="22">
        <v>6.6223099999999993E-2</v>
      </c>
      <c r="AH43" s="22">
        <v>18.843900000000001</v>
      </c>
      <c r="AI43" s="22">
        <v>-1.51825E-2</v>
      </c>
      <c r="AJ43" s="22">
        <v>33</v>
      </c>
      <c r="AK43" s="22">
        <v>6.5765400000000002E-2</v>
      </c>
      <c r="AL43">
        <f t="shared" si="6"/>
        <v>18.743827160493826</v>
      </c>
      <c r="AM43">
        <f t="shared" si="7"/>
        <v>1.2412743404320985</v>
      </c>
      <c r="AP43" s="9"/>
      <c r="AQ43" s="22">
        <v>1.6938800000000001</v>
      </c>
      <c r="AR43" s="22">
        <v>24.4771</v>
      </c>
      <c r="AS43" s="22">
        <v>-1.1505100000000001E-2</v>
      </c>
      <c r="AT43" s="22">
        <v>33</v>
      </c>
      <c r="AU43" s="22">
        <v>1.6928099999999999</v>
      </c>
      <c r="AV43">
        <f t="shared" si="8"/>
        <v>14.203827160493827</v>
      </c>
      <c r="AW43">
        <f t="shared" si="9"/>
        <v>24.059578750617284</v>
      </c>
      <c r="AX43" s="9"/>
      <c r="AY43" s="22">
        <v>6.6223099999999993E-2</v>
      </c>
      <c r="AZ43" s="22">
        <v>28.417200000000001</v>
      </c>
      <c r="BA43" s="22">
        <v>-1.5429699999999999E-2</v>
      </c>
      <c r="BB43" s="22">
        <v>33</v>
      </c>
      <c r="BC43" s="22">
        <v>6.5551799999999993E-2</v>
      </c>
      <c r="BD43">
        <f t="shared" si="10"/>
        <v>19.04901234567901</v>
      </c>
      <c r="BE43">
        <f t="shared" si="11"/>
        <v>1.2614846494691356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1.6888399999999999</v>
      </c>
      <c r="H44" s="22">
        <v>5.3357400000000004</v>
      </c>
      <c r="I44" s="22">
        <v>-1.15662E-2</v>
      </c>
      <c r="J44" s="22">
        <v>34</v>
      </c>
      <c r="K44" s="22">
        <v>1.6882299999999999</v>
      </c>
      <c r="L44">
        <f t="shared" si="0"/>
        <v>14.279259259259259</v>
      </c>
      <c r="M44">
        <f t="shared" si="1"/>
        <v>24.115384207407406</v>
      </c>
      <c r="N44" s="9"/>
      <c r="O44" s="22">
        <v>7.1258500000000002E-2</v>
      </c>
      <c r="P44" s="22">
        <v>9.2757799999999992</v>
      </c>
      <c r="Q44" s="22">
        <v>-1.5002400000000001E-2</v>
      </c>
      <c r="R44" s="22">
        <v>34</v>
      </c>
      <c r="S44" s="22">
        <v>7.0770299999999994E-2</v>
      </c>
      <c r="T44">
        <f t="shared" si="2"/>
        <v>18.521481481481484</v>
      </c>
      <c r="U44">
        <f t="shared" si="3"/>
        <v>1.3198129881481484</v>
      </c>
      <c r="X44" s="9"/>
      <c r="Y44" s="22">
        <v>1.6888399999999999</v>
      </c>
      <c r="Z44" s="22">
        <v>14.914</v>
      </c>
      <c r="AA44" s="22">
        <v>-1.14349E-2</v>
      </c>
      <c r="AB44" s="22">
        <v>34</v>
      </c>
      <c r="AC44" s="22">
        <v>1.6873199999999999</v>
      </c>
      <c r="AD44">
        <f t="shared" si="4"/>
        <v>14.117160493827161</v>
      </c>
      <c r="AE44">
        <f t="shared" si="5"/>
        <v>23.841625328395061</v>
      </c>
      <c r="AF44" s="9"/>
      <c r="AG44" s="22">
        <v>7.1258500000000002E-2</v>
      </c>
      <c r="AH44" s="22">
        <v>18.853999999999999</v>
      </c>
      <c r="AI44" s="22">
        <v>-1.5179399999999999E-2</v>
      </c>
      <c r="AJ44" s="22">
        <v>34</v>
      </c>
      <c r="AK44" s="22">
        <v>7.0678699999999997E-2</v>
      </c>
      <c r="AL44">
        <f t="shared" si="6"/>
        <v>18.739999999999995</v>
      </c>
      <c r="AM44">
        <f t="shared" si="7"/>
        <v>1.3353842899999997</v>
      </c>
      <c r="AP44" s="9"/>
      <c r="AQ44" s="22">
        <v>1.6888399999999999</v>
      </c>
      <c r="AR44" s="22">
        <v>24.487200000000001</v>
      </c>
      <c r="AS44" s="22">
        <v>-1.1633299999999999E-2</v>
      </c>
      <c r="AT44" s="22">
        <v>34</v>
      </c>
      <c r="AU44" s="22">
        <v>1.6879299999999999</v>
      </c>
      <c r="AV44">
        <f t="shared" si="8"/>
        <v>14.362098765432096</v>
      </c>
      <c r="AW44">
        <f t="shared" si="9"/>
        <v>24.255286879012338</v>
      </c>
      <c r="AX44" s="9"/>
      <c r="AY44" s="22">
        <v>7.1258500000000002E-2</v>
      </c>
      <c r="AZ44" s="22">
        <v>28.427199999999999</v>
      </c>
      <c r="BA44" s="22">
        <v>-1.5423600000000001E-2</v>
      </c>
      <c r="BB44" s="22">
        <v>34</v>
      </c>
      <c r="BC44" s="22">
        <v>7.0648199999999994E-2</v>
      </c>
      <c r="BD44">
        <f t="shared" si="10"/>
        <v>19.041481481481483</v>
      </c>
      <c r="BE44">
        <f t="shared" si="11"/>
        <v>1.3568674081481482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1.68381</v>
      </c>
      <c r="H45" s="22">
        <v>5.3458100000000002</v>
      </c>
      <c r="I45" s="22">
        <v>-1.1672999999999999E-2</v>
      </c>
      <c r="J45" s="22">
        <v>35</v>
      </c>
      <c r="K45" s="22">
        <v>1.6827399999999999</v>
      </c>
      <c r="L45">
        <f t="shared" si="0"/>
        <v>14.41111111111111</v>
      </c>
      <c r="M45">
        <f t="shared" si="1"/>
        <v>24.265572999999996</v>
      </c>
      <c r="N45" s="9"/>
      <c r="O45" s="22">
        <v>7.6293899999999998E-2</v>
      </c>
      <c r="P45" s="22">
        <v>9.2858499999999999</v>
      </c>
      <c r="Q45" s="22">
        <v>-1.49994E-2</v>
      </c>
      <c r="R45" s="22">
        <v>35</v>
      </c>
      <c r="S45" s="22">
        <v>7.5927700000000001E-2</v>
      </c>
      <c r="T45">
        <f t="shared" si="2"/>
        <v>18.517777777777777</v>
      </c>
      <c r="U45">
        <f t="shared" si="3"/>
        <v>1.412793486</v>
      </c>
      <c r="X45" s="9"/>
      <c r="Y45" s="22">
        <v>1.68381</v>
      </c>
      <c r="Z45" s="22">
        <v>14.923999999999999</v>
      </c>
      <c r="AA45" s="22">
        <v>-1.1550899999999999E-2</v>
      </c>
      <c r="AB45" s="22">
        <v>35</v>
      </c>
      <c r="AC45" s="22">
        <v>1.6827399999999999</v>
      </c>
      <c r="AD45">
        <f t="shared" si="4"/>
        <v>14.260370370370369</v>
      </c>
      <c r="AE45">
        <f t="shared" si="5"/>
        <v>24.011754233333331</v>
      </c>
      <c r="AF45" s="9"/>
      <c r="AG45" s="22">
        <v>7.6293899999999998E-2</v>
      </c>
      <c r="AH45" s="22">
        <v>18.864100000000001</v>
      </c>
      <c r="AI45" s="22">
        <v>-1.51764E-2</v>
      </c>
      <c r="AJ45" s="22">
        <v>35</v>
      </c>
      <c r="AK45" s="22">
        <v>7.5805700000000004E-2</v>
      </c>
      <c r="AL45">
        <f t="shared" si="6"/>
        <v>18.736296296296295</v>
      </c>
      <c r="AM45">
        <f t="shared" si="7"/>
        <v>1.4294651159999998</v>
      </c>
      <c r="AP45" s="9"/>
      <c r="AQ45" s="22">
        <v>1.68381</v>
      </c>
      <c r="AR45" s="22">
        <v>24.497299999999999</v>
      </c>
      <c r="AS45" s="22">
        <v>-1.1755399999999999E-2</v>
      </c>
      <c r="AT45" s="22">
        <v>35</v>
      </c>
      <c r="AU45" s="22">
        <v>1.6830400000000001</v>
      </c>
      <c r="AV45">
        <f t="shared" si="8"/>
        <v>14.512839506172838</v>
      </c>
      <c r="AW45">
        <f t="shared" si="9"/>
        <v>24.436864288888888</v>
      </c>
      <c r="AX45" s="9"/>
      <c r="AY45" s="22">
        <v>7.6293899999999998E-2</v>
      </c>
      <c r="AZ45" s="22">
        <v>28.4373</v>
      </c>
      <c r="BA45" s="22">
        <v>-1.5417500000000001E-2</v>
      </c>
      <c r="BB45" s="22">
        <v>35</v>
      </c>
      <c r="BC45" s="22">
        <v>7.5927700000000001E-2</v>
      </c>
      <c r="BD45">
        <f t="shared" si="10"/>
        <v>19.033950617283949</v>
      </c>
      <c r="BE45">
        <f t="shared" si="11"/>
        <v>1.4521743249999999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1.6787700000000001</v>
      </c>
      <c r="H46" s="22">
        <v>5.35588</v>
      </c>
      <c r="I46" s="22">
        <v>-1.1776699999999999E-2</v>
      </c>
      <c r="J46" s="22">
        <v>36</v>
      </c>
      <c r="K46" s="22">
        <v>1.6778599999999999</v>
      </c>
      <c r="L46">
        <f t="shared" si="0"/>
        <v>14.539135802469135</v>
      </c>
      <c r="M46">
        <f t="shared" si="1"/>
        <v>24.40786501111111</v>
      </c>
      <c r="N46" s="9"/>
      <c r="O46" s="22">
        <v>8.1329299999999993E-2</v>
      </c>
      <c r="P46" s="22">
        <v>9.2959200000000006</v>
      </c>
      <c r="Q46" s="22">
        <v>-1.4993299999999999E-2</v>
      </c>
      <c r="R46" s="22">
        <v>36</v>
      </c>
      <c r="S46" s="22">
        <v>8.0963099999999996E-2</v>
      </c>
      <c r="T46">
        <f t="shared" si="2"/>
        <v>18.510246913580243</v>
      </c>
      <c r="U46">
        <f t="shared" si="3"/>
        <v>1.5054254243086416</v>
      </c>
      <c r="X46" s="9"/>
      <c r="Y46" s="22">
        <v>1.6787700000000001</v>
      </c>
      <c r="Z46" s="22">
        <v>14.934100000000001</v>
      </c>
      <c r="AA46" s="22">
        <v>-1.1660800000000001E-2</v>
      </c>
      <c r="AB46" s="22">
        <v>36</v>
      </c>
      <c r="AC46" s="22">
        <v>1.6778599999999999</v>
      </c>
      <c r="AD46">
        <f t="shared" si="4"/>
        <v>14.396049382716049</v>
      </c>
      <c r="AE46">
        <f t="shared" si="5"/>
        <v>24.167655822222223</v>
      </c>
      <c r="AF46" s="9"/>
      <c r="AG46" s="22">
        <v>8.1329299999999993E-2</v>
      </c>
      <c r="AH46" s="22">
        <v>18.874099999999999</v>
      </c>
      <c r="AI46" s="22">
        <v>-1.5173300000000001E-2</v>
      </c>
      <c r="AJ46" s="22">
        <v>36</v>
      </c>
      <c r="AK46" s="22">
        <v>8.0902100000000005E-2</v>
      </c>
      <c r="AL46">
        <f t="shared" si="6"/>
        <v>18.732469135802468</v>
      </c>
      <c r="AM46">
        <f t="shared" si="7"/>
        <v>1.5234986020864196</v>
      </c>
      <c r="AP46" s="9"/>
      <c r="AQ46" s="22">
        <v>1.6787700000000001</v>
      </c>
      <c r="AR46" s="22">
        <v>24.507300000000001</v>
      </c>
      <c r="AS46" s="22">
        <v>-1.18774E-2</v>
      </c>
      <c r="AT46" s="22">
        <v>36</v>
      </c>
      <c r="AU46" s="22">
        <v>1.6778599999999999</v>
      </c>
      <c r="AV46">
        <f t="shared" si="8"/>
        <v>14.663456790123456</v>
      </c>
      <c r="AW46">
        <f t="shared" si="9"/>
        <v>24.616571355555557</v>
      </c>
      <c r="AX46" s="9"/>
      <c r="AY46" s="22">
        <v>8.1329299999999993E-2</v>
      </c>
      <c r="AZ46" s="22">
        <v>28.447399999999998</v>
      </c>
      <c r="BA46" s="22">
        <v>-1.54114E-2</v>
      </c>
      <c r="BB46" s="22">
        <v>36</v>
      </c>
      <c r="BC46" s="22">
        <v>8.0902100000000005E-2</v>
      </c>
      <c r="BD46">
        <f t="shared" si="10"/>
        <v>19.026419753086419</v>
      </c>
      <c r="BE46">
        <f t="shared" si="11"/>
        <v>1.5474054000246911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1.67374</v>
      </c>
      <c r="H47" s="22">
        <v>5.3659499999999998</v>
      </c>
      <c r="I47" s="22">
        <v>-1.18744E-2</v>
      </c>
      <c r="J47" s="22">
        <v>37</v>
      </c>
      <c r="K47" s="22">
        <v>1.6726700000000001</v>
      </c>
      <c r="L47">
        <f t="shared" si="0"/>
        <v>14.659753086419753</v>
      </c>
      <c r="M47">
        <f t="shared" si="1"/>
        <v>24.536615130864199</v>
      </c>
      <c r="N47" s="9"/>
      <c r="O47" s="22">
        <v>8.6364700000000003E-2</v>
      </c>
      <c r="P47" s="22">
        <v>9.3059899999999995</v>
      </c>
      <c r="Q47" s="22">
        <v>-1.49841E-2</v>
      </c>
      <c r="R47" s="22">
        <v>37</v>
      </c>
      <c r="S47" s="22">
        <v>8.58154E-2</v>
      </c>
      <c r="T47">
        <f t="shared" si="2"/>
        <v>18.498888888888889</v>
      </c>
      <c r="U47">
        <f t="shared" si="3"/>
        <v>1.5976509892222222</v>
      </c>
      <c r="X47" s="9"/>
      <c r="Y47" s="22">
        <v>1.67374</v>
      </c>
      <c r="Z47" s="22">
        <v>14.9442</v>
      </c>
      <c r="AA47" s="22">
        <v>-1.1770600000000001E-2</v>
      </c>
      <c r="AB47" s="22">
        <v>37</v>
      </c>
      <c r="AC47" s="22">
        <v>1.6726700000000001</v>
      </c>
      <c r="AD47">
        <f t="shared" si="4"/>
        <v>14.531604938271604</v>
      </c>
      <c r="AE47">
        <f t="shared" si="5"/>
        <v>24.322128449382713</v>
      </c>
      <c r="AF47" s="9"/>
      <c r="AG47" s="22">
        <v>8.6364700000000003E-2</v>
      </c>
      <c r="AH47" s="22">
        <v>18.8842</v>
      </c>
      <c r="AI47" s="22">
        <v>-1.51672E-2</v>
      </c>
      <c r="AJ47" s="22">
        <v>37</v>
      </c>
      <c r="AK47" s="22">
        <v>8.6029099999999997E-2</v>
      </c>
      <c r="AL47">
        <f t="shared" si="6"/>
        <v>18.724938271604938</v>
      </c>
      <c r="AM47">
        <f t="shared" si="7"/>
        <v>1.617173676345679</v>
      </c>
      <c r="AP47" s="9"/>
      <c r="AQ47" s="22">
        <v>1.67374</v>
      </c>
      <c r="AR47" s="22">
        <v>24.517399999999999</v>
      </c>
      <c r="AS47" s="22">
        <v>-1.1987299999999999E-2</v>
      </c>
      <c r="AT47" s="22">
        <v>37</v>
      </c>
      <c r="AU47" s="22">
        <v>1.6726700000000001</v>
      </c>
      <c r="AV47">
        <f t="shared" si="8"/>
        <v>14.799135802469134</v>
      </c>
      <c r="AW47">
        <f t="shared" si="9"/>
        <v>24.769905558024689</v>
      </c>
      <c r="AX47" s="9"/>
      <c r="AY47" s="22">
        <v>8.6364700000000003E-2</v>
      </c>
      <c r="AZ47" s="22">
        <v>28.4574</v>
      </c>
      <c r="BA47" s="22">
        <v>-1.54083E-2</v>
      </c>
      <c r="BB47" s="22">
        <v>37</v>
      </c>
      <c r="BC47" s="22">
        <v>8.5784899999999997E-2</v>
      </c>
      <c r="BD47">
        <f t="shared" si="10"/>
        <v>19.022592592592591</v>
      </c>
      <c r="BE47">
        <f t="shared" si="11"/>
        <v>1.6428805024814814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1.6687000000000001</v>
      </c>
      <c r="H48" s="22">
        <v>5.3760199999999996</v>
      </c>
      <c r="I48" s="22">
        <v>-1.19629E-2</v>
      </c>
      <c r="J48" s="22">
        <v>38</v>
      </c>
      <c r="K48" s="22">
        <v>1.6674800000000001</v>
      </c>
      <c r="L48">
        <f t="shared" si="0"/>
        <v>14.769012345679011</v>
      </c>
      <c r="M48">
        <f t="shared" si="1"/>
        <v>24.645050901234566</v>
      </c>
      <c r="N48" s="9"/>
      <c r="O48" s="22">
        <v>9.1400099999999998E-2</v>
      </c>
      <c r="P48" s="22">
        <v>9.3160600000000002</v>
      </c>
      <c r="Q48" s="22">
        <v>-1.4978E-2</v>
      </c>
      <c r="R48" s="22">
        <v>38</v>
      </c>
      <c r="S48" s="22">
        <v>9.0820300000000007E-2</v>
      </c>
      <c r="T48">
        <f t="shared" si="2"/>
        <v>18.491358024691355</v>
      </c>
      <c r="U48">
        <f t="shared" si="3"/>
        <v>1.6901119725925922</v>
      </c>
      <c r="X48" s="9"/>
      <c r="Y48" s="22">
        <v>1.6687000000000001</v>
      </c>
      <c r="Z48" s="22">
        <v>14.9542</v>
      </c>
      <c r="AA48" s="22">
        <v>-1.18713E-2</v>
      </c>
      <c r="AB48" s="22">
        <v>38</v>
      </c>
      <c r="AC48" s="22">
        <v>1.6674800000000001</v>
      </c>
      <c r="AD48">
        <f t="shared" si="4"/>
        <v>14.655925925925924</v>
      </c>
      <c r="AE48">
        <f t="shared" si="5"/>
        <v>24.456343592592592</v>
      </c>
      <c r="AF48" s="9"/>
      <c r="AG48" s="22">
        <v>9.1400099999999998E-2</v>
      </c>
      <c r="AH48" s="22">
        <v>18.894300000000001</v>
      </c>
      <c r="AI48" s="22">
        <v>-1.51611E-2</v>
      </c>
      <c r="AJ48" s="22">
        <v>38</v>
      </c>
      <c r="AK48" s="22">
        <v>9.1094999999999995E-2</v>
      </c>
      <c r="AL48">
        <f t="shared" si="6"/>
        <v>18.717407407407403</v>
      </c>
      <c r="AM48">
        <f t="shared" si="7"/>
        <v>1.7107729087777774</v>
      </c>
      <c r="AP48" s="9"/>
      <c r="AQ48" s="22">
        <v>1.6687000000000001</v>
      </c>
      <c r="AR48" s="22">
        <v>24.5275</v>
      </c>
      <c r="AS48" s="22">
        <v>-1.20911E-2</v>
      </c>
      <c r="AT48" s="22">
        <v>38</v>
      </c>
      <c r="AU48" s="22">
        <v>1.6680900000000001</v>
      </c>
      <c r="AV48">
        <f t="shared" si="8"/>
        <v>14.927283950617284</v>
      </c>
      <c r="AW48">
        <f t="shared" si="9"/>
        <v>24.909158728395063</v>
      </c>
      <c r="AX48" s="9"/>
      <c r="AY48" s="22">
        <v>9.1400099999999998E-2</v>
      </c>
      <c r="AZ48" s="22">
        <v>28.467500000000001</v>
      </c>
      <c r="BA48" s="22">
        <v>-1.53992E-2</v>
      </c>
      <c r="BB48" s="22">
        <v>38</v>
      </c>
      <c r="BC48" s="22">
        <v>9.0911900000000004E-2</v>
      </c>
      <c r="BD48">
        <f t="shared" si="10"/>
        <v>19.011358024691354</v>
      </c>
      <c r="BE48">
        <f t="shared" si="11"/>
        <v>1.7376400245925923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1.66367</v>
      </c>
      <c r="H49" s="22">
        <v>5.3860900000000003</v>
      </c>
      <c r="I49" s="22">
        <v>-1.20514E-2</v>
      </c>
      <c r="J49" s="22">
        <v>39</v>
      </c>
      <c r="K49" s="22">
        <v>1.6629</v>
      </c>
      <c r="L49">
        <f t="shared" si="0"/>
        <v>14.878271604938272</v>
      </c>
      <c r="M49">
        <f t="shared" si="1"/>
        <v>24.752534120987654</v>
      </c>
      <c r="N49" s="9"/>
      <c r="O49" s="22">
        <v>9.6435499999999993E-2</v>
      </c>
      <c r="P49" s="22">
        <v>9.3261299999999991</v>
      </c>
      <c r="Q49" s="22">
        <v>-1.4981100000000001E-2</v>
      </c>
      <c r="R49" s="22">
        <v>39</v>
      </c>
      <c r="S49" s="22">
        <v>9.5886200000000005E-2</v>
      </c>
      <c r="T49">
        <f t="shared" si="2"/>
        <v>18.495185185185186</v>
      </c>
      <c r="U49">
        <f t="shared" si="3"/>
        <v>1.7835924309259259</v>
      </c>
      <c r="X49" s="9"/>
      <c r="Y49" s="22">
        <v>1.66367</v>
      </c>
      <c r="Z49" s="22">
        <v>14.9643</v>
      </c>
      <c r="AA49" s="22">
        <v>-1.19659E-2</v>
      </c>
      <c r="AB49" s="22">
        <v>39</v>
      </c>
      <c r="AC49" s="22">
        <v>1.66229</v>
      </c>
      <c r="AD49">
        <f t="shared" si="4"/>
        <v>14.772716049382716</v>
      </c>
      <c r="AE49">
        <f t="shared" si="5"/>
        <v>24.576924509876541</v>
      </c>
      <c r="AF49" s="9"/>
      <c r="AG49" s="22">
        <v>9.6435499999999993E-2</v>
      </c>
      <c r="AH49" s="22">
        <v>18.904399999999999</v>
      </c>
      <c r="AI49" s="22">
        <v>-1.5155E-2</v>
      </c>
      <c r="AJ49" s="22">
        <v>39</v>
      </c>
      <c r="AK49" s="22">
        <v>9.5855700000000002E-2</v>
      </c>
      <c r="AL49">
        <f t="shared" si="6"/>
        <v>18.709876543209877</v>
      </c>
      <c r="AM49">
        <f t="shared" si="7"/>
        <v>1.8042962993827159</v>
      </c>
      <c r="AP49" s="9"/>
      <c r="AQ49" s="22">
        <v>1.66367</v>
      </c>
      <c r="AR49" s="22">
        <v>24.537500000000001</v>
      </c>
      <c r="AS49" s="22">
        <v>-1.21887E-2</v>
      </c>
      <c r="AT49" s="22">
        <v>39</v>
      </c>
      <c r="AU49" s="22">
        <v>1.6626000000000001</v>
      </c>
      <c r="AV49">
        <f t="shared" si="8"/>
        <v>15.047777777777776</v>
      </c>
      <c r="AW49">
        <f t="shared" si="9"/>
        <v>25.034536455555553</v>
      </c>
      <c r="AX49" s="9"/>
      <c r="AY49" s="22">
        <v>9.6435499999999993E-2</v>
      </c>
      <c r="AZ49" s="22">
        <v>28.477599999999999</v>
      </c>
      <c r="BA49" s="22">
        <v>-1.5389999999999999E-2</v>
      </c>
      <c r="BB49" s="22">
        <v>39</v>
      </c>
      <c r="BC49" s="22">
        <v>9.5947299999999999E-2</v>
      </c>
      <c r="BD49">
        <f t="shared" si="10"/>
        <v>18.999999999999996</v>
      </c>
      <c r="BE49">
        <f t="shared" si="11"/>
        <v>1.8322744999999996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1.65863</v>
      </c>
      <c r="H50" s="22">
        <v>5.3961600000000001</v>
      </c>
      <c r="I50" s="22">
        <v>-1.2124599999999999E-2</v>
      </c>
      <c r="J50" s="22">
        <v>40</v>
      </c>
      <c r="K50" s="22">
        <v>1.65802</v>
      </c>
      <c r="L50">
        <f t="shared" si="0"/>
        <v>14.968641975308641</v>
      </c>
      <c r="M50">
        <f t="shared" si="1"/>
        <v>24.827438639506173</v>
      </c>
      <c r="N50" s="9"/>
      <c r="O50" s="22">
        <v>0.10147100000000001</v>
      </c>
      <c r="P50" s="22">
        <v>9.3361999999999998</v>
      </c>
      <c r="Q50" s="22">
        <v>-1.49719E-2</v>
      </c>
      <c r="R50" s="22">
        <v>40</v>
      </c>
      <c r="S50" s="22">
        <v>0.10086100000000001</v>
      </c>
      <c r="T50">
        <f t="shared" si="2"/>
        <v>18.483827160493824</v>
      </c>
      <c r="U50">
        <f t="shared" si="3"/>
        <v>1.8755724258024689</v>
      </c>
      <c r="X50" s="9"/>
      <c r="Y50" s="22">
        <v>1.65863</v>
      </c>
      <c r="Z50" s="22">
        <v>14.974399999999999</v>
      </c>
      <c r="AA50" s="22">
        <v>-1.20514E-2</v>
      </c>
      <c r="AB50" s="22">
        <v>40</v>
      </c>
      <c r="AC50" s="22">
        <v>1.6571</v>
      </c>
      <c r="AD50">
        <f t="shared" si="4"/>
        <v>14.878271604938272</v>
      </c>
      <c r="AE50">
        <f t="shared" si="5"/>
        <v>24.677547632098765</v>
      </c>
      <c r="AF50" s="9"/>
      <c r="AG50" s="22">
        <v>0.10147100000000001</v>
      </c>
      <c r="AH50" s="22">
        <v>18.914400000000001</v>
      </c>
      <c r="AI50" s="22">
        <v>-1.51459E-2</v>
      </c>
      <c r="AJ50" s="22">
        <v>40</v>
      </c>
      <c r="AK50" s="22">
        <v>0.10104399999999999</v>
      </c>
      <c r="AL50">
        <f t="shared" si="6"/>
        <v>18.698641975308643</v>
      </c>
      <c r="AM50">
        <f t="shared" si="7"/>
        <v>1.8973698998765434</v>
      </c>
      <c r="AP50" s="9"/>
      <c r="AQ50" s="22">
        <v>1.65863</v>
      </c>
      <c r="AR50" s="22">
        <v>24.547599999999999</v>
      </c>
      <c r="AS50" s="22">
        <v>-1.2280299999999999E-2</v>
      </c>
      <c r="AT50" s="22">
        <v>40</v>
      </c>
      <c r="AU50" s="22">
        <v>1.65741</v>
      </c>
      <c r="AV50">
        <f t="shared" si="8"/>
        <v>15.160864197530863</v>
      </c>
      <c r="AW50">
        <f t="shared" si="9"/>
        <v>25.146264183950617</v>
      </c>
      <c r="AX50" s="9"/>
      <c r="AY50" s="22">
        <v>0.10147100000000001</v>
      </c>
      <c r="AZ50" s="22">
        <v>28.4877</v>
      </c>
      <c r="BA50" s="22">
        <v>-1.5383900000000001E-2</v>
      </c>
      <c r="BB50" s="22">
        <v>40</v>
      </c>
      <c r="BC50" s="22">
        <v>0.10101300000000001</v>
      </c>
      <c r="BD50">
        <f t="shared" si="10"/>
        <v>18.99246913580247</v>
      </c>
      <c r="BE50">
        <f t="shared" si="11"/>
        <v>1.9271848356790124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1.6535899999999999</v>
      </c>
      <c r="H51" s="22">
        <v>5.4062299999999999</v>
      </c>
      <c r="I51" s="22">
        <v>-1.2200900000000001E-2</v>
      </c>
      <c r="J51" s="22">
        <v>41</v>
      </c>
      <c r="K51" s="22">
        <v>1.6525300000000001</v>
      </c>
      <c r="L51">
        <f t="shared" si="0"/>
        <v>15.062839506172839</v>
      </c>
      <c r="M51">
        <f t="shared" si="1"/>
        <v>24.907760779012342</v>
      </c>
      <c r="N51" s="9"/>
      <c r="O51" s="22">
        <v>0.106506</v>
      </c>
      <c r="P51" s="22">
        <v>9.3462700000000005</v>
      </c>
      <c r="Q51" s="22">
        <v>-1.49658E-2</v>
      </c>
      <c r="R51" s="22">
        <v>41</v>
      </c>
      <c r="S51" s="22">
        <v>0.106201</v>
      </c>
      <c r="T51">
        <f t="shared" si="2"/>
        <v>18.476296296296297</v>
      </c>
      <c r="U51">
        <f t="shared" si="3"/>
        <v>1.9678364133333335</v>
      </c>
      <c r="X51" s="9"/>
      <c r="Y51" s="22">
        <v>1.6535899999999999</v>
      </c>
      <c r="Z51" s="22">
        <v>14.984500000000001</v>
      </c>
      <c r="AA51" s="22">
        <v>-1.21338E-2</v>
      </c>
      <c r="AB51" s="22">
        <v>41</v>
      </c>
      <c r="AC51" s="22">
        <v>1.6525300000000001</v>
      </c>
      <c r="AD51">
        <f t="shared" si="4"/>
        <v>14.979999999999999</v>
      </c>
      <c r="AE51">
        <f t="shared" si="5"/>
        <v>24.770778199999995</v>
      </c>
      <c r="AF51" s="9"/>
      <c r="AG51" s="22">
        <v>0.106506</v>
      </c>
      <c r="AH51" s="22">
        <v>18.924499999999998</v>
      </c>
      <c r="AI51" s="22">
        <v>-1.51428E-2</v>
      </c>
      <c r="AJ51" s="22">
        <v>41</v>
      </c>
      <c r="AK51" s="22">
        <v>0.10611</v>
      </c>
      <c r="AL51">
        <f t="shared" si="6"/>
        <v>18.694814814814812</v>
      </c>
      <c r="AM51">
        <f t="shared" si="7"/>
        <v>1.9911099466666664</v>
      </c>
      <c r="AP51" s="9"/>
      <c r="AQ51" s="22">
        <v>1.6535899999999999</v>
      </c>
      <c r="AR51" s="22">
        <v>24.557700000000001</v>
      </c>
      <c r="AS51" s="22">
        <v>-1.2368799999999999E-2</v>
      </c>
      <c r="AT51" s="22">
        <v>41</v>
      </c>
      <c r="AU51" s="22">
        <v>1.6525300000000001</v>
      </c>
      <c r="AV51">
        <f t="shared" si="8"/>
        <v>15.270123456790122</v>
      </c>
      <c r="AW51">
        <f t="shared" si="9"/>
        <v>25.250523446913576</v>
      </c>
      <c r="AX51" s="9"/>
      <c r="AY51" s="22">
        <v>0.106506</v>
      </c>
      <c r="AZ51" s="22">
        <v>28.497699999999998</v>
      </c>
      <c r="BA51" s="22">
        <v>-1.53778E-2</v>
      </c>
      <c r="BB51" s="22">
        <v>41</v>
      </c>
      <c r="BC51" s="22">
        <v>0.10577400000000001</v>
      </c>
      <c r="BD51">
        <f t="shared" si="10"/>
        <v>18.984938271604936</v>
      </c>
      <c r="BE51">
        <f t="shared" si="11"/>
        <v>2.0220098355555551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1.64856</v>
      </c>
      <c r="H52" s="22">
        <v>5.4162999999999997</v>
      </c>
      <c r="I52" s="22">
        <v>-1.2268100000000001E-2</v>
      </c>
      <c r="J52" s="22">
        <v>42</v>
      </c>
      <c r="K52" s="22">
        <v>1.64825</v>
      </c>
      <c r="L52">
        <f t="shared" si="0"/>
        <v>15.145802469135802</v>
      </c>
      <c r="M52">
        <f t="shared" si="1"/>
        <v>24.968764118518518</v>
      </c>
      <c r="N52" s="9"/>
      <c r="O52" s="22">
        <v>0.111542</v>
      </c>
      <c r="P52" s="22">
        <v>9.3563500000000008</v>
      </c>
      <c r="Q52" s="22">
        <v>-1.4959699999999999E-2</v>
      </c>
      <c r="R52" s="22">
        <v>42</v>
      </c>
      <c r="S52" s="22">
        <v>0.111206</v>
      </c>
      <c r="T52">
        <f t="shared" si="2"/>
        <v>18.468765432098763</v>
      </c>
      <c r="U52">
        <f t="shared" si="3"/>
        <v>2.0600430338271605</v>
      </c>
      <c r="X52" s="9"/>
      <c r="Y52" s="22">
        <v>1.64856</v>
      </c>
      <c r="Z52" s="22">
        <v>14.9945</v>
      </c>
      <c r="AA52" s="22">
        <v>-1.2204E-2</v>
      </c>
      <c r="AB52" s="22">
        <v>42</v>
      </c>
      <c r="AC52" s="22">
        <v>1.64795</v>
      </c>
      <c r="AD52">
        <f t="shared" si="4"/>
        <v>15.066666666666666</v>
      </c>
      <c r="AE52">
        <f t="shared" si="5"/>
        <v>24.838304000000001</v>
      </c>
      <c r="AF52" s="9"/>
      <c r="AG52" s="22">
        <v>0.111542</v>
      </c>
      <c r="AH52" s="22">
        <v>18.9346</v>
      </c>
      <c r="AI52" s="22">
        <v>-1.51428E-2</v>
      </c>
      <c r="AJ52" s="22">
        <v>42</v>
      </c>
      <c r="AK52" s="22">
        <v>0.11099199999999999</v>
      </c>
      <c r="AL52">
        <f t="shared" si="6"/>
        <v>18.694814814814812</v>
      </c>
      <c r="AM52">
        <f t="shared" si="7"/>
        <v>2.0852570340740737</v>
      </c>
      <c r="AP52" s="9"/>
      <c r="AQ52" s="22">
        <v>1.64856</v>
      </c>
      <c r="AR52" s="22">
        <v>24.567799999999998</v>
      </c>
      <c r="AS52" s="22">
        <v>-1.2439E-2</v>
      </c>
      <c r="AT52" s="22">
        <v>42</v>
      </c>
      <c r="AU52" s="22">
        <v>1.64734</v>
      </c>
      <c r="AV52">
        <f t="shared" si="8"/>
        <v>15.35679012345679</v>
      </c>
      <c r="AW52">
        <f t="shared" si="9"/>
        <v>25.316589925925925</v>
      </c>
      <c r="AX52" s="9"/>
      <c r="AY52" s="22">
        <v>0.111542</v>
      </c>
      <c r="AZ52" s="22">
        <v>28.5078</v>
      </c>
      <c r="BA52" s="22">
        <v>-1.5374799999999999E-2</v>
      </c>
      <c r="BB52" s="22">
        <v>42</v>
      </c>
      <c r="BC52" s="22">
        <v>0.11096200000000001</v>
      </c>
      <c r="BD52">
        <f t="shared" si="10"/>
        <v>18.981234567901232</v>
      </c>
      <c r="BE52">
        <f t="shared" si="11"/>
        <v>2.1172048661728393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1.6435200000000001</v>
      </c>
      <c r="H53" s="22">
        <v>5.42638</v>
      </c>
      <c r="I53" s="22">
        <v>-1.23322E-2</v>
      </c>
      <c r="J53" s="22">
        <v>43</v>
      </c>
      <c r="K53" s="22">
        <v>1.64276</v>
      </c>
      <c r="L53">
        <f t="shared" si="0"/>
        <v>15.224938271604938</v>
      </c>
      <c r="M53">
        <f t="shared" si="1"/>
        <v>25.022490548148149</v>
      </c>
      <c r="N53" s="9"/>
      <c r="O53" s="22">
        <v>0.116577</v>
      </c>
      <c r="P53" s="22">
        <v>9.3664199999999997</v>
      </c>
      <c r="Q53" s="22">
        <v>-1.4953599999999999E-2</v>
      </c>
      <c r="R53" s="22">
        <v>43</v>
      </c>
      <c r="S53" s="22">
        <v>0.115936</v>
      </c>
      <c r="T53">
        <f t="shared" si="2"/>
        <v>18.461234567901233</v>
      </c>
      <c r="U53">
        <f t="shared" si="3"/>
        <v>2.1521553422222222</v>
      </c>
      <c r="X53" s="9"/>
      <c r="Y53" s="22">
        <v>1.6435200000000001</v>
      </c>
      <c r="Z53" s="22">
        <v>15.0046</v>
      </c>
      <c r="AA53" s="22">
        <v>-1.2268100000000001E-2</v>
      </c>
      <c r="AB53" s="22">
        <v>43</v>
      </c>
      <c r="AC53" s="22">
        <v>1.64307</v>
      </c>
      <c r="AD53">
        <f t="shared" si="4"/>
        <v>15.145802469135802</v>
      </c>
      <c r="AE53">
        <f t="shared" si="5"/>
        <v>24.892429274074075</v>
      </c>
      <c r="AF53" s="9"/>
      <c r="AG53" s="22">
        <v>0.116577</v>
      </c>
      <c r="AH53" s="22">
        <v>18.944600000000001</v>
      </c>
      <c r="AI53" s="22">
        <v>-1.5136699999999999E-2</v>
      </c>
      <c r="AJ53" s="22">
        <v>43</v>
      </c>
      <c r="AK53" s="22">
        <v>0.11615</v>
      </c>
      <c r="AL53">
        <f t="shared" si="6"/>
        <v>18.687283950617282</v>
      </c>
      <c r="AM53">
        <f t="shared" si="7"/>
        <v>2.178507501111111</v>
      </c>
      <c r="AP53" s="9"/>
      <c r="AQ53" s="22">
        <v>1.6435200000000001</v>
      </c>
      <c r="AR53" s="22">
        <v>24.5778</v>
      </c>
      <c r="AS53" s="22">
        <v>-1.25092E-2</v>
      </c>
      <c r="AT53" s="22">
        <v>43</v>
      </c>
      <c r="AU53" s="22">
        <v>1.64246</v>
      </c>
      <c r="AV53">
        <f t="shared" si="8"/>
        <v>15.443456790123456</v>
      </c>
      <c r="AW53">
        <f t="shared" si="9"/>
        <v>25.381630103703703</v>
      </c>
      <c r="AX53" s="9"/>
      <c r="AY53" s="22">
        <v>0.116577</v>
      </c>
      <c r="AZ53" s="22">
        <v>28.517900000000001</v>
      </c>
      <c r="BA53" s="22">
        <v>-1.53717E-2</v>
      </c>
      <c r="BB53" s="22">
        <v>43</v>
      </c>
      <c r="BC53" s="22">
        <v>0.11615</v>
      </c>
      <c r="BD53">
        <f t="shared" si="10"/>
        <v>18.977407407407409</v>
      </c>
      <c r="BE53">
        <f t="shared" si="11"/>
        <v>2.2123292233333336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1.63849</v>
      </c>
      <c r="H54" s="22">
        <v>5.4364499999999998</v>
      </c>
      <c r="I54" s="22">
        <v>-1.23932E-2</v>
      </c>
      <c r="J54" s="22">
        <v>44</v>
      </c>
      <c r="K54" s="22">
        <v>1.63788</v>
      </c>
      <c r="L54">
        <f t="shared" si="0"/>
        <v>15.300246913580246</v>
      </c>
      <c r="M54">
        <f t="shared" si="1"/>
        <v>25.069301565432095</v>
      </c>
      <c r="N54" s="9"/>
      <c r="O54" s="22">
        <v>0.121613</v>
      </c>
      <c r="P54" s="22">
        <v>9.3764900000000004</v>
      </c>
      <c r="Q54" s="22">
        <v>-1.49506E-2</v>
      </c>
      <c r="R54" s="22">
        <v>44</v>
      </c>
      <c r="S54" s="22">
        <v>0.121277</v>
      </c>
      <c r="T54">
        <f t="shared" si="2"/>
        <v>18.45753086419753</v>
      </c>
      <c r="U54">
        <f t="shared" si="3"/>
        <v>2.2446757009876541</v>
      </c>
      <c r="X54" s="9"/>
      <c r="Y54" s="22">
        <v>1.63849</v>
      </c>
      <c r="Z54" s="22">
        <v>15.014699999999999</v>
      </c>
      <c r="AA54" s="22">
        <v>-1.2335199999999999E-2</v>
      </c>
      <c r="AB54" s="22">
        <v>44</v>
      </c>
      <c r="AC54" s="22">
        <v>1.63757</v>
      </c>
      <c r="AD54">
        <f t="shared" si="4"/>
        <v>15.228641975308641</v>
      </c>
      <c r="AE54">
        <f t="shared" si="5"/>
        <v>24.951977590123455</v>
      </c>
      <c r="AF54" s="9"/>
      <c r="AG54" s="22">
        <v>0.121613</v>
      </c>
      <c r="AH54" s="22">
        <v>18.954699999999999</v>
      </c>
      <c r="AI54" s="22">
        <v>-1.5130599999999999E-2</v>
      </c>
      <c r="AJ54" s="22">
        <v>44</v>
      </c>
      <c r="AK54" s="22">
        <v>0.12124600000000001</v>
      </c>
      <c r="AL54">
        <f t="shared" si="6"/>
        <v>18.679753086419751</v>
      </c>
      <c r="AM54">
        <f t="shared" si="7"/>
        <v>2.2717008120987652</v>
      </c>
      <c r="AP54" s="9"/>
      <c r="AQ54" s="22">
        <v>1.63849</v>
      </c>
      <c r="AR54" s="22">
        <v>24.587900000000001</v>
      </c>
      <c r="AS54" s="22">
        <v>-1.25702E-2</v>
      </c>
      <c r="AT54" s="22">
        <v>44</v>
      </c>
      <c r="AU54" s="22">
        <v>1.63757</v>
      </c>
      <c r="AV54">
        <f t="shared" si="8"/>
        <v>15.518765432098766</v>
      </c>
      <c r="AW54">
        <f t="shared" si="9"/>
        <v>25.427341972839507</v>
      </c>
      <c r="AX54" s="9"/>
      <c r="AY54" s="22">
        <v>0.121613</v>
      </c>
      <c r="AZ54" s="22">
        <v>28.527899999999999</v>
      </c>
      <c r="BA54" s="22">
        <v>-1.53656E-2</v>
      </c>
      <c r="BB54" s="22">
        <v>44</v>
      </c>
      <c r="BC54" s="22">
        <v>0.120972</v>
      </c>
      <c r="BD54">
        <f t="shared" si="10"/>
        <v>18.969876543209878</v>
      </c>
      <c r="BE54">
        <f t="shared" si="11"/>
        <v>2.306983596049383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1.6334500000000001</v>
      </c>
      <c r="H55" s="22">
        <v>5.4465199999999996</v>
      </c>
      <c r="I55" s="22">
        <v>-1.24481E-2</v>
      </c>
      <c r="J55" s="22">
        <v>45</v>
      </c>
      <c r="K55" s="22">
        <v>1.63208</v>
      </c>
      <c r="L55">
        <f t="shared" si="0"/>
        <v>15.368024691358023</v>
      </c>
      <c r="M55">
        <f t="shared" si="1"/>
        <v>25.102899932098765</v>
      </c>
      <c r="N55" s="9"/>
      <c r="O55" s="22">
        <v>0.12664800000000001</v>
      </c>
      <c r="P55" s="22">
        <v>9.3865599999999993</v>
      </c>
      <c r="Q55" s="22">
        <v>-1.4947500000000001E-2</v>
      </c>
      <c r="R55" s="22">
        <v>45</v>
      </c>
      <c r="S55" s="22">
        <v>0.126251</v>
      </c>
      <c r="T55">
        <f t="shared" si="2"/>
        <v>18.453703703703706</v>
      </c>
      <c r="U55">
        <f t="shared" si="3"/>
        <v>2.337124666666667</v>
      </c>
      <c r="X55" s="9"/>
      <c r="Y55" s="22">
        <v>1.6334500000000001</v>
      </c>
      <c r="Z55" s="22">
        <v>15.024699999999999</v>
      </c>
      <c r="AA55" s="22">
        <v>-1.2411500000000001E-2</v>
      </c>
      <c r="AB55" s="22">
        <v>45</v>
      </c>
      <c r="AC55" s="22">
        <v>1.63269</v>
      </c>
      <c r="AD55">
        <f t="shared" si="4"/>
        <v>15.322839506172839</v>
      </c>
      <c r="AE55">
        <f t="shared" si="5"/>
        <v>25.029092191358025</v>
      </c>
      <c r="AF55" s="9"/>
      <c r="AG55" s="22">
        <v>0.12664800000000001</v>
      </c>
      <c r="AH55" s="22">
        <v>18.9648</v>
      </c>
      <c r="AI55" s="22">
        <v>-1.51276E-2</v>
      </c>
      <c r="AJ55" s="22">
        <v>45</v>
      </c>
      <c r="AK55" s="22">
        <v>0.12606800000000001</v>
      </c>
      <c r="AL55">
        <f t="shared" si="6"/>
        <v>18.676049382716048</v>
      </c>
      <c r="AM55">
        <f t="shared" si="7"/>
        <v>2.3652843022222223</v>
      </c>
      <c r="AP55" s="9"/>
      <c r="AQ55" s="22">
        <v>1.6334500000000001</v>
      </c>
      <c r="AR55" s="22">
        <v>24.597999999999999</v>
      </c>
      <c r="AS55" s="22">
        <v>-1.2637300000000001E-2</v>
      </c>
      <c r="AT55" s="22">
        <v>45</v>
      </c>
      <c r="AU55" s="22">
        <v>1.63269</v>
      </c>
      <c r="AV55">
        <f t="shared" si="8"/>
        <v>15.601604938271604</v>
      </c>
      <c r="AW55">
        <f t="shared" si="9"/>
        <v>25.484441586419752</v>
      </c>
      <c r="AX55" s="9"/>
      <c r="AY55" s="22">
        <v>0.12664800000000001</v>
      </c>
      <c r="AZ55" s="22">
        <v>28.538</v>
      </c>
      <c r="BA55" s="22">
        <v>-1.53595E-2</v>
      </c>
      <c r="BB55" s="22">
        <v>45</v>
      </c>
      <c r="BC55" s="22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1.62842</v>
      </c>
      <c r="H56" s="22">
        <v>5.4565900000000003</v>
      </c>
      <c r="I56" s="22">
        <v>-1.24969E-2</v>
      </c>
      <c r="J56" s="22">
        <v>46</v>
      </c>
      <c r="K56" s="22">
        <v>1.6274999999999999</v>
      </c>
      <c r="L56">
        <f t="shared" si="0"/>
        <v>15.428271604938271</v>
      </c>
      <c r="M56">
        <f t="shared" si="1"/>
        <v>25.123706046913579</v>
      </c>
      <c r="N56" s="9"/>
      <c r="O56" s="22">
        <v>0.13168299999999999</v>
      </c>
      <c r="P56" s="22">
        <v>9.39663</v>
      </c>
      <c r="Q56" s="22">
        <v>-1.49506E-2</v>
      </c>
      <c r="R56" s="22">
        <v>46</v>
      </c>
      <c r="S56" s="22">
        <v>0.13131699999999999</v>
      </c>
      <c r="T56">
        <f t="shared" si="2"/>
        <v>18.45753086419753</v>
      </c>
      <c r="U56">
        <f t="shared" si="3"/>
        <v>2.4305430367901231</v>
      </c>
      <c r="X56" s="9"/>
      <c r="Y56" s="22">
        <v>1.62842</v>
      </c>
      <c r="Z56" s="22">
        <v>15.034800000000001</v>
      </c>
      <c r="AA56" s="22">
        <v>-1.2478599999999999E-2</v>
      </c>
      <c r="AB56" s="22">
        <v>46</v>
      </c>
      <c r="AC56" s="22">
        <v>1.62842</v>
      </c>
      <c r="AD56">
        <f t="shared" si="4"/>
        <v>15.405679012345677</v>
      </c>
      <c r="AE56">
        <f t="shared" si="5"/>
        <v>25.086915817283948</v>
      </c>
      <c r="AF56" s="9"/>
      <c r="AG56" s="22">
        <v>0.13168299999999999</v>
      </c>
      <c r="AH56" s="22">
        <v>18.974900000000002</v>
      </c>
      <c r="AI56" s="22">
        <v>-1.5118400000000001E-2</v>
      </c>
      <c r="AJ56" s="22">
        <v>46</v>
      </c>
      <c r="AK56" s="22">
        <v>0.13122600000000001</v>
      </c>
      <c r="AL56">
        <f t="shared" si="6"/>
        <v>18.66469135802469</v>
      </c>
      <c r="AM56">
        <f t="shared" si="7"/>
        <v>2.4578225520987651</v>
      </c>
      <c r="AP56" s="9"/>
      <c r="AQ56" s="22">
        <v>1.62842</v>
      </c>
      <c r="AR56" s="22">
        <v>24.608000000000001</v>
      </c>
      <c r="AS56" s="22">
        <v>-1.27014E-2</v>
      </c>
      <c r="AT56" s="22">
        <v>46</v>
      </c>
      <c r="AU56" s="22">
        <v>1.6274999999999999</v>
      </c>
      <c r="AV56">
        <f t="shared" si="8"/>
        <v>15.680740740740738</v>
      </c>
      <c r="AW56">
        <f t="shared" si="9"/>
        <v>25.534831837037032</v>
      </c>
      <c r="AX56" s="9"/>
      <c r="AY56" s="22">
        <v>0.13168299999999999</v>
      </c>
      <c r="AZ56" s="22">
        <v>28.548100000000002</v>
      </c>
      <c r="BA56" s="22">
        <v>-1.5356399999999999E-2</v>
      </c>
      <c r="BB56" s="22">
        <v>46</v>
      </c>
      <c r="BC56" s="22">
        <v>0.13119500000000001</v>
      </c>
      <c r="BD56">
        <f t="shared" si="10"/>
        <v>18.958518518518517</v>
      </c>
      <c r="BE56">
        <f t="shared" si="11"/>
        <v>2.4965145940740738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1.62338</v>
      </c>
      <c r="H57" s="22">
        <v>5.4666600000000001</v>
      </c>
      <c r="I57" s="22">
        <v>-1.2548800000000001E-2</v>
      </c>
      <c r="J57" s="22">
        <v>47</v>
      </c>
      <c r="K57" s="22">
        <v>1.6223099999999999</v>
      </c>
      <c r="L57">
        <f t="shared" si="0"/>
        <v>15.492345679012345</v>
      </c>
      <c r="M57">
        <f t="shared" si="1"/>
        <v>25.149964128395062</v>
      </c>
      <c r="N57" s="9"/>
      <c r="O57" s="22">
        <v>0.13671900000000001</v>
      </c>
      <c r="P57" s="22">
        <v>9.4067000000000007</v>
      </c>
      <c r="Q57" s="22">
        <v>-1.4947500000000001E-2</v>
      </c>
      <c r="R57" s="22">
        <v>47</v>
      </c>
      <c r="S57" s="22">
        <v>0.13626099999999999</v>
      </c>
      <c r="T57">
        <f t="shared" si="2"/>
        <v>18.453703703703706</v>
      </c>
      <c r="U57">
        <f t="shared" si="3"/>
        <v>2.5229719166666671</v>
      </c>
      <c r="X57" s="9"/>
      <c r="Y57" s="22">
        <v>1.62338</v>
      </c>
      <c r="Z57" s="22">
        <v>15.0449</v>
      </c>
      <c r="AA57" s="22">
        <v>-1.2548800000000001E-2</v>
      </c>
      <c r="AB57" s="22">
        <v>47</v>
      </c>
      <c r="AC57" s="22">
        <v>1.62201</v>
      </c>
      <c r="AD57">
        <f t="shared" si="4"/>
        <v>15.492345679012345</v>
      </c>
      <c r="AE57">
        <f t="shared" si="5"/>
        <v>25.149964128395062</v>
      </c>
      <c r="AF57" s="9"/>
      <c r="AG57" s="22">
        <v>0.13671900000000001</v>
      </c>
      <c r="AH57" s="22">
        <v>18.9849</v>
      </c>
      <c r="AI57" s="22">
        <v>-1.5115399999999999E-2</v>
      </c>
      <c r="AJ57" s="22">
        <v>47</v>
      </c>
      <c r="AK57" s="22">
        <v>0.13616900000000001</v>
      </c>
      <c r="AL57">
        <f t="shared" si="6"/>
        <v>18.660987654320987</v>
      </c>
      <c r="AM57">
        <f t="shared" si="7"/>
        <v>2.5513115711111114</v>
      </c>
      <c r="AP57" s="9"/>
      <c r="AQ57" s="22">
        <v>1.62338</v>
      </c>
      <c r="AR57" s="22">
        <v>24.618099999999998</v>
      </c>
      <c r="AS57" s="22">
        <v>-1.2765500000000001E-2</v>
      </c>
      <c r="AT57" s="22">
        <v>47</v>
      </c>
      <c r="AU57" s="22">
        <v>1.62262</v>
      </c>
      <c r="AV57">
        <f t="shared" si="8"/>
        <v>15.759876543209876</v>
      </c>
      <c r="AW57">
        <f t="shared" si="9"/>
        <v>25.584268382716047</v>
      </c>
      <c r="AX57" s="9"/>
      <c r="AY57" s="22">
        <v>0.13671900000000001</v>
      </c>
      <c r="AZ57" s="22">
        <v>28.558199999999999</v>
      </c>
      <c r="BA57" s="22">
        <v>-1.5347299999999999E-2</v>
      </c>
      <c r="BB57" s="22">
        <v>47</v>
      </c>
      <c r="BC57" s="22">
        <v>0.13613900000000001</v>
      </c>
      <c r="BD57">
        <f t="shared" si="10"/>
        <v>18.947283950617283</v>
      </c>
      <c r="BE57">
        <f t="shared" si="11"/>
        <v>2.5904537144444446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1.61835</v>
      </c>
      <c r="H58" s="22">
        <v>5.4767299999999999</v>
      </c>
      <c r="I58" s="22">
        <v>-1.2600699999999999E-2</v>
      </c>
      <c r="J58" s="22">
        <v>48</v>
      </c>
      <c r="K58" s="22">
        <v>1.61774</v>
      </c>
      <c r="L58">
        <f t="shared" si="0"/>
        <v>15.556419753086418</v>
      </c>
      <c r="M58">
        <f t="shared" si="1"/>
        <v>25.175731907407403</v>
      </c>
      <c r="N58" s="9"/>
      <c r="O58" s="22">
        <v>0.14175399999999999</v>
      </c>
      <c r="P58" s="22">
        <v>9.4167699999999996</v>
      </c>
      <c r="Q58" s="22">
        <v>-1.4938399999999999E-2</v>
      </c>
      <c r="R58" s="22">
        <v>48</v>
      </c>
      <c r="S58" s="22">
        <v>0.14144899999999999</v>
      </c>
      <c r="T58">
        <f t="shared" si="2"/>
        <v>18.442469135802465</v>
      </c>
      <c r="U58">
        <f t="shared" si="3"/>
        <v>2.6142937698765425</v>
      </c>
      <c r="X58" s="9"/>
      <c r="Y58" s="22">
        <v>1.61835</v>
      </c>
      <c r="Z58" s="22">
        <v>15.055</v>
      </c>
      <c r="AA58" s="22">
        <v>-1.2600699999999999E-2</v>
      </c>
      <c r="AB58" s="22">
        <v>48</v>
      </c>
      <c r="AC58" s="22">
        <v>1.6168199999999999</v>
      </c>
      <c r="AD58">
        <f t="shared" si="4"/>
        <v>15.556419753086418</v>
      </c>
      <c r="AE58">
        <f t="shared" si="5"/>
        <v>25.175731907407403</v>
      </c>
      <c r="AF58" s="9"/>
      <c r="AG58" s="22">
        <v>0.14175399999999999</v>
      </c>
      <c r="AH58" s="22">
        <v>18.995000000000001</v>
      </c>
      <c r="AI58" s="22">
        <v>-1.51062E-2</v>
      </c>
      <c r="AJ58" s="22">
        <v>48</v>
      </c>
      <c r="AK58" s="22">
        <v>0.141296</v>
      </c>
      <c r="AL58">
        <f t="shared" si="6"/>
        <v>18.649629629629626</v>
      </c>
      <c r="AM58">
        <f t="shared" si="7"/>
        <v>2.6436595985185178</v>
      </c>
      <c r="AP58" s="9"/>
      <c r="AQ58" s="22">
        <v>1.61835</v>
      </c>
      <c r="AR58" s="22">
        <v>24.6282</v>
      </c>
      <c r="AS58" s="22">
        <v>-1.28296E-2</v>
      </c>
      <c r="AT58" s="22">
        <v>48</v>
      </c>
      <c r="AU58" s="22">
        <v>1.61713</v>
      </c>
      <c r="AV58">
        <f t="shared" si="8"/>
        <v>15.839012345679013</v>
      </c>
      <c r="AW58">
        <f t="shared" si="9"/>
        <v>25.63306562962963</v>
      </c>
      <c r="AX58" s="9"/>
      <c r="AY58" s="22">
        <v>0.14175399999999999</v>
      </c>
      <c r="AZ58" s="22">
        <v>28.568200000000001</v>
      </c>
      <c r="BA58" s="22">
        <v>-1.5344200000000001E-2</v>
      </c>
      <c r="BB58" s="22">
        <v>48</v>
      </c>
      <c r="BC58" s="22">
        <v>0.141266</v>
      </c>
      <c r="BD58">
        <f t="shared" si="10"/>
        <v>18.943456790123456</v>
      </c>
      <c r="BE58">
        <f t="shared" si="11"/>
        <v>2.68531077382716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1.61331</v>
      </c>
      <c r="H59" s="22">
        <v>5.4867999999999997</v>
      </c>
      <c r="I59" s="22">
        <v>-1.26526E-2</v>
      </c>
      <c r="J59" s="22">
        <v>49</v>
      </c>
      <c r="K59" s="22">
        <v>1.6122399999999999</v>
      </c>
      <c r="L59">
        <f t="shared" si="0"/>
        <v>15.620493827160493</v>
      </c>
      <c r="M59">
        <f t="shared" si="1"/>
        <v>25.200698896296295</v>
      </c>
      <c r="N59" s="9"/>
      <c r="O59" s="22">
        <v>0.14679</v>
      </c>
      <c r="P59" s="22">
        <v>9.4268400000000003</v>
      </c>
      <c r="Q59" s="22">
        <v>-1.4932300000000001E-2</v>
      </c>
      <c r="R59" s="22">
        <v>49</v>
      </c>
      <c r="S59" s="22">
        <v>0.146393</v>
      </c>
      <c r="T59">
        <f t="shared" si="2"/>
        <v>18.434938271604938</v>
      </c>
      <c r="U59">
        <f t="shared" si="3"/>
        <v>2.7060645888888888</v>
      </c>
      <c r="X59" s="9"/>
      <c r="Y59" s="22">
        <v>1.61331</v>
      </c>
      <c r="Z59" s="22">
        <v>15.065</v>
      </c>
      <c r="AA59" s="22">
        <v>-1.26526E-2</v>
      </c>
      <c r="AB59" s="22">
        <v>49</v>
      </c>
      <c r="AC59" s="22">
        <v>1.6125499999999999</v>
      </c>
      <c r="AD59">
        <f t="shared" si="4"/>
        <v>15.620493827160493</v>
      </c>
      <c r="AE59">
        <f t="shared" si="5"/>
        <v>25.200698896296295</v>
      </c>
      <c r="AF59" s="9"/>
      <c r="AG59" s="22">
        <v>0.14679</v>
      </c>
      <c r="AH59" s="22">
        <v>19.005099999999999</v>
      </c>
      <c r="AI59" s="22">
        <v>-1.5096999999999999E-2</v>
      </c>
      <c r="AJ59" s="22">
        <v>49</v>
      </c>
      <c r="AK59" s="22">
        <v>0.14636199999999999</v>
      </c>
      <c r="AL59">
        <f t="shared" si="6"/>
        <v>18.638271604938272</v>
      </c>
      <c r="AM59">
        <f t="shared" si="7"/>
        <v>2.7359118888888889</v>
      </c>
      <c r="AP59" s="9"/>
      <c r="AQ59" s="22">
        <v>1.61331</v>
      </c>
      <c r="AR59" s="22">
        <v>24.638300000000001</v>
      </c>
      <c r="AS59" s="22">
        <v>-1.2887600000000001E-2</v>
      </c>
      <c r="AT59" s="22">
        <v>49</v>
      </c>
      <c r="AU59" s="22">
        <v>1.6128499999999999</v>
      </c>
      <c r="AV59">
        <f t="shared" si="8"/>
        <v>15.910617283950618</v>
      </c>
      <c r="AW59">
        <f t="shared" si="9"/>
        <v>25.668757970370372</v>
      </c>
      <c r="AX59" s="9"/>
      <c r="AY59" s="22">
        <v>0.14679</v>
      </c>
      <c r="AZ59" s="22">
        <v>28.578299999999999</v>
      </c>
      <c r="BA59" s="22">
        <v>-1.53381E-2</v>
      </c>
      <c r="BB59" s="22">
        <v>49</v>
      </c>
      <c r="BC59" s="22">
        <v>0.146393</v>
      </c>
      <c r="BD59">
        <f t="shared" si="10"/>
        <v>18.935925925925925</v>
      </c>
      <c r="BE59">
        <f t="shared" si="11"/>
        <v>2.7796045666666664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1.6082799999999999</v>
      </c>
      <c r="H60" s="22">
        <v>5.4968700000000004</v>
      </c>
      <c r="I60" s="22">
        <v>-1.2710600000000001E-2</v>
      </c>
      <c r="J60" s="22">
        <v>50</v>
      </c>
      <c r="K60" s="22">
        <v>1.6073599999999999</v>
      </c>
      <c r="L60">
        <f t="shared" si="0"/>
        <v>15.692098765432098</v>
      </c>
      <c r="M60">
        <f t="shared" si="1"/>
        <v>25.237288602469132</v>
      </c>
      <c r="N60" s="9"/>
      <c r="O60" s="22">
        <v>0.15182499999999999</v>
      </c>
      <c r="P60" s="22">
        <v>9.4369099999999992</v>
      </c>
      <c r="Q60" s="22">
        <v>-1.49231E-2</v>
      </c>
      <c r="R60" s="22">
        <v>50</v>
      </c>
      <c r="S60" s="22">
        <v>0.15096999999999999</v>
      </c>
      <c r="T60">
        <f t="shared" si="2"/>
        <v>18.423580246913577</v>
      </c>
      <c r="U60">
        <f t="shared" si="3"/>
        <v>2.7971600709876534</v>
      </c>
      <c r="X60" s="9"/>
      <c r="Y60" s="22">
        <v>1.6082799999999999</v>
      </c>
      <c r="Z60" s="22">
        <v>15.075100000000001</v>
      </c>
      <c r="AA60" s="22">
        <v>-1.2704500000000001E-2</v>
      </c>
      <c r="AB60" s="22">
        <v>50</v>
      </c>
      <c r="AC60" s="22">
        <v>1.6076699999999999</v>
      </c>
      <c r="AD60">
        <f t="shared" si="4"/>
        <v>15.684567901234566</v>
      </c>
      <c r="AE60">
        <f t="shared" si="5"/>
        <v>25.225176864197525</v>
      </c>
      <c r="AF60" s="9"/>
      <c r="AG60" s="22">
        <v>0.15182499999999999</v>
      </c>
      <c r="AH60" s="22">
        <v>19.0151</v>
      </c>
      <c r="AI60" s="22">
        <v>-1.5090900000000001E-2</v>
      </c>
      <c r="AJ60" s="22">
        <v>50</v>
      </c>
      <c r="AK60" s="22">
        <v>0.15127599999999999</v>
      </c>
      <c r="AL60">
        <f t="shared" si="6"/>
        <v>18.630740740740741</v>
      </c>
      <c r="AM60">
        <f t="shared" si="7"/>
        <v>2.8286122129629629</v>
      </c>
      <c r="AP60" s="9"/>
      <c r="AQ60" s="22">
        <v>1.6082799999999999</v>
      </c>
      <c r="AR60" s="22">
        <v>24.648299999999999</v>
      </c>
      <c r="AS60" s="22">
        <v>-1.2936400000000001E-2</v>
      </c>
      <c r="AT60" s="22">
        <v>50</v>
      </c>
      <c r="AU60" s="22">
        <v>1.6073599999999999</v>
      </c>
      <c r="AV60">
        <f t="shared" si="8"/>
        <v>15.970864197530865</v>
      </c>
      <c r="AW60">
        <f t="shared" si="9"/>
        <v>25.685621471604939</v>
      </c>
      <c r="AX60" s="9"/>
      <c r="AY60" s="22">
        <v>0.15182499999999999</v>
      </c>
      <c r="AZ60" s="22">
        <v>28.5884</v>
      </c>
      <c r="BA60" s="22">
        <v>-1.5332E-2</v>
      </c>
      <c r="BB60" s="22">
        <v>50</v>
      </c>
      <c r="BC60" s="22">
        <v>0.15142800000000001</v>
      </c>
      <c r="BD60">
        <f t="shared" si="10"/>
        <v>18.928395061728395</v>
      </c>
      <c r="BE60">
        <f t="shared" si="11"/>
        <v>2.8738035802469133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1.60324</v>
      </c>
      <c r="H61" s="22">
        <v>5.5069400000000002</v>
      </c>
      <c r="I61" s="22">
        <v>-1.2765500000000001E-2</v>
      </c>
      <c r="J61" s="22">
        <v>51</v>
      </c>
      <c r="K61" s="22">
        <v>1.6021700000000001</v>
      </c>
      <c r="L61">
        <f t="shared" si="0"/>
        <v>15.759876543209876</v>
      </c>
      <c r="M61">
        <f t="shared" si="1"/>
        <v>25.2668644691358</v>
      </c>
      <c r="N61" s="9"/>
      <c r="O61" s="22">
        <v>0.15686</v>
      </c>
      <c r="P61" s="22">
        <v>9.4469799999999999</v>
      </c>
      <c r="Q61" s="22">
        <v>-1.4919999999999999E-2</v>
      </c>
      <c r="R61" s="22">
        <v>51</v>
      </c>
      <c r="S61" s="22">
        <v>0.15637200000000001</v>
      </c>
      <c r="T61">
        <f t="shared" si="2"/>
        <v>18.41975308641975</v>
      </c>
      <c r="U61">
        <f t="shared" si="3"/>
        <v>2.8893224691358017</v>
      </c>
      <c r="X61" s="9"/>
      <c r="Y61" s="22">
        <v>1.60324</v>
      </c>
      <c r="Z61" s="22">
        <v>15.0852</v>
      </c>
      <c r="AA61" s="22">
        <v>-1.2759400000000001E-2</v>
      </c>
      <c r="AB61" s="22">
        <v>51</v>
      </c>
      <c r="AC61" s="22">
        <v>1.6021700000000001</v>
      </c>
      <c r="AD61">
        <f t="shared" si="4"/>
        <v>15.752345679012343</v>
      </c>
      <c r="AE61">
        <f t="shared" si="5"/>
        <v>25.254790686419749</v>
      </c>
      <c r="AF61" s="9"/>
      <c r="AG61" s="22">
        <v>0.15686</v>
      </c>
      <c r="AH61" s="22">
        <v>19.025200000000002</v>
      </c>
      <c r="AI61" s="22">
        <v>-1.50879E-2</v>
      </c>
      <c r="AJ61" s="22">
        <v>51</v>
      </c>
      <c r="AK61" s="22">
        <v>0.15637200000000001</v>
      </c>
      <c r="AL61">
        <f t="shared" si="6"/>
        <v>18.627037037037034</v>
      </c>
      <c r="AM61">
        <f t="shared" si="7"/>
        <v>2.921837029629629</v>
      </c>
      <c r="AP61" s="9"/>
      <c r="AQ61" s="22">
        <v>1.60324</v>
      </c>
      <c r="AR61" s="22">
        <v>24.6584</v>
      </c>
      <c r="AS61" s="22">
        <v>-1.2982199999999999E-2</v>
      </c>
      <c r="AT61" s="22">
        <v>51</v>
      </c>
      <c r="AU61" s="22">
        <v>1.6024799999999999</v>
      </c>
      <c r="AV61">
        <f t="shared" si="8"/>
        <v>16.027407407407406</v>
      </c>
      <c r="AW61">
        <f t="shared" si="9"/>
        <v>25.695780651851848</v>
      </c>
      <c r="AX61" s="9"/>
      <c r="AY61" s="22">
        <v>0.15686</v>
      </c>
      <c r="AZ61" s="22">
        <v>28.598400000000002</v>
      </c>
      <c r="BA61" s="22">
        <v>-1.53229E-2</v>
      </c>
      <c r="BB61" s="22">
        <v>51</v>
      </c>
      <c r="BC61" s="22">
        <v>0.15612799999999999</v>
      </c>
      <c r="BD61">
        <f t="shared" si="10"/>
        <v>18.917160493827158</v>
      </c>
      <c r="BE61">
        <f t="shared" si="11"/>
        <v>2.9673457950617279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1.5982099999999999</v>
      </c>
      <c r="H62" s="22">
        <v>5.51701</v>
      </c>
      <c r="I62" s="22">
        <v>-1.2811299999999999E-2</v>
      </c>
      <c r="J62" s="22">
        <v>52</v>
      </c>
      <c r="K62" s="22">
        <v>1.5966800000000001</v>
      </c>
      <c r="L62">
        <f t="shared" si="0"/>
        <v>15.816419753086418</v>
      </c>
      <c r="M62">
        <f t="shared" si="1"/>
        <v>25.277960213580243</v>
      </c>
      <c r="N62" s="9"/>
      <c r="O62" s="22">
        <v>0.16189600000000001</v>
      </c>
      <c r="P62" s="22">
        <v>9.4570600000000002</v>
      </c>
      <c r="Q62" s="22">
        <v>-1.4919999999999999E-2</v>
      </c>
      <c r="R62" s="22">
        <v>52</v>
      </c>
      <c r="S62" s="22">
        <v>0.16134599999999999</v>
      </c>
      <c r="T62">
        <f t="shared" si="2"/>
        <v>18.41975308641975</v>
      </c>
      <c r="U62">
        <f t="shared" si="3"/>
        <v>2.982084345679012</v>
      </c>
      <c r="X62" s="9"/>
      <c r="Y62" s="22">
        <v>1.5982099999999999</v>
      </c>
      <c r="Z62" s="22">
        <v>15.0952</v>
      </c>
      <c r="AA62" s="22">
        <v>-1.2814300000000001E-2</v>
      </c>
      <c r="AB62" s="22">
        <v>52</v>
      </c>
      <c r="AC62" s="22">
        <v>1.5972900000000001</v>
      </c>
      <c r="AD62">
        <f t="shared" si="4"/>
        <v>15.820123456790125</v>
      </c>
      <c r="AE62">
        <f t="shared" si="5"/>
        <v>25.283879509876545</v>
      </c>
      <c r="AF62" s="9"/>
      <c r="AG62" s="22">
        <v>0.16189600000000001</v>
      </c>
      <c r="AH62" s="22">
        <v>19.035299999999999</v>
      </c>
      <c r="AI62" s="22">
        <v>-1.50879E-2</v>
      </c>
      <c r="AJ62" s="22">
        <v>52</v>
      </c>
      <c r="AK62" s="22">
        <v>0.16140699999999999</v>
      </c>
      <c r="AL62">
        <f t="shared" si="6"/>
        <v>18.627037037037034</v>
      </c>
      <c r="AM62">
        <f t="shared" si="7"/>
        <v>3.0156427881481478</v>
      </c>
      <c r="AP62" s="9"/>
      <c r="AQ62" s="22">
        <v>1.5982099999999999</v>
      </c>
      <c r="AR62" s="22">
        <v>24.668500000000002</v>
      </c>
      <c r="AS62" s="22">
        <v>-1.3024900000000001E-2</v>
      </c>
      <c r="AT62" s="22">
        <v>52</v>
      </c>
      <c r="AU62" s="22">
        <v>1.5975999999999999</v>
      </c>
      <c r="AV62">
        <f t="shared" si="8"/>
        <v>16.080123456790126</v>
      </c>
      <c r="AW62">
        <f t="shared" si="9"/>
        <v>25.699414109876546</v>
      </c>
      <c r="AX62" s="9"/>
      <c r="AY62" s="22">
        <v>0.16189600000000001</v>
      </c>
      <c r="AZ62" s="22">
        <v>28.608499999999999</v>
      </c>
      <c r="BA62" s="22">
        <v>-1.53168E-2</v>
      </c>
      <c r="BB62" s="22">
        <v>52</v>
      </c>
      <c r="BC62" s="22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1.59317</v>
      </c>
      <c r="H63" s="22">
        <v>5.5270900000000003</v>
      </c>
      <c r="I63" s="22">
        <v>-1.2854000000000001E-2</v>
      </c>
      <c r="J63" s="22">
        <v>53</v>
      </c>
      <c r="K63" s="22">
        <v>1.5924100000000001</v>
      </c>
      <c r="L63">
        <f t="shared" si="0"/>
        <v>15.869135802469136</v>
      </c>
      <c r="M63">
        <f t="shared" si="1"/>
        <v>25.282231086419753</v>
      </c>
      <c r="N63" s="9"/>
      <c r="O63" s="22">
        <v>0.166931</v>
      </c>
      <c r="P63" s="22">
        <v>9.4671299999999992</v>
      </c>
      <c r="Q63" s="22">
        <v>-1.4917E-2</v>
      </c>
      <c r="R63" s="22">
        <v>53</v>
      </c>
      <c r="S63" s="22">
        <v>0.16619900000000001</v>
      </c>
      <c r="T63">
        <f t="shared" si="2"/>
        <v>18.416049382716047</v>
      </c>
      <c r="U63">
        <f t="shared" si="3"/>
        <v>3.0742095395061724</v>
      </c>
      <c r="X63" s="9"/>
      <c r="Y63" s="22">
        <v>1.59317</v>
      </c>
      <c r="Z63" s="22">
        <v>15.1053</v>
      </c>
      <c r="AA63" s="22">
        <v>-1.28662E-2</v>
      </c>
      <c r="AB63" s="22">
        <v>53</v>
      </c>
      <c r="AC63" s="22">
        <v>1.5924100000000001</v>
      </c>
      <c r="AD63">
        <f t="shared" si="4"/>
        <v>15.884197530864196</v>
      </c>
      <c r="AE63">
        <f t="shared" si="5"/>
        <v>25.306226980246912</v>
      </c>
      <c r="AF63" s="9"/>
      <c r="AG63" s="22">
        <v>0.166931</v>
      </c>
      <c r="AH63" s="22">
        <v>19.045300000000001</v>
      </c>
      <c r="AI63" s="22">
        <v>-1.5081799999999999E-2</v>
      </c>
      <c r="AJ63" s="22">
        <v>53</v>
      </c>
      <c r="AK63" s="22">
        <v>0.166321</v>
      </c>
      <c r="AL63">
        <f t="shared" si="6"/>
        <v>18.619506172839504</v>
      </c>
      <c r="AM63">
        <f t="shared" si="7"/>
        <v>3.108172784938271</v>
      </c>
      <c r="AP63" s="9"/>
      <c r="AQ63" s="22">
        <v>1.59317</v>
      </c>
      <c r="AR63" s="22">
        <v>24.6785</v>
      </c>
      <c r="AS63" s="22">
        <v>-1.30768E-2</v>
      </c>
      <c r="AT63" s="22">
        <v>53</v>
      </c>
      <c r="AU63" s="22">
        <v>1.5924100000000001</v>
      </c>
      <c r="AV63">
        <f t="shared" si="8"/>
        <v>16.144197530864194</v>
      </c>
      <c r="AW63">
        <f t="shared" si="9"/>
        <v>25.720451180246908</v>
      </c>
      <c r="AX63" s="9"/>
      <c r="AY63" s="22">
        <v>0.166931</v>
      </c>
      <c r="AZ63" s="22">
        <v>28.618600000000001</v>
      </c>
      <c r="BA63" s="22">
        <v>-1.53107E-2</v>
      </c>
      <c r="BB63" s="22">
        <v>53</v>
      </c>
      <c r="BC63" s="22">
        <v>0.16628999999999999</v>
      </c>
      <c r="BD63">
        <f t="shared" si="10"/>
        <v>18.9020987654321</v>
      </c>
      <c r="BE63">
        <f t="shared" si="11"/>
        <v>3.1553462490123461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1.58813</v>
      </c>
      <c r="H64" s="22">
        <v>5.5371600000000001</v>
      </c>
      <c r="I64" s="22">
        <v>-1.2902800000000001E-2</v>
      </c>
      <c r="J64" s="22">
        <v>54</v>
      </c>
      <c r="K64" s="22">
        <v>1.5872200000000001</v>
      </c>
      <c r="L64">
        <f t="shared" si="0"/>
        <v>15.929382716049382</v>
      </c>
      <c r="M64">
        <f t="shared" si="1"/>
        <v>25.297930572839505</v>
      </c>
      <c r="N64" s="9"/>
      <c r="O64" s="22">
        <v>0.17196700000000001</v>
      </c>
      <c r="P64" s="22">
        <v>9.4771999999999998</v>
      </c>
      <c r="Q64" s="22">
        <v>-1.4917E-2</v>
      </c>
      <c r="R64" s="22">
        <v>54</v>
      </c>
      <c r="S64" s="22">
        <v>0.1716</v>
      </c>
      <c r="T64">
        <f t="shared" si="2"/>
        <v>18.416049382716047</v>
      </c>
      <c r="U64">
        <f t="shared" si="3"/>
        <v>3.1669527641975304</v>
      </c>
      <c r="X64" s="9"/>
      <c r="Y64" s="22">
        <v>1.58813</v>
      </c>
      <c r="Z64" s="22">
        <v>15.115399999999999</v>
      </c>
      <c r="AA64" s="22">
        <v>-1.2908899999999999E-2</v>
      </c>
      <c r="AB64" s="22">
        <v>54</v>
      </c>
      <c r="AC64" s="22">
        <v>1.5872200000000001</v>
      </c>
      <c r="AD64">
        <f t="shared" si="4"/>
        <v>15.936913580246911</v>
      </c>
      <c r="AE64">
        <f t="shared" si="5"/>
        <v>25.309890564197527</v>
      </c>
      <c r="AF64" s="9"/>
      <c r="AG64" s="22">
        <v>0.17196700000000001</v>
      </c>
      <c r="AH64" s="22">
        <v>19.055399999999999</v>
      </c>
      <c r="AI64" s="22">
        <v>-1.5075699999999999E-2</v>
      </c>
      <c r="AJ64" s="22">
        <v>54</v>
      </c>
      <c r="AK64" s="22">
        <v>0.17141700000000001</v>
      </c>
      <c r="AL64">
        <f t="shared" si="6"/>
        <v>18.611975308641973</v>
      </c>
      <c r="AM64">
        <f t="shared" si="7"/>
        <v>3.2006455579012343</v>
      </c>
      <c r="AP64" s="9"/>
      <c r="AQ64" s="22">
        <v>1.58813</v>
      </c>
      <c r="AR64" s="22">
        <v>24.688600000000001</v>
      </c>
      <c r="AS64" s="22">
        <v>-1.31226E-2</v>
      </c>
      <c r="AT64" s="22">
        <v>54</v>
      </c>
      <c r="AU64" s="22">
        <v>1.58691</v>
      </c>
      <c r="AV64">
        <f t="shared" si="8"/>
        <v>16.200740740740741</v>
      </c>
      <c r="AW64">
        <f t="shared" si="9"/>
        <v>25.728882392592595</v>
      </c>
      <c r="AX64" s="9"/>
      <c r="AY64" s="22">
        <v>0.17196700000000001</v>
      </c>
      <c r="AZ64" s="22">
        <v>28.628699999999998</v>
      </c>
      <c r="BA64" s="22">
        <v>-1.5307599999999999E-2</v>
      </c>
      <c r="BB64" s="22">
        <v>54</v>
      </c>
      <c r="BC64" s="22">
        <v>0.17147799999999999</v>
      </c>
      <c r="BD64">
        <f t="shared" si="10"/>
        <v>18.89827160493827</v>
      </c>
      <c r="BE64">
        <f t="shared" si="11"/>
        <v>3.2498790730864195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1.5831</v>
      </c>
      <c r="H65" s="22">
        <v>5.5472299999999999</v>
      </c>
      <c r="I65" s="22">
        <v>-1.2948599999999999E-2</v>
      </c>
      <c r="J65" s="22">
        <v>55</v>
      </c>
      <c r="K65" s="22">
        <v>1.5823400000000001</v>
      </c>
      <c r="L65">
        <f t="shared" si="0"/>
        <v>15.985925925925924</v>
      </c>
      <c r="M65">
        <f t="shared" si="1"/>
        <v>25.307319333333329</v>
      </c>
      <c r="N65" s="9"/>
      <c r="O65" s="22">
        <v>0.17700199999999999</v>
      </c>
      <c r="P65" s="22">
        <v>9.4872700000000005</v>
      </c>
      <c r="Q65" s="22">
        <v>-1.4913900000000001E-2</v>
      </c>
      <c r="R65" s="22">
        <v>55</v>
      </c>
      <c r="S65" s="22">
        <v>0.17639199999999999</v>
      </c>
      <c r="T65">
        <f t="shared" si="2"/>
        <v>18.412222222222223</v>
      </c>
      <c r="U65">
        <f t="shared" si="3"/>
        <v>3.2590001577777779</v>
      </c>
      <c r="X65" s="9"/>
      <c r="Y65" s="22">
        <v>1.5831</v>
      </c>
      <c r="Z65" s="22">
        <v>15.125400000000001</v>
      </c>
      <c r="AA65" s="22">
        <v>-1.2948599999999999E-2</v>
      </c>
      <c r="AB65" s="22">
        <v>55</v>
      </c>
      <c r="AC65" s="22">
        <v>1.58203</v>
      </c>
      <c r="AD65">
        <f t="shared" si="4"/>
        <v>15.985925925925924</v>
      </c>
      <c r="AE65">
        <f t="shared" si="5"/>
        <v>25.307319333333329</v>
      </c>
      <c r="AF65" s="9"/>
      <c r="AG65" s="22">
        <v>0.17700199999999999</v>
      </c>
      <c r="AH65" s="22">
        <v>19.0655</v>
      </c>
      <c r="AI65" s="22">
        <v>-1.50726E-2</v>
      </c>
      <c r="AJ65" s="22">
        <v>55</v>
      </c>
      <c r="AK65" s="22">
        <v>0.176727</v>
      </c>
      <c r="AL65">
        <f t="shared" si="6"/>
        <v>18.60814814814815</v>
      </c>
      <c r="AM65">
        <f t="shared" si="7"/>
        <v>3.2936794385185189</v>
      </c>
      <c r="AP65" s="9"/>
      <c r="AQ65" s="22">
        <v>1.5831</v>
      </c>
      <c r="AR65" s="22">
        <v>24.698699999999999</v>
      </c>
      <c r="AS65" s="22">
        <v>-1.3162200000000001E-2</v>
      </c>
      <c r="AT65" s="22">
        <v>55</v>
      </c>
      <c r="AU65" s="22">
        <v>1.5823400000000001</v>
      </c>
      <c r="AV65">
        <f t="shared" si="8"/>
        <v>16.249629629629627</v>
      </c>
      <c r="AW65">
        <f t="shared" si="9"/>
        <v>25.724788666666662</v>
      </c>
      <c r="AX65" s="9"/>
      <c r="AY65" s="22">
        <v>0.17700199999999999</v>
      </c>
      <c r="AZ65" s="22">
        <v>28.6387</v>
      </c>
      <c r="BA65" s="22">
        <v>-1.5301500000000001E-2</v>
      </c>
      <c r="BB65" s="22">
        <v>55</v>
      </c>
      <c r="BC65" s="22">
        <v>0.17633099999999999</v>
      </c>
      <c r="BD65">
        <f t="shared" si="10"/>
        <v>18.890740740740739</v>
      </c>
      <c r="BE65">
        <f t="shared" si="11"/>
        <v>3.3436988925925921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1.57806</v>
      </c>
      <c r="H66" s="22">
        <v>5.5572999999999997</v>
      </c>
      <c r="I66" s="22">
        <v>-1.2982199999999999E-2</v>
      </c>
      <c r="J66" s="22">
        <v>56</v>
      </c>
      <c r="K66" s="22">
        <v>1.57745</v>
      </c>
      <c r="L66">
        <f t="shared" si="0"/>
        <v>16.027407407407406</v>
      </c>
      <c r="M66">
        <f t="shared" si="1"/>
        <v>25.292210533333332</v>
      </c>
      <c r="N66" s="9"/>
      <c r="O66" s="22">
        <v>0.182037</v>
      </c>
      <c r="P66" s="22">
        <v>9.4973399999999994</v>
      </c>
      <c r="Q66" s="22">
        <v>-1.49109E-2</v>
      </c>
      <c r="R66" s="22">
        <v>56</v>
      </c>
      <c r="S66" s="22">
        <v>0.18127399999999999</v>
      </c>
      <c r="T66">
        <f t="shared" si="2"/>
        <v>18.408518518518516</v>
      </c>
      <c r="U66">
        <f t="shared" si="3"/>
        <v>3.3510314855555552</v>
      </c>
      <c r="X66" s="9"/>
      <c r="Y66" s="22">
        <v>1.57806</v>
      </c>
      <c r="Z66" s="22">
        <v>15.1355</v>
      </c>
      <c r="AA66" s="22">
        <v>-1.2982199999999999E-2</v>
      </c>
      <c r="AB66" s="22">
        <v>56</v>
      </c>
      <c r="AC66" s="22">
        <v>1.5771500000000001</v>
      </c>
      <c r="AD66">
        <f t="shared" si="4"/>
        <v>16.027407407407406</v>
      </c>
      <c r="AE66">
        <f t="shared" si="5"/>
        <v>25.292210533333332</v>
      </c>
      <c r="AF66" s="9"/>
      <c r="AG66" s="22">
        <v>0.182037</v>
      </c>
      <c r="AH66" s="22">
        <v>19.075600000000001</v>
      </c>
      <c r="AI66" s="22">
        <v>-1.5069600000000001E-2</v>
      </c>
      <c r="AJ66" s="22">
        <v>56</v>
      </c>
      <c r="AK66" s="22">
        <v>0.181366</v>
      </c>
      <c r="AL66">
        <f t="shared" si="6"/>
        <v>18.604444444444443</v>
      </c>
      <c r="AM66">
        <f t="shared" si="7"/>
        <v>3.3866972533333333</v>
      </c>
      <c r="AP66" s="9"/>
      <c r="AQ66" s="22">
        <v>1.57806</v>
      </c>
      <c r="AR66" s="22">
        <v>24.7088</v>
      </c>
      <c r="AS66" s="22">
        <v>-1.3201900000000001E-2</v>
      </c>
      <c r="AT66" s="22">
        <v>56</v>
      </c>
      <c r="AU66" s="22">
        <v>1.57684</v>
      </c>
      <c r="AV66">
        <f t="shared" si="8"/>
        <v>16.298641975308641</v>
      </c>
      <c r="AW66">
        <f t="shared" si="9"/>
        <v>25.720234955555554</v>
      </c>
      <c r="AX66" s="9"/>
      <c r="AY66" s="22">
        <v>0.182037</v>
      </c>
      <c r="AZ66" s="22">
        <v>28.648800000000001</v>
      </c>
      <c r="BA66" s="22">
        <v>-1.5295400000000001E-2</v>
      </c>
      <c r="BB66" s="22">
        <v>56</v>
      </c>
      <c r="BC66" s="22">
        <v>0.18130499999999999</v>
      </c>
      <c r="BD66">
        <f t="shared" si="10"/>
        <v>18.883209876543212</v>
      </c>
      <c r="BE66">
        <f t="shared" si="11"/>
        <v>3.4374428762962967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1.5730299999999999</v>
      </c>
      <c r="H67" s="22">
        <v>5.5673700000000004</v>
      </c>
      <c r="I67" s="22">
        <v>-1.30157E-2</v>
      </c>
      <c r="J67" s="22">
        <v>57</v>
      </c>
      <c r="K67" s="22">
        <v>1.57196</v>
      </c>
      <c r="L67">
        <f t="shared" si="0"/>
        <v>16.068765432098765</v>
      </c>
      <c r="M67">
        <f t="shared" si="1"/>
        <v>25.276650087654318</v>
      </c>
      <c r="N67" s="9"/>
      <c r="O67" s="22">
        <v>0.18707299999999999</v>
      </c>
      <c r="P67" s="22">
        <v>9.5074100000000001</v>
      </c>
      <c r="Q67" s="22">
        <v>-1.4904799999999999E-2</v>
      </c>
      <c r="R67" s="22">
        <v>57</v>
      </c>
      <c r="S67" s="22">
        <v>0.186615</v>
      </c>
      <c r="T67">
        <f t="shared" si="2"/>
        <v>18.400987654320986</v>
      </c>
      <c r="U67">
        <f t="shared" si="3"/>
        <v>3.4423279634567896</v>
      </c>
      <c r="X67" s="9"/>
      <c r="Y67" s="22">
        <v>1.5730299999999999</v>
      </c>
      <c r="Z67" s="22">
        <v>15.1456</v>
      </c>
      <c r="AA67" s="22">
        <v>-1.3018800000000001E-2</v>
      </c>
      <c r="AB67" s="22">
        <v>57</v>
      </c>
      <c r="AC67" s="22">
        <v>1.5716600000000001</v>
      </c>
      <c r="AD67">
        <f t="shared" si="4"/>
        <v>16.072592592592592</v>
      </c>
      <c r="AE67">
        <f t="shared" si="5"/>
        <v>25.282670325925924</v>
      </c>
      <c r="AF67" s="9"/>
      <c r="AG67" s="22">
        <v>0.18707299999999999</v>
      </c>
      <c r="AH67" s="22">
        <v>19.085599999999999</v>
      </c>
      <c r="AI67" s="22">
        <v>-1.50604E-2</v>
      </c>
      <c r="AJ67" s="22">
        <v>57</v>
      </c>
      <c r="AK67" s="22">
        <v>0.18646199999999999</v>
      </c>
      <c r="AL67">
        <f t="shared" si="6"/>
        <v>18.593086419753085</v>
      </c>
      <c r="AM67">
        <f t="shared" si="7"/>
        <v>3.4782644558024689</v>
      </c>
      <c r="AP67" s="9"/>
      <c r="AQ67" s="22">
        <v>1.5730299999999999</v>
      </c>
      <c r="AR67" s="22">
        <v>24.718800000000002</v>
      </c>
      <c r="AS67" s="22">
        <v>-1.32385E-2</v>
      </c>
      <c r="AT67" s="22">
        <v>57</v>
      </c>
      <c r="AU67" s="22">
        <v>1.5722700000000001</v>
      </c>
      <c r="AV67">
        <f t="shared" si="8"/>
        <v>16.343827160493824</v>
      </c>
      <c r="AW67">
        <f t="shared" si="9"/>
        <v>25.7093304382716</v>
      </c>
      <c r="AX67" s="9"/>
      <c r="AY67" s="22">
        <v>0.18707299999999999</v>
      </c>
      <c r="AZ67" s="22">
        <v>28.658899999999999</v>
      </c>
      <c r="BA67" s="22">
        <v>-1.5292399999999999E-2</v>
      </c>
      <c r="BB67" s="22">
        <v>57</v>
      </c>
      <c r="BC67" s="22">
        <v>0.18652299999999999</v>
      </c>
      <c r="BD67">
        <f t="shared" si="10"/>
        <v>18.879506172839505</v>
      </c>
      <c r="BE67">
        <f t="shared" si="11"/>
        <v>3.5318458582716046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1.56799</v>
      </c>
      <c r="H68" s="22">
        <v>5.5774400000000002</v>
      </c>
      <c r="I68" s="22">
        <v>-1.30524E-2</v>
      </c>
      <c r="J68" s="22">
        <v>58</v>
      </c>
      <c r="K68" s="22">
        <v>1.56647</v>
      </c>
      <c r="L68">
        <f t="shared" si="0"/>
        <v>16.114074074074072</v>
      </c>
      <c r="M68">
        <f t="shared" si="1"/>
        <v>25.266707007407405</v>
      </c>
      <c r="N68" s="9"/>
      <c r="O68" s="22">
        <v>0.192108</v>
      </c>
      <c r="P68" s="22">
        <v>9.5174800000000008</v>
      </c>
      <c r="Q68" s="22">
        <v>-1.4898700000000001E-2</v>
      </c>
      <c r="R68" s="22">
        <v>58</v>
      </c>
      <c r="S68" s="22">
        <v>0.19164999999999999</v>
      </c>
      <c r="T68">
        <f t="shared" si="2"/>
        <v>18.393456790123455</v>
      </c>
      <c r="U68">
        <f t="shared" si="3"/>
        <v>3.5335301970370367</v>
      </c>
      <c r="X68" s="9"/>
      <c r="Y68" s="22">
        <v>1.56799</v>
      </c>
      <c r="Z68" s="22">
        <v>15.1557</v>
      </c>
      <c r="AA68" s="22">
        <v>-1.3058500000000001E-2</v>
      </c>
      <c r="AB68" s="22">
        <v>58</v>
      </c>
      <c r="AC68" s="22">
        <v>1.56708</v>
      </c>
      <c r="AD68">
        <f t="shared" si="4"/>
        <v>16.121604938271602</v>
      </c>
      <c r="AE68">
        <f t="shared" si="5"/>
        <v>25.278515327160491</v>
      </c>
      <c r="AF68" s="9"/>
      <c r="AG68" s="22">
        <v>0.192108</v>
      </c>
      <c r="AH68" s="22">
        <v>19.095700000000001</v>
      </c>
      <c r="AI68" s="22">
        <v>-1.50574E-2</v>
      </c>
      <c r="AJ68" s="22">
        <v>58</v>
      </c>
      <c r="AK68" s="22">
        <v>0.19131500000000001</v>
      </c>
      <c r="AL68">
        <f t="shared" si="6"/>
        <v>18.589382716049382</v>
      </c>
      <c r="AM68">
        <f t="shared" si="7"/>
        <v>3.5711691348148147</v>
      </c>
      <c r="AP68" s="9"/>
      <c r="AQ68" s="22">
        <v>1.56799</v>
      </c>
      <c r="AR68" s="22">
        <v>24.728899999999999</v>
      </c>
      <c r="AS68" s="22">
        <v>-1.32782E-2</v>
      </c>
      <c r="AT68" s="22">
        <v>58</v>
      </c>
      <c r="AU68" s="22">
        <v>1.56769</v>
      </c>
      <c r="AV68">
        <f t="shared" si="8"/>
        <v>16.392839506172837</v>
      </c>
      <c r="AW68">
        <f t="shared" si="9"/>
        <v>25.703808417283948</v>
      </c>
      <c r="AX68" s="9"/>
      <c r="AY68" s="22">
        <v>0.192108</v>
      </c>
      <c r="AZ68" s="22">
        <v>28.668900000000001</v>
      </c>
      <c r="BA68" s="22">
        <v>-1.5286299999999999E-2</v>
      </c>
      <c r="BB68" s="22">
        <v>58</v>
      </c>
      <c r="BC68" s="22">
        <v>0.19162000000000001</v>
      </c>
      <c r="BD68">
        <f t="shared" si="10"/>
        <v>18.871975308641971</v>
      </c>
      <c r="BE68">
        <f t="shared" si="11"/>
        <v>3.6254574325925919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1.5629599999999999</v>
      </c>
      <c r="H69" s="22">
        <v>5.58751</v>
      </c>
      <c r="I69" s="22">
        <v>-1.3079800000000001E-2</v>
      </c>
      <c r="J69" s="22">
        <v>59</v>
      </c>
      <c r="K69" s="22">
        <v>1.56189</v>
      </c>
      <c r="L69">
        <f t="shared" si="0"/>
        <v>16.147901234567904</v>
      </c>
      <c r="M69">
        <f t="shared" si="1"/>
        <v>25.23852371358025</v>
      </c>
      <c r="N69" s="9"/>
      <c r="O69" s="22">
        <v>0.19714400000000001</v>
      </c>
      <c r="P69" s="22">
        <v>9.5275499999999997</v>
      </c>
      <c r="Q69" s="22">
        <v>-1.48956E-2</v>
      </c>
      <c r="R69" s="22">
        <v>59</v>
      </c>
      <c r="S69" s="22">
        <v>0.196655</v>
      </c>
      <c r="T69">
        <f t="shared" si="2"/>
        <v>18.389629629629628</v>
      </c>
      <c r="U69">
        <f t="shared" si="3"/>
        <v>3.6254051437037034</v>
      </c>
      <c r="X69" s="9"/>
      <c r="Y69" s="22">
        <v>1.5629599999999999</v>
      </c>
      <c r="Z69" s="22">
        <v>15.165699999999999</v>
      </c>
      <c r="AA69" s="22">
        <v>-1.3091999999999999E-2</v>
      </c>
      <c r="AB69" s="22">
        <v>59</v>
      </c>
      <c r="AC69" s="22">
        <v>1.5625</v>
      </c>
      <c r="AD69">
        <f t="shared" si="4"/>
        <v>16.162962962962961</v>
      </c>
      <c r="AE69">
        <f t="shared" si="5"/>
        <v>25.262064592592587</v>
      </c>
      <c r="AF69" s="9"/>
      <c r="AG69" s="22">
        <v>0.19714400000000001</v>
      </c>
      <c r="AH69" s="22">
        <v>19.105799999999999</v>
      </c>
      <c r="AI69" s="22">
        <v>-1.5048199999999999E-2</v>
      </c>
      <c r="AJ69" s="22">
        <v>59</v>
      </c>
      <c r="AK69" s="22">
        <v>0.19653300000000001</v>
      </c>
      <c r="AL69">
        <f t="shared" si="6"/>
        <v>18.578024691358021</v>
      </c>
      <c r="AM69">
        <f t="shared" si="7"/>
        <v>3.6625460997530861</v>
      </c>
      <c r="AP69" s="9"/>
      <c r="AQ69" s="22">
        <v>1.5629599999999999</v>
      </c>
      <c r="AR69" s="22">
        <v>24.739000000000001</v>
      </c>
      <c r="AS69" s="22">
        <v>-1.33087E-2</v>
      </c>
      <c r="AT69" s="22">
        <v>59</v>
      </c>
      <c r="AU69" s="22">
        <v>1.56189</v>
      </c>
      <c r="AV69">
        <f t="shared" si="8"/>
        <v>16.430493827160493</v>
      </c>
      <c r="AW69">
        <f t="shared" si="9"/>
        <v>25.680204632098764</v>
      </c>
      <c r="AX69" s="9"/>
      <c r="AY69" s="22">
        <v>0.19714400000000001</v>
      </c>
      <c r="AZ69" s="22">
        <v>28.678999999999998</v>
      </c>
      <c r="BA69" s="22">
        <v>-1.52832E-2</v>
      </c>
      <c r="BB69" s="22">
        <v>59</v>
      </c>
      <c r="BC69" s="22">
        <v>0.19674700000000001</v>
      </c>
      <c r="BD69">
        <f t="shared" si="10"/>
        <v>18.868148148148148</v>
      </c>
      <c r="BE69">
        <f t="shared" si="11"/>
        <v>3.7197421985185186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1.55792</v>
      </c>
      <c r="H70" s="22">
        <v>5.5975799999999998</v>
      </c>
      <c r="I70" s="22">
        <v>-1.3107300000000001E-2</v>
      </c>
      <c r="J70" s="22">
        <v>60</v>
      </c>
      <c r="K70" s="22">
        <v>1.55701</v>
      </c>
      <c r="L70">
        <f t="shared" si="0"/>
        <v>16.181851851851849</v>
      </c>
      <c r="M70">
        <f t="shared" si="1"/>
        <v>25.210030637037033</v>
      </c>
      <c r="N70" s="9"/>
      <c r="O70" s="22">
        <v>0.202179</v>
      </c>
      <c r="P70" s="22">
        <v>9.5376200000000004</v>
      </c>
      <c r="Q70" s="22">
        <v>-1.4892600000000001E-2</v>
      </c>
      <c r="R70" s="22">
        <v>60</v>
      </c>
      <c r="S70" s="22">
        <v>0.20166000000000001</v>
      </c>
      <c r="T70">
        <f t="shared" si="2"/>
        <v>18.385925925925928</v>
      </c>
      <c r="U70">
        <f t="shared" si="3"/>
        <v>3.7172481177777783</v>
      </c>
      <c r="X70" s="9"/>
      <c r="Y70" s="22">
        <v>1.55792</v>
      </c>
      <c r="Z70" s="22">
        <v>15.175800000000001</v>
      </c>
      <c r="AA70" s="22">
        <v>-1.31287E-2</v>
      </c>
      <c r="AB70" s="22">
        <v>60</v>
      </c>
      <c r="AC70" s="22">
        <v>1.55701</v>
      </c>
      <c r="AD70">
        <f t="shared" si="4"/>
        <v>16.208271604938268</v>
      </c>
      <c r="AE70">
        <f t="shared" si="5"/>
        <v>25.251190498765425</v>
      </c>
      <c r="AF70" s="9"/>
      <c r="AG70" s="22">
        <v>0.202179</v>
      </c>
      <c r="AH70" s="22">
        <v>19.1158</v>
      </c>
      <c r="AI70" s="22">
        <v>-1.5042099999999999E-2</v>
      </c>
      <c r="AJ70" s="22">
        <v>60</v>
      </c>
      <c r="AK70" s="22">
        <v>0.20150799999999999</v>
      </c>
      <c r="AL70">
        <f t="shared" si="6"/>
        <v>18.570493827160494</v>
      </c>
      <c r="AM70">
        <f t="shared" si="7"/>
        <v>3.7545638714814813</v>
      </c>
      <c r="AP70" s="9"/>
      <c r="AQ70" s="22">
        <v>1.55792</v>
      </c>
      <c r="AR70" s="22">
        <v>24.748999999999999</v>
      </c>
      <c r="AS70" s="22">
        <v>-1.3336199999999999E-2</v>
      </c>
      <c r="AT70" s="22">
        <v>60</v>
      </c>
      <c r="AU70" s="22">
        <v>1.55731</v>
      </c>
      <c r="AV70">
        <f t="shared" si="8"/>
        <v>16.464444444444442</v>
      </c>
      <c r="AW70">
        <f t="shared" si="9"/>
        <v>25.650287288888887</v>
      </c>
      <c r="AX70" s="9"/>
      <c r="AY70" s="22">
        <v>0.202179</v>
      </c>
      <c r="AZ70" s="22">
        <v>28.6891</v>
      </c>
      <c r="BA70" s="22">
        <v>-1.5280200000000001E-2</v>
      </c>
      <c r="BB70" s="22">
        <v>60</v>
      </c>
      <c r="BC70" s="22">
        <v>0.201569</v>
      </c>
      <c r="BD70">
        <f t="shared" si="10"/>
        <v>18.864444444444445</v>
      </c>
      <c r="BE70">
        <f t="shared" si="11"/>
        <v>3.8139945133333333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1.5528900000000001</v>
      </c>
      <c r="H71" s="22">
        <v>5.6076499999999996</v>
      </c>
      <c r="I71" s="22">
        <v>-1.31378E-2</v>
      </c>
      <c r="J71" s="22">
        <v>61</v>
      </c>
      <c r="K71" s="22">
        <v>1.5521199999999999</v>
      </c>
      <c r="L71">
        <f t="shared" si="0"/>
        <v>16.219506172839505</v>
      </c>
      <c r="M71">
        <f t="shared" si="1"/>
        <v>25.187108940740742</v>
      </c>
      <c r="N71" s="9"/>
      <c r="O71" s="22">
        <v>0.20721400000000001</v>
      </c>
      <c r="P71" s="22">
        <v>9.5476899999999993</v>
      </c>
      <c r="Q71" s="22">
        <v>-1.48895E-2</v>
      </c>
      <c r="R71" s="22">
        <v>61</v>
      </c>
      <c r="S71" s="22">
        <v>0.20660400000000001</v>
      </c>
      <c r="T71">
        <f t="shared" si="2"/>
        <v>18.382098765432101</v>
      </c>
      <c r="U71">
        <f t="shared" si="3"/>
        <v>3.8090282135802473</v>
      </c>
      <c r="X71" s="9"/>
      <c r="Y71" s="22">
        <v>1.5528900000000001</v>
      </c>
      <c r="Z71" s="22">
        <v>15.1859</v>
      </c>
      <c r="AA71" s="22">
        <v>-1.31653E-2</v>
      </c>
      <c r="AB71" s="22">
        <v>61</v>
      </c>
      <c r="AC71" s="22">
        <v>1.5521199999999999</v>
      </c>
      <c r="AD71">
        <f t="shared" si="4"/>
        <v>16.253456790123455</v>
      </c>
      <c r="AE71">
        <f t="shared" si="5"/>
        <v>25.239830514814813</v>
      </c>
      <c r="AF71" s="9"/>
      <c r="AG71" s="22">
        <v>0.20721400000000001</v>
      </c>
      <c r="AH71" s="22">
        <v>19.125900000000001</v>
      </c>
      <c r="AI71" s="22">
        <v>-1.50391E-2</v>
      </c>
      <c r="AJ71" s="22">
        <v>61</v>
      </c>
      <c r="AK71" s="22">
        <v>0.20687900000000001</v>
      </c>
      <c r="AL71">
        <f t="shared" si="6"/>
        <v>18.566790123456791</v>
      </c>
      <c r="AM71">
        <f t="shared" si="7"/>
        <v>3.8472988486419757</v>
      </c>
      <c r="AP71" s="9"/>
      <c r="AQ71" s="22">
        <v>1.5528900000000001</v>
      </c>
      <c r="AR71" s="22">
        <v>24.7591</v>
      </c>
      <c r="AS71" s="22">
        <v>-1.33667E-2</v>
      </c>
      <c r="AT71" s="22">
        <v>61</v>
      </c>
      <c r="AU71" s="22">
        <v>1.5515099999999999</v>
      </c>
      <c r="AV71">
        <f t="shared" si="8"/>
        <v>16.502098765432098</v>
      </c>
      <c r="AW71">
        <f t="shared" si="9"/>
        <v>25.625944151851854</v>
      </c>
      <c r="AX71" s="9"/>
      <c r="AY71" s="22">
        <v>0.20721400000000001</v>
      </c>
      <c r="AZ71" s="22">
        <v>28.699200000000001</v>
      </c>
      <c r="BA71" s="22">
        <v>-1.52771E-2</v>
      </c>
      <c r="BB71" s="22">
        <v>61</v>
      </c>
      <c r="BC71" s="22">
        <v>0.206482</v>
      </c>
      <c r="BD71">
        <f t="shared" si="10"/>
        <v>18.860617283950617</v>
      </c>
      <c r="BE71">
        <f t="shared" si="11"/>
        <v>3.9081839498765434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1.5478499999999999</v>
      </c>
      <c r="H72" s="22">
        <v>5.6177200000000003</v>
      </c>
      <c r="I72" s="22">
        <v>-1.31714E-2</v>
      </c>
      <c r="J72" s="22">
        <v>62</v>
      </c>
      <c r="K72" s="22">
        <v>1.5472399999999999</v>
      </c>
      <c r="L72">
        <f t="shared" si="0"/>
        <v>16.260987654320989</v>
      </c>
      <c r="M72">
        <f t="shared" si="1"/>
        <v>25.169569740740741</v>
      </c>
      <c r="N72" s="9"/>
      <c r="O72" s="22">
        <v>0.21224999999999999</v>
      </c>
      <c r="P72" s="22">
        <v>9.5577699999999997</v>
      </c>
      <c r="Q72" s="22">
        <v>-1.48834E-2</v>
      </c>
      <c r="R72" s="22">
        <v>62</v>
      </c>
      <c r="S72" s="22">
        <v>0.21145600000000001</v>
      </c>
      <c r="T72">
        <f t="shared" si="2"/>
        <v>18.374567901234567</v>
      </c>
      <c r="U72">
        <f t="shared" si="3"/>
        <v>3.9000020370370367</v>
      </c>
      <c r="X72" s="9"/>
      <c r="Y72" s="22">
        <v>1.5478499999999999</v>
      </c>
      <c r="Z72" s="22">
        <v>15.1959</v>
      </c>
      <c r="AA72" s="22">
        <v>-1.31927E-2</v>
      </c>
      <c r="AB72" s="22">
        <v>62</v>
      </c>
      <c r="AC72" s="22">
        <v>1.5472399999999999</v>
      </c>
      <c r="AD72">
        <f t="shared" si="4"/>
        <v>16.287283950617283</v>
      </c>
      <c r="AE72">
        <f t="shared" si="5"/>
        <v>25.210272462962962</v>
      </c>
      <c r="AF72" s="9"/>
      <c r="AG72" s="22">
        <v>0.21224999999999999</v>
      </c>
      <c r="AH72" s="22">
        <v>19.135999999999999</v>
      </c>
      <c r="AI72" s="22">
        <v>-1.50391E-2</v>
      </c>
      <c r="AJ72" s="22">
        <v>62</v>
      </c>
      <c r="AK72" s="22">
        <v>0.21182300000000001</v>
      </c>
      <c r="AL72">
        <f t="shared" si="6"/>
        <v>18.566790123456791</v>
      </c>
      <c r="AM72">
        <f t="shared" si="7"/>
        <v>3.9408012037037037</v>
      </c>
      <c r="AP72" s="9"/>
      <c r="AQ72" s="22">
        <v>1.5478499999999999</v>
      </c>
      <c r="AR72" s="22">
        <v>24.769200000000001</v>
      </c>
      <c r="AS72" s="22">
        <v>-1.33972E-2</v>
      </c>
      <c r="AT72" s="22">
        <v>62</v>
      </c>
      <c r="AU72" s="22">
        <v>1.54694</v>
      </c>
      <c r="AV72">
        <f t="shared" si="8"/>
        <v>16.539753086419751</v>
      </c>
      <c r="AW72">
        <f t="shared" si="9"/>
        <v>25.601056814814811</v>
      </c>
      <c r="AX72" s="9"/>
      <c r="AY72" s="22">
        <v>0.21224999999999999</v>
      </c>
      <c r="AZ72" s="22">
        <v>28.709199999999999</v>
      </c>
      <c r="BA72" s="22">
        <v>-1.5271E-2</v>
      </c>
      <c r="BB72" s="22">
        <v>62</v>
      </c>
      <c r="BC72" s="22">
        <v>0.21191399999999999</v>
      </c>
      <c r="BD72">
        <f t="shared" si="10"/>
        <v>18.853086419753083</v>
      </c>
      <c r="BE72">
        <f t="shared" si="11"/>
        <v>4.0015675925925915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1.5428200000000001</v>
      </c>
      <c r="H73" s="22">
        <v>5.6277999999999997</v>
      </c>
      <c r="I73" s="22">
        <v>-1.3201900000000001E-2</v>
      </c>
      <c r="J73" s="22">
        <v>63</v>
      </c>
      <c r="K73" s="22">
        <v>1.54175</v>
      </c>
      <c r="L73">
        <f t="shared" si="0"/>
        <v>16.298641975308641</v>
      </c>
      <c r="M73">
        <f t="shared" si="1"/>
        <v>25.145870812345677</v>
      </c>
      <c r="N73" s="9"/>
      <c r="O73" s="22">
        <v>0.21728500000000001</v>
      </c>
      <c r="P73" s="22">
        <v>9.5678400000000003</v>
      </c>
      <c r="Q73" s="22">
        <v>-1.48834E-2</v>
      </c>
      <c r="R73" s="22">
        <v>63</v>
      </c>
      <c r="S73" s="22">
        <v>0.21676599999999999</v>
      </c>
      <c r="T73">
        <f t="shared" si="2"/>
        <v>18.374567901234567</v>
      </c>
      <c r="U73">
        <f t="shared" si="3"/>
        <v>3.9925179864197529</v>
      </c>
      <c r="X73" s="9"/>
      <c r="Y73" s="22">
        <v>1.5428200000000001</v>
      </c>
      <c r="Z73" s="22">
        <v>15.206</v>
      </c>
      <c r="AA73" s="22">
        <v>-1.32233E-2</v>
      </c>
      <c r="AB73" s="22">
        <v>63</v>
      </c>
      <c r="AC73" s="22">
        <v>1.5420499999999999</v>
      </c>
      <c r="AD73">
        <f t="shared" si="4"/>
        <v>16.32506172839506</v>
      </c>
      <c r="AE73">
        <f t="shared" si="5"/>
        <v>25.186631735802468</v>
      </c>
      <c r="AF73" s="9"/>
      <c r="AG73" s="22">
        <v>0.21728500000000001</v>
      </c>
      <c r="AH73" s="22">
        <v>19.146100000000001</v>
      </c>
      <c r="AI73" s="22">
        <v>-1.5036000000000001E-2</v>
      </c>
      <c r="AJ73" s="22">
        <v>63</v>
      </c>
      <c r="AK73" s="22">
        <v>0.21676599999999999</v>
      </c>
      <c r="AL73">
        <f t="shared" si="6"/>
        <v>18.562962962962963</v>
      </c>
      <c r="AM73">
        <f t="shared" si="7"/>
        <v>4.033453407407408</v>
      </c>
      <c r="AP73" s="9"/>
      <c r="AQ73" s="22">
        <v>1.5428200000000001</v>
      </c>
      <c r="AR73" s="22">
        <v>24.779299999999999</v>
      </c>
      <c r="AS73" s="22">
        <v>-1.34308E-2</v>
      </c>
      <c r="AT73" s="22">
        <v>63</v>
      </c>
      <c r="AU73" s="22">
        <v>1.54175</v>
      </c>
      <c r="AV73">
        <f t="shared" si="8"/>
        <v>16.581234567901234</v>
      </c>
      <c r="AW73">
        <f t="shared" si="9"/>
        <v>25.581860316049383</v>
      </c>
      <c r="AX73" s="9"/>
      <c r="AY73" s="22">
        <v>0.21728500000000001</v>
      </c>
      <c r="AZ73" s="22">
        <v>28.7193</v>
      </c>
      <c r="BA73" s="22">
        <v>-1.5261800000000001E-2</v>
      </c>
      <c r="BB73" s="22">
        <v>63</v>
      </c>
      <c r="BC73" s="22">
        <v>0.21670500000000001</v>
      </c>
      <c r="BD73">
        <f t="shared" si="10"/>
        <v>18.841728395061729</v>
      </c>
      <c r="BE73">
        <f t="shared" si="11"/>
        <v>4.0940249543209877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1.5377799999999999</v>
      </c>
      <c r="H74" s="22">
        <v>5.6378700000000004</v>
      </c>
      <c r="I74" s="22">
        <v>-1.32324E-2</v>
      </c>
      <c r="J74" s="22">
        <v>64</v>
      </c>
      <c r="K74" s="22">
        <v>1.53687</v>
      </c>
      <c r="L74">
        <f t="shared" si="0"/>
        <v>16.336296296296297</v>
      </c>
      <c r="M74">
        <f t="shared" si="1"/>
        <v>25.121629718518516</v>
      </c>
      <c r="N74" s="9"/>
      <c r="O74" s="22">
        <v>0.22232099999999999</v>
      </c>
      <c r="P74" s="22">
        <v>9.5779099999999993</v>
      </c>
      <c r="Q74" s="22">
        <v>-1.48773E-2</v>
      </c>
      <c r="R74" s="22">
        <v>64</v>
      </c>
      <c r="S74" s="22">
        <v>0.22170999999999999</v>
      </c>
      <c r="T74">
        <f t="shared" si="2"/>
        <v>18.367037037037036</v>
      </c>
      <c r="U74">
        <f t="shared" si="3"/>
        <v>4.0833780411111107</v>
      </c>
      <c r="X74" s="9"/>
      <c r="Y74" s="22">
        <v>1.5377799999999999</v>
      </c>
      <c r="Z74" s="22">
        <v>15.216100000000001</v>
      </c>
      <c r="AA74" s="22">
        <v>-1.32538E-2</v>
      </c>
      <c r="AB74" s="22">
        <v>64</v>
      </c>
      <c r="AC74" s="22">
        <v>1.53687</v>
      </c>
      <c r="AD74">
        <f t="shared" si="4"/>
        <v>16.362716049382716</v>
      </c>
      <c r="AE74">
        <f t="shared" si="5"/>
        <v>25.162257486419751</v>
      </c>
      <c r="AF74" s="9"/>
      <c r="AG74" s="22">
        <v>0.22232099999999999</v>
      </c>
      <c r="AH74" s="22">
        <v>19.156099999999999</v>
      </c>
      <c r="AI74" s="22">
        <v>-1.5029900000000001E-2</v>
      </c>
      <c r="AJ74" s="22">
        <v>64</v>
      </c>
      <c r="AK74" s="22">
        <v>0.22170999999999999</v>
      </c>
      <c r="AL74">
        <f t="shared" si="6"/>
        <v>18.555432098765429</v>
      </c>
      <c r="AM74">
        <f t="shared" si="7"/>
        <v>4.1252622196296285</v>
      </c>
      <c r="AP74" s="9"/>
      <c r="AQ74" s="22">
        <v>1.5377799999999999</v>
      </c>
      <c r="AR74" s="22">
        <v>24.789300000000001</v>
      </c>
      <c r="AS74" s="22">
        <v>-1.3461300000000001E-2</v>
      </c>
      <c r="AT74" s="22">
        <v>64</v>
      </c>
      <c r="AU74" s="22">
        <v>1.53748</v>
      </c>
      <c r="AV74">
        <f t="shared" si="8"/>
        <v>16.618888888888886</v>
      </c>
      <c r="AW74">
        <f t="shared" si="9"/>
        <v>25.556194955555551</v>
      </c>
      <c r="AX74" s="9"/>
      <c r="AY74" s="22">
        <v>0.22232099999999999</v>
      </c>
      <c r="AZ74" s="22">
        <v>28.729399999999998</v>
      </c>
      <c r="BA74" s="22">
        <v>-1.5255700000000001E-2</v>
      </c>
      <c r="BB74" s="22">
        <v>64</v>
      </c>
      <c r="BC74" s="22">
        <v>0.221832</v>
      </c>
      <c r="BD74">
        <f t="shared" si="10"/>
        <v>18.834197530864198</v>
      </c>
      <c r="BE74">
        <f t="shared" si="11"/>
        <v>4.1872376292592595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1.5327500000000001</v>
      </c>
      <c r="H75" s="22">
        <v>5.6479400000000002</v>
      </c>
      <c r="I75" s="22">
        <v>-1.3262899999999999E-2</v>
      </c>
      <c r="J75" s="22">
        <v>65</v>
      </c>
      <c r="K75" s="22">
        <v>1.5313699999999999</v>
      </c>
      <c r="L75">
        <f t="shared" si="0"/>
        <v>16.373950617283949</v>
      </c>
      <c r="M75">
        <f t="shared" si="1"/>
        <v>25.097172808641975</v>
      </c>
      <c r="N75" s="9"/>
      <c r="O75" s="22">
        <v>0.227356</v>
      </c>
      <c r="P75" s="22">
        <v>9.5879799999999999</v>
      </c>
      <c r="Q75" s="22">
        <v>-1.4871199999999999E-2</v>
      </c>
      <c r="R75" s="22">
        <v>65</v>
      </c>
      <c r="S75" s="22">
        <v>0.22683700000000001</v>
      </c>
      <c r="T75">
        <f t="shared" si="2"/>
        <v>18.359506172839506</v>
      </c>
      <c r="U75">
        <f t="shared" si="3"/>
        <v>4.1741438854320991</v>
      </c>
      <c r="X75" s="9"/>
      <c r="Y75" s="22">
        <v>1.5327500000000001</v>
      </c>
      <c r="Z75" s="22">
        <v>15.2262</v>
      </c>
      <c r="AA75" s="22">
        <v>-1.3281299999999999E-2</v>
      </c>
      <c r="AB75" s="22">
        <v>65</v>
      </c>
      <c r="AC75" s="22">
        <v>1.5316799999999999</v>
      </c>
      <c r="AD75">
        <f t="shared" si="4"/>
        <v>16.396666666666665</v>
      </c>
      <c r="AE75">
        <f t="shared" si="5"/>
        <v>25.131990833333333</v>
      </c>
      <c r="AF75" s="9"/>
      <c r="AG75" s="22">
        <v>0.227356</v>
      </c>
      <c r="AH75" s="22">
        <v>19.1662</v>
      </c>
      <c r="AI75" s="22">
        <v>-1.5029900000000001E-2</v>
      </c>
      <c r="AJ75" s="22">
        <v>65</v>
      </c>
      <c r="AK75" s="22">
        <v>0.22699</v>
      </c>
      <c r="AL75">
        <f t="shared" si="6"/>
        <v>18.555432098765429</v>
      </c>
      <c r="AM75">
        <f t="shared" si="7"/>
        <v>4.2186888202469133</v>
      </c>
      <c r="AP75" s="9"/>
      <c r="AQ75" s="22">
        <v>1.5327500000000001</v>
      </c>
      <c r="AR75" s="22">
        <v>24.799399999999999</v>
      </c>
      <c r="AS75" s="22">
        <v>-1.34979E-2</v>
      </c>
      <c r="AT75" s="22">
        <v>65</v>
      </c>
      <c r="AU75" s="22">
        <v>1.5316799999999999</v>
      </c>
      <c r="AV75">
        <f t="shared" si="8"/>
        <v>16.664074074074072</v>
      </c>
      <c r="AW75">
        <f t="shared" si="9"/>
        <v>25.541859537037034</v>
      </c>
      <c r="AX75" s="9"/>
      <c r="AY75" s="22">
        <v>0.227356</v>
      </c>
      <c r="AZ75" s="22">
        <v>28.7394</v>
      </c>
      <c r="BA75" s="22">
        <v>-1.5252699999999999E-2</v>
      </c>
      <c r="BB75" s="22">
        <v>65</v>
      </c>
      <c r="BC75" s="22">
        <v>0.22683700000000001</v>
      </c>
      <c r="BD75">
        <f t="shared" si="10"/>
        <v>18.830493827160492</v>
      </c>
      <c r="BE75">
        <f t="shared" si="11"/>
        <v>4.2812257545679007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1.5277099999999999</v>
      </c>
      <c r="H76" s="22">
        <v>5.65801</v>
      </c>
      <c r="I76" s="22">
        <v>-1.32996E-2</v>
      </c>
      <c r="J76" s="22">
        <v>66</v>
      </c>
      <c r="K76" s="22">
        <v>1.5264899999999999</v>
      </c>
      <c r="L76">
        <f t="shared" ref="L76:L139" si="12">-I76/$F$2*1000</f>
        <v>16.41925925925926</v>
      </c>
      <c r="M76">
        <f t="shared" ref="M76:M139" si="13">L76*G76</f>
        <v>25.08386656296296</v>
      </c>
      <c r="N76" s="9"/>
      <c r="O76" s="22">
        <v>0.23239099999999999</v>
      </c>
      <c r="P76" s="22">
        <v>9.5980500000000006</v>
      </c>
      <c r="Q76" s="22">
        <v>-1.4865099999999999E-2</v>
      </c>
      <c r="R76" s="22">
        <v>66</v>
      </c>
      <c r="S76" s="22">
        <v>0.23178099999999999</v>
      </c>
      <c r="T76">
        <f t="shared" ref="T76:T139" si="14">-Q76/$F$2*1000</f>
        <v>18.351975308641972</v>
      </c>
      <c r="U76">
        <f t="shared" ref="U76:U139" si="15">T76*O76</f>
        <v>4.2648338939506161</v>
      </c>
      <c r="X76" s="9"/>
      <c r="Y76" s="22">
        <v>1.5277099999999999</v>
      </c>
      <c r="Z76" s="22">
        <v>15.2362</v>
      </c>
      <c r="AA76" s="22">
        <v>-1.33118E-2</v>
      </c>
      <c r="AB76" s="22">
        <v>66</v>
      </c>
      <c r="AC76" s="22">
        <v>1.5267900000000001</v>
      </c>
      <c r="AD76">
        <f t="shared" ref="AD76:AD139" si="16">-AA76/$F$2*1000</f>
        <v>16.434320987654321</v>
      </c>
      <c r="AE76">
        <f t="shared" ref="AE76:AE139" si="17">AD76*Y76</f>
        <v>25.106876516049379</v>
      </c>
      <c r="AF76" s="9"/>
      <c r="AG76" s="22">
        <v>0.23239099999999999</v>
      </c>
      <c r="AH76" s="22">
        <v>19.176300000000001</v>
      </c>
      <c r="AI76" s="22">
        <v>-1.5026899999999999E-2</v>
      </c>
      <c r="AJ76" s="22">
        <v>66</v>
      </c>
      <c r="AK76" s="22">
        <v>0.23168900000000001</v>
      </c>
      <c r="AL76">
        <f t="shared" ref="AL76:AL139" si="18">-AI76/$F$2*1000</f>
        <v>18.551728395061726</v>
      </c>
      <c r="AM76">
        <f t="shared" ref="AM76:AM139" si="19">AL76*AG76</f>
        <v>4.3112547134567896</v>
      </c>
      <c r="AP76" s="9"/>
      <c r="AQ76" s="22">
        <v>1.5277099999999999</v>
      </c>
      <c r="AR76" s="22">
        <v>24.8095</v>
      </c>
      <c r="AS76" s="22">
        <v>-1.35254E-2</v>
      </c>
      <c r="AT76" s="22">
        <v>66</v>
      </c>
      <c r="AU76" s="22">
        <v>1.5274000000000001</v>
      </c>
      <c r="AV76">
        <f t="shared" ref="AV76:AV139" si="20">-AS76/$F$2*1000</f>
        <v>16.698024691358025</v>
      </c>
      <c r="AW76">
        <f t="shared" ref="AW76:AW139" si="21">AV76*AQ76</f>
        <v>25.509739301234568</v>
      </c>
      <c r="AX76" s="9"/>
      <c r="AY76" s="22">
        <v>0.23239099999999999</v>
      </c>
      <c r="AZ76" s="22">
        <v>28.749500000000001</v>
      </c>
      <c r="BA76" s="22">
        <v>-1.52496E-2</v>
      </c>
      <c r="BB76" s="22">
        <v>66</v>
      </c>
      <c r="BC76" s="22">
        <v>0.23184199999999999</v>
      </c>
      <c r="BD76">
        <f t="shared" ref="BD76:BD139" si="22">-BA76/$F$2*1000</f>
        <v>18.826666666666664</v>
      </c>
      <c r="BE76">
        <f t="shared" ref="BE76:BE139" si="23">BD76*AY76</f>
        <v>4.3751478933333328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1.52267</v>
      </c>
      <c r="H77" s="22">
        <v>5.6680799999999998</v>
      </c>
      <c r="I77" s="22">
        <v>-1.3333100000000001E-2</v>
      </c>
      <c r="J77" s="22">
        <v>67</v>
      </c>
      <c r="K77" s="22">
        <v>1.5216099999999999</v>
      </c>
      <c r="L77">
        <f t="shared" si="12"/>
        <v>16.460617283950615</v>
      </c>
      <c r="M77">
        <f t="shared" si="13"/>
        <v>25.064088119753084</v>
      </c>
      <c r="N77" s="9"/>
      <c r="O77" s="22">
        <v>0.237427</v>
      </c>
      <c r="P77" s="22">
        <v>9.6081199999999995</v>
      </c>
      <c r="Q77" s="22">
        <v>-1.48621E-2</v>
      </c>
      <c r="R77" s="22">
        <v>67</v>
      </c>
      <c r="S77" s="22">
        <v>0.23675499999999999</v>
      </c>
      <c r="T77">
        <f t="shared" si="14"/>
        <v>18.348271604938269</v>
      </c>
      <c r="U77">
        <f t="shared" si="15"/>
        <v>4.3563750823456786</v>
      </c>
      <c r="X77" s="9"/>
      <c r="Y77" s="22">
        <v>1.52267</v>
      </c>
      <c r="Z77" s="22">
        <v>15.2463</v>
      </c>
      <c r="AA77" s="22">
        <v>-1.3345299999999999E-2</v>
      </c>
      <c r="AB77" s="22">
        <v>67</v>
      </c>
      <c r="AC77" s="22">
        <v>1.5216099999999999</v>
      </c>
      <c r="AD77">
        <f t="shared" si="16"/>
        <v>16.475679012345676</v>
      </c>
      <c r="AE77">
        <f t="shared" si="17"/>
        <v>25.087022161728392</v>
      </c>
      <c r="AF77" s="9"/>
      <c r="AG77" s="22">
        <v>0.237427</v>
      </c>
      <c r="AH77" s="22">
        <v>19.186299999999999</v>
      </c>
      <c r="AI77" s="22">
        <v>-1.5020800000000001E-2</v>
      </c>
      <c r="AJ77" s="22">
        <v>67</v>
      </c>
      <c r="AK77" s="22">
        <v>0.23690800000000001</v>
      </c>
      <c r="AL77">
        <f t="shared" si="18"/>
        <v>18.544197530864199</v>
      </c>
      <c r="AM77">
        <f t="shared" si="19"/>
        <v>4.4028931871604939</v>
      </c>
      <c r="AP77" s="9"/>
      <c r="AQ77" s="22">
        <v>1.52267</v>
      </c>
      <c r="AR77" s="22">
        <v>24.819500000000001</v>
      </c>
      <c r="AS77" s="22">
        <v>-1.35529E-2</v>
      </c>
      <c r="AT77" s="22">
        <v>67</v>
      </c>
      <c r="AU77" s="22">
        <v>1.5209999999999999</v>
      </c>
      <c r="AV77">
        <f t="shared" si="20"/>
        <v>16.731975308641974</v>
      </c>
      <c r="AW77">
        <f t="shared" si="21"/>
        <v>25.477276843209875</v>
      </c>
      <c r="AX77" s="9"/>
      <c r="AY77" s="22">
        <v>0.237427</v>
      </c>
      <c r="AZ77" s="22">
        <v>28.759599999999999</v>
      </c>
      <c r="BA77" s="22">
        <v>-1.52435E-2</v>
      </c>
      <c r="BB77" s="22">
        <v>67</v>
      </c>
      <c r="BC77" s="22">
        <v>0.23699999999999999</v>
      </c>
      <c r="BD77">
        <f t="shared" si="22"/>
        <v>18.819135802469134</v>
      </c>
      <c r="BE77">
        <f t="shared" si="23"/>
        <v>4.4681709561728393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1.5176400000000001</v>
      </c>
      <c r="H78" s="22">
        <v>5.6781499999999996</v>
      </c>
      <c r="I78" s="22">
        <v>-1.33575E-2</v>
      </c>
      <c r="J78" s="22">
        <v>68</v>
      </c>
      <c r="K78" s="22">
        <v>1.5167200000000001</v>
      </c>
      <c r="L78">
        <f t="shared" si="12"/>
        <v>16.49074074074074</v>
      </c>
      <c r="M78">
        <f t="shared" si="13"/>
        <v>25.027007777777779</v>
      </c>
      <c r="N78" s="9"/>
      <c r="O78" s="22">
        <v>0.24246200000000001</v>
      </c>
      <c r="P78" s="22">
        <v>9.6181900000000002</v>
      </c>
      <c r="Q78" s="22">
        <v>-1.4855999999999999E-2</v>
      </c>
      <c r="R78" s="22">
        <v>68</v>
      </c>
      <c r="S78" s="22">
        <v>0.24179100000000001</v>
      </c>
      <c r="T78">
        <f t="shared" si="14"/>
        <v>18.340740740740738</v>
      </c>
      <c r="U78">
        <f t="shared" si="15"/>
        <v>4.4469326814814814</v>
      </c>
      <c r="X78" s="9"/>
      <c r="Y78" s="22">
        <v>1.5176400000000001</v>
      </c>
      <c r="Z78" s="22">
        <v>15.256399999999999</v>
      </c>
      <c r="AA78" s="22">
        <v>-1.33759E-2</v>
      </c>
      <c r="AB78" s="22">
        <v>68</v>
      </c>
      <c r="AC78" s="22">
        <v>1.5164200000000001</v>
      </c>
      <c r="AD78">
        <f t="shared" si="16"/>
        <v>16.513456790123456</v>
      </c>
      <c r="AE78">
        <f t="shared" si="17"/>
        <v>25.061482562962965</v>
      </c>
      <c r="AF78" s="9"/>
      <c r="AG78" s="22">
        <v>0.24246200000000001</v>
      </c>
      <c r="AH78" s="22">
        <v>19.196400000000001</v>
      </c>
      <c r="AI78" s="22">
        <v>-1.5014599999999999E-2</v>
      </c>
      <c r="AJ78" s="22">
        <v>68</v>
      </c>
      <c r="AK78" s="22">
        <v>0.24194299999999999</v>
      </c>
      <c r="AL78">
        <f t="shared" si="18"/>
        <v>18.536543209876541</v>
      </c>
      <c r="AM78">
        <f t="shared" si="19"/>
        <v>4.4944073397530859</v>
      </c>
      <c r="AP78" s="9"/>
      <c r="AQ78" s="22">
        <v>1.5176400000000001</v>
      </c>
      <c r="AR78" s="22">
        <v>24.829599999999999</v>
      </c>
      <c r="AS78" s="22">
        <v>-1.35742E-2</v>
      </c>
      <c r="AT78" s="22">
        <v>68</v>
      </c>
      <c r="AU78" s="22">
        <v>1.5164200000000001</v>
      </c>
      <c r="AV78">
        <f t="shared" si="20"/>
        <v>16.758271604938273</v>
      </c>
      <c r="AW78">
        <f t="shared" si="21"/>
        <v>25.433023318518522</v>
      </c>
      <c r="AX78" s="9"/>
      <c r="AY78" s="22">
        <v>0.24246200000000001</v>
      </c>
      <c r="AZ78" s="22">
        <v>28.769600000000001</v>
      </c>
      <c r="BA78" s="22">
        <v>-1.52374E-2</v>
      </c>
      <c r="BB78" s="22">
        <v>68</v>
      </c>
      <c r="BC78" s="22">
        <v>0.24191299999999999</v>
      </c>
      <c r="BD78">
        <f t="shared" si="22"/>
        <v>18.811604938271604</v>
      </c>
      <c r="BE78">
        <f t="shared" si="23"/>
        <v>4.5610993565432096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1.5125999999999999</v>
      </c>
      <c r="H79" s="22">
        <v>5.6882200000000003</v>
      </c>
      <c r="I79" s="22">
        <v>-1.3384999999999999E-2</v>
      </c>
      <c r="J79" s="22">
        <v>69</v>
      </c>
      <c r="K79" s="22">
        <v>1.5115400000000001</v>
      </c>
      <c r="L79">
        <f t="shared" si="12"/>
        <v>16.52469135802469</v>
      </c>
      <c r="M79">
        <f t="shared" si="13"/>
        <v>24.995248148148146</v>
      </c>
      <c r="N79" s="9"/>
      <c r="O79" s="22">
        <v>0.247498</v>
      </c>
      <c r="P79" s="22">
        <v>9.6282599999999992</v>
      </c>
      <c r="Q79" s="22">
        <v>-1.48529E-2</v>
      </c>
      <c r="R79" s="22">
        <v>69</v>
      </c>
      <c r="S79" s="22">
        <v>0.246948</v>
      </c>
      <c r="T79">
        <f t="shared" si="14"/>
        <v>18.336913580246915</v>
      </c>
      <c r="U79">
        <f t="shared" si="15"/>
        <v>4.5383494372839506</v>
      </c>
      <c r="X79" s="9"/>
      <c r="Y79" s="22">
        <v>1.5125999999999999</v>
      </c>
      <c r="Z79" s="22">
        <v>15.266400000000001</v>
      </c>
      <c r="AA79" s="22">
        <v>-1.34033E-2</v>
      </c>
      <c r="AB79" s="22">
        <v>69</v>
      </c>
      <c r="AC79" s="22">
        <v>1.5118400000000001</v>
      </c>
      <c r="AD79">
        <f t="shared" si="16"/>
        <v>16.547283950617281</v>
      </c>
      <c r="AE79">
        <f t="shared" si="17"/>
        <v>25.029421703703697</v>
      </c>
      <c r="AF79" s="9"/>
      <c r="AG79" s="22">
        <v>0.247498</v>
      </c>
      <c r="AH79" s="22">
        <v>19.206499999999998</v>
      </c>
      <c r="AI79" s="22">
        <v>-1.5008499999999999E-2</v>
      </c>
      <c r="AJ79" s="22">
        <v>69</v>
      </c>
      <c r="AK79" s="22">
        <v>0.24685699999999999</v>
      </c>
      <c r="AL79">
        <f t="shared" si="18"/>
        <v>18.529012345679011</v>
      </c>
      <c r="AM79">
        <f t="shared" si="19"/>
        <v>4.5858934975308641</v>
      </c>
      <c r="AP79" s="9"/>
      <c r="AQ79" s="22">
        <v>1.5125999999999999</v>
      </c>
      <c r="AR79" s="22">
        <v>24.839700000000001</v>
      </c>
      <c r="AS79" s="22">
        <v>-1.3598600000000001E-2</v>
      </c>
      <c r="AT79" s="22">
        <v>69</v>
      </c>
      <c r="AU79" s="22">
        <v>1.5115400000000001</v>
      </c>
      <c r="AV79">
        <f t="shared" si="20"/>
        <v>16.788395061728394</v>
      </c>
      <c r="AW79">
        <f t="shared" si="21"/>
        <v>25.394126370370369</v>
      </c>
      <c r="AX79" s="9"/>
      <c r="AY79" s="22">
        <v>0.247498</v>
      </c>
      <c r="AZ79" s="22">
        <v>28.779699999999998</v>
      </c>
      <c r="BA79" s="22">
        <v>-1.52313E-2</v>
      </c>
      <c r="BB79" s="22">
        <v>69</v>
      </c>
      <c r="BC79" s="22">
        <v>0.246979</v>
      </c>
      <c r="BD79">
        <f t="shared" si="22"/>
        <v>18.804074074074073</v>
      </c>
      <c r="BE79">
        <f t="shared" si="23"/>
        <v>4.653970725185185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1.5075700000000001</v>
      </c>
      <c r="H80" s="22">
        <v>5.6982900000000001</v>
      </c>
      <c r="I80" s="22">
        <v>-1.3412500000000001E-2</v>
      </c>
      <c r="J80" s="22">
        <v>70</v>
      </c>
      <c r="K80" s="22">
        <v>1.5069600000000001</v>
      </c>
      <c r="L80">
        <f t="shared" si="12"/>
        <v>16.558641975308642</v>
      </c>
      <c r="M80">
        <f t="shared" si="13"/>
        <v>24.963311882716052</v>
      </c>
      <c r="N80" s="9"/>
      <c r="O80" s="22">
        <v>0.25253300000000001</v>
      </c>
      <c r="P80" s="22">
        <v>9.6383299999999998</v>
      </c>
      <c r="Q80" s="22">
        <v>-1.4849899999999999E-2</v>
      </c>
      <c r="R80" s="22">
        <v>70</v>
      </c>
      <c r="S80" s="22">
        <v>0.25176999999999999</v>
      </c>
      <c r="T80">
        <f t="shared" si="14"/>
        <v>18.333209876543208</v>
      </c>
      <c r="U80">
        <f t="shared" si="15"/>
        <v>4.6297404897530861</v>
      </c>
      <c r="X80" s="9"/>
      <c r="Y80" s="22">
        <v>1.5075700000000001</v>
      </c>
      <c r="Z80" s="22">
        <v>15.2765</v>
      </c>
      <c r="AA80" s="22">
        <v>-1.3424699999999999E-2</v>
      </c>
      <c r="AB80" s="22">
        <v>70</v>
      </c>
      <c r="AC80" s="22">
        <v>1.50665</v>
      </c>
      <c r="AD80">
        <f t="shared" si="16"/>
        <v>16.5737037037037</v>
      </c>
      <c r="AE80">
        <f t="shared" si="17"/>
        <v>24.986018492592589</v>
      </c>
      <c r="AF80" s="9"/>
      <c r="AG80" s="22">
        <v>0.25253300000000001</v>
      </c>
      <c r="AH80" s="22">
        <v>19.2166</v>
      </c>
      <c r="AI80" s="22">
        <v>-1.50055E-2</v>
      </c>
      <c r="AJ80" s="22">
        <v>70</v>
      </c>
      <c r="AK80" s="22">
        <v>0.25195299999999998</v>
      </c>
      <c r="AL80">
        <f t="shared" si="18"/>
        <v>18.525308641975307</v>
      </c>
      <c r="AM80">
        <f t="shared" si="19"/>
        <v>4.6782517672839505</v>
      </c>
      <c r="AP80" s="9"/>
      <c r="AQ80" s="22">
        <v>1.5075700000000001</v>
      </c>
      <c r="AR80" s="22">
        <v>24.849699999999999</v>
      </c>
      <c r="AS80" s="22">
        <v>-1.3623E-2</v>
      </c>
      <c r="AT80" s="22">
        <v>70</v>
      </c>
      <c r="AU80" s="22">
        <v>1.50665</v>
      </c>
      <c r="AV80">
        <f t="shared" si="20"/>
        <v>16.818518518518516</v>
      </c>
      <c r="AW80">
        <f t="shared" si="21"/>
        <v>25.355093962962961</v>
      </c>
      <c r="AX80" s="9"/>
      <c r="AY80" s="22">
        <v>0.25253300000000001</v>
      </c>
      <c r="AZ80" s="22">
        <v>28.7898</v>
      </c>
      <c r="BA80" s="22">
        <v>-1.5225199999999999E-2</v>
      </c>
      <c r="BB80" s="22">
        <v>70</v>
      </c>
      <c r="BC80" s="22">
        <v>0.25186199999999997</v>
      </c>
      <c r="BD80">
        <f t="shared" si="22"/>
        <v>18.796543209876543</v>
      </c>
      <c r="BE80">
        <f t="shared" si="23"/>
        <v>4.7467474464197528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1.5025299999999999</v>
      </c>
      <c r="H81" s="22">
        <v>5.7083599999999999</v>
      </c>
      <c r="I81" s="22">
        <v>-1.34369E-2</v>
      </c>
      <c r="J81" s="22">
        <v>71</v>
      </c>
      <c r="K81" s="22">
        <v>1.50146</v>
      </c>
      <c r="L81">
        <f t="shared" si="12"/>
        <v>16.588765432098764</v>
      </c>
      <c r="M81">
        <f t="shared" si="13"/>
        <v>24.925117724691354</v>
      </c>
      <c r="N81" s="9"/>
      <c r="O81" s="22">
        <v>0.25756800000000002</v>
      </c>
      <c r="P81" s="22">
        <v>9.6484000000000005</v>
      </c>
      <c r="Q81" s="22">
        <v>-1.4849899999999999E-2</v>
      </c>
      <c r="R81" s="22">
        <v>71</v>
      </c>
      <c r="S81" s="22">
        <v>0.25707999999999998</v>
      </c>
      <c r="T81">
        <f t="shared" si="14"/>
        <v>18.333209876543208</v>
      </c>
      <c r="U81">
        <f t="shared" si="15"/>
        <v>4.7220482014814813</v>
      </c>
      <c r="X81" s="9"/>
      <c r="Y81" s="22">
        <v>1.5025299999999999</v>
      </c>
      <c r="Z81" s="22">
        <v>15.2866</v>
      </c>
      <c r="AA81" s="22">
        <v>-1.3439899999999999E-2</v>
      </c>
      <c r="AB81" s="22">
        <v>71</v>
      </c>
      <c r="AC81" s="22">
        <v>1.50146</v>
      </c>
      <c r="AD81">
        <f t="shared" si="16"/>
        <v>16.592469135802467</v>
      </c>
      <c r="AE81">
        <f t="shared" si="17"/>
        <v>24.930682650617278</v>
      </c>
      <c r="AF81" s="9"/>
      <c r="AG81" s="22">
        <v>0.25756800000000002</v>
      </c>
      <c r="AH81" s="22">
        <v>19.226600000000001</v>
      </c>
      <c r="AI81" s="22">
        <v>-1.5002400000000001E-2</v>
      </c>
      <c r="AJ81" s="22">
        <v>71</v>
      </c>
      <c r="AK81" s="22">
        <v>0.25705</v>
      </c>
      <c r="AL81">
        <f t="shared" si="18"/>
        <v>18.521481481481484</v>
      </c>
      <c r="AM81">
        <f t="shared" si="19"/>
        <v>4.7705409422222234</v>
      </c>
      <c r="AP81" s="9"/>
      <c r="AQ81" s="22">
        <v>1.5025299999999999</v>
      </c>
      <c r="AR81" s="22">
        <v>24.8598</v>
      </c>
      <c r="AS81" s="22">
        <v>-1.36566E-2</v>
      </c>
      <c r="AT81" s="22">
        <v>71</v>
      </c>
      <c r="AU81" s="22">
        <v>1.50146</v>
      </c>
      <c r="AV81">
        <f t="shared" si="20"/>
        <v>16.86</v>
      </c>
      <c r="AW81">
        <f t="shared" si="21"/>
        <v>25.332655799999998</v>
      </c>
      <c r="AX81" s="9"/>
      <c r="AY81" s="22">
        <v>0.25756800000000002</v>
      </c>
      <c r="AZ81" s="22">
        <v>28.799900000000001</v>
      </c>
      <c r="BA81" s="22">
        <v>-1.5219099999999999E-2</v>
      </c>
      <c r="BB81" s="22">
        <v>71</v>
      </c>
      <c r="BC81" s="22">
        <v>0.257019</v>
      </c>
      <c r="BD81">
        <f t="shared" si="22"/>
        <v>18.789012345679012</v>
      </c>
      <c r="BE81">
        <f t="shared" si="23"/>
        <v>4.8394483318518517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1.4975000000000001</v>
      </c>
      <c r="H82" s="22">
        <v>5.7184299999999997</v>
      </c>
      <c r="I82" s="22">
        <v>-1.3458299999999999E-2</v>
      </c>
      <c r="J82" s="22">
        <v>72</v>
      </c>
      <c r="K82" s="22">
        <v>1.4968900000000001</v>
      </c>
      <c r="L82">
        <f t="shared" si="12"/>
        <v>16.615185185185183</v>
      </c>
      <c r="M82">
        <f t="shared" si="13"/>
        <v>24.881239814814812</v>
      </c>
      <c r="N82" s="9"/>
      <c r="O82" s="22">
        <v>0.262604</v>
      </c>
      <c r="P82" s="22">
        <v>9.6584800000000008</v>
      </c>
      <c r="Q82" s="22">
        <v>-1.4849899999999999E-2</v>
      </c>
      <c r="R82" s="22">
        <v>72</v>
      </c>
      <c r="S82" s="22">
        <v>0.261932</v>
      </c>
      <c r="T82">
        <f t="shared" si="14"/>
        <v>18.333209876543208</v>
      </c>
      <c r="U82">
        <f t="shared" si="15"/>
        <v>4.814374246419753</v>
      </c>
      <c r="X82" s="9"/>
      <c r="Y82" s="22">
        <v>1.4975000000000001</v>
      </c>
      <c r="Z82" s="22">
        <v>15.2967</v>
      </c>
      <c r="AA82" s="22">
        <v>-1.3461300000000001E-2</v>
      </c>
      <c r="AB82" s="22">
        <v>72</v>
      </c>
      <c r="AC82" s="22">
        <v>1.49658</v>
      </c>
      <c r="AD82">
        <f t="shared" si="16"/>
        <v>16.618888888888886</v>
      </c>
      <c r="AE82">
        <f t="shared" si="17"/>
        <v>24.886786111111107</v>
      </c>
      <c r="AF82" s="9"/>
      <c r="AG82" s="22">
        <v>0.262604</v>
      </c>
      <c r="AH82" s="22">
        <v>19.236699999999999</v>
      </c>
      <c r="AI82" s="22">
        <v>-1.49994E-2</v>
      </c>
      <c r="AJ82" s="22">
        <v>72</v>
      </c>
      <c r="AK82" s="22">
        <v>0.26178000000000001</v>
      </c>
      <c r="AL82">
        <f t="shared" si="18"/>
        <v>18.517777777777777</v>
      </c>
      <c r="AM82">
        <f t="shared" si="19"/>
        <v>4.8628425155555552</v>
      </c>
      <c r="AP82" s="9"/>
      <c r="AQ82" s="22">
        <v>1.4975000000000001</v>
      </c>
      <c r="AR82" s="22">
        <v>24.869900000000001</v>
      </c>
      <c r="AS82" s="22">
        <v>-1.3681E-2</v>
      </c>
      <c r="AT82" s="22">
        <v>72</v>
      </c>
      <c r="AU82" s="22">
        <v>1.49658</v>
      </c>
      <c r="AV82">
        <f t="shared" si="20"/>
        <v>16.890123456790121</v>
      </c>
      <c r="AW82">
        <f t="shared" si="21"/>
        <v>25.292959876543208</v>
      </c>
      <c r="AX82" s="9"/>
      <c r="AY82" s="22">
        <v>0.262604</v>
      </c>
      <c r="AZ82" s="22">
        <v>28.809899999999999</v>
      </c>
      <c r="BA82" s="22">
        <v>-1.5213000000000001E-2</v>
      </c>
      <c r="BB82" s="22">
        <v>72</v>
      </c>
      <c r="BC82" s="22">
        <v>0.26180999999999999</v>
      </c>
      <c r="BD82">
        <f t="shared" si="22"/>
        <v>18.781481481481482</v>
      </c>
      <c r="BE82">
        <f t="shared" si="23"/>
        <v>4.932092162962963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1.4924599999999999</v>
      </c>
      <c r="H83" s="22">
        <v>5.72851</v>
      </c>
      <c r="I83" s="22">
        <v>-1.34827E-2</v>
      </c>
      <c r="J83" s="22">
        <v>73</v>
      </c>
      <c r="K83" s="22">
        <v>1.49109</v>
      </c>
      <c r="L83">
        <f t="shared" si="12"/>
        <v>16.645308641975308</v>
      </c>
      <c r="M83">
        <f t="shared" si="13"/>
        <v>24.842457335802468</v>
      </c>
      <c r="N83" s="9"/>
      <c r="O83" s="22">
        <v>0.26763900000000002</v>
      </c>
      <c r="P83" s="22">
        <v>9.6685499999999998</v>
      </c>
      <c r="Q83" s="22">
        <v>-1.48468E-2</v>
      </c>
      <c r="R83" s="22">
        <v>73</v>
      </c>
      <c r="S83" s="22">
        <v>0.26712000000000002</v>
      </c>
      <c r="T83">
        <f t="shared" si="14"/>
        <v>18.329382716049381</v>
      </c>
      <c r="U83">
        <f t="shared" si="15"/>
        <v>4.9056576607407401</v>
      </c>
      <c r="X83" s="9"/>
      <c r="Y83" s="22">
        <v>1.4924599999999999</v>
      </c>
      <c r="Z83" s="22">
        <v>15.306699999999999</v>
      </c>
      <c r="AA83" s="22">
        <v>-1.34857E-2</v>
      </c>
      <c r="AB83" s="22">
        <v>73</v>
      </c>
      <c r="AC83" s="22">
        <v>1.49139</v>
      </c>
      <c r="AD83">
        <f t="shared" si="16"/>
        <v>16.649012345679012</v>
      </c>
      <c r="AE83">
        <f t="shared" si="17"/>
        <v>24.847984965432097</v>
      </c>
      <c r="AF83" s="9"/>
      <c r="AG83" s="22">
        <v>0.26763900000000002</v>
      </c>
      <c r="AH83" s="22">
        <v>19.2468</v>
      </c>
      <c r="AI83" s="22">
        <v>-1.4993299999999999E-2</v>
      </c>
      <c r="AJ83" s="22">
        <v>73</v>
      </c>
      <c r="AK83" s="22">
        <v>0.26699800000000001</v>
      </c>
      <c r="AL83">
        <f t="shared" si="18"/>
        <v>18.510246913580243</v>
      </c>
      <c r="AM83">
        <f t="shared" si="19"/>
        <v>4.9540639737037031</v>
      </c>
      <c r="AP83" s="9"/>
      <c r="AQ83" s="22">
        <v>1.4924599999999999</v>
      </c>
      <c r="AR83" s="22">
        <v>24.88</v>
      </c>
      <c r="AS83" s="22">
        <v>-1.37024E-2</v>
      </c>
      <c r="AT83" s="22">
        <v>73</v>
      </c>
      <c r="AU83" s="22">
        <v>1.4917</v>
      </c>
      <c r="AV83">
        <f t="shared" si="20"/>
        <v>16.916543209876544</v>
      </c>
      <c r="AW83">
        <f t="shared" si="21"/>
        <v>25.247264079012343</v>
      </c>
      <c r="AX83" s="9"/>
      <c r="AY83" s="22">
        <v>0.26763900000000002</v>
      </c>
      <c r="AZ83" s="22">
        <v>28.82</v>
      </c>
      <c r="BA83" s="22">
        <v>-1.5206900000000001E-2</v>
      </c>
      <c r="BB83" s="22">
        <v>73</v>
      </c>
      <c r="BC83" s="22">
        <v>0.26708999999999999</v>
      </c>
      <c r="BD83">
        <f t="shared" si="22"/>
        <v>18.773950617283951</v>
      </c>
      <c r="BE83">
        <f t="shared" si="23"/>
        <v>5.0246413692592595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1.48743</v>
      </c>
      <c r="H84" s="22">
        <v>5.7385799999999998</v>
      </c>
      <c r="I84" s="22">
        <v>-1.3507099999999999E-2</v>
      </c>
      <c r="J84" s="22">
        <v>74</v>
      </c>
      <c r="K84" s="22">
        <v>1.48682</v>
      </c>
      <c r="L84">
        <f t="shared" si="12"/>
        <v>16.67543209876543</v>
      </c>
      <c r="M84">
        <f t="shared" si="13"/>
        <v>24.803537966666664</v>
      </c>
      <c r="N84" s="9"/>
      <c r="O84" s="22">
        <v>0.272675</v>
      </c>
      <c r="P84" s="22">
        <v>9.6786200000000004</v>
      </c>
      <c r="Q84" s="22">
        <v>-1.48407E-2</v>
      </c>
      <c r="R84" s="22">
        <v>74</v>
      </c>
      <c r="S84" s="22">
        <v>0.27209499999999998</v>
      </c>
      <c r="T84">
        <f t="shared" si="14"/>
        <v>18.32185185185185</v>
      </c>
      <c r="U84">
        <f t="shared" si="15"/>
        <v>4.995910953703703</v>
      </c>
      <c r="X84" s="9"/>
      <c r="Y84" s="22">
        <v>1.48743</v>
      </c>
      <c r="Z84" s="22">
        <v>15.316800000000001</v>
      </c>
      <c r="AA84" s="22">
        <v>-1.3510100000000001E-2</v>
      </c>
      <c r="AB84" s="22">
        <v>74</v>
      </c>
      <c r="AC84" s="22">
        <v>1.48651</v>
      </c>
      <c r="AD84">
        <f t="shared" si="16"/>
        <v>16.679135802469133</v>
      </c>
      <c r="AE84">
        <f t="shared" si="17"/>
        <v>24.809046966666664</v>
      </c>
      <c r="AF84" s="9"/>
      <c r="AG84" s="22">
        <v>0.272675</v>
      </c>
      <c r="AH84" s="22">
        <v>19.256799999999998</v>
      </c>
      <c r="AI84" s="22">
        <v>-1.49902E-2</v>
      </c>
      <c r="AJ84" s="22">
        <v>74</v>
      </c>
      <c r="AK84" s="22">
        <v>0.27197300000000002</v>
      </c>
      <c r="AL84">
        <f t="shared" si="18"/>
        <v>18.506419753086419</v>
      </c>
      <c r="AM84">
        <f t="shared" si="19"/>
        <v>5.0462380061728398</v>
      </c>
      <c r="AP84" s="9"/>
      <c r="AQ84" s="22">
        <v>1.48743</v>
      </c>
      <c r="AR84" s="22">
        <v>24.89</v>
      </c>
      <c r="AS84" s="22">
        <v>-1.37238E-2</v>
      </c>
      <c r="AT84" s="22">
        <v>74</v>
      </c>
      <c r="AU84" s="22">
        <v>1.48682</v>
      </c>
      <c r="AV84">
        <f t="shared" si="20"/>
        <v>16.942962962962962</v>
      </c>
      <c r="AW84">
        <f t="shared" si="21"/>
        <v>25.201471399999999</v>
      </c>
      <c r="AX84" s="9"/>
      <c r="AY84" s="22">
        <v>0.272675</v>
      </c>
      <c r="AZ84" s="22">
        <v>28.830100000000002</v>
      </c>
      <c r="BA84" s="22">
        <v>-1.5203899999999999E-2</v>
      </c>
      <c r="BB84" s="22">
        <v>74</v>
      </c>
      <c r="BC84" s="22">
        <v>0.27209499999999998</v>
      </c>
      <c r="BD84">
        <f t="shared" si="22"/>
        <v>18.770246913580245</v>
      </c>
      <c r="BE84">
        <f t="shared" si="23"/>
        <v>5.1181770771604933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1.4823900000000001</v>
      </c>
      <c r="H85" s="22">
        <v>5.7486499999999996</v>
      </c>
      <c r="I85" s="22">
        <v>-1.35345E-2</v>
      </c>
      <c r="J85" s="22">
        <v>75</v>
      </c>
      <c r="K85" s="22">
        <v>1.48132</v>
      </c>
      <c r="L85">
        <f t="shared" si="12"/>
        <v>16.709259259259255</v>
      </c>
      <c r="M85">
        <f t="shared" si="13"/>
        <v>24.769638833333328</v>
      </c>
      <c r="N85" s="9"/>
      <c r="O85" s="22">
        <v>0.27771000000000001</v>
      </c>
      <c r="P85" s="22">
        <v>9.6886899999999994</v>
      </c>
      <c r="Q85" s="22">
        <v>-1.4837599999999999E-2</v>
      </c>
      <c r="R85" s="22">
        <v>75</v>
      </c>
      <c r="S85" s="22">
        <v>0.27703899999999998</v>
      </c>
      <c r="T85">
        <f t="shared" si="14"/>
        <v>18.318024691358023</v>
      </c>
      <c r="U85">
        <f t="shared" si="15"/>
        <v>5.0870986370370366</v>
      </c>
      <c r="X85" s="9"/>
      <c r="Y85" s="22">
        <v>1.4823900000000001</v>
      </c>
      <c r="Z85" s="22">
        <v>15.3269</v>
      </c>
      <c r="AA85" s="22">
        <v>-1.35345E-2</v>
      </c>
      <c r="AB85" s="22">
        <v>75</v>
      </c>
      <c r="AC85" s="22">
        <v>1.48163</v>
      </c>
      <c r="AD85">
        <f t="shared" si="16"/>
        <v>16.709259259259255</v>
      </c>
      <c r="AE85">
        <f t="shared" si="17"/>
        <v>24.769638833333328</v>
      </c>
      <c r="AF85" s="9"/>
      <c r="AG85" s="22">
        <v>0.27771000000000001</v>
      </c>
      <c r="AH85" s="22">
        <v>19.2669</v>
      </c>
      <c r="AI85" s="22">
        <v>-1.49841E-2</v>
      </c>
      <c r="AJ85" s="22">
        <v>75</v>
      </c>
      <c r="AK85" s="22">
        <v>0.27691700000000002</v>
      </c>
      <c r="AL85">
        <f t="shared" si="18"/>
        <v>18.498888888888889</v>
      </c>
      <c r="AM85">
        <f t="shared" si="19"/>
        <v>5.1373264333333335</v>
      </c>
      <c r="AP85" s="9"/>
      <c r="AQ85" s="22">
        <v>1.4823900000000001</v>
      </c>
      <c r="AR85" s="22">
        <v>24.900099999999998</v>
      </c>
      <c r="AS85" s="22">
        <v>-1.37451E-2</v>
      </c>
      <c r="AT85" s="22">
        <v>75</v>
      </c>
      <c r="AU85" s="22">
        <v>1.48132</v>
      </c>
      <c r="AV85">
        <f t="shared" si="20"/>
        <v>16.969259259259257</v>
      </c>
      <c r="AW85">
        <f t="shared" si="21"/>
        <v>25.15506023333333</v>
      </c>
      <c r="AX85" s="9"/>
      <c r="AY85" s="22">
        <v>0.27771000000000001</v>
      </c>
      <c r="AZ85" s="22">
        <v>28.8401</v>
      </c>
      <c r="BA85" s="22">
        <v>-1.5197799999999999E-2</v>
      </c>
      <c r="BB85" s="22">
        <v>75</v>
      </c>
      <c r="BC85" s="22">
        <v>0.27685500000000002</v>
      </c>
      <c r="BD85">
        <f t="shared" si="22"/>
        <v>18.762716049382714</v>
      </c>
      <c r="BE85">
        <f t="shared" si="23"/>
        <v>5.2105938740740738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1.47736</v>
      </c>
      <c r="H86" s="22">
        <v>5.7587200000000003</v>
      </c>
      <c r="I86" s="22">
        <v>-1.3549800000000001E-2</v>
      </c>
      <c r="J86" s="22">
        <v>76</v>
      </c>
      <c r="K86" s="22">
        <v>1.47522</v>
      </c>
      <c r="L86">
        <f t="shared" si="12"/>
        <v>16.728148148148147</v>
      </c>
      <c r="M86">
        <f t="shared" si="13"/>
        <v>24.713496948148148</v>
      </c>
      <c r="N86" s="9"/>
      <c r="O86" s="22">
        <v>0.28274500000000002</v>
      </c>
      <c r="P86" s="22">
        <v>9.69876</v>
      </c>
      <c r="Q86" s="22">
        <v>-1.48346E-2</v>
      </c>
      <c r="R86" s="22">
        <v>76</v>
      </c>
      <c r="S86" s="22">
        <v>0.28222700000000001</v>
      </c>
      <c r="T86">
        <f t="shared" si="14"/>
        <v>18.31432098765432</v>
      </c>
      <c r="U86">
        <f t="shared" si="15"/>
        <v>5.1782826876543213</v>
      </c>
      <c r="X86" s="9"/>
      <c r="Y86" s="22">
        <v>1.47736</v>
      </c>
      <c r="Z86" s="22">
        <v>15.3369</v>
      </c>
      <c r="AA86" s="22">
        <v>-1.3555899999999999E-2</v>
      </c>
      <c r="AB86" s="22">
        <v>76</v>
      </c>
      <c r="AC86" s="22">
        <v>1.47644</v>
      </c>
      <c r="AD86">
        <f t="shared" si="16"/>
        <v>16.735679012345678</v>
      </c>
      <c r="AE86">
        <f t="shared" si="17"/>
        <v>24.72462274567901</v>
      </c>
      <c r="AF86" s="9"/>
      <c r="AG86" s="22">
        <v>0.28274500000000002</v>
      </c>
      <c r="AH86" s="22">
        <v>19.277000000000001</v>
      </c>
      <c r="AI86" s="22">
        <v>-1.4978E-2</v>
      </c>
      <c r="AJ86" s="22">
        <v>76</v>
      </c>
      <c r="AK86" s="22">
        <v>0.28207399999999999</v>
      </c>
      <c r="AL86">
        <f t="shared" si="18"/>
        <v>18.491358024691355</v>
      </c>
      <c r="AM86">
        <f t="shared" si="19"/>
        <v>5.2283390246913575</v>
      </c>
      <c r="AP86" s="9"/>
      <c r="AQ86" s="22">
        <v>1.47736</v>
      </c>
      <c r="AR86" s="22">
        <v>24.9102</v>
      </c>
      <c r="AS86" s="22">
        <v>-1.3766499999999999E-2</v>
      </c>
      <c r="AT86" s="22">
        <v>76</v>
      </c>
      <c r="AU86" s="22">
        <v>1.47705</v>
      </c>
      <c r="AV86">
        <f t="shared" si="20"/>
        <v>16.995679012345676</v>
      </c>
      <c r="AW86">
        <f t="shared" si="21"/>
        <v>25.108736345679006</v>
      </c>
      <c r="AX86" s="9"/>
      <c r="AY86" s="22">
        <v>0.28274500000000002</v>
      </c>
      <c r="AZ86" s="22">
        <v>28.850200000000001</v>
      </c>
      <c r="BA86" s="22">
        <v>-1.51947E-2</v>
      </c>
      <c r="BB86" s="22">
        <v>76</v>
      </c>
      <c r="BC86" s="22">
        <v>0.28216599999999997</v>
      </c>
      <c r="BD86">
        <f t="shared" si="22"/>
        <v>18.758888888888887</v>
      </c>
      <c r="BE86">
        <f t="shared" si="23"/>
        <v>5.303982038888889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1.4723200000000001</v>
      </c>
      <c r="H87" s="22">
        <v>5.7687900000000001</v>
      </c>
      <c r="I87" s="22">
        <v>-1.3561999999999999E-2</v>
      </c>
      <c r="J87" s="22">
        <v>77</v>
      </c>
      <c r="K87" s="22">
        <v>1.47034</v>
      </c>
      <c r="L87">
        <f t="shared" si="12"/>
        <v>16.743209876543208</v>
      </c>
      <c r="M87">
        <f t="shared" si="13"/>
        <v>24.651362765432097</v>
      </c>
      <c r="N87" s="9"/>
      <c r="O87" s="22">
        <v>0.28778100000000001</v>
      </c>
      <c r="P87" s="22">
        <v>9.7088300000000007</v>
      </c>
      <c r="Q87" s="22">
        <v>-1.48346E-2</v>
      </c>
      <c r="R87" s="22">
        <v>77</v>
      </c>
      <c r="S87" s="22">
        <v>0.28726200000000002</v>
      </c>
      <c r="T87">
        <f t="shared" si="14"/>
        <v>18.31432098765432</v>
      </c>
      <c r="U87">
        <f t="shared" si="15"/>
        <v>5.2705136081481481</v>
      </c>
      <c r="X87" s="9"/>
      <c r="Y87" s="22">
        <v>1.4723200000000001</v>
      </c>
      <c r="Z87" s="22">
        <v>15.347</v>
      </c>
      <c r="AA87" s="22">
        <v>-1.35742E-2</v>
      </c>
      <c r="AB87" s="22">
        <v>77</v>
      </c>
      <c r="AC87" s="22">
        <v>1.47156</v>
      </c>
      <c r="AD87">
        <f t="shared" si="16"/>
        <v>16.758271604938273</v>
      </c>
      <c r="AE87">
        <f t="shared" si="17"/>
        <v>24.673538449382718</v>
      </c>
      <c r="AF87" s="9"/>
      <c r="AG87" s="22">
        <v>0.28778100000000001</v>
      </c>
      <c r="AH87" s="22">
        <v>19.287099999999999</v>
      </c>
      <c r="AI87" s="22">
        <v>-1.49719E-2</v>
      </c>
      <c r="AJ87" s="22">
        <v>77</v>
      </c>
      <c r="AK87" s="22">
        <v>0.28720099999999998</v>
      </c>
      <c r="AL87">
        <f t="shared" si="18"/>
        <v>18.483827160493824</v>
      </c>
      <c r="AM87">
        <f t="shared" si="19"/>
        <v>5.319294264074073</v>
      </c>
      <c r="AP87" s="9"/>
      <c r="AQ87" s="22">
        <v>1.4723200000000001</v>
      </c>
      <c r="AR87" s="22">
        <v>24.920200000000001</v>
      </c>
      <c r="AS87" s="22">
        <v>-1.3787799999999999E-2</v>
      </c>
      <c r="AT87" s="22">
        <v>77</v>
      </c>
      <c r="AU87" s="22">
        <v>1.47095</v>
      </c>
      <c r="AV87">
        <f t="shared" si="20"/>
        <v>17.021975308641974</v>
      </c>
      <c r="AW87">
        <f t="shared" si="21"/>
        <v>25.061794686419752</v>
      </c>
      <c r="AX87" s="9"/>
      <c r="AY87" s="22">
        <v>0.28778100000000001</v>
      </c>
      <c r="AZ87" s="22">
        <v>28.860299999999999</v>
      </c>
      <c r="BA87" s="22">
        <v>-1.51886E-2</v>
      </c>
      <c r="BB87" s="22">
        <v>77</v>
      </c>
      <c r="BC87" s="22">
        <v>0.287323</v>
      </c>
      <c r="BD87">
        <f t="shared" si="22"/>
        <v>18.751358024691356</v>
      </c>
      <c r="BE87">
        <f t="shared" si="23"/>
        <v>5.3962845637037038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1.46729</v>
      </c>
      <c r="H88" s="22">
        <v>5.7788599999999999</v>
      </c>
      <c r="I88" s="22">
        <v>-1.35773E-2</v>
      </c>
      <c r="J88" s="22">
        <v>78</v>
      </c>
      <c r="K88" s="22">
        <v>1.46576</v>
      </c>
      <c r="L88">
        <f t="shared" si="12"/>
        <v>16.7620987654321</v>
      </c>
      <c r="M88">
        <f t="shared" si="13"/>
        <v>24.594859897530867</v>
      </c>
      <c r="N88" s="9"/>
      <c r="O88" s="22">
        <v>0.29281600000000002</v>
      </c>
      <c r="P88" s="22">
        <v>9.7188999999999997</v>
      </c>
      <c r="Q88" s="22">
        <v>-1.48285E-2</v>
      </c>
      <c r="R88" s="22">
        <v>78</v>
      </c>
      <c r="S88" s="22">
        <v>0.29208400000000001</v>
      </c>
      <c r="T88">
        <f t="shared" si="14"/>
        <v>18.306790123456789</v>
      </c>
      <c r="U88">
        <f t="shared" si="15"/>
        <v>5.3605210567901231</v>
      </c>
      <c r="X88" s="9"/>
      <c r="Y88" s="22">
        <v>1.46729</v>
      </c>
      <c r="Z88" s="22">
        <v>15.357100000000001</v>
      </c>
      <c r="AA88" s="22">
        <v>-1.35925E-2</v>
      </c>
      <c r="AB88" s="22">
        <v>78</v>
      </c>
      <c r="AC88" s="22">
        <v>1.46637</v>
      </c>
      <c r="AD88">
        <f t="shared" si="16"/>
        <v>16.780864197530864</v>
      </c>
      <c r="AE88">
        <f t="shared" si="17"/>
        <v>24.622394228395063</v>
      </c>
      <c r="AF88" s="9"/>
      <c r="AG88" s="22">
        <v>0.29281600000000002</v>
      </c>
      <c r="AH88" s="22">
        <v>19.2971</v>
      </c>
      <c r="AI88" s="22">
        <v>-1.49658E-2</v>
      </c>
      <c r="AJ88" s="22">
        <v>78</v>
      </c>
      <c r="AK88" s="22">
        <v>0.292267</v>
      </c>
      <c r="AL88">
        <f t="shared" si="18"/>
        <v>18.476296296296297</v>
      </c>
      <c r="AM88">
        <f t="shared" si="19"/>
        <v>5.4101551762962972</v>
      </c>
      <c r="AP88" s="9"/>
      <c r="AQ88" s="22">
        <v>1.46729</v>
      </c>
      <c r="AR88" s="22">
        <v>24.930299999999999</v>
      </c>
      <c r="AS88" s="22">
        <v>-1.3806199999999999E-2</v>
      </c>
      <c r="AT88" s="22">
        <v>78</v>
      </c>
      <c r="AU88" s="22">
        <v>1.46637</v>
      </c>
      <c r="AV88">
        <f t="shared" si="20"/>
        <v>17.044691358024689</v>
      </c>
      <c r="AW88">
        <f t="shared" si="21"/>
        <v>25.009505182716047</v>
      </c>
      <c r="AX88" s="9"/>
      <c r="AY88" s="22">
        <v>0.29281600000000002</v>
      </c>
      <c r="AZ88" s="22">
        <v>28.8704</v>
      </c>
      <c r="BA88" s="22">
        <v>-1.51886E-2</v>
      </c>
      <c r="BB88" s="22">
        <v>78</v>
      </c>
      <c r="BC88" s="22">
        <v>0.29217500000000002</v>
      </c>
      <c r="BD88">
        <f t="shared" si="22"/>
        <v>18.751358024691356</v>
      </c>
      <c r="BE88">
        <f t="shared" si="23"/>
        <v>5.4906976513580243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1.46225</v>
      </c>
      <c r="H89" s="22">
        <v>5.7889299999999997</v>
      </c>
      <c r="I89" s="22">
        <v>-1.35925E-2</v>
      </c>
      <c r="J89" s="22">
        <v>79</v>
      </c>
      <c r="K89" s="22">
        <v>1.46149</v>
      </c>
      <c r="L89">
        <f t="shared" si="12"/>
        <v>16.780864197530864</v>
      </c>
      <c r="M89">
        <f t="shared" si="13"/>
        <v>24.537818672839506</v>
      </c>
      <c r="N89" s="9"/>
      <c r="O89" s="22">
        <v>0.29785200000000001</v>
      </c>
      <c r="P89" s="22">
        <v>9.7289700000000003</v>
      </c>
      <c r="Q89" s="22">
        <v>-1.48285E-2</v>
      </c>
      <c r="R89" s="22">
        <v>79</v>
      </c>
      <c r="S89" s="22">
        <v>0.29724099999999998</v>
      </c>
      <c r="T89">
        <f t="shared" si="14"/>
        <v>18.306790123456789</v>
      </c>
      <c r="U89">
        <f t="shared" si="15"/>
        <v>5.452714051851852</v>
      </c>
      <c r="X89" s="9"/>
      <c r="Y89" s="22">
        <v>1.46225</v>
      </c>
      <c r="Z89" s="22">
        <v>15.3672</v>
      </c>
      <c r="AA89" s="22">
        <v>-1.36078E-2</v>
      </c>
      <c r="AB89" s="22">
        <v>79</v>
      </c>
      <c r="AC89" s="22">
        <v>1.4617899999999999</v>
      </c>
      <c r="AD89">
        <f t="shared" si="16"/>
        <v>16.799753086419752</v>
      </c>
      <c r="AE89">
        <f t="shared" si="17"/>
        <v>24.565438950617285</v>
      </c>
      <c r="AF89" s="9"/>
      <c r="AG89" s="22">
        <v>0.29785200000000001</v>
      </c>
      <c r="AH89" s="22">
        <v>19.307200000000002</v>
      </c>
      <c r="AI89" s="22">
        <v>-1.4959699999999999E-2</v>
      </c>
      <c r="AJ89" s="22">
        <v>79</v>
      </c>
      <c r="AK89" s="22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2">
        <v>1.46225</v>
      </c>
      <c r="AR89" s="22">
        <v>24.9404</v>
      </c>
      <c r="AS89" s="22">
        <v>-1.38245E-2</v>
      </c>
      <c r="AT89" s="22">
        <v>79</v>
      </c>
      <c r="AU89" s="22">
        <v>1.4621</v>
      </c>
      <c r="AV89">
        <f t="shared" si="20"/>
        <v>17.067283950617281</v>
      </c>
      <c r="AW89">
        <f t="shared" si="21"/>
        <v>24.956635956790119</v>
      </c>
      <c r="AX89" s="9"/>
      <c r="AY89" s="22">
        <v>0.29785200000000001</v>
      </c>
      <c r="AZ89" s="22">
        <v>28.880400000000002</v>
      </c>
      <c r="BA89" s="22">
        <v>-1.5179399999999999E-2</v>
      </c>
      <c r="BB89" s="22">
        <v>79</v>
      </c>
      <c r="BC89" s="22">
        <v>0.29742400000000002</v>
      </c>
      <c r="BD89">
        <f t="shared" si="22"/>
        <v>18.739999999999995</v>
      </c>
      <c r="BE89">
        <f t="shared" si="23"/>
        <v>5.5817464799999987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1.4572099999999999</v>
      </c>
      <c r="H90" s="22">
        <v>5.7990000000000004</v>
      </c>
      <c r="I90" s="22">
        <v>-1.3610799999999999E-2</v>
      </c>
      <c r="J90" s="22">
        <v>80</v>
      </c>
      <c r="K90" s="22">
        <v>1.4569099999999999</v>
      </c>
      <c r="L90">
        <f t="shared" si="12"/>
        <v>16.803456790123455</v>
      </c>
      <c r="M90">
        <f t="shared" si="13"/>
        <v>24.4861652691358</v>
      </c>
      <c r="N90" s="9"/>
      <c r="O90" s="22">
        <v>0.30288700000000002</v>
      </c>
      <c r="P90" s="22">
        <v>9.7390399999999993</v>
      </c>
      <c r="Q90" s="22">
        <v>-1.4822399999999999E-2</v>
      </c>
      <c r="R90" s="22">
        <v>80</v>
      </c>
      <c r="S90" s="22">
        <v>0.30215500000000001</v>
      </c>
      <c r="T90">
        <f t="shared" si="14"/>
        <v>18.299259259259259</v>
      </c>
      <c r="U90">
        <f t="shared" si="15"/>
        <v>5.5426077392592594</v>
      </c>
      <c r="X90" s="9"/>
      <c r="Y90" s="22">
        <v>1.4572099999999999</v>
      </c>
      <c r="Z90" s="22">
        <v>15.3772</v>
      </c>
      <c r="AA90" s="22">
        <v>-1.3632200000000001E-2</v>
      </c>
      <c r="AB90" s="22">
        <v>80</v>
      </c>
      <c r="AC90" s="22">
        <v>1.4559899999999999</v>
      </c>
      <c r="AD90">
        <f t="shared" si="16"/>
        <v>16.829876543209878</v>
      </c>
      <c r="AE90">
        <f t="shared" si="17"/>
        <v>24.524664397530863</v>
      </c>
      <c r="AF90" s="9"/>
      <c r="AG90" s="22">
        <v>0.30288700000000002</v>
      </c>
      <c r="AH90" s="22">
        <v>19.317299999999999</v>
      </c>
      <c r="AI90" s="22">
        <v>-1.49567E-2</v>
      </c>
      <c r="AJ90" s="22">
        <v>80</v>
      </c>
      <c r="AK90" s="22">
        <v>0.30206300000000003</v>
      </c>
      <c r="AL90">
        <f t="shared" si="18"/>
        <v>18.46506172839506</v>
      </c>
      <c r="AM90">
        <f t="shared" si="19"/>
        <v>5.592827151728395</v>
      </c>
      <c r="AP90" s="9"/>
      <c r="AQ90" s="22">
        <v>1.4572099999999999</v>
      </c>
      <c r="AR90" s="22">
        <v>24.950500000000002</v>
      </c>
      <c r="AS90" s="22">
        <v>-1.3842800000000001E-2</v>
      </c>
      <c r="AT90" s="22">
        <v>80</v>
      </c>
      <c r="AU90" s="22">
        <v>1.4562999999999999</v>
      </c>
      <c r="AV90">
        <f t="shared" si="20"/>
        <v>17.089876543209876</v>
      </c>
      <c r="AW90">
        <f t="shared" si="21"/>
        <v>24.903538997530863</v>
      </c>
      <c r="AX90" s="9"/>
      <c r="AY90" s="22">
        <v>0.30288700000000002</v>
      </c>
      <c r="AZ90" s="22">
        <v>28.890499999999999</v>
      </c>
      <c r="BA90" s="22">
        <v>-1.51764E-2</v>
      </c>
      <c r="BB90" s="22">
        <v>80</v>
      </c>
      <c r="BC90" s="22">
        <v>0.30224600000000001</v>
      </c>
      <c r="BD90">
        <f t="shared" si="22"/>
        <v>18.736296296296295</v>
      </c>
      <c r="BE90">
        <f t="shared" si="23"/>
        <v>5.6749805762962966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1.45218</v>
      </c>
      <c r="H91" s="22">
        <v>5.8090700000000002</v>
      </c>
      <c r="I91" s="22">
        <v>-1.36902E-2</v>
      </c>
      <c r="J91" s="22">
        <v>81</v>
      </c>
      <c r="K91" s="22">
        <v>1.48376</v>
      </c>
      <c r="L91">
        <f t="shared" si="12"/>
        <v>16.901481481481479</v>
      </c>
      <c r="M91">
        <f t="shared" si="13"/>
        <v>24.543993377777774</v>
      </c>
      <c r="N91" s="9"/>
      <c r="O91" s="22">
        <v>0.30792199999999997</v>
      </c>
      <c r="P91" s="22">
        <v>9.7491099999999999</v>
      </c>
      <c r="Q91" s="22">
        <v>-1.4816299999999999E-2</v>
      </c>
      <c r="R91" s="22">
        <v>81</v>
      </c>
      <c r="S91" s="22">
        <v>0.30746499999999999</v>
      </c>
      <c r="T91">
        <f t="shared" si="14"/>
        <v>18.291728395061728</v>
      </c>
      <c r="U91">
        <f t="shared" si="15"/>
        <v>5.6324255908641971</v>
      </c>
      <c r="X91" s="9"/>
      <c r="Y91" s="22">
        <v>1.45218</v>
      </c>
      <c r="Z91" s="22">
        <v>15.3873</v>
      </c>
      <c r="AA91" s="22">
        <v>-1.36566E-2</v>
      </c>
      <c r="AB91" s="22">
        <v>81</v>
      </c>
      <c r="AC91" s="22">
        <v>1.4514199999999999</v>
      </c>
      <c r="AD91">
        <f t="shared" si="16"/>
        <v>16.86</v>
      </c>
      <c r="AE91">
        <f t="shared" si="17"/>
        <v>24.4837548</v>
      </c>
      <c r="AF91" s="9"/>
      <c r="AG91" s="22">
        <v>0.30792199999999997</v>
      </c>
      <c r="AH91" s="22">
        <v>19.327300000000001</v>
      </c>
      <c r="AI91" s="22">
        <v>-1.4953599999999999E-2</v>
      </c>
      <c r="AJ91" s="22">
        <v>81</v>
      </c>
      <c r="AK91" s="22">
        <v>0.30743399999999999</v>
      </c>
      <c r="AL91">
        <f t="shared" si="18"/>
        <v>18.461234567901233</v>
      </c>
      <c r="AM91">
        <f t="shared" si="19"/>
        <v>5.684620270617283</v>
      </c>
      <c r="AP91" s="9"/>
      <c r="AQ91" s="22">
        <v>1.45218</v>
      </c>
      <c r="AR91" s="22">
        <v>24.9605</v>
      </c>
      <c r="AS91" s="22">
        <v>-1.3858000000000001E-2</v>
      </c>
      <c r="AT91" s="22">
        <v>81</v>
      </c>
      <c r="AU91" s="22">
        <v>1.4511099999999999</v>
      </c>
      <c r="AV91">
        <f t="shared" si="20"/>
        <v>17.10864197530864</v>
      </c>
      <c r="AW91">
        <f t="shared" si="21"/>
        <v>24.8448277037037</v>
      </c>
      <c r="AX91" s="9"/>
      <c r="AY91" s="22">
        <v>0.30792199999999997</v>
      </c>
      <c r="AZ91" s="22">
        <v>28.900600000000001</v>
      </c>
      <c r="BA91" s="22">
        <v>-1.5170299999999999E-2</v>
      </c>
      <c r="BB91" s="22">
        <v>81</v>
      </c>
      <c r="BC91" s="22">
        <v>0.30734299999999998</v>
      </c>
      <c r="BD91">
        <f t="shared" si="22"/>
        <v>18.728765432098765</v>
      </c>
      <c r="BE91">
        <f t="shared" si="23"/>
        <v>5.766998909382715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1.4471400000000001</v>
      </c>
      <c r="H92" s="22">
        <v>5.81914</v>
      </c>
      <c r="I92" s="22">
        <v>-1.36536E-2</v>
      </c>
      <c r="J92" s="22">
        <v>82</v>
      </c>
      <c r="K92" s="22">
        <v>1.4462299999999999</v>
      </c>
      <c r="L92">
        <f t="shared" si="12"/>
        <v>16.856296296296296</v>
      </c>
      <c r="M92">
        <f t="shared" si="13"/>
        <v>24.393420622222223</v>
      </c>
      <c r="N92" s="9"/>
      <c r="O92" s="22">
        <v>0.31295800000000001</v>
      </c>
      <c r="P92" s="22">
        <v>9.7591900000000003</v>
      </c>
      <c r="Q92" s="22">
        <v>-1.4810200000000001E-2</v>
      </c>
      <c r="R92" s="22">
        <v>82</v>
      </c>
      <c r="S92" s="22">
        <v>0.3125</v>
      </c>
      <c r="T92">
        <f t="shared" si="14"/>
        <v>18.284197530864198</v>
      </c>
      <c r="U92">
        <f t="shared" si="15"/>
        <v>5.722185890864198</v>
      </c>
      <c r="X92" s="9"/>
      <c r="Y92" s="22">
        <v>1.4471400000000001</v>
      </c>
      <c r="Z92" s="22">
        <v>15.397399999999999</v>
      </c>
      <c r="AA92" s="22">
        <v>-1.3681E-2</v>
      </c>
      <c r="AB92" s="22">
        <v>82</v>
      </c>
      <c r="AC92" s="22">
        <v>1.4459200000000001</v>
      </c>
      <c r="AD92">
        <f t="shared" si="16"/>
        <v>16.890123456790121</v>
      </c>
      <c r="AE92">
        <f t="shared" si="17"/>
        <v>24.442373259259259</v>
      </c>
      <c r="AF92" s="9"/>
      <c r="AG92" s="22">
        <v>0.31295800000000001</v>
      </c>
      <c r="AH92" s="22">
        <v>19.337399999999999</v>
      </c>
      <c r="AI92" s="22">
        <v>-1.49506E-2</v>
      </c>
      <c r="AJ92" s="22">
        <v>82</v>
      </c>
      <c r="AK92" s="22">
        <v>0.31234699999999999</v>
      </c>
      <c r="AL92">
        <f t="shared" si="18"/>
        <v>18.45753086419753</v>
      </c>
      <c r="AM92">
        <f t="shared" si="19"/>
        <v>5.7764319441975305</v>
      </c>
      <c r="AP92" s="9"/>
      <c r="AQ92" s="22">
        <v>1.4471400000000001</v>
      </c>
      <c r="AR92" s="22">
        <v>24.970600000000001</v>
      </c>
      <c r="AS92" s="22">
        <v>-1.38733E-2</v>
      </c>
      <c r="AT92" s="22">
        <v>82</v>
      </c>
      <c r="AU92" s="22">
        <v>1.4465300000000001</v>
      </c>
      <c r="AV92">
        <f t="shared" si="20"/>
        <v>17.127530864197528</v>
      </c>
      <c r="AW92">
        <f t="shared" si="21"/>
        <v>24.785935014814811</v>
      </c>
      <c r="AX92" s="9"/>
      <c r="AY92" s="22">
        <v>0.31295800000000001</v>
      </c>
      <c r="AZ92" s="22">
        <v>28.910599999999999</v>
      </c>
      <c r="BA92" s="22">
        <v>-1.51672E-2</v>
      </c>
      <c r="BB92" s="22">
        <v>82</v>
      </c>
      <c r="BC92" s="22">
        <v>0.31234699999999999</v>
      </c>
      <c r="BD92">
        <f t="shared" si="22"/>
        <v>18.724938271604938</v>
      </c>
      <c r="BE92">
        <f t="shared" si="23"/>
        <v>5.860119231604938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1.44211</v>
      </c>
      <c r="H93" s="22">
        <v>5.8292200000000003</v>
      </c>
      <c r="I93" s="22">
        <v>-1.36688E-2</v>
      </c>
      <c r="J93" s="22">
        <v>83</v>
      </c>
      <c r="K93" s="22">
        <v>1.4407300000000001</v>
      </c>
      <c r="L93">
        <f t="shared" si="12"/>
        <v>16.87506172839506</v>
      </c>
      <c r="M93">
        <f t="shared" si="13"/>
        <v>24.335695269135801</v>
      </c>
      <c r="N93" s="9"/>
      <c r="O93" s="22">
        <v>0.31799300000000003</v>
      </c>
      <c r="P93" s="22">
        <v>9.7692599999999992</v>
      </c>
      <c r="Q93" s="22">
        <v>-1.48071E-2</v>
      </c>
      <c r="R93" s="22">
        <v>83</v>
      </c>
      <c r="S93" s="22">
        <v>0.31719999999999998</v>
      </c>
      <c r="T93">
        <f t="shared" si="14"/>
        <v>18.28037037037037</v>
      </c>
      <c r="U93">
        <f t="shared" si="15"/>
        <v>5.8130298151851854</v>
      </c>
      <c r="X93" s="9"/>
      <c r="Y93" s="22">
        <v>1.44211</v>
      </c>
      <c r="Z93" s="22">
        <v>15.407400000000001</v>
      </c>
      <c r="AA93" s="22">
        <v>-1.3699299999999999E-2</v>
      </c>
      <c r="AB93" s="22">
        <v>83</v>
      </c>
      <c r="AC93" s="22">
        <v>1.4419599999999999</v>
      </c>
      <c r="AD93">
        <f t="shared" si="16"/>
        <v>16.912716049382716</v>
      </c>
      <c r="AE93">
        <f t="shared" si="17"/>
        <v>24.389996941975308</v>
      </c>
      <c r="AF93" s="9"/>
      <c r="AG93" s="22">
        <v>0.31799300000000003</v>
      </c>
      <c r="AH93" s="22">
        <v>19.3475</v>
      </c>
      <c r="AI93" s="22">
        <v>-1.4947500000000001E-2</v>
      </c>
      <c r="AJ93" s="22">
        <v>83</v>
      </c>
      <c r="AK93" s="22">
        <v>0.317108</v>
      </c>
      <c r="AL93">
        <f t="shared" si="18"/>
        <v>18.453703703703706</v>
      </c>
      <c r="AM93">
        <f t="shared" si="19"/>
        <v>5.8681486018518534</v>
      </c>
      <c r="AP93" s="9"/>
      <c r="AQ93" s="22">
        <v>1.44211</v>
      </c>
      <c r="AR93" s="22">
        <v>24.980699999999999</v>
      </c>
      <c r="AS93" s="22">
        <v>-1.38855E-2</v>
      </c>
      <c r="AT93" s="22">
        <v>83</v>
      </c>
      <c r="AU93" s="22">
        <v>1.4416500000000001</v>
      </c>
      <c r="AV93">
        <f t="shared" si="20"/>
        <v>17.142592592592592</v>
      </c>
      <c r="AW93">
        <f t="shared" si="21"/>
        <v>24.721504203703702</v>
      </c>
      <c r="AX93" s="9"/>
      <c r="AY93" s="22">
        <v>0.31799300000000003</v>
      </c>
      <c r="AZ93" s="22">
        <v>28.9207</v>
      </c>
      <c r="BA93" s="22">
        <v>-1.5164199999999999E-2</v>
      </c>
      <c r="BB93" s="22">
        <v>83</v>
      </c>
      <c r="BC93" s="22">
        <v>0.31729099999999999</v>
      </c>
      <c r="BD93">
        <f t="shared" si="22"/>
        <v>18.721234567901234</v>
      </c>
      <c r="BE93">
        <f t="shared" si="23"/>
        <v>5.953221543950618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1.4370700000000001</v>
      </c>
      <c r="H94" s="22">
        <v>5.8392900000000001</v>
      </c>
      <c r="I94" s="22">
        <v>-1.3684099999999999E-2</v>
      </c>
      <c r="J94" s="22">
        <v>84</v>
      </c>
      <c r="K94" s="22">
        <v>1.4355500000000001</v>
      </c>
      <c r="L94">
        <f t="shared" si="12"/>
        <v>16.893950617283949</v>
      </c>
      <c r="M94">
        <f t="shared" si="13"/>
        <v>24.277789613580246</v>
      </c>
      <c r="N94" s="9"/>
      <c r="O94" s="22">
        <v>0.32302900000000001</v>
      </c>
      <c r="P94" s="22">
        <v>9.7793299999999999</v>
      </c>
      <c r="Q94" s="22">
        <v>-1.4804100000000001E-2</v>
      </c>
      <c r="R94" s="22">
        <v>84</v>
      </c>
      <c r="S94" s="22">
        <v>0.322357</v>
      </c>
      <c r="T94">
        <f t="shared" si="14"/>
        <v>18.276666666666667</v>
      </c>
      <c r="U94">
        <f t="shared" si="15"/>
        <v>5.9038933566666669</v>
      </c>
      <c r="X94" s="9"/>
      <c r="Y94" s="22">
        <v>1.4370700000000001</v>
      </c>
      <c r="Z94" s="22">
        <v>15.4175</v>
      </c>
      <c r="AA94" s="22">
        <v>-1.37146E-2</v>
      </c>
      <c r="AB94" s="22">
        <v>84</v>
      </c>
      <c r="AC94" s="22">
        <v>1.4361600000000001</v>
      </c>
      <c r="AD94">
        <f t="shared" si="16"/>
        <v>16.931604938271605</v>
      </c>
      <c r="AE94">
        <f t="shared" si="17"/>
        <v>24.331901508641977</v>
      </c>
      <c r="AF94" s="9"/>
      <c r="AG94" s="22">
        <v>0.32302900000000001</v>
      </c>
      <c r="AH94" s="22">
        <v>19.357500000000002</v>
      </c>
      <c r="AI94" s="22">
        <v>-1.4941400000000001E-2</v>
      </c>
      <c r="AJ94" s="22">
        <v>84</v>
      </c>
      <c r="AK94" s="22">
        <v>0.32247900000000002</v>
      </c>
      <c r="AL94">
        <f t="shared" si="18"/>
        <v>18.446172839506172</v>
      </c>
      <c r="AM94">
        <f t="shared" si="19"/>
        <v>5.9586487661728391</v>
      </c>
      <c r="AP94" s="9"/>
      <c r="AQ94" s="22">
        <v>1.4370700000000001</v>
      </c>
      <c r="AR94" s="22">
        <v>24.9907</v>
      </c>
      <c r="AS94" s="22">
        <v>-1.3897700000000001E-2</v>
      </c>
      <c r="AT94" s="22">
        <v>84</v>
      </c>
      <c r="AU94" s="22">
        <v>1.4364600000000001</v>
      </c>
      <c r="AV94">
        <f t="shared" si="20"/>
        <v>17.157654320987653</v>
      </c>
      <c r="AW94">
        <f t="shared" si="21"/>
        <v>24.656750295061727</v>
      </c>
      <c r="AX94" s="9"/>
      <c r="AY94" s="22">
        <v>0.32302900000000001</v>
      </c>
      <c r="AZ94" s="22">
        <v>28.930800000000001</v>
      </c>
      <c r="BA94" s="22">
        <v>-1.51611E-2</v>
      </c>
      <c r="BB94" s="22">
        <v>84</v>
      </c>
      <c r="BC94" s="22">
        <v>0.32253999999999999</v>
      </c>
      <c r="BD94">
        <f t="shared" si="22"/>
        <v>18.717407407407403</v>
      </c>
      <c r="BE94">
        <f t="shared" si="23"/>
        <v>6.0462653974074065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1.43204</v>
      </c>
      <c r="H95" s="22">
        <v>5.8493599999999999</v>
      </c>
      <c r="I95" s="22">
        <v>-1.3699299999999999E-2</v>
      </c>
      <c r="J95" s="22">
        <v>85</v>
      </c>
      <c r="K95" s="22">
        <v>1.4315800000000001</v>
      </c>
      <c r="L95">
        <f t="shared" si="12"/>
        <v>16.912716049382716</v>
      </c>
      <c r="M95">
        <f t="shared" si="13"/>
        <v>24.219685891358026</v>
      </c>
      <c r="N95" s="9"/>
      <c r="O95" s="22">
        <v>0.32806400000000002</v>
      </c>
      <c r="P95" s="22">
        <v>9.7894000000000005</v>
      </c>
      <c r="Q95" s="22">
        <v>-1.4801E-2</v>
      </c>
      <c r="R95" s="22">
        <v>85</v>
      </c>
      <c r="S95" s="22">
        <v>0.32733200000000001</v>
      </c>
      <c r="T95">
        <f t="shared" si="14"/>
        <v>18.27283950617284</v>
      </c>
      <c r="U95">
        <f t="shared" si="15"/>
        <v>5.9946608197530873</v>
      </c>
      <c r="X95" s="9"/>
      <c r="Y95" s="22">
        <v>1.43204</v>
      </c>
      <c r="Z95" s="22">
        <v>15.4276</v>
      </c>
      <c r="AA95" s="22">
        <v>-1.3726800000000001E-2</v>
      </c>
      <c r="AB95" s="22">
        <v>85</v>
      </c>
      <c r="AC95" s="22">
        <v>1.43127</v>
      </c>
      <c r="AD95">
        <f t="shared" si="16"/>
        <v>16.946666666666665</v>
      </c>
      <c r="AE95">
        <f t="shared" si="17"/>
        <v>24.268304533333332</v>
      </c>
      <c r="AF95" s="9"/>
      <c r="AG95" s="22">
        <v>0.32806400000000002</v>
      </c>
      <c r="AH95" s="22">
        <v>19.367599999999999</v>
      </c>
      <c r="AI95" s="22">
        <v>-1.4938399999999999E-2</v>
      </c>
      <c r="AJ95" s="22">
        <v>85</v>
      </c>
      <c r="AK95" s="22">
        <v>0.32757599999999998</v>
      </c>
      <c r="AL95">
        <f t="shared" si="18"/>
        <v>18.442469135802465</v>
      </c>
      <c r="AM95">
        <f t="shared" si="19"/>
        <v>6.0503101945679001</v>
      </c>
      <c r="AP95" s="9"/>
      <c r="AQ95" s="22">
        <v>1.43204</v>
      </c>
      <c r="AR95" s="22">
        <v>25.000800000000002</v>
      </c>
      <c r="AS95" s="22">
        <v>-1.3909899999999999E-2</v>
      </c>
      <c r="AT95" s="22">
        <v>85</v>
      </c>
      <c r="AU95" s="22">
        <v>1.43127</v>
      </c>
      <c r="AV95">
        <f t="shared" si="20"/>
        <v>17.172716049382714</v>
      </c>
      <c r="AW95">
        <f t="shared" si="21"/>
        <v>24.592016291358021</v>
      </c>
      <c r="AX95" s="9"/>
      <c r="AY95" s="22">
        <v>0.32806400000000002</v>
      </c>
      <c r="AZ95" s="22">
        <v>28.940899999999999</v>
      </c>
      <c r="BA95" s="22">
        <v>-1.5152000000000001E-2</v>
      </c>
      <c r="BB95" s="22">
        <v>85</v>
      </c>
      <c r="BC95" s="22">
        <v>0.32745400000000002</v>
      </c>
      <c r="BD95">
        <f t="shared" si="22"/>
        <v>18.706172839506173</v>
      </c>
      <c r="BE95">
        <f t="shared" si="23"/>
        <v>6.1368218864197539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1.427</v>
      </c>
      <c r="H96" s="22">
        <v>5.8594299999999997</v>
      </c>
      <c r="I96" s="22">
        <v>-1.3717699999999999E-2</v>
      </c>
      <c r="J96" s="22">
        <v>86</v>
      </c>
      <c r="K96" s="22">
        <v>1.4260900000000001</v>
      </c>
      <c r="L96">
        <f t="shared" si="12"/>
        <v>16.935432098765432</v>
      </c>
      <c r="M96">
        <f t="shared" si="13"/>
        <v>24.166861604938273</v>
      </c>
      <c r="N96" s="9"/>
      <c r="O96" s="22">
        <v>0.33309899999999998</v>
      </c>
      <c r="P96" s="22">
        <v>9.7994699999999995</v>
      </c>
      <c r="Q96" s="22">
        <v>-1.47949E-2</v>
      </c>
      <c r="R96" s="22">
        <v>86</v>
      </c>
      <c r="S96" s="22">
        <v>0.33248899999999998</v>
      </c>
      <c r="T96">
        <f t="shared" si="14"/>
        <v>18.265308641975306</v>
      </c>
      <c r="U96">
        <f t="shared" si="15"/>
        <v>6.0841560433333317</v>
      </c>
      <c r="X96" s="9"/>
      <c r="Y96" s="22">
        <v>1.427</v>
      </c>
      <c r="Z96" s="22">
        <v>15.4376</v>
      </c>
      <c r="AA96" s="22">
        <v>-1.37482E-2</v>
      </c>
      <c r="AB96" s="22">
        <v>86</v>
      </c>
      <c r="AC96" s="22">
        <v>1.4260900000000001</v>
      </c>
      <c r="AD96">
        <f t="shared" si="16"/>
        <v>16.973086419753084</v>
      </c>
      <c r="AE96">
        <f t="shared" si="17"/>
        <v>24.220594320987651</v>
      </c>
      <c r="AF96" s="9"/>
      <c r="AG96" s="22">
        <v>0.33309899999999998</v>
      </c>
      <c r="AH96" s="22">
        <v>19.377700000000001</v>
      </c>
      <c r="AI96" s="22">
        <v>-1.49353E-2</v>
      </c>
      <c r="AJ96" s="22">
        <v>86</v>
      </c>
      <c r="AK96" s="22">
        <v>0.332428</v>
      </c>
      <c r="AL96">
        <f t="shared" si="18"/>
        <v>18.438641975308641</v>
      </c>
      <c r="AM96">
        <f t="shared" si="19"/>
        <v>6.1418932033333329</v>
      </c>
      <c r="AP96" s="9"/>
      <c r="AQ96" s="22">
        <v>1.427</v>
      </c>
      <c r="AR96" s="22">
        <v>25.010899999999999</v>
      </c>
      <c r="AS96" s="22">
        <v>-1.39221E-2</v>
      </c>
      <c r="AT96" s="22">
        <v>86</v>
      </c>
      <c r="AU96" s="22">
        <v>1.4260900000000001</v>
      </c>
      <c r="AV96">
        <f t="shared" si="20"/>
        <v>17.187777777777779</v>
      </c>
      <c r="AW96">
        <f t="shared" si="21"/>
        <v>24.526958888888892</v>
      </c>
      <c r="AX96" s="9"/>
      <c r="AY96" s="22">
        <v>0.33309899999999998</v>
      </c>
      <c r="AZ96" s="22">
        <v>28.950900000000001</v>
      </c>
      <c r="BA96" s="22">
        <v>-1.51459E-2</v>
      </c>
      <c r="BB96" s="22">
        <v>86</v>
      </c>
      <c r="BC96" s="22">
        <v>0.332397</v>
      </c>
      <c r="BD96">
        <f t="shared" si="22"/>
        <v>18.698641975308643</v>
      </c>
      <c r="BE96">
        <f t="shared" si="23"/>
        <v>6.2284989433333333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1.42197</v>
      </c>
      <c r="H97" s="22">
        <v>5.8695000000000004</v>
      </c>
      <c r="I97" s="22">
        <v>-1.3732899999999999E-2</v>
      </c>
      <c r="J97" s="22">
        <v>87</v>
      </c>
      <c r="K97" s="22">
        <v>1.4212</v>
      </c>
      <c r="L97">
        <f t="shared" si="12"/>
        <v>16.954197530864196</v>
      </c>
      <c r="M97">
        <f t="shared" si="13"/>
        <v>24.108360262962961</v>
      </c>
      <c r="N97" s="9"/>
      <c r="O97" s="22">
        <v>0.33813500000000002</v>
      </c>
      <c r="P97" s="22">
        <v>9.8095400000000001</v>
      </c>
      <c r="Q97" s="22">
        <v>-1.47919E-2</v>
      </c>
      <c r="R97" s="22">
        <v>87</v>
      </c>
      <c r="S97" s="22">
        <v>0.33758500000000002</v>
      </c>
      <c r="T97">
        <f t="shared" si="14"/>
        <v>18.261604938271603</v>
      </c>
      <c r="U97">
        <f t="shared" si="15"/>
        <v>6.1748877858024684</v>
      </c>
      <c r="X97" s="9"/>
      <c r="Y97" s="22">
        <v>1.42197</v>
      </c>
      <c r="Z97" s="22">
        <v>15.447699999999999</v>
      </c>
      <c r="AA97" s="22">
        <v>-1.37634E-2</v>
      </c>
      <c r="AB97" s="22">
        <v>87</v>
      </c>
      <c r="AC97" s="22">
        <v>1.4212</v>
      </c>
      <c r="AD97">
        <f t="shared" si="16"/>
        <v>16.991851851851852</v>
      </c>
      <c r="AE97">
        <f t="shared" si="17"/>
        <v>24.161903577777778</v>
      </c>
      <c r="AF97" s="9"/>
      <c r="AG97" s="22">
        <v>0.33813500000000002</v>
      </c>
      <c r="AH97" s="22">
        <v>19.387799999999999</v>
      </c>
      <c r="AI97" s="22">
        <v>-1.49231E-2</v>
      </c>
      <c r="AJ97" s="22">
        <v>87</v>
      </c>
      <c r="AK97" s="22">
        <v>0.33743299999999998</v>
      </c>
      <c r="AL97">
        <f t="shared" si="18"/>
        <v>18.423580246913577</v>
      </c>
      <c r="AM97">
        <f t="shared" si="19"/>
        <v>6.2296573067901226</v>
      </c>
      <c r="AP97" s="9"/>
      <c r="AQ97" s="22">
        <v>1.42197</v>
      </c>
      <c r="AR97" s="22">
        <v>25.021000000000001</v>
      </c>
      <c r="AS97" s="22">
        <v>-1.3931300000000001E-2</v>
      </c>
      <c r="AT97" s="22">
        <v>87</v>
      </c>
      <c r="AU97" s="22">
        <v>1.4215100000000001</v>
      </c>
      <c r="AV97">
        <f t="shared" si="20"/>
        <v>17.199135802469137</v>
      </c>
      <c r="AW97">
        <f t="shared" si="21"/>
        <v>24.456655137037039</v>
      </c>
      <c r="AX97" s="9"/>
      <c r="AY97" s="22">
        <v>0.33813500000000002</v>
      </c>
      <c r="AZ97" s="22">
        <v>28.960999999999999</v>
      </c>
      <c r="BA97" s="22">
        <v>-1.51398E-2</v>
      </c>
      <c r="BB97" s="22">
        <v>87</v>
      </c>
      <c r="BC97" s="22">
        <v>0.33740199999999998</v>
      </c>
      <c r="BD97">
        <f t="shared" si="22"/>
        <v>18.691111111111109</v>
      </c>
      <c r="BE97">
        <f t="shared" si="23"/>
        <v>6.3201188555555552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1.41693</v>
      </c>
      <c r="H98" s="22">
        <v>5.8795700000000002</v>
      </c>
      <c r="I98" s="22">
        <v>-1.37482E-2</v>
      </c>
      <c r="J98" s="22">
        <v>88</v>
      </c>
      <c r="K98" s="22">
        <v>1.4160200000000001</v>
      </c>
      <c r="L98">
        <f t="shared" si="12"/>
        <v>16.973086419753084</v>
      </c>
      <c r="M98">
        <f t="shared" si="13"/>
        <v>24.049675340740738</v>
      </c>
      <c r="N98" s="9"/>
      <c r="O98" s="22">
        <v>0.34316999999999998</v>
      </c>
      <c r="P98" s="22">
        <v>9.8196100000000008</v>
      </c>
      <c r="Q98" s="22">
        <v>-1.47888E-2</v>
      </c>
      <c r="R98" s="22">
        <v>88</v>
      </c>
      <c r="S98" s="22">
        <v>0.34246799999999999</v>
      </c>
      <c r="T98">
        <f t="shared" si="14"/>
        <v>18.257777777777775</v>
      </c>
      <c r="U98">
        <f t="shared" si="15"/>
        <v>6.2655215999999987</v>
      </c>
      <c r="X98" s="9"/>
      <c r="Y98" s="22">
        <v>1.41693</v>
      </c>
      <c r="Z98" s="22">
        <v>15.457800000000001</v>
      </c>
      <c r="AA98" s="22">
        <v>-1.37787E-2</v>
      </c>
      <c r="AB98" s="22">
        <v>88</v>
      </c>
      <c r="AC98" s="22">
        <v>1.4160200000000001</v>
      </c>
      <c r="AD98">
        <f t="shared" si="16"/>
        <v>17.01074074074074</v>
      </c>
      <c r="AE98">
        <f t="shared" si="17"/>
        <v>24.103028877777778</v>
      </c>
      <c r="AF98" s="9"/>
      <c r="AG98" s="22">
        <v>0.34316999999999998</v>
      </c>
      <c r="AH98" s="22">
        <v>19.3978</v>
      </c>
      <c r="AI98" s="22">
        <v>-1.4919999999999999E-2</v>
      </c>
      <c r="AJ98" s="22">
        <v>88</v>
      </c>
      <c r="AK98" s="22">
        <v>0.34277299999999999</v>
      </c>
      <c r="AL98">
        <f t="shared" si="18"/>
        <v>18.41975308641975</v>
      </c>
      <c r="AM98">
        <f t="shared" si="19"/>
        <v>6.3211066666666653</v>
      </c>
      <c r="AP98" s="9"/>
      <c r="AQ98" s="22">
        <v>1.41693</v>
      </c>
      <c r="AR98" s="22">
        <v>25.030999999999999</v>
      </c>
      <c r="AS98" s="22">
        <v>-1.3943499999999999E-2</v>
      </c>
      <c r="AT98" s="22">
        <v>88</v>
      </c>
      <c r="AU98" s="22">
        <v>1.4166300000000001</v>
      </c>
      <c r="AV98">
        <f t="shared" si="20"/>
        <v>17.214197530864197</v>
      </c>
      <c r="AW98">
        <f t="shared" si="21"/>
        <v>24.391312907407407</v>
      </c>
      <c r="AX98" s="9"/>
      <c r="AY98" s="22">
        <v>0.34316999999999998</v>
      </c>
      <c r="AZ98" s="22">
        <v>28.9711</v>
      </c>
      <c r="BA98" s="22">
        <v>-1.51337E-2</v>
      </c>
      <c r="BB98" s="22">
        <v>88</v>
      </c>
      <c r="BC98" s="22">
        <v>0.34283400000000003</v>
      </c>
      <c r="BD98">
        <f t="shared" si="22"/>
        <v>18.683580246913579</v>
      </c>
      <c r="BE98">
        <f t="shared" si="23"/>
        <v>6.4116442333333321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1.4118999999999999</v>
      </c>
      <c r="H99" s="22">
        <v>5.88964</v>
      </c>
      <c r="I99" s="22">
        <v>-1.3766499999999999E-2</v>
      </c>
      <c r="J99" s="22">
        <v>89</v>
      </c>
      <c r="K99" s="22">
        <v>1.41113</v>
      </c>
      <c r="L99">
        <f t="shared" si="12"/>
        <v>16.995679012345676</v>
      </c>
      <c r="M99">
        <f t="shared" si="13"/>
        <v>23.99619919753086</v>
      </c>
      <c r="N99" s="9"/>
      <c r="O99" s="22">
        <v>0.34820600000000002</v>
      </c>
      <c r="P99" s="22">
        <v>9.8296799999999998</v>
      </c>
      <c r="Q99" s="22">
        <v>-1.4782699999999999E-2</v>
      </c>
      <c r="R99" s="22">
        <v>89</v>
      </c>
      <c r="S99" s="22">
        <v>0.34762599999999999</v>
      </c>
      <c r="T99">
        <f t="shared" si="14"/>
        <v>18.250246913580245</v>
      </c>
      <c r="U99">
        <f t="shared" si="15"/>
        <v>6.354845476790123</v>
      </c>
      <c r="X99" s="9"/>
      <c r="Y99" s="22">
        <v>1.4118999999999999</v>
      </c>
      <c r="Z99" s="22">
        <v>15.4679</v>
      </c>
      <c r="AA99" s="22">
        <v>-1.37909E-2</v>
      </c>
      <c r="AB99" s="22">
        <v>89</v>
      </c>
      <c r="AC99" s="22">
        <v>1.41113</v>
      </c>
      <c r="AD99">
        <f t="shared" si="16"/>
        <v>17.025802469135801</v>
      </c>
      <c r="AE99">
        <f t="shared" si="17"/>
        <v>24.038730506172836</v>
      </c>
      <c r="AF99" s="9"/>
      <c r="AG99" s="22">
        <v>0.34820600000000002</v>
      </c>
      <c r="AH99" s="22">
        <v>19.407900000000001</v>
      </c>
      <c r="AI99" s="22">
        <v>-1.4917E-2</v>
      </c>
      <c r="AJ99" s="22">
        <v>89</v>
      </c>
      <c r="AK99" s="22">
        <v>0.34759499999999999</v>
      </c>
      <c r="AL99">
        <f t="shared" si="18"/>
        <v>18.416049382716047</v>
      </c>
      <c r="AM99">
        <f t="shared" si="19"/>
        <v>6.4125788913580237</v>
      </c>
      <c r="AP99" s="9"/>
      <c r="AQ99" s="22">
        <v>1.4118999999999999</v>
      </c>
      <c r="AR99" s="22">
        <v>25.0411</v>
      </c>
      <c r="AS99" s="22">
        <v>-1.39557E-2</v>
      </c>
      <c r="AT99" s="22">
        <v>89</v>
      </c>
      <c r="AU99" s="22">
        <v>1.41052</v>
      </c>
      <c r="AV99">
        <f t="shared" si="20"/>
        <v>17.229259259259258</v>
      </c>
      <c r="AW99">
        <f t="shared" si="21"/>
        <v>24.325991148148145</v>
      </c>
      <c r="AX99" s="9"/>
      <c r="AY99" s="22">
        <v>0.34820600000000002</v>
      </c>
      <c r="AZ99" s="22">
        <v>28.981100000000001</v>
      </c>
      <c r="BA99" s="22">
        <v>-1.51276E-2</v>
      </c>
      <c r="BB99" s="22">
        <v>89</v>
      </c>
      <c r="BC99" s="22">
        <v>0.34753400000000001</v>
      </c>
      <c r="BD99">
        <f t="shared" si="22"/>
        <v>18.676049382716048</v>
      </c>
      <c r="BE99">
        <f t="shared" si="23"/>
        <v>6.5031124513580245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1.40686</v>
      </c>
      <c r="H100" s="22">
        <v>5.8997099999999998</v>
      </c>
      <c r="I100" s="22">
        <v>-1.37787E-2</v>
      </c>
      <c r="J100" s="22">
        <v>90</v>
      </c>
      <c r="K100" s="22">
        <v>1.40564</v>
      </c>
      <c r="L100">
        <f t="shared" si="12"/>
        <v>17.01074074074074</v>
      </c>
      <c r="M100">
        <f t="shared" si="13"/>
        <v>23.931730718518519</v>
      </c>
      <c r="N100" s="9"/>
      <c r="O100" s="22">
        <v>0.35324100000000003</v>
      </c>
      <c r="P100" s="22">
        <v>9.8397500000000004</v>
      </c>
      <c r="Q100" s="22">
        <v>-1.4776600000000001E-2</v>
      </c>
      <c r="R100" s="22">
        <v>90</v>
      </c>
      <c r="S100" s="22">
        <v>0.35275299999999998</v>
      </c>
      <c r="T100">
        <f t="shared" si="14"/>
        <v>18.242716049382715</v>
      </c>
      <c r="U100">
        <f t="shared" si="15"/>
        <v>6.44407526</v>
      </c>
      <c r="X100" s="9"/>
      <c r="Y100" s="22">
        <v>1.40686</v>
      </c>
      <c r="Z100" s="22">
        <v>15.4779</v>
      </c>
      <c r="AA100" s="22">
        <v>-1.38E-2</v>
      </c>
      <c r="AB100" s="22">
        <v>90</v>
      </c>
      <c r="AC100" s="22">
        <v>1.40564</v>
      </c>
      <c r="AD100">
        <f t="shared" si="16"/>
        <v>17.037037037037035</v>
      </c>
      <c r="AE100">
        <f t="shared" si="17"/>
        <v>23.968725925925924</v>
      </c>
      <c r="AF100" s="9"/>
      <c r="AG100" s="22">
        <v>0.35324100000000003</v>
      </c>
      <c r="AH100" s="22">
        <v>19.417999999999999</v>
      </c>
      <c r="AI100" s="22">
        <v>-1.4913900000000001E-2</v>
      </c>
      <c r="AJ100" s="22">
        <v>90</v>
      </c>
      <c r="AK100" s="22">
        <v>0.352661</v>
      </c>
      <c r="AL100">
        <f t="shared" si="18"/>
        <v>18.412222222222223</v>
      </c>
      <c r="AM100">
        <f t="shared" si="19"/>
        <v>6.5039517900000003</v>
      </c>
      <c r="AP100" s="9"/>
      <c r="AQ100" s="22">
        <v>1.40686</v>
      </c>
      <c r="AR100" s="22">
        <v>25.051200000000001</v>
      </c>
      <c r="AS100" s="22">
        <v>-1.39679E-2</v>
      </c>
      <c r="AT100" s="22">
        <v>90</v>
      </c>
      <c r="AU100" s="22">
        <v>1.40625</v>
      </c>
      <c r="AV100">
        <f t="shared" si="20"/>
        <v>17.244320987654319</v>
      </c>
      <c r="AW100">
        <f t="shared" si="21"/>
        <v>24.260345424691355</v>
      </c>
      <c r="AX100" s="9"/>
      <c r="AY100" s="22">
        <v>0.35324100000000003</v>
      </c>
      <c r="AZ100" s="22">
        <v>28.991199999999999</v>
      </c>
      <c r="BA100" s="22">
        <v>-1.51215E-2</v>
      </c>
      <c r="BB100" s="22">
        <v>90</v>
      </c>
      <c r="BC100" s="22">
        <v>0.35256999999999999</v>
      </c>
      <c r="BD100">
        <f t="shared" si="22"/>
        <v>18.668518518518518</v>
      </c>
      <c r="BE100">
        <f t="shared" si="23"/>
        <v>6.5944861499999998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1.4018200000000001</v>
      </c>
      <c r="H101" s="22">
        <v>5.9097799999999996</v>
      </c>
      <c r="I101" s="22">
        <v>-1.3797E-2</v>
      </c>
      <c r="J101" s="22">
        <v>91</v>
      </c>
      <c r="K101" s="22">
        <v>1.40015</v>
      </c>
      <c r="L101">
        <f t="shared" si="12"/>
        <v>17.033333333333331</v>
      </c>
      <c r="M101">
        <f t="shared" si="13"/>
        <v>23.877667333333331</v>
      </c>
      <c r="N101" s="9"/>
      <c r="O101" s="22">
        <v>0.35827599999999998</v>
      </c>
      <c r="P101" s="22">
        <v>9.8498199999999994</v>
      </c>
      <c r="Q101" s="22">
        <v>-1.47736E-2</v>
      </c>
      <c r="R101" s="22">
        <v>91</v>
      </c>
      <c r="S101" s="22">
        <v>0.35736099999999998</v>
      </c>
      <c r="T101">
        <f t="shared" si="14"/>
        <v>18.239012345679011</v>
      </c>
      <c r="U101">
        <f t="shared" si="15"/>
        <v>6.5346003871604932</v>
      </c>
      <c r="X101" s="9"/>
      <c r="Y101" s="22">
        <v>1.4018200000000001</v>
      </c>
      <c r="Z101" s="22">
        <v>15.488</v>
      </c>
      <c r="AA101" s="22">
        <v>-1.3815300000000001E-2</v>
      </c>
      <c r="AB101" s="22">
        <v>91</v>
      </c>
      <c r="AC101" s="22">
        <v>1.40106</v>
      </c>
      <c r="AD101">
        <f t="shared" si="16"/>
        <v>17.055925925925926</v>
      </c>
      <c r="AE101">
        <f t="shared" si="17"/>
        <v>23.909338081481483</v>
      </c>
      <c r="AF101" s="9"/>
      <c r="AG101" s="22">
        <v>0.35827599999999998</v>
      </c>
      <c r="AH101" s="22">
        <v>19.428000000000001</v>
      </c>
      <c r="AI101" s="22">
        <v>-1.49109E-2</v>
      </c>
      <c r="AJ101" s="22">
        <v>91</v>
      </c>
      <c r="AK101" s="22">
        <v>0.35760500000000001</v>
      </c>
      <c r="AL101">
        <f t="shared" si="18"/>
        <v>18.408518518518516</v>
      </c>
      <c r="AM101">
        <f t="shared" si="19"/>
        <v>6.59533038074074</v>
      </c>
      <c r="AP101" s="9"/>
      <c r="AQ101" s="22">
        <v>1.4018200000000001</v>
      </c>
      <c r="AR101" s="22">
        <v>25.061199999999999</v>
      </c>
      <c r="AS101" s="22">
        <v>-1.3977099999999999E-2</v>
      </c>
      <c r="AT101" s="22">
        <v>91</v>
      </c>
      <c r="AU101" s="22">
        <v>1.40015</v>
      </c>
      <c r="AV101">
        <f t="shared" si="20"/>
        <v>17.255679012345677</v>
      </c>
      <c r="AW101">
        <f t="shared" si="21"/>
        <v>24.18935595308642</v>
      </c>
      <c r="AX101" s="9"/>
      <c r="AY101" s="22">
        <v>0.35827599999999998</v>
      </c>
      <c r="AZ101" s="22">
        <v>29.001300000000001</v>
      </c>
      <c r="BA101" s="22">
        <v>-1.5118400000000001E-2</v>
      </c>
      <c r="BB101" s="22">
        <v>91</v>
      </c>
      <c r="BC101" s="22">
        <v>0.35766599999999998</v>
      </c>
      <c r="BD101">
        <f t="shared" si="22"/>
        <v>18.66469135802469</v>
      </c>
      <c r="BE101">
        <f t="shared" si="23"/>
        <v>6.6871109609876536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1.39679</v>
      </c>
      <c r="H102" s="22">
        <v>5.9198500000000003</v>
      </c>
      <c r="I102" s="22">
        <v>-1.3806199999999999E-2</v>
      </c>
      <c r="J102" s="22">
        <v>92</v>
      </c>
      <c r="K102" s="22">
        <v>1.39557</v>
      </c>
      <c r="L102">
        <f t="shared" si="12"/>
        <v>17.044691358024689</v>
      </c>
      <c r="M102">
        <f t="shared" si="13"/>
        <v>23.807854441975305</v>
      </c>
      <c r="N102" s="9"/>
      <c r="O102" s="22">
        <v>0.36331200000000002</v>
      </c>
      <c r="P102" s="22">
        <v>9.8598999999999997</v>
      </c>
      <c r="Q102" s="22">
        <v>-1.4767499999999999E-2</v>
      </c>
      <c r="R102" s="22">
        <v>92</v>
      </c>
      <c r="S102" s="22">
        <v>0.36267100000000002</v>
      </c>
      <c r="T102">
        <f t="shared" si="14"/>
        <v>18.231481481481481</v>
      </c>
      <c r="U102">
        <f t="shared" si="15"/>
        <v>6.6237159999999999</v>
      </c>
      <c r="X102" s="9"/>
      <c r="Y102" s="22">
        <v>1.39679</v>
      </c>
      <c r="Z102" s="22">
        <v>15.498100000000001</v>
      </c>
      <c r="AA102" s="22">
        <v>-1.38245E-2</v>
      </c>
      <c r="AB102" s="22">
        <v>92</v>
      </c>
      <c r="AC102" s="22">
        <v>1.39618</v>
      </c>
      <c r="AD102">
        <f t="shared" si="16"/>
        <v>17.067283950617281</v>
      </c>
      <c r="AE102">
        <f t="shared" si="17"/>
        <v>23.83941154938271</v>
      </c>
      <c r="AF102" s="9"/>
      <c r="AG102" s="22">
        <v>0.36331200000000002</v>
      </c>
      <c r="AH102" s="22">
        <v>19.438099999999999</v>
      </c>
      <c r="AI102" s="22">
        <v>-1.4904799999999999E-2</v>
      </c>
      <c r="AJ102" s="22">
        <v>92</v>
      </c>
      <c r="AK102" s="22">
        <v>0.36291499999999999</v>
      </c>
      <c r="AL102">
        <f t="shared" si="18"/>
        <v>18.400987654320986</v>
      </c>
      <c r="AM102">
        <f t="shared" si="19"/>
        <v>6.6852996266666667</v>
      </c>
      <c r="AP102" s="9"/>
      <c r="AQ102" s="22">
        <v>1.39679</v>
      </c>
      <c r="AR102" s="22">
        <v>25.071300000000001</v>
      </c>
      <c r="AS102" s="22">
        <v>-1.3983199999999999E-2</v>
      </c>
      <c r="AT102" s="22">
        <v>92</v>
      </c>
      <c r="AU102" s="22">
        <v>1.3952599999999999</v>
      </c>
      <c r="AV102">
        <f t="shared" si="20"/>
        <v>17.263209876543208</v>
      </c>
      <c r="AW102">
        <f t="shared" si="21"/>
        <v>24.113078923456786</v>
      </c>
      <c r="AX102" s="9"/>
      <c r="AY102" s="22">
        <v>0.36331200000000002</v>
      </c>
      <c r="AZ102" s="22">
        <v>29.011399999999998</v>
      </c>
      <c r="BA102" s="22">
        <v>-1.51123E-2</v>
      </c>
      <c r="BB102" s="22">
        <v>92</v>
      </c>
      <c r="BC102" s="22">
        <v>0.36260999999999999</v>
      </c>
      <c r="BD102">
        <f t="shared" si="22"/>
        <v>18.65716049382716</v>
      </c>
      <c r="BE102">
        <f t="shared" si="23"/>
        <v>6.7783702933333334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1.39175</v>
      </c>
      <c r="H103" s="22">
        <v>5.9299299999999997</v>
      </c>
      <c r="I103" s="22">
        <v>-1.3815300000000001E-2</v>
      </c>
      <c r="J103" s="22">
        <v>93</v>
      </c>
      <c r="K103" s="22">
        <v>1.39069</v>
      </c>
      <c r="L103">
        <f t="shared" si="12"/>
        <v>17.055925925925926</v>
      </c>
      <c r="M103">
        <f t="shared" si="13"/>
        <v>23.73758490740741</v>
      </c>
      <c r="N103" s="9"/>
      <c r="O103" s="22">
        <v>0.36834699999999998</v>
      </c>
      <c r="P103" s="22">
        <v>9.8699700000000004</v>
      </c>
      <c r="Q103" s="22">
        <v>-1.47552E-2</v>
      </c>
      <c r="R103" s="22">
        <v>93</v>
      </c>
      <c r="S103" s="22">
        <v>0.36776700000000001</v>
      </c>
      <c r="T103">
        <f t="shared" si="14"/>
        <v>18.216296296296292</v>
      </c>
      <c r="U103">
        <f t="shared" si="15"/>
        <v>6.7099180918518497</v>
      </c>
      <c r="X103" s="9"/>
      <c r="Y103" s="22">
        <v>1.39175</v>
      </c>
      <c r="Z103" s="22">
        <v>15.508100000000001</v>
      </c>
      <c r="AA103" s="22">
        <v>-1.38397E-2</v>
      </c>
      <c r="AB103" s="22">
        <v>93</v>
      </c>
      <c r="AC103" s="22">
        <v>1.3909899999999999</v>
      </c>
      <c r="AD103">
        <f t="shared" si="16"/>
        <v>17.086049382716048</v>
      </c>
      <c r="AE103">
        <f t="shared" si="17"/>
        <v>23.77950922839506</v>
      </c>
      <c r="AF103" s="9"/>
      <c r="AG103" s="22">
        <v>0.36834699999999998</v>
      </c>
      <c r="AH103" s="22">
        <v>19.4482</v>
      </c>
      <c r="AI103" s="22">
        <v>-1.49017E-2</v>
      </c>
      <c r="AJ103" s="22">
        <v>93</v>
      </c>
      <c r="AK103" s="22">
        <v>0.36782799999999999</v>
      </c>
      <c r="AL103">
        <f t="shared" si="18"/>
        <v>18.397160493827158</v>
      </c>
      <c r="AM103">
        <f t="shared" si="19"/>
        <v>6.7765388764197523</v>
      </c>
      <c r="AP103" s="9"/>
      <c r="AQ103" s="22">
        <v>1.39175</v>
      </c>
      <c r="AR103" s="22">
        <v>25.081399999999999</v>
      </c>
      <c r="AS103" s="22">
        <v>-1.3992299999999999E-2</v>
      </c>
      <c r="AT103" s="22">
        <v>93</v>
      </c>
      <c r="AU103" s="22">
        <v>1.3913</v>
      </c>
      <c r="AV103">
        <f t="shared" si="20"/>
        <v>17.274444444444445</v>
      </c>
      <c r="AW103">
        <f t="shared" si="21"/>
        <v>24.041708055555556</v>
      </c>
      <c r="AX103" s="9"/>
      <c r="AY103" s="22">
        <v>0.36834699999999998</v>
      </c>
      <c r="AZ103" s="22">
        <v>29.0214</v>
      </c>
      <c r="BA103" s="22">
        <v>-1.51062E-2</v>
      </c>
      <c r="BB103" s="22">
        <v>93</v>
      </c>
      <c r="BC103" s="22">
        <v>0.36770599999999998</v>
      </c>
      <c r="BD103">
        <f t="shared" si="22"/>
        <v>18.649629629629626</v>
      </c>
      <c r="BE103">
        <f t="shared" si="23"/>
        <v>6.8695351251851831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1.38672</v>
      </c>
      <c r="H104" s="22">
        <v>5.94</v>
      </c>
      <c r="I104" s="22">
        <v>-1.38306E-2</v>
      </c>
      <c r="J104" s="22">
        <v>94</v>
      </c>
      <c r="K104" s="22">
        <v>1.3857999999999999</v>
      </c>
      <c r="L104">
        <f t="shared" si="12"/>
        <v>17.074814814814815</v>
      </c>
      <c r="M104">
        <f t="shared" si="13"/>
        <v>23.6779872</v>
      </c>
      <c r="N104" s="9"/>
      <c r="O104" s="22">
        <v>0.37338300000000002</v>
      </c>
      <c r="P104" s="22">
        <v>9.8800399999999993</v>
      </c>
      <c r="Q104" s="22">
        <v>-1.4749099999999999E-2</v>
      </c>
      <c r="R104" s="22">
        <v>94</v>
      </c>
      <c r="S104" s="22">
        <v>0.372803</v>
      </c>
      <c r="T104">
        <f t="shared" si="14"/>
        <v>18.208765432098765</v>
      </c>
      <c r="U104">
        <f t="shared" si="15"/>
        <v>6.7988434633333332</v>
      </c>
      <c r="X104" s="9"/>
      <c r="Y104" s="22">
        <v>1.38672</v>
      </c>
      <c r="Z104" s="22">
        <v>15.5182</v>
      </c>
      <c r="AA104" s="22">
        <v>-1.3848900000000001E-2</v>
      </c>
      <c r="AB104" s="22">
        <v>94</v>
      </c>
      <c r="AC104" s="22">
        <v>1.38611</v>
      </c>
      <c r="AD104">
        <f t="shared" si="16"/>
        <v>17.09740740740741</v>
      </c>
      <c r="AE104">
        <f t="shared" si="17"/>
        <v>23.709316800000003</v>
      </c>
      <c r="AF104" s="9"/>
      <c r="AG104" s="22">
        <v>0.37338300000000002</v>
      </c>
      <c r="AH104" s="22">
        <v>19.458300000000001</v>
      </c>
      <c r="AI104" s="22">
        <v>-1.4898700000000001E-2</v>
      </c>
      <c r="AJ104" s="22">
        <v>94</v>
      </c>
      <c r="AK104" s="22">
        <v>0.37274200000000002</v>
      </c>
      <c r="AL104">
        <f t="shared" si="18"/>
        <v>18.393456790123455</v>
      </c>
      <c r="AM104">
        <f t="shared" si="19"/>
        <v>6.8678040766666664</v>
      </c>
      <c r="AP104" s="9"/>
      <c r="AQ104" s="22">
        <v>1.38672</v>
      </c>
      <c r="AR104" s="22">
        <v>25.0915</v>
      </c>
      <c r="AS104" s="22">
        <v>-1.40015E-2</v>
      </c>
      <c r="AT104" s="22">
        <v>94</v>
      </c>
      <c r="AU104" s="22">
        <v>1.38611</v>
      </c>
      <c r="AV104">
        <f t="shared" si="20"/>
        <v>17.285802469135803</v>
      </c>
      <c r="AW104">
        <f t="shared" si="21"/>
        <v>23.970568</v>
      </c>
      <c r="AX104" s="9"/>
      <c r="AY104" s="22">
        <v>0.37338300000000002</v>
      </c>
      <c r="AZ104" s="22">
        <v>29.031500000000001</v>
      </c>
      <c r="BA104" s="22">
        <v>-1.51031E-2</v>
      </c>
      <c r="BB104" s="22">
        <v>94</v>
      </c>
      <c r="BC104" s="22">
        <v>0.372894</v>
      </c>
      <c r="BD104">
        <f t="shared" si="22"/>
        <v>18.645802469135798</v>
      </c>
      <c r="BE104">
        <f t="shared" si="23"/>
        <v>6.9620256633333319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1.38168</v>
      </c>
      <c r="H105" s="22">
        <v>5.9500700000000002</v>
      </c>
      <c r="I105" s="22">
        <v>-1.3842800000000001E-2</v>
      </c>
      <c r="J105" s="22">
        <v>95</v>
      </c>
      <c r="K105" s="22">
        <v>1.3803099999999999</v>
      </c>
      <c r="L105">
        <f t="shared" si="12"/>
        <v>17.089876543209876</v>
      </c>
      <c r="M105">
        <f t="shared" si="13"/>
        <v>23.612740622222223</v>
      </c>
      <c r="N105" s="9"/>
      <c r="O105" s="22">
        <v>0.37841799999999998</v>
      </c>
      <c r="P105" s="22">
        <v>9.89011</v>
      </c>
      <c r="Q105" s="22">
        <v>-1.474E-2</v>
      </c>
      <c r="R105" s="22">
        <v>95</v>
      </c>
      <c r="S105" s="22">
        <v>0.37789899999999998</v>
      </c>
      <c r="T105">
        <f t="shared" si="14"/>
        <v>18.197530864197528</v>
      </c>
      <c r="U105">
        <f t="shared" si="15"/>
        <v>6.8862732345678994</v>
      </c>
      <c r="X105" s="9"/>
      <c r="Y105" s="22">
        <v>1.38168</v>
      </c>
      <c r="Z105" s="22">
        <v>15.5283</v>
      </c>
      <c r="AA105" s="22">
        <v>-1.3861099999999999E-2</v>
      </c>
      <c r="AB105" s="22">
        <v>95</v>
      </c>
      <c r="AC105" s="22">
        <v>1.38123</v>
      </c>
      <c r="AD105">
        <f t="shared" si="16"/>
        <v>17.112469135802467</v>
      </c>
      <c r="AE105">
        <f t="shared" si="17"/>
        <v>23.643956355555552</v>
      </c>
      <c r="AF105" s="9"/>
      <c r="AG105" s="22">
        <v>0.37841799999999998</v>
      </c>
      <c r="AH105" s="22">
        <v>19.468299999999999</v>
      </c>
      <c r="AI105" s="22">
        <v>-1.4892600000000001E-2</v>
      </c>
      <c r="AJ105" s="22">
        <v>95</v>
      </c>
      <c r="AK105" s="22">
        <v>0.37796000000000002</v>
      </c>
      <c r="AL105">
        <f t="shared" si="18"/>
        <v>18.385925925925928</v>
      </c>
      <c r="AM105">
        <f t="shared" si="19"/>
        <v>6.9575653170370373</v>
      </c>
      <c r="AP105" s="9"/>
      <c r="AQ105" s="22">
        <v>1.38168</v>
      </c>
      <c r="AR105" s="22">
        <v>25.101500000000001</v>
      </c>
      <c r="AS105" s="22">
        <v>-1.40106E-2</v>
      </c>
      <c r="AT105" s="22">
        <v>95</v>
      </c>
      <c r="AU105" s="22">
        <v>1.38062</v>
      </c>
      <c r="AV105">
        <f t="shared" si="20"/>
        <v>17.297037037037036</v>
      </c>
      <c r="AW105">
        <f t="shared" si="21"/>
        <v>23.898970133333332</v>
      </c>
      <c r="AX105" s="9"/>
      <c r="AY105" s="22">
        <v>0.37841799999999998</v>
      </c>
      <c r="AZ105" s="22">
        <v>29.041599999999999</v>
      </c>
      <c r="BA105" s="22">
        <v>-1.5096999999999999E-2</v>
      </c>
      <c r="BB105" s="22">
        <v>95</v>
      </c>
      <c r="BC105" s="22">
        <v>0.37780799999999998</v>
      </c>
      <c r="BD105">
        <f t="shared" si="22"/>
        <v>18.638271604938272</v>
      </c>
      <c r="BE105">
        <f t="shared" si="23"/>
        <v>7.0530574641975301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1.3766499999999999</v>
      </c>
      <c r="H106" s="22">
        <v>5.96014</v>
      </c>
      <c r="I106" s="22">
        <v>-1.3854999999999999E-2</v>
      </c>
      <c r="J106" s="22">
        <v>96</v>
      </c>
      <c r="K106" s="22">
        <v>1.3760399999999999</v>
      </c>
      <c r="L106">
        <f t="shared" si="12"/>
        <v>17.104938271604937</v>
      </c>
      <c r="M106">
        <f t="shared" si="13"/>
        <v>23.547513271604934</v>
      </c>
      <c r="N106" s="9"/>
      <c r="O106" s="22">
        <v>0.38345299999999999</v>
      </c>
      <c r="P106" s="22">
        <v>9.9001800000000006</v>
      </c>
      <c r="Q106" s="22">
        <v>-1.4733899999999999E-2</v>
      </c>
      <c r="R106" s="22">
        <v>96</v>
      </c>
      <c r="S106" s="22">
        <v>0.38278200000000001</v>
      </c>
      <c r="T106">
        <f t="shared" si="14"/>
        <v>18.189999999999998</v>
      </c>
      <c r="U106">
        <f t="shared" si="15"/>
        <v>6.9750100699999988</v>
      </c>
      <c r="X106" s="9"/>
      <c r="Y106" s="22">
        <v>1.3766499999999999</v>
      </c>
      <c r="Z106" s="22">
        <v>15.538399999999999</v>
      </c>
      <c r="AA106" s="22">
        <v>-1.38733E-2</v>
      </c>
      <c r="AB106" s="22">
        <v>96</v>
      </c>
      <c r="AC106" s="22">
        <v>1.3757299999999999</v>
      </c>
      <c r="AD106">
        <f t="shared" si="16"/>
        <v>17.127530864197528</v>
      </c>
      <c r="AE106">
        <f t="shared" si="17"/>
        <v>23.578615364197525</v>
      </c>
      <c r="AF106" s="9"/>
      <c r="AG106" s="22">
        <v>0.38345299999999999</v>
      </c>
      <c r="AH106" s="22">
        <v>19.478400000000001</v>
      </c>
      <c r="AI106" s="22">
        <v>-1.48865E-2</v>
      </c>
      <c r="AJ106" s="22">
        <v>96</v>
      </c>
      <c r="AK106" s="22">
        <v>0.38272099999999998</v>
      </c>
      <c r="AL106">
        <f t="shared" si="18"/>
        <v>18.378395061728394</v>
      </c>
      <c r="AM106">
        <f t="shared" si="19"/>
        <v>7.0472507216049376</v>
      </c>
      <c r="AP106" s="9"/>
      <c r="AQ106" s="22">
        <v>1.3766499999999999</v>
      </c>
      <c r="AR106" s="22">
        <v>25.111599999999999</v>
      </c>
      <c r="AS106" s="22">
        <v>-1.4019800000000001E-2</v>
      </c>
      <c r="AT106" s="22">
        <v>96</v>
      </c>
      <c r="AU106" s="22">
        <v>1.3760399999999999</v>
      </c>
      <c r="AV106">
        <f t="shared" si="20"/>
        <v>17.308395061728394</v>
      </c>
      <c r="AW106">
        <f t="shared" si="21"/>
        <v>23.827602061728392</v>
      </c>
      <c r="AX106" s="9"/>
      <c r="AY106" s="22">
        <v>0.38345299999999999</v>
      </c>
      <c r="AZ106" s="22">
        <v>29.051600000000001</v>
      </c>
      <c r="BA106" s="22">
        <v>-1.5094E-2</v>
      </c>
      <c r="BB106" s="22">
        <v>96</v>
      </c>
      <c r="BC106" s="22">
        <v>0.38284299999999999</v>
      </c>
      <c r="BD106">
        <f t="shared" si="22"/>
        <v>18.634567901234568</v>
      </c>
      <c r="BE106">
        <f t="shared" si="23"/>
        <v>7.1454809654320988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1.37161</v>
      </c>
      <c r="H107" s="22">
        <v>5.9702099999999998</v>
      </c>
      <c r="I107" s="22">
        <v>-1.3858000000000001E-2</v>
      </c>
      <c r="J107" s="22">
        <v>97</v>
      </c>
      <c r="K107" s="22">
        <v>1.3708499999999999</v>
      </c>
      <c r="L107">
        <f t="shared" si="12"/>
        <v>17.10864197530864</v>
      </c>
      <c r="M107">
        <f t="shared" si="13"/>
        <v>23.466384419753084</v>
      </c>
      <c r="N107" s="9"/>
      <c r="O107" s="22">
        <v>0.38848899999999997</v>
      </c>
      <c r="P107" s="22">
        <v>9.9102499999999996</v>
      </c>
      <c r="Q107" s="22">
        <v>-1.47308E-2</v>
      </c>
      <c r="R107" s="22">
        <v>97</v>
      </c>
      <c r="S107" s="22">
        <v>0.38803100000000001</v>
      </c>
      <c r="T107">
        <f t="shared" si="14"/>
        <v>18.186172839506174</v>
      </c>
      <c r="U107">
        <f t="shared" si="15"/>
        <v>7.0651281002469135</v>
      </c>
      <c r="X107" s="9"/>
      <c r="Y107" s="22">
        <v>1.37161</v>
      </c>
      <c r="Z107" s="22">
        <v>15.548400000000001</v>
      </c>
      <c r="AA107" s="22">
        <v>-1.38855E-2</v>
      </c>
      <c r="AB107" s="22">
        <v>97</v>
      </c>
      <c r="AC107" s="22">
        <v>1.3705400000000001</v>
      </c>
      <c r="AD107">
        <f t="shared" si="16"/>
        <v>17.142592592592592</v>
      </c>
      <c r="AE107">
        <f t="shared" si="17"/>
        <v>23.512951425925927</v>
      </c>
      <c r="AF107" s="9"/>
      <c r="AG107" s="22">
        <v>0.38848899999999997</v>
      </c>
      <c r="AH107" s="22">
        <v>19.488499999999998</v>
      </c>
      <c r="AI107" s="22">
        <v>-1.48804E-2</v>
      </c>
      <c r="AJ107" s="22">
        <v>97</v>
      </c>
      <c r="AK107" s="22">
        <v>0.387909</v>
      </c>
      <c r="AL107">
        <f t="shared" si="18"/>
        <v>18.370864197530864</v>
      </c>
      <c r="AM107">
        <f t="shared" si="19"/>
        <v>7.1368786612345669</v>
      </c>
      <c r="AP107" s="9"/>
      <c r="AQ107" s="22">
        <v>1.37161</v>
      </c>
      <c r="AR107" s="22">
        <v>25.121700000000001</v>
      </c>
      <c r="AS107" s="22">
        <v>-1.4025900000000001E-2</v>
      </c>
      <c r="AT107" s="22">
        <v>97</v>
      </c>
      <c r="AU107" s="22">
        <v>1.3708499999999999</v>
      </c>
      <c r="AV107">
        <f t="shared" si="20"/>
        <v>17.315925925925924</v>
      </c>
      <c r="AW107">
        <f t="shared" si="21"/>
        <v>23.750697159259257</v>
      </c>
      <c r="AX107" s="9"/>
      <c r="AY107" s="22">
        <v>0.38848899999999997</v>
      </c>
      <c r="AZ107" s="22">
        <v>29.061699999999998</v>
      </c>
      <c r="BA107" s="22">
        <v>-1.50879E-2</v>
      </c>
      <c r="BB107" s="22">
        <v>97</v>
      </c>
      <c r="BC107" s="22">
        <v>0.38784800000000003</v>
      </c>
      <c r="BD107">
        <f t="shared" si="22"/>
        <v>18.627037037037034</v>
      </c>
      <c r="BE107">
        <f t="shared" si="23"/>
        <v>7.2363989914814804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1.3665799999999999</v>
      </c>
      <c r="H108" s="22">
        <v>5.9802799999999996</v>
      </c>
      <c r="I108" s="22">
        <v>-1.3864100000000001E-2</v>
      </c>
      <c r="J108" s="22">
        <v>98</v>
      </c>
      <c r="K108" s="22">
        <v>1.3659699999999999</v>
      </c>
      <c r="L108">
        <f t="shared" si="12"/>
        <v>17.11617283950617</v>
      </c>
      <c r="M108">
        <f t="shared" si="13"/>
        <v>23.39061947901234</v>
      </c>
      <c r="N108" s="9"/>
      <c r="O108" s="22">
        <v>0.39352399999999998</v>
      </c>
      <c r="P108" s="22">
        <v>9.9203200000000002</v>
      </c>
      <c r="Q108" s="22">
        <v>-1.4727799999999999E-2</v>
      </c>
      <c r="R108" s="22">
        <v>98</v>
      </c>
      <c r="S108" s="22">
        <v>0.39306600000000003</v>
      </c>
      <c r="T108">
        <f t="shared" si="14"/>
        <v>18.182469135802467</v>
      </c>
      <c r="U108">
        <f t="shared" si="15"/>
        <v>7.1552379841975302</v>
      </c>
      <c r="X108" s="9"/>
      <c r="Y108" s="22">
        <v>1.3665799999999999</v>
      </c>
      <c r="Z108" s="22">
        <v>15.5585</v>
      </c>
      <c r="AA108" s="22">
        <v>-1.3894699999999999E-2</v>
      </c>
      <c r="AB108" s="22">
        <v>98</v>
      </c>
      <c r="AC108" s="22">
        <v>1.3659699999999999</v>
      </c>
      <c r="AD108">
        <f t="shared" si="16"/>
        <v>17.153950617283947</v>
      </c>
      <c r="AE108">
        <f t="shared" si="17"/>
        <v>23.442245834567895</v>
      </c>
      <c r="AF108" s="9"/>
      <c r="AG108" s="22">
        <v>0.39352399999999998</v>
      </c>
      <c r="AH108" s="22">
        <v>19.4985</v>
      </c>
      <c r="AI108" s="22">
        <v>-1.48743E-2</v>
      </c>
      <c r="AJ108" s="22">
        <v>98</v>
      </c>
      <c r="AK108" s="22">
        <v>0.39285300000000001</v>
      </c>
      <c r="AL108">
        <f t="shared" si="18"/>
        <v>18.363333333333333</v>
      </c>
      <c r="AM108">
        <f t="shared" si="19"/>
        <v>7.2264123866666665</v>
      </c>
      <c r="AP108" s="9"/>
      <c r="AQ108" s="22">
        <v>1.3665799999999999</v>
      </c>
      <c r="AR108" s="22">
        <v>25.131699999999999</v>
      </c>
      <c r="AS108" s="22">
        <v>-1.4031999999999999E-2</v>
      </c>
      <c r="AT108" s="22">
        <v>98</v>
      </c>
      <c r="AU108" s="22">
        <v>1.3659699999999999</v>
      </c>
      <c r="AV108">
        <f t="shared" si="20"/>
        <v>17.323456790123455</v>
      </c>
      <c r="AW108">
        <f t="shared" si="21"/>
        <v>23.673889580246911</v>
      </c>
      <c r="AX108" s="9"/>
      <c r="AY108" s="22">
        <v>0.39352399999999998</v>
      </c>
      <c r="AZ108" s="22">
        <v>29.0718</v>
      </c>
      <c r="BA108" s="22">
        <v>-1.50787E-2</v>
      </c>
      <c r="BB108" s="22">
        <v>98</v>
      </c>
      <c r="BC108" s="22">
        <v>0.393036</v>
      </c>
      <c r="BD108">
        <f t="shared" si="22"/>
        <v>18.61567901234568</v>
      </c>
      <c r="BE108">
        <f t="shared" si="23"/>
        <v>7.3257164676543214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1.36154</v>
      </c>
      <c r="H109" s="22">
        <v>5.9903500000000003</v>
      </c>
      <c r="I109" s="22">
        <v>-1.38733E-2</v>
      </c>
      <c r="J109" s="22">
        <v>99</v>
      </c>
      <c r="K109" s="22">
        <v>1.3607800000000001</v>
      </c>
      <c r="L109">
        <f t="shared" si="12"/>
        <v>17.127530864197528</v>
      </c>
      <c r="M109">
        <f t="shared" si="13"/>
        <v>23.319818372839503</v>
      </c>
      <c r="N109" s="9"/>
      <c r="O109" s="22">
        <v>0.39856000000000003</v>
      </c>
      <c r="P109" s="22">
        <v>9.9303899999999992</v>
      </c>
      <c r="Q109" s="22">
        <v>-1.47308E-2</v>
      </c>
      <c r="R109" s="22">
        <v>99</v>
      </c>
      <c r="S109" s="22">
        <v>0.39813199999999999</v>
      </c>
      <c r="T109">
        <f t="shared" si="14"/>
        <v>18.186172839506174</v>
      </c>
      <c r="U109">
        <f t="shared" si="15"/>
        <v>7.248281046913581</v>
      </c>
      <c r="X109" s="9"/>
      <c r="Y109" s="22">
        <v>1.36154</v>
      </c>
      <c r="Z109" s="22">
        <v>15.5686</v>
      </c>
      <c r="AA109" s="22">
        <v>-1.39069E-2</v>
      </c>
      <c r="AB109" s="22">
        <v>99</v>
      </c>
      <c r="AC109" s="22">
        <v>1.3601700000000001</v>
      </c>
      <c r="AD109">
        <f t="shared" si="16"/>
        <v>17.169012345679011</v>
      </c>
      <c r="AE109">
        <f t="shared" si="17"/>
        <v>23.376297069135802</v>
      </c>
      <c r="AF109" s="9"/>
      <c r="AG109" s="22">
        <v>0.39856000000000003</v>
      </c>
      <c r="AH109" s="22">
        <v>19.508600000000001</v>
      </c>
      <c r="AI109" s="22">
        <v>-1.4865099999999999E-2</v>
      </c>
      <c r="AJ109" s="22">
        <v>99</v>
      </c>
      <c r="AK109" s="22">
        <v>0.39788800000000002</v>
      </c>
      <c r="AL109">
        <f t="shared" si="18"/>
        <v>18.351975308641972</v>
      </c>
      <c r="AM109">
        <f t="shared" si="19"/>
        <v>7.314363279012345</v>
      </c>
      <c r="AP109" s="9"/>
      <c r="AQ109" s="22">
        <v>1.36154</v>
      </c>
      <c r="AR109" s="22">
        <v>25.1418</v>
      </c>
      <c r="AS109" s="22">
        <v>-1.40381E-2</v>
      </c>
      <c r="AT109" s="22">
        <v>99</v>
      </c>
      <c r="AU109" s="22">
        <v>1.3607800000000001</v>
      </c>
      <c r="AV109">
        <f t="shared" si="20"/>
        <v>17.330987654320985</v>
      </c>
      <c r="AW109">
        <f t="shared" si="21"/>
        <v>23.596832930864196</v>
      </c>
      <c r="AX109" s="9"/>
      <c r="AY109" s="22">
        <v>0.39856000000000003</v>
      </c>
      <c r="AZ109" s="22">
        <v>29.081800000000001</v>
      </c>
      <c r="BA109" s="22">
        <v>-1.50726E-2</v>
      </c>
      <c r="BB109" s="22">
        <v>99</v>
      </c>
      <c r="BC109" s="22">
        <v>0.39779700000000001</v>
      </c>
      <c r="BD109">
        <f t="shared" si="22"/>
        <v>18.60814814814815</v>
      </c>
      <c r="BE109">
        <f t="shared" si="23"/>
        <v>7.4164635259259271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1.3565100000000001</v>
      </c>
      <c r="H110" s="22">
        <v>6.0004200000000001</v>
      </c>
      <c r="I110" s="22">
        <v>-1.3876299999999999E-2</v>
      </c>
      <c r="J110" s="22">
        <v>100</v>
      </c>
      <c r="K110" s="22">
        <v>1.3555900000000001</v>
      </c>
      <c r="L110">
        <f t="shared" si="12"/>
        <v>17.131234567901231</v>
      </c>
      <c r="M110">
        <f t="shared" si="13"/>
        <v>23.2386910037037</v>
      </c>
      <c r="N110" s="9"/>
      <c r="O110" s="22">
        <v>0.40359499999999998</v>
      </c>
      <c r="P110" s="22">
        <v>9.9404599999999999</v>
      </c>
      <c r="Q110" s="22">
        <v>-1.47247E-2</v>
      </c>
      <c r="R110" s="22">
        <v>100</v>
      </c>
      <c r="S110" s="22">
        <v>0.40301500000000001</v>
      </c>
      <c r="T110">
        <f t="shared" si="14"/>
        <v>18.178641975308643</v>
      </c>
      <c r="U110">
        <f t="shared" si="15"/>
        <v>7.3368090080246917</v>
      </c>
      <c r="X110" s="9"/>
      <c r="Y110" s="22">
        <v>1.3565100000000001</v>
      </c>
      <c r="Z110" s="22">
        <v>15.5786</v>
      </c>
      <c r="AA110" s="22">
        <v>-1.3916E-2</v>
      </c>
      <c r="AB110" s="22">
        <v>100</v>
      </c>
      <c r="AC110" s="22">
        <v>1.3552900000000001</v>
      </c>
      <c r="AD110">
        <f t="shared" si="16"/>
        <v>17.180246913580245</v>
      </c>
      <c r="AE110">
        <f t="shared" si="17"/>
        <v>23.305176740740741</v>
      </c>
      <c r="AF110" s="9"/>
      <c r="AG110" s="22">
        <v>0.40359499999999998</v>
      </c>
      <c r="AH110" s="22">
        <v>19.518699999999999</v>
      </c>
      <c r="AI110" s="22">
        <v>-1.4865099999999999E-2</v>
      </c>
      <c r="AJ110" s="22">
        <v>100</v>
      </c>
      <c r="AK110" s="22">
        <v>0.40313700000000002</v>
      </c>
      <c r="AL110">
        <f t="shared" si="18"/>
        <v>18.351975308641972</v>
      </c>
      <c r="AM110">
        <f t="shared" si="19"/>
        <v>7.4067654746913565</v>
      </c>
      <c r="AP110" s="9"/>
      <c r="AQ110" s="22">
        <v>1.3565100000000001</v>
      </c>
      <c r="AR110" s="22">
        <v>25.151900000000001</v>
      </c>
      <c r="AS110" s="22">
        <v>-1.40442E-2</v>
      </c>
      <c r="AT110" s="22">
        <v>100</v>
      </c>
      <c r="AU110" s="22">
        <v>1.3562000000000001</v>
      </c>
      <c r="AV110">
        <f t="shared" si="20"/>
        <v>17.338518518518516</v>
      </c>
      <c r="AW110">
        <f t="shared" si="21"/>
        <v>23.519873755555555</v>
      </c>
      <c r="AX110" s="9"/>
      <c r="AY110" s="22">
        <v>0.40359499999999998</v>
      </c>
      <c r="AZ110" s="22">
        <v>29.091899999999999</v>
      </c>
      <c r="BA110" s="22">
        <v>-1.5069600000000001E-2</v>
      </c>
      <c r="BB110" s="22">
        <v>100</v>
      </c>
      <c r="BC110" s="22">
        <v>0.402924</v>
      </c>
      <c r="BD110">
        <f t="shared" si="22"/>
        <v>18.604444444444443</v>
      </c>
      <c r="BE110">
        <f t="shared" si="23"/>
        <v>7.5086607555555549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1.3514699999999999</v>
      </c>
      <c r="H111" s="22">
        <v>6.0104899999999999</v>
      </c>
      <c r="I111" s="22">
        <v>-1.38855E-2</v>
      </c>
      <c r="J111" s="22">
        <v>101</v>
      </c>
      <c r="K111" s="22">
        <v>1.3504</v>
      </c>
      <c r="L111">
        <f t="shared" si="12"/>
        <v>17.142592592592592</v>
      </c>
      <c r="M111">
        <f t="shared" si="13"/>
        <v>23.167699611111111</v>
      </c>
      <c r="N111" s="9"/>
      <c r="O111" s="22">
        <v>0.40862999999999999</v>
      </c>
      <c r="P111" s="22">
        <v>9.9505300000000005</v>
      </c>
      <c r="Q111" s="22">
        <v>-1.4721700000000001E-2</v>
      </c>
      <c r="R111" s="22">
        <v>101</v>
      </c>
      <c r="S111" s="22">
        <v>0.40829500000000002</v>
      </c>
      <c r="T111">
        <f t="shared" si="14"/>
        <v>18.174938271604937</v>
      </c>
      <c r="U111">
        <f t="shared" si="15"/>
        <v>7.4268250259259254</v>
      </c>
      <c r="X111" s="9"/>
      <c r="Y111" s="22">
        <v>1.3514699999999999</v>
      </c>
      <c r="Z111" s="22">
        <v>15.588699999999999</v>
      </c>
      <c r="AA111" s="22">
        <v>-1.39252E-2</v>
      </c>
      <c r="AB111" s="22">
        <v>101</v>
      </c>
      <c r="AC111" s="22">
        <v>1.3507100000000001</v>
      </c>
      <c r="AD111">
        <f t="shared" si="16"/>
        <v>17.191604938271606</v>
      </c>
      <c r="AE111">
        <f t="shared" si="17"/>
        <v>23.233938325925926</v>
      </c>
      <c r="AF111" s="9"/>
      <c r="AG111" s="22">
        <v>0.40862999999999999</v>
      </c>
      <c r="AH111" s="22">
        <v>19.5288</v>
      </c>
      <c r="AI111" s="22">
        <v>-1.48621E-2</v>
      </c>
      <c r="AJ111" s="22">
        <v>101</v>
      </c>
      <c r="AK111" s="22">
        <v>0.40799000000000002</v>
      </c>
      <c r="AL111">
        <f t="shared" si="18"/>
        <v>18.348271604938269</v>
      </c>
      <c r="AM111">
        <f t="shared" si="19"/>
        <v>7.4976542259259249</v>
      </c>
      <c r="AP111" s="9"/>
      <c r="AQ111" s="22">
        <v>1.3514699999999999</v>
      </c>
      <c r="AR111" s="22">
        <v>25.161999999999999</v>
      </c>
      <c r="AS111" s="22">
        <v>-1.40503E-2</v>
      </c>
      <c r="AT111" s="22">
        <v>101</v>
      </c>
      <c r="AU111" s="22">
        <v>1.3504</v>
      </c>
      <c r="AV111">
        <f t="shared" si="20"/>
        <v>17.34604938271605</v>
      </c>
      <c r="AW111">
        <f t="shared" si="21"/>
        <v>23.442665359259259</v>
      </c>
      <c r="AX111" s="9"/>
      <c r="AY111" s="22">
        <v>0.40862999999999999</v>
      </c>
      <c r="AZ111" s="22">
        <v>29.102</v>
      </c>
      <c r="BA111" s="22">
        <v>-1.50665E-2</v>
      </c>
      <c r="BB111" s="22">
        <v>101</v>
      </c>
      <c r="BC111" s="22">
        <v>0.40795900000000002</v>
      </c>
      <c r="BD111">
        <f t="shared" si="22"/>
        <v>18.600617283950616</v>
      </c>
      <c r="BE111">
        <f t="shared" si="23"/>
        <v>7.60077024074074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1.3464400000000001</v>
      </c>
      <c r="H112" s="22">
        <v>6.0205599999999997</v>
      </c>
      <c r="I112" s="22">
        <v>-1.38885E-2</v>
      </c>
      <c r="J112" s="22">
        <v>102</v>
      </c>
      <c r="K112" s="22">
        <v>1.34521</v>
      </c>
      <c r="L112">
        <f t="shared" si="12"/>
        <v>17.146296296296295</v>
      </c>
      <c r="M112">
        <f t="shared" si="13"/>
        <v>23.086459185185184</v>
      </c>
      <c r="N112" s="9"/>
      <c r="O112" s="22">
        <v>0.41366599999999998</v>
      </c>
      <c r="P112" s="22">
        <v>9.9606100000000009</v>
      </c>
      <c r="Q112" s="22">
        <v>-1.4715600000000001E-2</v>
      </c>
      <c r="R112" s="22">
        <v>102</v>
      </c>
      <c r="S112" s="22">
        <v>0.41284199999999999</v>
      </c>
      <c r="T112">
        <f t="shared" si="14"/>
        <v>18.167407407407406</v>
      </c>
      <c r="U112">
        <f t="shared" si="15"/>
        <v>7.5152387525925919</v>
      </c>
      <c r="X112" s="9"/>
      <c r="Y112" s="22">
        <v>1.3464400000000001</v>
      </c>
      <c r="Z112" s="22">
        <v>15.598800000000001</v>
      </c>
      <c r="AA112" s="22">
        <v>-1.39343E-2</v>
      </c>
      <c r="AB112" s="22">
        <v>102</v>
      </c>
      <c r="AC112" s="22">
        <v>1.34491</v>
      </c>
      <c r="AD112">
        <f t="shared" si="16"/>
        <v>17.202839506172836</v>
      </c>
      <c r="AE112">
        <f t="shared" si="17"/>
        <v>23.162591224691354</v>
      </c>
      <c r="AF112" s="9"/>
      <c r="AG112" s="22">
        <v>0.41366599999999998</v>
      </c>
      <c r="AH112" s="22">
        <v>19.538799999999998</v>
      </c>
      <c r="AI112" s="22">
        <v>-1.4859000000000001E-2</v>
      </c>
      <c r="AJ112" s="22">
        <v>102</v>
      </c>
      <c r="AK112" s="22">
        <v>0.412964</v>
      </c>
      <c r="AL112">
        <f t="shared" si="18"/>
        <v>18.344444444444445</v>
      </c>
      <c r="AM112">
        <f t="shared" si="19"/>
        <v>7.588472955555555</v>
      </c>
      <c r="AP112" s="9"/>
      <c r="AQ112" s="22">
        <v>1.3464400000000001</v>
      </c>
      <c r="AR112" s="22">
        <v>25.172000000000001</v>
      </c>
      <c r="AS112" s="22">
        <v>-1.40564E-2</v>
      </c>
      <c r="AT112" s="22">
        <v>102</v>
      </c>
      <c r="AU112" s="22">
        <v>1.34796</v>
      </c>
      <c r="AV112">
        <f t="shared" si="20"/>
        <v>17.35358024691358</v>
      </c>
      <c r="AW112">
        <f t="shared" si="21"/>
        <v>23.365554587654323</v>
      </c>
      <c r="AX112" s="9"/>
      <c r="AY112" s="22">
        <v>0.41366599999999998</v>
      </c>
      <c r="AZ112" s="22">
        <v>29.112100000000002</v>
      </c>
      <c r="BA112" s="22">
        <v>-1.50604E-2</v>
      </c>
      <c r="BB112" s="22">
        <v>102</v>
      </c>
      <c r="BC112" s="22">
        <v>0.412964</v>
      </c>
      <c r="BD112">
        <f t="shared" si="22"/>
        <v>18.593086419753085</v>
      </c>
      <c r="BE112">
        <f t="shared" si="23"/>
        <v>7.6913276869135796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1.3413999999999999</v>
      </c>
      <c r="H113" s="22">
        <v>6.03064</v>
      </c>
      <c r="I113" s="22">
        <v>-1.3894699999999999E-2</v>
      </c>
      <c r="J113" s="22">
        <v>103</v>
      </c>
      <c r="K113" s="22">
        <v>1.3406400000000001</v>
      </c>
      <c r="L113">
        <f t="shared" si="12"/>
        <v>17.153950617283947</v>
      </c>
      <c r="M113">
        <f t="shared" si="13"/>
        <v>23.010309358024685</v>
      </c>
      <c r="N113" s="9"/>
      <c r="O113" s="22">
        <v>0.41870099999999999</v>
      </c>
      <c r="P113" s="22">
        <v>9.9706799999999998</v>
      </c>
      <c r="Q113" s="22">
        <v>-1.4715600000000001E-2</v>
      </c>
      <c r="R113" s="22">
        <v>103</v>
      </c>
      <c r="S113" s="22">
        <v>0.41812100000000002</v>
      </c>
      <c r="T113">
        <f t="shared" si="14"/>
        <v>18.167407407407406</v>
      </c>
      <c r="U113">
        <f t="shared" si="15"/>
        <v>7.6067116488888882</v>
      </c>
      <c r="X113" s="9"/>
      <c r="Y113" s="22">
        <v>1.3413999999999999</v>
      </c>
      <c r="Z113" s="22">
        <v>15.6089</v>
      </c>
      <c r="AA113" s="22">
        <v>-1.3943499999999999E-2</v>
      </c>
      <c r="AB113" s="22">
        <v>103</v>
      </c>
      <c r="AC113" s="22">
        <v>1.34033</v>
      </c>
      <c r="AD113">
        <f t="shared" si="16"/>
        <v>17.214197530864197</v>
      </c>
      <c r="AE113">
        <f t="shared" si="17"/>
        <v>23.091124567901232</v>
      </c>
      <c r="AF113" s="9"/>
      <c r="AG113" s="22">
        <v>0.41870099999999999</v>
      </c>
      <c r="AH113" s="22">
        <v>19.5489</v>
      </c>
      <c r="AI113" s="22">
        <v>-1.4855999999999999E-2</v>
      </c>
      <c r="AJ113" s="22">
        <v>103</v>
      </c>
      <c r="AK113" s="22">
        <v>0.41803000000000001</v>
      </c>
      <c r="AL113">
        <f t="shared" si="18"/>
        <v>18.340740740740738</v>
      </c>
      <c r="AM113">
        <f t="shared" si="19"/>
        <v>7.6792864888888879</v>
      </c>
      <c r="AP113" s="9"/>
      <c r="AQ113" s="22">
        <v>1.3413999999999999</v>
      </c>
      <c r="AR113" s="22">
        <v>25.182099999999998</v>
      </c>
      <c r="AS113" s="22">
        <v>-1.4068600000000001E-2</v>
      </c>
      <c r="AT113" s="22">
        <v>103</v>
      </c>
      <c r="AU113" s="22">
        <v>1.3406400000000001</v>
      </c>
      <c r="AV113">
        <f t="shared" si="20"/>
        <v>17.368641975308641</v>
      </c>
      <c r="AW113">
        <f t="shared" si="21"/>
        <v>23.29829634567901</v>
      </c>
      <c r="AX113" s="9"/>
      <c r="AY113" s="22">
        <v>0.41870099999999999</v>
      </c>
      <c r="AZ113" s="22">
        <v>29.1221</v>
      </c>
      <c r="BA113" s="22">
        <v>-1.50574E-2</v>
      </c>
      <c r="BB113" s="22">
        <v>103</v>
      </c>
      <c r="BC113" s="22">
        <v>0.41812100000000002</v>
      </c>
      <c r="BD113">
        <f t="shared" si="22"/>
        <v>18.589382716049382</v>
      </c>
      <c r="BE113">
        <f t="shared" si="23"/>
        <v>7.7833931325925922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1.33636</v>
      </c>
      <c r="H114" s="22">
        <v>6.0407099999999998</v>
      </c>
      <c r="I114" s="22">
        <v>-1.3903799999999999E-2</v>
      </c>
      <c r="J114" s="22">
        <v>104</v>
      </c>
      <c r="K114" s="22">
        <v>1.33484</v>
      </c>
      <c r="L114">
        <f t="shared" si="12"/>
        <v>17.165185185185184</v>
      </c>
      <c r="M114">
        <f t="shared" si="13"/>
        <v>22.938866874074073</v>
      </c>
      <c r="N114" s="9"/>
      <c r="O114" s="22">
        <v>0.42373699999999997</v>
      </c>
      <c r="P114" s="22">
        <v>9.9807500000000005</v>
      </c>
      <c r="Q114" s="22">
        <v>-1.47095E-2</v>
      </c>
      <c r="R114" s="22">
        <v>104</v>
      </c>
      <c r="S114" s="22">
        <v>0.42318699999999998</v>
      </c>
      <c r="T114">
        <f t="shared" si="14"/>
        <v>18.159876543209876</v>
      </c>
      <c r="U114">
        <f t="shared" si="15"/>
        <v>7.6950116067901231</v>
      </c>
      <c r="X114" s="9"/>
      <c r="Y114" s="22">
        <v>1.33636</v>
      </c>
      <c r="Z114" s="22">
        <v>15.6189</v>
      </c>
      <c r="AA114" s="22">
        <v>-1.3952600000000001E-2</v>
      </c>
      <c r="AB114" s="22">
        <v>104</v>
      </c>
      <c r="AC114" s="22">
        <v>1.33545</v>
      </c>
      <c r="AD114">
        <f t="shared" si="16"/>
        <v>17.225432098765431</v>
      </c>
      <c r="AE114">
        <f t="shared" si="17"/>
        <v>23.01937843950617</v>
      </c>
      <c r="AF114" s="9"/>
      <c r="AG114" s="22">
        <v>0.42373699999999997</v>
      </c>
      <c r="AH114" s="22">
        <v>19.559000000000001</v>
      </c>
      <c r="AI114" s="22">
        <v>-1.4849899999999999E-2</v>
      </c>
      <c r="AJ114" s="22">
        <v>104</v>
      </c>
      <c r="AK114" s="22">
        <v>0.423126</v>
      </c>
      <c r="AL114">
        <f t="shared" si="18"/>
        <v>18.333209876543208</v>
      </c>
      <c r="AM114">
        <f t="shared" si="19"/>
        <v>7.7684593534567892</v>
      </c>
      <c r="AP114" s="9"/>
      <c r="AQ114" s="22">
        <v>1.33636</v>
      </c>
      <c r="AR114" s="22">
        <v>25.1922</v>
      </c>
      <c r="AS114" s="22">
        <v>-1.4074700000000001E-2</v>
      </c>
      <c r="AT114" s="22">
        <v>104</v>
      </c>
      <c r="AU114" s="22">
        <v>1.33545</v>
      </c>
      <c r="AV114">
        <f t="shared" si="20"/>
        <v>17.376172839506172</v>
      </c>
      <c r="AW114">
        <f t="shared" si="21"/>
        <v>23.220822335802467</v>
      </c>
      <c r="AX114" s="9"/>
      <c r="AY114" s="22">
        <v>0.42373699999999997</v>
      </c>
      <c r="AZ114" s="22">
        <v>29.132200000000001</v>
      </c>
      <c r="BA114" s="22">
        <v>-1.50543E-2</v>
      </c>
      <c r="BB114" s="22">
        <v>104</v>
      </c>
      <c r="BC114" s="22">
        <v>0.42297400000000002</v>
      </c>
      <c r="BD114">
        <f t="shared" si="22"/>
        <v>18.585555555555555</v>
      </c>
      <c r="BE114">
        <f t="shared" si="23"/>
        <v>7.875387554444444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1.3313299999999999</v>
      </c>
      <c r="H115" s="22">
        <v>6.0507799999999996</v>
      </c>
      <c r="I115" s="22">
        <v>-1.3909899999999999E-2</v>
      </c>
      <c r="J115" s="22">
        <v>105</v>
      </c>
      <c r="K115" s="22">
        <v>1.33057</v>
      </c>
      <c r="L115">
        <f t="shared" si="12"/>
        <v>17.172716049382714</v>
      </c>
      <c r="M115">
        <f t="shared" si="13"/>
        <v>22.862552058024686</v>
      </c>
      <c r="N115" s="9"/>
      <c r="O115" s="22">
        <v>0.42877199999999999</v>
      </c>
      <c r="P115" s="22">
        <v>9.9908199999999994</v>
      </c>
      <c r="Q115" s="22">
        <v>-1.47064E-2</v>
      </c>
      <c r="R115" s="22">
        <v>105</v>
      </c>
      <c r="S115" s="22">
        <v>0.42822300000000002</v>
      </c>
      <c r="T115">
        <f t="shared" si="14"/>
        <v>18.156049382716049</v>
      </c>
      <c r="U115">
        <f t="shared" si="15"/>
        <v>7.784805605925925</v>
      </c>
      <c r="X115" s="9"/>
      <c r="Y115" s="22">
        <v>1.3313299999999999</v>
      </c>
      <c r="Z115" s="22">
        <v>15.629</v>
      </c>
      <c r="AA115" s="22">
        <v>-1.3958699999999999E-2</v>
      </c>
      <c r="AB115" s="22">
        <v>105</v>
      </c>
      <c r="AC115" s="22">
        <v>1.33057</v>
      </c>
      <c r="AD115">
        <f t="shared" si="16"/>
        <v>17.232962962962961</v>
      </c>
      <c r="AE115">
        <f t="shared" si="17"/>
        <v>22.942760581481476</v>
      </c>
      <c r="AF115" s="9"/>
      <c r="AG115" s="22">
        <v>0.42877199999999999</v>
      </c>
      <c r="AH115" s="22">
        <v>19.568999999999999</v>
      </c>
      <c r="AI115" s="22">
        <v>-1.4843800000000001E-2</v>
      </c>
      <c r="AJ115" s="22">
        <v>105</v>
      </c>
      <c r="AK115" s="22">
        <v>0.42837500000000001</v>
      </c>
      <c r="AL115">
        <f t="shared" si="18"/>
        <v>18.325679012345677</v>
      </c>
      <c r="AM115">
        <f t="shared" si="19"/>
        <v>7.8575380414814804</v>
      </c>
      <c r="AP115" s="9"/>
      <c r="AQ115" s="22">
        <v>1.3313299999999999</v>
      </c>
      <c r="AR115" s="22">
        <v>25.202200000000001</v>
      </c>
      <c r="AS115" s="22">
        <v>-1.4080799999999999E-2</v>
      </c>
      <c r="AT115" s="22">
        <v>105</v>
      </c>
      <c r="AU115" s="22">
        <v>1.33087</v>
      </c>
      <c r="AV115">
        <f t="shared" si="20"/>
        <v>17.383703703703702</v>
      </c>
      <c r="AW115">
        <f t="shared" si="21"/>
        <v>23.143446251851849</v>
      </c>
      <c r="AX115" s="9"/>
      <c r="AY115" s="22">
        <v>0.42877199999999999</v>
      </c>
      <c r="AZ115" s="22">
        <v>29.142299999999999</v>
      </c>
      <c r="BA115" s="22">
        <v>-1.50513E-2</v>
      </c>
      <c r="BB115" s="22">
        <v>105</v>
      </c>
      <c r="BC115" s="22">
        <v>0.42810100000000001</v>
      </c>
      <c r="BD115">
        <f t="shared" si="22"/>
        <v>18.581851851851848</v>
      </c>
      <c r="BE115">
        <f t="shared" si="23"/>
        <v>7.9673777822222203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1.32629</v>
      </c>
      <c r="H116" s="22">
        <v>6.0608500000000003</v>
      </c>
      <c r="I116" s="22">
        <v>-1.3913E-2</v>
      </c>
      <c r="J116" s="22">
        <v>106</v>
      </c>
      <c r="K116" s="22">
        <v>1.32538</v>
      </c>
      <c r="L116">
        <f t="shared" si="12"/>
        <v>17.176543209876542</v>
      </c>
      <c r="M116">
        <f t="shared" si="13"/>
        <v>22.781077493827159</v>
      </c>
      <c r="N116" s="9"/>
      <c r="O116" s="22">
        <v>0.433807</v>
      </c>
      <c r="P116" s="22">
        <v>10.0009</v>
      </c>
      <c r="Q116" s="22">
        <v>-1.47034E-2</v>
      </c>
      <c r="R116" s="22">
        <v>106</v>
      </c>
      <c r="S116" s="22">
        <v>0.433197</v>
      </c>
      <c r="T116">
        <f t="shared" si="14"/>
        <v>18.152345679012342</v>
      </c>
      <c r="U116">
        <f t="shared" si="15"/>
        <v>7.874614621975307</v>
      </c>
      <c r="X116" s="9"/>
      <c r="Y116" s="22">
        <v>1.32629</v>
      </c>
      <c r="Z116" s="22">
        <v>15.639099999999999</v>
      </c>
      <c r="AA116" s="22">
        <v>-1.39618E-2</v>
      </c>
      <c r="AB116" s="22">
        <v>106</v>
      </c>
      <c r="AC116" s="22">
        <v>1.32507</v>
      </c>
      <c r="AD116">
        <f t="shared" si="16"/>
        <v>17.236790123456789</v>
      </c>
      <c r="AE116">
        <f t="shared" si="17"/>
        <v>22.860982372839505</v>
      </c>
      <c r="AF116" s="9"/>
      <c r="AG116" s="22">
        <v>0.433807</v>
      </c>
      <c r="AH116" s="22">
        <v>19.5791</v>
      </c>
      <c r="AI116" s="22">
        <v>-1.4837599999999999E-2</v>
      </c>
      <c r="AJ116" s="22">
        <v>106</v>
      </c>
      <c r="AK116" s="22">
        <v>0.433228</v>
      </c>
      <c r="AL116">
        <f t="shared" si="18"/>
        <v>18.318024691358023</v>
      </c>
      <c r="AM116">
        <f t="shared" si="19"/>
        <v>7.9464873372839495</v>
      </c>
      <c r="AP116" s="9"/>
      <c r="AQ116" s="22">
        <v>1.32629</v>
      </c>
      <c r="AR116" s="22">
        <v>25.212299999999999</v>
      </c>
      <c r="AS116" s="22">
        <v>-1.4086899999999999E-2</v>
      </c>
      <c r="AT116" s="22">
        <v>106</v>
      </c>
      <c r="AU116" s="22">
        <v>1.32507</v>
      </c>
      <c r="AV116">
        <f t="shared" si="20"/>
        <v>17.391234567901233</v>
      </c>
      <c r="AW116">
        <f t="shared" si="21"/>
        <v>23.065820495061725</v>
      </c>
      <c r="AX116" s="9"/>
      <c r="AY116" s="22">
        <v>0.433807</v>
      </c>
      <c r="AZ116" s="22">
        <v>29.1523</v>
      </c>
      <c r="BA116" s="22">
        <v>-1.50452E-2</v>
      </c>
      <c r="BB116" s="22">
        <v>106</v>
      </c>
      <c r="BC116" s="22">
        <v>0.433197</v>
      </c>
      <c r="BD116">
        <f t="shared" si="22"/>
        <v>18.574320987654321</v>
      </c>
      <c r="BE116">
        <f t="shared" si="23"/>
        <v>8.0576704646913573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1.3212600000000001</v>
      </c>
      <c r="H117" s="22">
        <v>6.0709200000000001</v>
      </c>
      <c r="I117" s="22">
        <v>-1.39221E-2</v>
      </c>
      <c r="J117" s="22">
        <v>107</v>
      </c>
      <c r="K117" s="22">
        <v>1.32019</v>
      </c>
      <c r="L117">
        <f t="shared" si="12"/>
        <v>17.187777777777779</v>
      </c>
      <c r="M117">
        <f t="shared" si="13"/>
        <v>22.709523266666668</v>
      </c>
      <c r="N117" s="9"/>
      <c r="O117" s="22">
        <v>0.43884299999999998</v>
      </c>
      <c r="P117" s="22">
        <v>10.010999999999999</v>
      </c>
      <c r="Q117" s="22">
        <v>-1.46973E-2</v>
      </c>
      <c r="R117" s="22">
        <v>107</v>
      </c>
      <c r="S117" s="22">
        <v>0.43832399999999999</v>
      </c>
      <c r="T117">
        <f t="shared" si="14"/>
        <v>18.144814814814815</v>
      </c>
      <c r="U117">
        <f t="shared" si="15"/>
        <v>7.9627249677777776</v>
      </c>
      <c r="X117" s="9"/>
      <c r="Y117" s="22">
        <v>1.3212600000000001</v>
      </c>
      <c r="Z117" s="22">
        <v>15.649100000000001</v>
      </c>
      <c r="AA117" s="22">
        <v>-1.39679E-2</v>
      </c>
      <c r="AB117" s="22">
        <v>107</v>
      </c>
      <c r="AC117" s="22">
        <v>1.3205</v>
      </c>
      <c r="AD117">
        <f t="shared" si="16"/>
        <v>17.244320987654319</v>
      </c>
      <c r="AE117">
        <f t="shared" si="17"/>
        <v>22.784231548148149</v>
      </c>
      <c r="AF117" s="9"/>
      <c r="AG117" s="22">
        <v>0.43884299999999998</v>
      </c>
      <c r="AH117" s="22">
        <v>19.589200000000002</v>
      </c>
      <c r="AI117" s="22">
        <v>-1.48346E-2</v>
      </c>
      <c r="AJ117" s="22">
        <v>107</v>
      </c>
      <c r="AK117" s="22">
        <v>0.43808000000000002</v>
      </c>
      <c r="AL117">
        <f t="shared" si="18"/>
        <v>18.31432098765432</v>
      </c>
      <c r="AM117">
        <f t="shared" si="19"/>
        <v>8.0371115651851834</v>
      </c>
      <c r="AP117" s="9"/>
      <c r="AQ117" s="22">
        <v>1.3212600000000001</v>
      </c>
      <c r="AR117" s="22">
        <v>25.2224</v>
      </c>
      <c r="AS117" s="22">
        <v>-1.4093E-2</v>
      </c>
      <c r="AT117" s="22">
        <v>107</v>
      </c>
      <c r="AU117" s="22">
        <v>1.3205</v>
      </c>
      <c r="AV117">
        <f t="shared" si="20"/>
        <v>17.398765432098763</v>
      </c>
      <c r="AW117">
        <f t="shared" si="21"/>
        <v>22.988292814814812</v>
      </c>
      <c r="AX117" s="9"/>
      <c r="AY117" s="22">
        <v>0.43884299999999998</v>
      </c>
      <c r="AZ117" s="22">
        <v>29.162400000000002</v>
      </c>
      <c r="BA117" s="22">
        <v>-1.50391E-2</v>
      </c>
      <c r="BB117" s="22">
        <v>107</v>
      </c>
      <c r="BC117" s="22">
        <v>0.43820199999999998</v>
      </c>
      <c r="BD117">
        <f t="shared" si="22"/>
        <v>18.566790123456791</v>
      </c>
      <c r="BE117">
        <f t="shared" si="23"/>
        <v>8.1479058781481477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1.3162199999999999</v>
      </c>
      <c r="H118" s="22">
        <v>6.0809899999999999</v>
      </c>
      <c r="I118" s="22">
        <v>-1.39282E-2</v>
      </c>
      <c r="J118" s="22">
        <v>108</v>
      </c>
      <c r="K118" s="22">
        <v>1.3149999999999999</v>
      </c>
      <c r="L118">
        <f t="shared" si="12"/>
        <v>17.195308641975309</v>
      </c>
      <c r="M118">
        <f t="shared" si="13"/>
        <v>22.63280914074074</v>
      </c>
      <c r="N118" s="9"/>
      <c r="O118" s="22">
        <v>0.44387799999999999</v>
      </c>
      <c r="P118" s="22">
        <v>10.021000000000001</v>
      </c>
      <c r="Q118" s="22">
        <v>-1.46973E-2</v>
      </c>
      <c r="R118" s="22">
        <v>108</v>
      </c>
      <c r="S118" s="22">
        <v>0.44323699999999999</v>
      </c>
      <c r="T118">
        <f t="shared" si="14"/>
        <v>18.144814814814815</v>
      </c>
      <c r="U118">
        <f t="shared" si="15"/>
        <v>8.0540841103703702</v>
      </c>
      <c r="X118" s="9"/>
      <c r="Y118" s="22">
        <v>1.3162199999999999</v>
      </c>
      <c r="Z118" s="22">
        <v>15.6592</v>
      </c>
      <c r="AA118" s="22">
        <v>-1.3977099999999999E-2</v>
      </c>
      <c r="AB118" s="22">
        <v>108</v>
      </c>
      <c r="AC118" s="22">
        <v>1.31531</v>
      </c>
      <c r="AD118">
        <f t="shared" si="16"/>
        <v>17.255679012345677</v>
      </c>
      <c r="AE118">
        <f t="shared" si="17"/>
        <v>22.712269829629626</v>
      </c>
      <c r="AF118" s="9"/>
      <c r="AG118" s="22">
        <v>0.44387799999999999</v>
      </c>
      <c r="AH118" s="22">
        <v>19.599299999999999</v>
      </c>
      <c r="AI118" s="22">
        <v>-1.48285E-2</v>
      </c>
      <c r="AJ118" s="22">
        <v>108</v>
      </c>
      <c r="AK118" s="22">
        <v>0.443268</v>
      </c>
      <c r="AL118">
        <f t="shared" si="18"/>
        <v>18.306790123456789</v>
      </c>
      <c r="AM118">
        <f t="shared" si="19"/>
        <v>8.1259813864197525</v>
      </c>
      <c r="AP118" s="9"/>
      <c r="AQ118" s="22">
        <v>1.3162199999999999</v>
      </c>
      <c r="AR118" s="22">
        <v>25.232399999999998</v>
      </c>
      <c r="AS118" s="22">
        <v>-1.40991E-2</v>
      </c>
      <c r="AT118" s="22">
        <v>108</v>
      </c>
      <c r="AU118" s="22">
        <v>1.3149999999999999</v>
      </c>
      <c r="AV118">
        <f t="shared" si="20"/>
        <v>17.406296296296293</v>
      </c>
      <c r="AW118">
        <f t="shared" si="21"/>
        <v>22.910515311111105</v>
      </c>
      <c r="AX118" s="9"/>
      <c r="AY118" s="22">
        <v>0.44387799999999999</v>
      </c>
      <c r="AZ118" s="22">
        <v>29.172499999999999</v>
      </c>
      <c r="BA118" s="22">
        <v>-1.5032999999999999E-2</v>
      </c>
      <c r="BB118" s="22">
        <v>108</v>
      </c>
      <c r="BC118" s="22">
        <v>0.443268</v>
      </c>
      <c r="BD118">
        <f t="shared" si="22"/>
        <v>18.559259259259257</v>
      </c>
      <c r="BE118">
        <f t="shared" si="23"/>
        <v>8.2380468814814805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1.3111900000000001</v>
      </c>
      <c r="H119" s="22">
        <v>6.0910599999999997</v>
      </c>
      <c r="I119" s="22">
        <v>-1.3937400000000001E-2</v>
      </c>
      <c r="J119" s="22">
        <v>109</v>
      </c>
      <c r="K119" s="22">
        <v>1.31012</v>
      </c>
      <c r="L119">
        <f t="shared" si="12"/>
        <v>17.206666666666667</v>
      </c>
      <c r="M119">
        <f t="shared" si="13"/>
        <v>22.561209266666669</v>
      </c>
      <c r="N119" s="9"/>
      <c r="O119" s="22">
        <v>0.44891399999999998</v>
      </c>
      <c r="P119" s="22">
        <v>10.0311</v>
      </c>
      <c r="Q119" s="22">
        <v>-1.46912E-2</v>
      </c>
      <c r="R119" s="22">
        <v>109</v>
      </c>
      <c r="S119" s="22">
        <v>0.44830300000000001</v>
      </c>
      <c r="T119">
        <f t="shared" si="14"/>
        <v>18.137283950617284</v>
      </c>
      <c r="U119">
        <f t="shared" si="15"/>
        <v>8.1420806874074074</v>
      </c>
      <c r="X119" s="9"/>
      <c r="Y119" s="22">
        <v>1.3111900000000001</v>
      </c>
      <c r="Z119" s="22">
        <v>15.6693</v>
      </c>
      <c r="AA119" s="22">
        <v>-1.3980100000000001E-2</v>
      </c>
      <c r="AB119" s="22">
        <v>109</v>
      </c>
      <c r="AC119" s="22">
        <v>1.31012</v>
      </c>
      <c r="AD119">
        <f t="shared" si="16"/>
        <v>17.259382716049384</v>
      </c>
      <c r="AE119">
        <f t="shared" si="17"/>
        <v>22.630330023456793</v>
      </c>
      <c r="AF119" s="9"/>
      <c r="AG119" s="22">
        <v>0.44891399999999998</v>
      </c>
      <c r="AH119" s="22">
        <v>19.609300000000001</v>
      </c>
      <c r="AI119" s="22">
        <v>-1.4819300000000001E-2</v>
      </c>
      <c r="AJ119" s="22">
        <v>109</v>
      </c>
      <c r="AK119" s="22">
        <v>0.44833400000000001</v>
      </c>
      <c r="AL119">
        <f t="shared" si="18"/>
        <v>18.295432098765431</v>
      </c>
      <c r="AM119">
        <f t="shared" si="19"/>
        <v>8.2130756051851836</v>
      </c>
      <c r="AP119" s="9"/>
      <c r="AQ119" s="22">
        <v>1.3111900000000001</v>
      </c>
      <c r="AR119" s="22">
        <v>25.2425</v>
      </c>
      <c r="AS119" s="22">
        <v>-1.41052E-2</v>
      </c>
      <c r="AT119" s="22">
        <v>109</v>
      </c>
      <c r="AU119" s="22">
        <v>1.31012</v>
      </c>
      <c r="AV119">
        <f t="shared" si="20"/>
        <v>17.413827160493828</v>
      </c>
      <c r="AW119">
        <f t="shared" si="21"/>
        <v>22.832836034567904</v>
      </c>
      <c r="AX119" s="9"/>
      <c r="AY119" s="22">
        <v>0.44891399999999998</v>
      </c>
      <c r="AZ119" s="22">
        <v>29.182600000000001</v>
      </c>
      <c r="BA119" s="22">
        <v>-1.5026899999999999E-2</v>
      </c>
      <c r="BB119" s="22">
        <v>109</v>
      </c>
      <c r="BC119" s="22">
        <v>0.44839499999999999</v>
      </c>
      <c r="BD119">
        <f t="shared" si="22"/>
        <v>18.551728395061726</v>
      </c>
      <c r="BE119">
        <f t="shared" si="23"/>
        <v>8.3281306007407387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1.3061499999999999</v>
      </c>
      <c r="H120" s="22">
        <v>6.1011300000000004</v>
      </c>
      <c r="I120" s="22">
        <v>-1.3937400000000001E-2</v>
      </c>
      <c r="J120" s="22">
        <v>110</v>
      </c>
      <c r="K120" s="22">
        <v>1.30524</v>
      </c>
      <c r="L120">
        <f t="shared" si="12"/>
        <v>17.206666666666667</v>
      </c>
      <c r="M120">
        <f t="shared" si="13"/>
        <v>22.474487666666665</v>
      </c>
      <c r="N120" s="9"/>
      <c r="O120" s="22">
        <v>0.45394899999999999</v>
      </c>
      <c r="P120" s="22">
        <v>10.0412</v>
      </c>
      <c r="Q120" s="22">
        <v>-1.4688100000000001E-2</v>
      </c>
      <c r="R120" s="22">
        <v>110</v>
      </c>
      <c r="S120" s="22">
        <v>0.45327800000000001</v>
      </c>
      <c r="T120">
        <f t="shared" si="14"/>
        <v>18.133456790123457</v>
      </c>
      <c r="U120">
        <f t="shared" si="15"/>
        <v>8.2316645764197531</v>
      </c>
      <c r="X120" s="9"/>
      <c r="Y120" s="22">
        <v>1.3061499999999999</v>
      </c>
      <c r="Z120" s="22">
        <v>15.679399999999999</v>
      </c>
      <c r="AA120" s="22">
        <v>-1.3983199999999999E-2</v>
      </c>
      <c r="AB120" s="22">
        <v>110</v>
      </c>
      <c r="AC120" s="22">
        <v>1.30524</v>
      </c>
      <c r="AD120">
        <f t="shared" si="16"/>
        <v>17.263209876543208</v>
      </c>
      <c r="AE120">
        <f t="shared" si="17"/>
        <v>22.548341580246909</v>
      </c>
      <c r="AF120" s="9"/>
      <c r="AG120" s="22">
        <v>0.45394899999999999</v>
      </c>
      <c r="AH120" s="22">
        <v>19.619399999999999</v>
      </c>
      <c r="AI120" s="22">
        <v>-1.4816299999999999E-2</v>
      </c>
      <c r="AJ120" s="22">
        <v>110</v>
      </c>
      <c r="AK120" s="22">
        <v>0.45324700000000001</v>
      </c>
      <c r="AL120">
        <f t="shared" si="18"/>
        <v>18.291728395061728</v>
      </c>
      <c r="AM120">
        <f t="shared" si="19"/>
        <v>8.3035118132098766</v>
      </c>
      <c r="AP120" s="9"/>
      <c r="AQ120" s="22">
        <v>1.3061499999999999</v>
      </c>
      <c r="AR120" s="22">
        <v>25.252600000000001</v>
      </c>
      <c r="AS120" s="22">
        <v>-1.4114399999999999E-2</v>
      </c>
      <c r="AT120" s="22">
        <v>110</v>
      </c>
      <c r="AU120" s="22">
        <v>1.3049299999999999</v>
      </c>
      <c r="AV120">
        <f t="shared" si="20"/>
        <v>17.425185185185182</v>
      </c>
      <c r="AW120">
        <f t="shared" si="21"/>
        <v>22.759905629629625</v>
      </c>
      <c r="AX120" s="9"/>
      <c r="AY120" s="22">
        <v>0.45394899999999999</v>
      </c>
      <c r="AZ120" s="22">
        <v>29.192599999999999</v>
      </c>
      <c r="BA120" s="22">
        <v>-1.5020800000000001E-2</v>
      </c>
      <c r="BB120" s="22">
        <v>110</v>
      </c>
      <c r="BC120" s="22">
        <v>0.45324700000000001</v>
      </c>
      <c r="BD120">
        <f t="shared" si="22"/>
        <v>18.544197530864199</v>
      </c>
      <c r="BE120">
        <f t="shared" si="23"/>
        <v>8.4181199249382725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1.3011200000000001</v>
      </c>
      <c r="H121" s="22">
        <v>6.1112000000000002</v>
      </c>
      <c r="I121" s="22">
        <v>-1.3943499999999999E-2</v>
      </c>
      <c r="J121" s="22">
        <v>111</v>
      </c>
      <c r="K121" s="22">
        <v>1.2997399999999999</v>
      </c>
      <c r="L121">
        <f t="shared" si="12"/>
        <v>17.214197530864197</v>
      </c>
      <c r="M121">
        <f t="shared" si="13"/>
        <v>22.397736691358027</v>
      </c>
      <c r="N121" s="9"/>
      <c r="O121" s="22">
        <v>0.458984</v>
      </c>
      <c r="P121" s="22">
        <v>10.0512</v>
      </c>
      <c r="Q121" s="22">
        <v>-1.4678999999999999E-2</v>
      </c>
      <c r="R121" s="22">
        <v>111</v>
      </c>
      <c r="S121" s="22">
        <v>0.45840500000000001</v>
      </c>
      <c r="T121">
        <f t="shared" si="14"/>
        <v>18.12222222222222</v>
      </c>
      <c r="U121">
        <f t="shared" si="15"/>
        <v>8.3178100444444443</v>
      </c>
      <c r="X121" s="9"/>
      <c r="Y121" s="22">
        <v>1.3011200000000001</v>
      </c>
      <c r="Z121" s="22">
        <v>15.689399999999999</v>
      </c>
      <c r="AA121" s="22">
        <v>-1.3986200000000001E-2</v>
      </c>
      <c r="AB121" s="22">
        <v>111</v>
      </c>
      <c r="AC121" s="22">
        <v>1.3000499999999999</v>
      </c>
      <c r="AD121">
        <f t="shared" si="16"/>
        <v>17.266913580246914</v>
      </c>
      <c r="AE121">
        <f t="shared" si="17"/>
        <v>22.466326597530866</v>
      </c>
      <c r="AF121" s="9"/>
      <c r="AG121" s="22">
        <v>0.458984</v>
      </c>
      <c r="AH121" s="22">
        <v>19.6295</v>
      </c>
      <c r="AI121" s="22">
        <v>-1.4810200000000001E-2</v>
      </c>
      <c r="AJ121" s="22">
        <v>111</v>
      </c>
      <c r="AK121" s="22">
        <v>0.45840500000000001</v>
      </c>
      <c r="AL121">
        <f t="shared" si="18"/>
        <v>18.284197530864198</v>
      </c>
      <c r="AM121">
        <f t="shared" si="19"/>
        <v>8.3921541195061735</v>
      </c>
      <c r="AP121" s="9"/>
      <c r="AQ121" s="22">
        <v>1.3011200000000001</v>
      </c>
      <c r="AR121" s="22">
        <v>25.262699999999999</v>
      </c>
      <c r="AS121" s="22">
        <v>-1.4120499999999999E-2</v>
      </c>
      <c r="AT121" s="22">
        <v>111</v>
      </c>
      <c r="AU121" s="22">
        <v>1.3003499999999999</v>
      </c>
      <c r="AV121">
        <f t="shared" si="20"/>
        <v>17.432716049382716</v>
      </c>
      <c r="AW121">
        <f t="shared" si="21"/>
        <v>22.682055506172841</v>
      </c>
      <c r="AX121" s="9"/>
      <c r="AY121" s="22">
        <v>0.458984</v>
      </c>
      <c r="AZ121" s="22">
        <v>29.2027</v>
      </c>
      <c r="BA121" s="22">
        <v>-1.5014599999999999E-2</v>
      </c>
      <c r="BB121" s="22">
        <v>111</v>
      </c>
      <c r="BC121" s="22">
        <v>0.45828200000000002</v>
      </c>
      <c r="BD121">
        <f t="shared" si="22"/>
        <v>18.536543209876541</v>
      </c>
      <c r="BE121">
        <f t="shared" si="23"/>
        <v>8.5079767486419744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1.2960799999999999</v>
      </c>
      <c r="H122" s="22">
        <v>6.12127</v>
      </c>
      <c r="I122" s="22">
        <v>-1.39496E-2</v>
      </c>
      <c r="J122" s="22">
        <v>112</v>
      </c>
      <c r="K122" s="22">
        <v>1.2951699999999999</v>
      </c>
      <c r="L122">
        <f t="shared" si="12"/>
        <v>17.221728395061724</v>
      </c>
      <c r="M122">
        <f t="shared" si="13"/>
        <v>22.3207377382716</v>
      </c>
      <c r="N122" s="9"/>
      <c r="O122" s="22">
        <v>0.46401999999999999</v>
      </c>
      <c r="P122" s="22">
        <v>10.061299999999999</v>
      </c>
      <c r="Q122" s="22">
        <v>-1.46759E-2</v>
      </c>
      <c r="R122" s="22">
        <v>112</v>
      </c>
      <c r="S122" s="22">
        <v>0.46353100000000003</v>
      </c>
      <c r="T122">
        <f t="shared" si="14"/>
        <v>18.118395061728396</v>
      </c>
      <c r="U122">
        <f t="shared" si="15"/>
        <v>8.4072976765432106</v>
      </c>
      <c r="X122" s="9"/>
      <c r="Y122" s="22">
        <v>1.2960799999999999</v>
      </c>
      <c r="Z122" s="22">
        <v>15.6995</v>
      </c>
      <c r="AA122" s="22">
        <v>-1.39893E-2</v>
      </c>
      <c r="AB122" s="22">
        <v>112</v>
      </c>
      <c r="AC122" s="22">
        <v>1.2954699999999999</v>
      </c>
      <c r="AD122">
        <f t="shared" si="16"/>
        <v>17.270740740740738</v>
      </c>
      <c r="AE122">
        <f t="shared" si="17"/>
        <v>22.384261659259256</v>
      </c>
      <c r="AF122" s="9"/>
      <c r="AG122" s="22">
        <v>0.46401999999999999</v>
      </c>
      <c r="AH122" s="22">
        <v>19.639500000000002</v>
      </c>
      <c r="AI122" s="22">
        <v>-1.4801E-2</v>
      </c>
      <c r="AJ122" s="22">
        <v>112</v>
      </c>
      <c r="AK122" s="22">
        <v>0.46334799999999998</v>
      </c>
      <c r="AL122">
        <f t="shared" si="18"/>
        <v>18.27283950617284</v>
      </c>
      <c r="AM122">
        <f t="shared" si="19"/>
        <v>8.4789629876543202</v>
      </c>
      <c r="AP122" s="9"/>
      <c r="AQ122" s="22">
        <v>1.2960799999999999</v>
      </c>
      <c r="AR122" s="22">
        <v>25.2727</v>
      </c>
      <c r="AS122" s="22">
        <v>-1.4123500000000001E-2</v>
      </c>
      <c r="AT122" s="22">
        <v>112</v>
      </c>
      <c r="AU122" s="22">
        <v>1.2954699999999999</v>
      </c>
      <c r="AV122">
        <f t="shared" si="20"/>
        <v>17.436419753086419</v>
      </c>
      <c r="AW122">
        <f t="shared" si="21"/>
        <v>22.598994913580245</v>
      </c>
      <c r="AX122" s="9"/>
      <c r="AY122" s="22">
        <v>0.46401999999999999</v>
      </c>
      <c r="AZ122" s="22">
        <v>29.212800000000001</v>
      </c>
      <c r="BA122" s="22">
        <v>-1.5008499999999999E-2</v>
      </c>
      <c r="BB122" s="22">
        <v>112</v>
      </c>
      <c r="BC122" s="22">
        <v>0.46346999999999999</v>
      </c>
      <c r="BD122">
        <f t="shared" si="22"/>
        <v>18.529012345679011</v>
      </c>
      <c r="BE122">
        <f t="shared" si="23"/>
        <v>8.5978323086419746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1.29105</v>
      </c>
      <c r="H123" s="22">
        <v>6.1313500000000003</v>
      </c>
      <c r="I123" s="22">
        <v>-1.3952600000000001E-2</v>
      </c>
      <c r="J123" s="22">
        <v>113</v>
      </c>
      <c r="K123" s="22">
        <v>1.2896700000000001</v>
      </c>
      <c r="L123">
        <f t="shared" si="12"/>
        <v>17.225432098765431</v>
      </c>
      <c r="M123">
        <f t="shared" si="13"/>
        <v>22.238894111111112</v>
      </c>
      <c r="N123" s="9"/>
      <c r="O123" s="22">
        <v>0.469055</v>
      </c>
      <c r="P123" s="22">
        <v>10.071400000000001</v>
      </c>
      <c r="Q123" s="22">
        <v>-1.4672899999999999E-2</v>
      </c>
      <c r="R123" s="22">
        <v>113</v>
      </c>
      <c r="S123" s="22">
        <v>0.468414</v>
      </c>
      <c r="T123">
        <f t="shared" si="14"/>
        <v>18.11469135802469</v>
      </c>
      <c r="U123">
        <f t="shared" si="15"/>
        <v>8.4967865549382715</v>
      </c>
      <c r="X123" s="9"/>
      <c r="Y123" s="22">
        <v>1.29105</v>
      </c>
      <c r="Z123" s="22">
        <v>15.7096</v>
      </c>
      <c r="AA123" s="22">
        <v>-1.39954E-2</v>
      </c>
      <c r="AB123" s="22">
        <v>113</v>
      </c>
      <c r="AC123" s="22">
        <v>1.2902800000000001</v>
      </c>
      <c r="AD123">
        <f t="shared" si="16"/>
        <v>17.278271604938272</v>
      </c>
      <c r="AE123">
        <f t="shared" si="17"/>
        <v>22.307112555555555</v>
      </c>
      <c r="AF123" s="9"/>
      <c r="AG123" s="22">
        <v>0.469055</v>
      </c>
      <c r="AH123" s="22">
        <v>19.6496</v>
      </c>
      <c r="AI123" s="22">
        <v>-1.47949E-2</v>
      </c>
      <c r="AJ123" s="22">
        <v>113</v>
      </c>
      <c r="AK123" s="22">
        <v>0.46816999999999998</v>
      </c>
      <c r="AL123">
        <f t="shared" si="18"/>
        <v>18.265308641975306</v>
      </c>
      <c r="AM123">
        <f t="shared" si="19"/>
        <v>8.5674343450617272</v>
      </c>
      <c r="AP123" s="9"/>
      <c r="AQ123" s="22">
        <v>1.29105</v>
      </c>
      <c r="AR123" s="22">
        <v>25.282800000000002</v>
      </c>
      <c r="AS123" s="22">
        <v>-1.4129600000000001E-2</v>
      </c>
      <c r="AT123" s="22">
        <v>113</v>
      </c>
      <c r="AU123" s="22">
        <v>1.2905899999999999</v>
      </c>
      <c r="AV123">
        <f t="shared" si="20"/>
        <v>17.443950617283949</v>
      </c>
      <c r="AW123">
        <f t="shared" si="21"/>
        <v>22.521012444444445</v>
      </c>
      <c r="AX123" s="9"/>
      <c r="AY123" s="22">
        <v>0.469055</v>
      </c>
      <c r="AZ123" s="22">
        <v>29.222799999999999</v>
      </c>
      <c r="BA123" s="22">
        <v>-1.5002400000000001E-2</v>
      </c>
      <c r="BB123" s="22">
        <v>113</v>
      </c>
      <c r="BC123" s="22">
        <v>0.46829199999999999</v>
      </c>
      <c r="BD123">
        <f t="shared" si="22"/>
        <v>18.521481481481484</v>
      </c>
      <c r="BE123">
        <f t="shared" si="23"/>
        <v>8.687593496296298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1.2860100000000001</v>
      </c>
      <c r="H124" s="22">
        <v>6.1414200000000001</v>
      </c>
      <c r="I124" s="22">
        <v>-1.3958699999999999E-2</v>
      </c>
      <c r="J124" s="22">
        <v>114</v>
      </c>
      <c r="K124" s="22">
        <v>1.2850999999999999</v>
      </c>
      <c r="L124">
        <f t="shared" si="12"/>
        <v>17.232962962962961</v>
      </c>
      <c r="M124">
        <f t="shared" si="13"/>
        <v>22.161762700000001</v>
      </c>
      <c r="N124" s="9"/>
      <c r="O124" s="22">
        <v>0.47409099999999998</v>
      </c>
      <c r="P124" s="22">
        <v>10.0815</v>
      </c>
      <c r="Q124" s="22">
        <v>-1.46698E-2</v>
      </c>
      <c r="R124" s="22">
        <v>114</v>
      </c>
      <c r="S124" s="22">
        <v>0.47326699999999999</v>
      </c>
      <c r="T124">
        <f t="shared" si="14"/>
        <v>18.110864197530866</v>
      </c>
      <c r="U124">
        <f t="shared" si="15"/>
        <v>8.586197718271606</v>
      </c>
      <c r="X124" s="9"/>
      <c r="Y124" s="22">
        <v>1.2860100000000001</v>
      </c>
      <c r="Z124" s="22">
        <v>15.7196</v>
      </c>
      <c r="AA124" s="22">
        <v>-1.40015E-2</v>
      </c>
      <c r="AB124" s="22">
        <v>114</v>
      </c>
      <c r="AC124" s="22">
        <v>1.2850999999999999</v>
      </c>
      <c r="AD124">
        <f t="shared" si="16"/>
        <v>17.285802469135803</v>
      </c>
      <c r="AE124">
        <f t="shared" si="17"/>
        <v>22.229714833333336</v>
      </c>
      <c r="AF124" s="9"/>
      <c r="AG124" s="22">
        <v>0.47409099999999998</v>
      </c>
      <c r="AH124" s="22">
        <v>19.659700000000001</v>
      </c>
      <c r="AI124" s="22">
        <v>-1.47888E-2</v>
      </c>
      <c r="AJ124" s="22">
        <v>114</v>
      </c>
      <c r="AK124" s="22">
        <v>0.47348000000000001</v>
      </c>
      <c r="AL124">
        <f t="shared" si="18"/>
        <v>18.257777777777775</v>
      </c>
      <c r="AM124">
        <f t="shared" si="19"/>
        <v>8.655848124444443</v>
      </c>
      <c r="AP124" s="9"/>
      <c r="AQ124" s="22">
        <v>1.2860100000000001</v>
      </c>
      <c r="AR124" s="22">
        <v>25.292899999999999</v>
      </c>
      <c r="AS124" s="22">
        <v>-1.41327E-2</v>
      </c>
      <c r="AT124" s="22">
        <v>114</v>
      </c>
      <c r="AU124" s="22">
        <v>1.2850999999999999</v>
      </c>
      <c r="AV124">
        <f t="shared" si="20"/>
        <v>17.447777777777777</v>
      </c>
      <c r="AW124">
        <f t="shared" si="21"/>
        <v>22.438016699999999</v>
      </c>
      <c r="AX124" s="9"/>
      <c r="AY124" s="22">
        <v>0.47409099999999998</v>
      </c>
      <c r="AZ124" s="22">
        <v>29.232900000000001</v>
      </c>
      <c r="BA124" s="22">
        <v>-1.4993299999999999E-2</v>
      </c>
      <c r="BB124" s="22">
        <v>114</v>
      </c>
      <c r="BC124" s="22">
        <v>0.47348000000000001</v>
      </c>
      <c r="BD124">
        <f t="shared" si="22"/>
        <v>18.510246913580243</v>
      </c>
      <c r="BE124">
        <f t="shared" si="23"/>
        <v>8.7755414695061713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1.28098</v>
      </c>
      <c r="H125" s="22">
        <v>6.1514899999999999</v>
      </c>
      <c r="I125" s="22">
        <v>-1.39618E-2</v>
      </c>
      <c r="J125" s="22">
        <v>115</v>
      </c>
      <c r="K125" s="22">
        <v>1.2802100000000001</v>
      </c>
      <c r="L125">
        <f t="shared" si="12"/>
        <v>17.236790123456789</v>
      </c>
      <c r="M125">
        <f t="shared" si="13"/>
        <v>22.079983412345676</v>
      </c>
      <c r="N125" s="9"/>
      <c r="O125" s="22">
        <v>0.479126</v>
      </c>
      <c r="P125" s="22">
        <v>10.0915</v>
      </c>
      <c r="Q125" s="22">
        <v>-1.4660599999999999E-2</v>
      </c>
      <c r="R125" s="22">
        <v>115</v>
      </c>
      <c r="S125" s="22">
        <v>0.47848499999999999</v>
      </c>
      <c r="T125">
        <f t="shared" si="14"/>
        <v>18.099506172839504</v>
      </c>
      <c r="U125">
        <f t="shared" si="15"/>
        <v>8.6719439945679007</v>
      </c>
      <c r="X125" s="9"/>
      <c r="Y125" s="22">
        <v>1.28098</v>
      </c>
      <c r="Z125" s="22">
        <v>15.729699999999999</v>
      </c>
      <c r="AA125" s="22">
        <v>-1.40045E-2</v>
      </c>
      <c r="AB125" s="22">
        <v>115</v>
      </c>
      <c r="AC125" s="22">
        <v>1.2799100000000001</v>
      </c>
      <c r="AD125">
        <f t="shared" si="16"/>
        <v>17.289506172839506</v>
      </c>
      <c r="AE125">
        <f t="shared" si="17"/>
        <v>22.14751161728395</v>
      </c>
      <c r="AF125" s="9"/>
      <c r="AG125" s="22">
        <v>0.479126</v>
      </c>
      <c r="AH125" s="22">
        <v>19.669699999999999</v>
      </c>
      <c r="AI125" s="22">
        <v>-1.4782699999999999E-2</v>
      </c>
      <c r="AJ125" s="22">
        <v>115</v>
      </c>
      <c r="AK125" s="22">
        <v>0.47854600000000003</v>
      </c>
      <c r="AL125">
        <f t="shared" si="18"/>
        <v>18.250246913580245</v>
      </c>
      <c r="AM125">
        <f t="shared" si="19"/>
        <v>8.7441678027160492</v>
      </c>
      <c r="AP125" s="9"/>
      <c r="AQ125" s="22">
        <v>1.28098</v>
      </c>
      <c r="AR125" s="22">
        <v>25.302900000000001</v>
      </c>
      <c r="AS125" s="22">
        <v>-1.41388E-2</v>
      </c>
      <c r="AT125" s="22">
        <v>115</v>
      </c>
      <c r="AU125" s="22">
        <v>1.2799100000000001</v>
      </c>
      <c r="AV125">
        <f t="shared" si="20"/>
        <v>17.455308641975307</v>
      </c>
      <c r="AW125">
        <f t="shared" si="21"/>
        <v>22.359901264197529</v>
      </c>
      <c r="AX125" s="9"/>
      <c r="AY125" s="22">
        <v>0.479126</v>
      </c>
      <c r="AZ125" s="22">
        <v>29.242999999999999</v>
      </c>
      <c r="BA125" s="22">
        <v>-1.49902E-2</v>
      </c>
      <c r="BB125" s="22">
        <v>115</v>
      </c>
      <c r="BC125" s="22">
        <v>0.478302</v>
      </c>
      <c r="BD125">
        <f t="shared" si="22"/>
        <v>18.506419753086419</v>
      </c>
      <c r="BE125">
        <f t="shared" si="23"/>
        <v>8.8669068706172833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1.2759400000000001</v>
      </c>
      <c r="H126" s="22">
        <v>6.1615599999999997</v>
      </c>
      <c r="I126" s="22">
        <v>-1.39709E-2</v>
      </c>
      <c r="J126" s="22">
        <v>116</v>
      </c>
      <c r="K126" s="22">
        <v>1.2747200000000001</v>
      </c>
      <c r="L126">
        <f t="shared" si="12"/>
        <v>17.248024691358022</v>
      </c>
      <c r="M126">
        <f t="shared" si="13"/>
        <v>22.007444624691356</v>
      </c>
      <c r="N126" s="9"/>
      <c r="O126" s="22">
        <v>0.48416100000000001</v>
      </c>
      <c r="P126" s="22">
        <v>10.101599999999999</v>
      </c>
      <c r="Q126" s="22">
        <v>-1.4654500000000001E-2</v>
      </c>
      <c r="R126" s="22">
        <v>116</v>
      </c>
      <c r="S126" s="22">
        <v>0.48336800000000002</v>
      </c>
      <c r="T126">
        <f t="shared" si="14"/>
        <v>18.091975308641977</v>
      </c>
      <c r="U126">
        <f t="shared" si="15"/>
        <v>8.7594288574074088</v>
      </c>
      <c r="X126" s="9"/>
      <c r="Y126" s="22">
        <v>1.2759400000000001</v>
      </c>
      <c r="Z126" s="22">
        <v>15.739800000000001</v>
      </c>
      <c r="AA126" s="22">
        <v>-1.40106E-2</v>
      </c>
      <c r="AB126" s="22">
        <v>116</v>
      </c>
      <c r="AC126" s="22">
        <v>1.2747200000000001</v>
      </c>
      <c r="AD126">
        <f t="shared" si="16"/>
        <v>17.297037037037036</v>
      </c>
      <c r="AE126">
        <f t="shared" si="17"/>
        <v>22.069981437037036</v>
      </c>
      <c r="AF126" s="9"/>
      <c r="AG126" s="22">
        <v>0.48416100000000001</v>
      </c>
      <c r="AH126" s="22">
        <v>19.6798</v>
      </c>
      <c r="AI126" s="22">
        <v>-1.4776600000000001E-2</v>
      </c>
      <c r="AJ126" s="22">
        <v>116</v>
      </c>
      <c r="AK126" s="22">
        <v>0.48348999999999998</v>
      </c>
      <c r="AL126">
        <f t="shared" si="18"/>
        <v>18.242716049382715</v>
      </c>
      <c r="AM126">
        <f t="shared" si="19"/>
        <v>8.832411645185184</v>
      </c>
      <c r="AP126" s="9"/>
      <c r="AQ126" s="22">
        <v>1.2759400000000001</v>
      </c>
      <c r="AR126" s="22">
        <v>25.312999999999999</v>
      </c>
      <c r="AS126" s="22">
        <v>-1.41449E-2</v>
      </c>
      <c r="AT126" s="22">
        <v>116</v>
      </c>
      <c r="AU126" s="22">
        <v>1.27502</v>
      </c>
      <c r="AV126">
        <f t="shared" si="20"/>
        <v>17.462839506172838</v>
      </c>
      <c r="AW126">
        <f t="shared" si="21"/>
        <v>22.281535439506172</v>
      </c>
      <c r="AX126" s="9"/>
      <c r="AY126" s="22">
        <v>0.48416100000000001</v>
      </c>
      <c r="AZ126" s="22">
        <v>29.2531</v>
      </c>
      <c r="BA126" s="22">
        <v>-1.49841E-2</v>
      </c>
      <c r="BB126" s="22">
        <v>116</v>
      </c>
      <c r="BC126" s="22">
        <v>0.48364299999999999</v>
      </c>
      <c r="BD126">
        <f t="shared" si="22"/>
        <v>18.498888888888889</v>
      </c>
      <c r="BE126">
        <f t="shared" si="23"/>
        <v>8.9564405433333327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1.2708999999999999</v>
      </c>
      <c r="H127" s="22">
        <v>6.1716300000000004</v>
      </c>
      <c r="I127" s="22">
        <v>-1.3977099999999999E-2</v>
      </c>
      <c r="J127" s="22">
        <v>117</v>
      </c>
      <c r="K127" s="22">
        <v>1.2698400000000001</v>
      </c>
      <c r="L127">
        <f t="shared" si="12"/>
        <v>17.255679012345677</v>
      </c>
      <c r="M127">
        <f t="shared" si="13"/>
        <v>21.930242456790118</v>
      </c>
      <c r="N127" s="9"/>
      <c r="O127" s="22">
        <v>0.48919699999999999</v>
      </c>
      <c r="P127" s="22">
        <v>10.111700000000001</v>
      </c>
      <c r="Q127" s="22">
        <v>-1.4648400000000001E-2</v>
      </c>
      <c r="R127" s="22">
        <v>117</v>
      </c>
      <c r="S127" s="22">
        <v>0.48858600000000002</v>
      </c>
      <c r="T127">
        <f t="shared" si="14"/>
        <v>18.084444444444443</v>
      </c>
      <c r="U127">
        <f t="shared" si="15"/>
        <v>8.8468559688888888</v>
      </c>
      <c r="X127" s="9"/>
      <c r="Y127" s="22">
        <v>1.2708999999999999</v>
      </c>
      <c r="Z127" s="22">
        <v>15.7499</v>
      </c>
      <c r="AA127" s="22">
        <v>-1.40167E-2</v>
      </c>
      <c r="AB127" s="22">
        <v>117</v>
      </c>
      <c r="AC127" s="22">
        <v>1.2704500000000001</v>
      </c>
      <c r="AD127">
        <f t="shared" si="16"/>
        <v>17.304567901234567</v>
      </c>
      <c r="AE127">
        <f t="shared" si="17"/>
        <v>21.992375345679008</v>
      </c>
      <c r="AF127" s="9"/>
      <c r="AG127" s="22">
        <v>0.48919699999999999</v>
      </c>
      <c r="AH127" s="22">
        <v>19.689900000000002</v>
      </c>
      <c r="AI127" s="22">
        <v>-1.47736E-2</v>
      </c>
      <c r="AJ127" s="22">
        <v>117</v>
      </c>
      <c r="AK127" s="22">
        <v>0.48855599999999999</v>
      </c>
      <c r="AL127">
        <f t="shared" si="18"/>
        <v>18.239012345679011</v>
      </c>
      <c r="AM127">
        <f t="shared" si="19"/>
        <v>8.9224701224691358</v>
      </c>
      <c r="AP127" s="9"/>
      <c r="AQ127" s="22">
        <v>1.2708999999999999</v>
      </c>
      <c r="AR127" s="22">
        <v>25.3231</v>
      </c>
      <c r="AS127" s="22">
        <v>-1.4151E-2</v>
      </c>
      <c r="AT127" s="22">
        <v>117</v>
      </c>
      <c r="AU127" s="22">
        <v>1.27136</v>
      </c>
      <c r="AV127">
        <f t="shared" si="20"/>
        <v>17.470370370370368</v>
      </c>
      <c r="AW127">
        <f t="shared" si="21"/>
        <v>22.203093703703701</v>
      </c>
      <c r="AX127" s="9"/>
      <c r="AY127" s="22">
        <v>0.48919699999999999</v>
      </c>
      <c r="AZ127" s="22">
        <v>29.263100000000001</v>
      </c>
      <c r="BA127" s="22">
        <v>-1.4975E-2</v>
      </c>
      <c r="BB127" s="22">
        <v>117</v>
      </c>
      <c r="BC127" s="22">
        <v>0.48861700000000002</v>
      </c>
      <c r="BD127">
        <f t="shared" si="22"/>
        <v>18.487654320987652</v>
      </c>
      <c r="BE127">
        <f t="shared" si="23"/>
        <v>9.0441050308641966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1.2658700000000001</v>
      </c>
      <c r="H128" s="22">
        <v>6.1817000000000002</v>
      </c>
      <c r="I128" s="22">
        <v>-1.3986200000000001E-2</v>
      </c>
      <c r="J128" s="22">
        <v>118</v>
      </c>
      <c r="K128" s="22">
        <v>1.26495</v>
      </c>
      <c r="L128">
        <f t="shared" si="12"/>
        <v>17.266913580246914</v>
      </c>
      <c r="M128">
        <f t="shared" si="13"/>
        <v>21.857667893827163</v>
      </c>
      <c r="N128" s="9"/>
      <c r="O128" s="22">
        <v>0.494232</v>
      </c>
      <c r="P128" s="22">
        <v>10.121700000000001</v>
      </c>
      <c r="Q128" s="22">
        <v>-1.4645399999999999E-2</v>
      </c>
      <c r="R128" s="22">
        <v>118</v>
      </c>
      <c r="S128" s="22">
        <v>0.49346899999999999</v>
      </c>
      <c r="T128">
        <f t="shared" si="14"/>
        <v>18.080740740740737</v>
      </c>
      <c r="U128">
        <f t="shared" si="15"/>
        <v>8.9360806577777758</v>
      </c>
      <c r="X128" s="9"/>
      <c r="Y128" s="22">
        <v>1.2658700000000001</v>
      </c>
      <c r="Z128" s="22">
        <v>15.7599</v>
      </c>
      <c r="AA128" s="22">
        <v>-1.40228E-2</v>
      </c>
      <c r="AB128" s="22">
        <v>118</v>
      </c>
      <c r="AC128" s="22">
        <v>1.26434</v>
      </c>
      <c r="AD128">
        <f t="shared" si="16"/>
        <v>17.312098765432097</v>
      </c>
      <c r="AE128">
        <f t="shared" si="17"/>
        <v>21.91486646419753</v>
      </c>
      <c r="AF128" s="9"/>
      <c r="AG128" s="22">
        <v>0.494232</v>
      </c>
      <c r="AH128" s="22">
        <v>19.7</v>
      </c>
      <c r="AI128" s="22">
        <v>-1.4770500000000001E-2</v>
      </c>
      <c r="AJ128" s="22">
        <v>118</v>
      </c>
      <c r="AK128" s="22">
        <v>0.49331700000000001</v>
      </c>
      <c r="AL128">
        <f t="shared" si="18"/>
        <v>18.235185185185184</v>
      </c>
      <c r="AM128">
        <f t="shared" si="19"/>
        <v>9.012412044444444</v>
      </c>
      <c r="AP128" s="9"/>
      <c r="AQ128" s="22">
        <v>1.2658700000000001</v>
      </c>
      <c r="AR128" s="22">
        <v>25.333200000000001</v>
      </c>
      <c r="AS128" s="22">
        <v>-1.4157100000000001E-2</v>
      </c>
      <c r="AT128" s="22">
        <v>118</v>
      </c>
      <c r="AU128" s="22">
        <v>1.2652600000000001</v>
      </c>
      <c r="AV128">
        <f t="shared" si="20"/>
        <v>17.477901234567902</v>
      </c>
      <c r="AW128">
        <f t="shared" si="21"/>
        <v>22.12475083580247</v>
      </c>
      <c r="AX128" s="9"/>
      <c r="AY128" s="22">
        <v>0.494232</v>
      </c>
      <c r="AZ128" s="22">
        <v>29.273199999999999</v>
      </c>
      <c r="BA128" s="22">
        <v>-1.49689E-2</v>
      </c>
      <c r="BB128" s="22">
        <v>118</v>
      </c>
      <c r="BC128" s="22">
        <v>0.49383500000000002</v>
      </c>
      <c r="BD128">
        <f t="shared" si="22"/>
        <v>18.480123456790125</v>
      </c>
      <c r="BE128">
        <f t="shared" si="23"/>
        <v>9.1334683762962978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1.2608299999999999</v>
      </c>
      <c r="H129" s="22">
        <v>6.19177</v>
      </c>
      <c r="I129" s="22">
        <v>-1.3992299999999999E-2</v>
      </c>
      <c r="J129" s="22">
        <v>119</v>
      </c>
      <c r="K129" s="22">
        <v>1.2597700000000001</v>
      </c>
      <c r="L129">
        <f t="shared" si="12"/>
        <v>17.274444444444445</v>
      </c>
      <c r="M129">
        <f t="shared" si="13"/>
        <v>21.780137788888887</v>
      </c>
      <c r="N129" s="9"/>
      <c r="O129" s="22">
        <v>0.49926799999999999</v>
      </c>
      <c r="P129" s="22">
        <v>10.1318</v>
      </c>
      <c r="Q129" s="22">
        <v>-1.4645399999999999E-2</v>
      </c>
      <c r="R129" s="22">
        <v>119</v>
      </c>
      <c r="S129" s="22">
        <v>0.49871799999999999</v>
      </c>
      <c r="T129">
        <f t="shared" si="14"/>
        <v>18.080740740740737</v>
      </c>
      <c r="U129">
        <f t="shared" si="15"/>
        <v>9.0271352681481467</v>
      </c>
      <c r="X129" s="9"/>
      <c r="Y129" s="22">
        <v>1.2608299999999999</v>
      </c>
      <c r="Z129" s="22">
        <v>15.77</v>
      </c>
      <c r="AA129" s="22">
        <v>-1.40289E-2</v>
      </c>
      <c r="AB129" s="22">
        <v>119</v>
      </c>
      <c r="AC129" s="22">
        <v>1.2603800000000001</v>
      </c>
      <c r="AD129">
        <f t="shared" si="16"/>
        <v>17.319629629629631</v>
      </c>
      <c r="AE129">
        <f t="shared" si="17"/>
        <v>21.837108625925925</v>
      </c>
      <c r="AF129" s="9"/>
      <c r="AG129" s="22">
        <v>0.49926799999999999</v>
      </c>
      <c r="AH129" s="22">
        <v>19.71</v>
      </c>
      <c r="AI129" s="22">
        <v>-1.4770500000000001E-2</v>
      </c>
      <c r="AJ129" s="22">
        <v>119</v>
      </c>
      <c r="AK129" s="22">
        <v>0.49853500000000001</v>
      </c>
      <c r="AL129">
        <f t="shared" si="18"/>
        <v>18.235185185185184</v>
      </c>
      <c r="AM129">
        <f t="shared" si="19"/>
        <v>9.1042444370370355</v>
      </c>
      <c r="AP129" s="9"/>
      <c r="AQ129" s="22">
        <v>1.2608299999999999</v>
      </c>
      <c r="AR129" s="22">
        <v>25.3432</v>
      </c>
      <c r="AS129" s="22">
        <v>-1.41602E-2</v>
      </c>
      <c r="AT129" s="22">
        <v>119</v>
      </c>
      <c r="AU129" s="22">
        <v>1.2591600000000001</v>
      </c>
      <c r="AV129">
        <f t="shared" si="20"/>
        <v>17.481728395061729</v>
      </c>
      <c r="AW129">
        <f t="shared" si="21"/>
        <v>22.04148761234568</v>
      </c>
      <c r="AX129" s="9"/>
      <c r="AY129" s="22">
        <v>0.49926799999999999</v>
      </c>
      <c r="AZ129" s="22">
        <v>29.283300000000001</v>
      </c>
      <c r="BA129" s="22">
        <v>-1.49658E-2</v>
      </c>
      <c r="BB129" s="22">
        <v>119</v>
      </c>
      <c r="BC129" s="22">
        <v>0.49865700000000002</v>
      </c>
      <c r="BD129">
        <f t="shared" si="22"/>
        <v>18.476296296296297</v>
      </c>
      <c r="BE129">
        <f t="shared" si="23"/>
        <v>9.2246234992592591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1.2558</v>
      </c>
      <c r="H130" s="22">
        <v>6.2018399999999998</v>
      </c>
      <c r="I130" s="22">
        <v>-1.39954E-2</v>
      </c>
      <c r="J130" s="22">
        <v>120</v>
      </c>
      <c r="K130" s="22">
        <v>1.25549</v>
      </c>
      <c r="L130">
        <f t="shared" si="12"/>
        <v>17.278271604938272</v>
      </c>
      <c r="M130">
        <f t="shared" si="13"/>
        <v>21.698053481481484</v>
      </c>
      <c r="N130" s="9"/>
      <c r="O130" s="22">
        <v>0.50430299999999995</v>
      </c>
      <c r="P130" s="22">
        <v>10.1419</v>
      </c>
      <c r="Q130" s="22">
        <v>-1.46423E-2</v>
      </c>
      <c r="R130" s="22">
        <v>120</v>
      </c>
      <c r="S130" s="22">
        <v>0.50344800000000001</v>
      </c>
      <c r="T130">
        <f t="shared" si="14"/>
        <v>18.076913580246913</v>
      </c>
      <c r="U130">
        <f t="shared" si="15"/>
        <v>9.1162417492592578</v>
      </c>
      <c r="X130" s="9"/>
      <c r="Y130" s="22">
        <v>1.2558</v>
      </c>
      <c r="Z130" s="22">
        <v>15.780099999999999</v>
      </c>
      <c r="AA130" s="22">
        <v>-1.40381E-2</v>
      </c>
      <c r="AB130" s="22">
        <v>120</v>
      </c>
      <c r="AC130" s="22">
        <v>1.25458</v>
      </c>
      <c r="AD130">
        <f t="shared" si="16"/>
        <v>17.330987654320985</v>
      </c>
      <c r="AE130">
        <f t="shared" si="17"/>
        <v>21.764254296296293</v>
      </c>
      <c r="AF130" s="9"/>
      <c r="AG130" s="22">
        <v>0.50430299999999995</v>
      </c>
      <c r="AH130" s="22">
        <v>19.720099999999999</v>
      </c>
      <c r="AI130" s="22">
        <v>-1.47644E-2</v>
      </c>
      <c r="AJ130" s="22">
        <v>120</v>
      </c>
      <c r="AK130" s="22">
        <v>0.50369299999999995</v>
      </c>
      <c r="AL130">
        <f t="shared" si="18"/>
        <v>18.227654320987654</v>
      </c>
      <c r="AM130">
        <f t="shared" si="19"/>
        <v>9.1922607570370349</v>
      </c>
      <c r="AP130" s="9"/>
      <c r="AQ130" s="22">
        <v>1.2558</v>
      </c>
      <c r="AR130" s="22">
        <v>25.353300000000001</v>
      </c>
      <c r="AS130" s="22">
        <v>-1.41663E-2</v>
      </c>
      <c r="AT130" s="22">
        <v>120</v>
      </c>
      <c r="AU130" s="22">
        <v>1.25488</v>
      </c>
      <c r="AV130">
        <f t="shared" si="20"/>
        <v>17.489259259259256</v>
      </c>
      <c r="AW130">
        <f t="shared" si="21"/>
        <v>21.963011777777776</v>
      </c>
      <c r="AX130" s="9"/>
      <c r="AY130" s="22">
        <v>0.50430299999999995</v>
      </c>
      <c r="AZ130" s="22">
        <v>29.293299999999999</v>
      </c>
      <c r="BA130" s="22">
        <v>-1.49628E-2</v>
      </c>
      <c r="BB130" s="22">
        <v>120</v>
      </c>
      <c r="BC130" s="22">
        <v>0.50351000000000001</v>
      </c>
      <c r="BD130">
        <f t="shared" si="22"/>
        <v>18.472592592592594</v>
      </c>
      <c r="BE130">
        <f t="shared" si="23"/>
        <v>9.3157838622222222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1.2507600000000001</v>
      </c>
      <c r="H131" s="22">
        <v>6.2119099999999996</v>
      </c>
      <c r="I131" s="22">
        <v>-1.3998399999999999E-2</v>
      </c>
      <c r="J131" s="22">
        <v>121</v>
      </c>
      <c r="K131" s="22">
        <v>1.25061</v>
      </c>
      <c r="L131">
        <f t="shared" si="12"/>
        <v>17.281975308641975</v>
      </c>
      <c r="M131">
        <f t="shared" si="13"/>
        <v>21.615603437037038</v>
      </c>
      <c r="N131" s="9"/>
      <c r="O131" s="22">
        <v>0.50933799999999996</v>
      </c>
      <c r="P131" s="22">
        <v>10.151999999999999</v>
      </c>
      <c r="Q131" s="22">
        <v>-1.46423E-2</v>
      </c>
      <c r="R131" s="22">
        <v>121</v>
      </c>
      <c r="S131" s="22">
        <v>0.508606</v>
      </c>
      <c r="T131">
        <f t="shared" si="14"/>
        <v>18.076913580246913</v>
      </c>
      <c r="U131">
        <f t="shared" si="15"/>
        <v>9.207259009135802</v>
      </c>
      <c r="X131" s="9"/>
      <c r="Y131" s="22">
        <v>1.2507600000000001</v>
      </c>
      <c r="Z131" s="22">
        <v>15.790100000000001</v>
      </c>
      <c r="AA131" s="22">
        <v>-1.40442E-2</v>
      </c>
      <c r="AB131" s="22">
        <v>121</v>
      </c>
      <c r="AC131" s="22">
        <v>1.24908</v>
      </c>
      <c r="AD131">
        <f t="shared" si="16"/>
        <v>17.338518518518516</v>
      </c>
      <c r="AE131">
        <f t="shared" si="17"/>
        <v>21.686325422222222</v>
      </c>
      <c r="AF131" s="9"/>
      <c r="AG131" s="22">
        <v>0.50933799999999996</v>
      </c>
      <c r="AH131" s="22">
        <v>19.7302</v>
      </c>
      <c r="AI131" s="22">
        <v>-1.47583E-2</v>
      </c>
      <c r="AJ131" s="22">
        <v>121</v>
      </c>
      <c r="AK131" s="22">
        <v>0.50872799999999996</v>
      </c>
      <c r="AL131">
        <f t="shared" si="18"/>
        <v>18.22012345679012</v>
      </c>
      <c r="AM131">
        <f t="shared" si="19"/>
        <v>9.2802012412345647</v>
      </c>
      <c r="AP131" s="9"/>
      <c r="AQ131" s="22">
        <v>1.2507600000000001</v>
      </c>
      <c r="AR131" s="22">
        <v>25.363399999999999</v>
      </c>
      <c r="AS131" s="22">
        <v>-1.41724E-2</v>
      </c>
      <c r="AT131" s="22">
        <v>121</v>
      </c>
      <c r="AU131" s="22">
        <v>1.24969</v>
      </c>
      <c r="AV131">
        <f t="shared" si="20"/>
        <v>17.496790123456787</v>
      </c>
      <c r="AW131">
        <f t="shared" si="21"/>
        <v>21.884285214814813</v>
      </c>
      <c r="AX131" s="9"/>
      <c r="AY131" s="22">
        <v>0.50933799999999996</v>
      </c>
      <c r="AZ131" s="22">
        <v>29.3034</v>
      </c>
      <c r="BA131" s="22">
        <v>-1.4959699999999999E-2</v>
      </c>
      <c r="BB131" s="22">
        <v>121</v>
      </c>
      <c r="BC131" s="22">
        <v>0.50869799999999998</v>
      </c>
      <c r="BD131">
        <f t="shared" si="22"/>
        <v>18.468765432098763</v>
      </c>
      <c r="BE131">
        <f t="shared" si="23"/>
        <v>9.4068440476543191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1.24573</v>
      </c>
      <c r="H132" s="22">
        <v>6.2219800000000003</v>
      </c>
      <c r="I132" s="22">
        <v>-1.40015E-2</v>
      </c>
      <c r="J132" s="22">
        <v>122</v>
      </c>
      <c r="K132" s="22">
        <v>1.24451</v>
      </c>
      <c r="L132">
        <f t="shared" si="12"/>
        <v>17.285802469135803</v>
      </c>
      <c r="M132">
        <f t="shared" si="13"/>
        <v>21.533442709876542</v>
      </c>
      <c r="N132" s="9"/>
      <c r="O132" s="22">
        <v>0.514374</v>
      </c>
      <c r="P132" s="22">
        <v>10.162000000000001</v>
      </c>
      <c r="Q132" s="22">
        <v>-1.46362E-2</v>
      </c>
      <c r="R132" s="22">
        <v>122</v>
      </c>
      <c r="S132" s="22">
        <v>0.51348899999999997</v>
      </c>
      <c r="T132">
        <f t="shared" si="14"/>
        <v>18.069382716049383</v>
      </c>
      <c r="U132">
        <f t="shared" si="15"/>
        <v>9.2944206651851857</v>
      </c>
      <c r="X132" s="9"/>
      <c r="Y132" s="22">
        <v>1.24573</v>
      </c>
      <c r="Z132" s="22">
        <v>15.8002</v>
      </c>
      <c r="AA132" s="22">
        <v>-1.40503E-2</v>
      </c>
      <c r="AB132" s="22">
        <v>122</v>
      </c>
      <c r="AC132" s="22">
        <v>1.24481</v>
      </c>
      <c r="AD132">
        <f t="shared" si="16"/>
        <v>17.34604938271605</v>
      </c>
      <c r="AE132">
        <f t="shared" si="17"/>
        <v>21.608494097530865</v>
      </c>
      <c r="AF132" s="9"/>
      <c r="AG132" s="22">
        <v>0.514374</v>
      </c>
      <c r="AH132" s="22">
        <v>19.740200000000002</v>
      </c>
      <c r="AI132" s="22">
        <v>-1.47552E-2</v>
      </c>
      <c r="AJ132" s="22">
        <v>122</v>
      </c>
      <c r="AK132" s="22">
        <v>0.51370199999999999</v>
      </c>
      <c r="AL132">
        <f t="shared" si="18"/>
        <v>18.216296296296292</v>
      </c>
      <c r="AM132">
        <f t="shared" si="19"/>
        <v>9.3699891911111095</v>
      </c>
      <c r="AP132" s="9"/>
      <c r="AQ132" s="22">
        <v>1.24573</v>
      </c>
      <c r="AR132" s="22">
        <v>25.3734</v>
      </c>
      <c r="AS132" s="22">
        <v>-1.41815E-2</v>
      </c>
      <c r="AT132" s="22">
        <v>122</v>
      </c>
      <c r="AU132" s="22">
        <v>1.24451</v>
      </c>
      <c r="AV132">
        <f t="shared" si="20"/>
        <v>17.508024691358024</v>
      </c>
      <c r="AW132">
        <f t="shared" si="21"/>
        <v>21.810271598765432</v>
      </c>
      <c r="AX132" s="9"/>
      <c r="AY132" s="22">
        <v>0.514374</v>
      </c>
      <c r="AZ132" s="22">
        <v>29.313500000000001</v>
      </c>
      <c r="BA132" s="22">
        <v>-1.49567E-2</v>
      </c>
      <c r="BB132" s="22">
        <v>122</v>
      </c>
      <c r="BC132" s="22">
        <v>0.51376299999999997</v>
      </c>
      <c r="BD132">
        <f t="shared" si="22"/>
        <v>18.46506172839506</v>
      </c>
      <c r="BE132">
        <f t="shared" si="23"/>
        <v>9.4979476614814811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1.2406900000000001</v>
      </c>
      <c r="H133" s="22">
        <v>6.2320599999999997</v>
      </c>
      <c r="I133" s="22">
        <v>-1.40076E-2</v>
      </c>
      <c r="J133" s="22">
        <v>123</v>
      </c>
      <c r="K133" s="22">
        <v>1.2390099999999999</v>
      </c>
      <c r="L133">
        <f t="shared" si="12"/>
        <v>17.293333333333333</v>
      </c>
      <c r="M133">
        <f t="shared" si="13"/>
        <v>21.455665733333333</v>
      </c>
      <c r="N133" s="9"/>
      <c r="O133" s="22">
        <v>0.51940900000000001</v>
      </c>
      <c r="P133" s="22">
        <v>10.1721</v>
      </c>
      <c r="Q133" s="22">
        <v>-1.4633200000000001E-2</v>
      </c>
      <c r="R133" s="22">
        <v>123</v>
      </c>
      <c r="S133" s="22">
        <v>0.51904300000000003</v>
      </c>
      <c r="T133">
        <f t="shared" si="14"/>
        <v>18.065679012345679</v>
      </c>
      <c r="U133">
        <f t="shared" si="15"/>
        <v>9.3834762701234578</v>
      </c>
      <c r="X133" s="9"/>
      <c r="Y133" s="22">
        <v>1.2406900000000001</v>
      </c>
      <c r="Z133" s="22">
        <v>15.8103</v>
      </c>
      <c r="AA133" s="22">
        <v>-1.4053299999999999E-2</v>
      </c>
      <c r="AB133" s="22">
        <v>123</v>
      </c>
      <c r="AC133" s="22">
        <v>1.23932</v>
      </c>
      <c r="AD133">
        <f t="shared" si="16"/>
        <v>17.349753086419753</v>
      </c>
      <c r="AE133">
        <f t="shared" si="17"/>
        <v>21.525665156790126</v>
      </c>
      <c r="AF133" s="9"/>
      <c r="AG133" s="22">
        <v>0.51940900000000001</v>
      </c>
      <c r="AH133" s="22">
        <v>19.750299999999999</v>
      </c>
      <c r="AI133" s="22">
        <v>-1.4749099999999999E-2</v>
      </c>
      <c r="AJ133" s="22">
        <v>123</v>
      </c>
      <c r="AK133" s="22">
        <v>0.51895100000000005</v>
      </c>
      <c r="AL133">
        <f t="shared" si="18"/>
        <v>18.208765432098765</v>
      </c>
      <c r="AM133">
        <f t="shared" si="19"/>
        <v>9.4577966443209878</v>
      </c>
      <c r="AP133" s="9"/>
      <c r="AQ133" s="22">
        <v>1.2406900000000001</v>
      </c>
      <c r="AR133" s="22">
        <v>25.383500000000002</v>
      </c>
      <c r="AS133" s="22">
        <v>-1.41846E-2</v>
      </c>
      <c r="AT133" s="22">
        <v>123</v>
      </c>
      <c r="AU133" s="22">
        <v>1.23993</v>
      </c>
      <c r="AV133">
        <f t="shared" si="20"/>
        <v>17.511851851851851</v>
      </c>
      <c r="AW133">
        <f t="shared" si="21"/>
        <v>21.726779474074075</v>
      </c>
      <c r="AX133" s="9"/>
      <c r="AY133" s="22">
        <v>0.51940900000000001</v>
      </c>
      <c r="AZ133" s="22">
        <v>29.323599999999999</v>
      </c>
      <c r="BA133" s="22">
        <v>-1.49506E-2</v>
      </c>
      <c r="BB133" s="22">
        <v>123</v>
      </c>
      <c r="BC133" s="22">
        <v>0.51870700000000003</v>
      </c>
      <c r="BD133">
        <f t="shared" si="22"/>
        <v>18.45753086419753</v>
      </c>
      <c r="BE133">
        <f t="shared" si="23"/>
        <v>9.5870076486419755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1.23566</v>
      </c>
      <c r="H134" s="22">
        <v>6.2421300000000004</v>
      </c>
      <c r="I134" s="22">
        <v>-1.40106E-2</v>
      </c>
      <c r="J134" s="22">
        <v>124</v>
      </c>
      <c r="K134" s="22">
        <v>1.23505</v>
      </c>
      <c r="L134">
        <f t="shared" si="12"/>
        <v>17.297037037037036</v>
      </c>
      <c r="M134">
        <f t="shared" si="13"/>
        <v>21.373256785185184</v>
      </c>
      <c r="N134" s="9"/>
      <c r="O134" s="22">
        <v>0.52444500000000005</v>
      </c>
      <c r="P134" s="22">
        <v>10.1822</v>
      </c>
      <c r="Q134" s="22">
        <v>-1.4624E-2</v>
      </c>
      <c r="R134" s="22">
        <v>124</v>
      </c>
      <c r="S134" s="22">
        <v>0.52371199999999996</v>
      </c>
      <c r="T134">
        <f t="shared" si="14"/>
        <v>18.054320987654318</v>
      </c>
      <c r="U134">
        <f t="shared" si="15"/>
        <v>9.4684983703703693</v>
      </c>
      <c r="X134" s="9"/>
      <c r="Y134" s="22">
        <v>1.23566</v>
      </c>
      <c r="Z134" s="22">
        <v>15.8203</v>
      </c>
      <c r="AA134" s="22">
        <v>-1.40564E-2</v>
      </c>
      <c r="AB134" s="22">
        <v>124</v>
      </c>
      <c r="AC134" s="22">
        <v>1.2347399999999999</v>
      </c>
      <c r="AD134">
        <f t="shared" si="16"/>
        <v>17.35358024691358</v>
      </c>
      <c r="AE134">
        <f t="shared" si="17"/>
        <v>21.443124967901234</v>
      </c>
      <c r="AF134" s="9"/>
      <c r="AG134" s="22">
        <v>0.52444500000000005</v>
      </c>
      <c r="AH134" s="22">
        <v>19.760400000000001</v>
      </c>
      <c r="AI134" s="22">
        <v>-1.47461E-2</v>
      </c>
      <c r="AJ134" s="22">
        <v>124</v>
      </c>
      <c r="AK134" s="22">
        <v>0.52377300000000004</v>
      </c>
      <c r="AL134">
        <f t="shared" si="18"/>
        <v>18.205061728395062</v>
      </c>
      <c r="AM134">
        <f t="shared" si="19"/>
        <v>9.5475535981481485</v>
      </c>
      <c r="AP134" s="9"/>
      <c r="AQ134" s="22">
        <v>1.23566</v>
      </c>
      <c r="AR134" s="22">
        <v>25.393599999999999</v>
      </c>
      <c r="AS134" s="22">
        <v>-1.4190700000000001E-2</v>
      </c>
      <c r="AT134" s="22">
        <v>124</v>
      </c>
      <c r="AU134" s="22">
        <v>1.23444</v>
      </c>
      <c r="AV134">
        <f t="shared" si="20"/>
        <v>17.519382716049382</v>
      </c>
      <c r="AW134">
        <f t="shared" si="21"/>
        <v>21.648000446913578</v>
      </c>
      <c r="AX134" s="9"/>
      <c r="AY134" s="22">
        <v>0.52444500000000005</v>
      </c>
      <c r="AZ134" s="22">
        <v>29.333600000000001</v>
      </c>
      <c r="BA134" s="22">
        <v>-1.4947500000000001E-2</v>
      </c>
      <c r="BB134" s="22">
        <v>124</v>
      </c>
      <c r="BC134" s="22">
        <v>0.52377300000000004</v>
      </c>
      <c r="BD134">
        <f t="shared" si="22"/>
        <v>18.453703703703706</v>
      </c>
      <c r="BE134">
        <f t="shared" si="23"/>
        <v>9.6779526388888915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1.23062</v>
      </c>
      <c r="H135" s="22">
        <v>6.2522000000000002</v>
      </c>
      <c r="I135" s="22">
        <v>-1.4019800000000001E-2</v>
      </c>
      <c r="J135" s="22">
        <v>125</v>
      </c>
      <c r="K135" s="22">
        <v>1.23047</v>
      </c>
      <c r="L135">
        <f t="shared" si="12"/>
        <v>17.308395061728394</v>
      </c>
      <c r="M135">
        <f t="shared" si="13"/>
        <v>21.300057130864197</v>
      </c>
      <c r="N135" s="9"/>
      <c r="O135" s="22">
        <v>0.52947999999999995</v>
      </c>
      <c r="P135" s="22">
        <v>10.1922</v>
      </c>
      <c r="Q135" s="22">
        <v>-1.4621E-2</v>
      </c>
      <c r="R135" s="22">
        <v>125</v>
      </c>
      <c r="S135" s="22">
        <v>0.52880899999999997</v>
      </c>
      <c r="T135">
        <f t="shared" si="14"/>
        <v>18.050617283950618</v>
      </c>
      <c r="U135">
        <f t="shared" si="15"/>
        <v>9.5574408395061727</v>
      </c>
      <c r="X135" s="9"/>
      <c r="Y135" s="22">
        <v>1.23062</v>
      </c>
      <c r="Z135" s="22">
        <v>15.830399999999999</v>
      </c>
      <c r="AA135" s="22">
        <v>-1.40625E-2</v>
      </c>
      <c r="AB135" s="22">
        <v>125</v>
      </c>
      <c r="AC135" s="22">
        <v>1.23047</v>
      </c>
      <c r="AD135">
        <f t="shared" si="16"/>
        <v>17.361111111111111</v>
      </c>
      <c r="AE135">
        <f t="shared" si="17"/>
        <v>21.364930555555556</v>
      </c>
      <c r="AF135" s="9"/>
      <c r="AG135" s="22">
        <v>0.52947999999999995</v>
      </c>
      <c r="AH135" s="22">
        <v>19.770499999999998</v>
      </c>
      <c r="AI135" s="22">
        <v>-1.4742999999999999E-2</v>
      </c>
      <c r="AJ135" s="22">
        <v>125</v>
      </c>
      <c r="AK135" s="22">
        <v>0.52880899999999997</v>
      </c>
      <c r="AL135">
        <f t="shared" si="18"/>
        <v>18.201234567901235</v>
      </c>
      <c r="AM135">
        <f t="shared" si="19"/>
        <v>9.6371896790123444</v>
      </c>
      <c r="AP135" s="9"/>
      <c r="AQ135" s="22">
        <v>1.23062</v>
      </c>
      <c r="AR135" s="22">
        <v>25.403700000000001</v>
      </c>
      <c r="AS135" s="22">
        <v>-1.4196800000000001E-2</v>
      </c>
      <c r="AT135" s="22">
        <v>125</v>
      </c>
      <c r="AU135" s="22">
        <v>1.22925</v>
      </c>
      <c r="AV135">
        <f t="shared" si="20"/>
        <v>17.526913580246916</v>
      </c>
      <c r="AW135">
        <f t="shared" si="21"/>
        <v>21.568970390123461</v>
      </c>
      <c r="AX135" s="9"/>
      <c r="AY135" s="22">
        <v>0.52947999999999995</v>
      </c>
      <c r="AZ135" s="22">
        <v>29.343699999999998</v>
      </c>
      <c r="BA135" s="22">
        <v>-1.4941400000000001E-2</v>
      </c>
      <c r="BB135" s="22">
        <v>125</v>
      </c>
      <c r="BC135" s="22">
        <v>0.52890000000000004</v>
      </c>
      <c r="BD135">
        <f t="shared" si="22"/>
        <v>18.446172839506172</v>
      </c>
      <c r="BE135">
        <f t="shared" si="23"/>
        <v>9.7668795950617273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1.22559</v>
      </c>
      <c r="H136" s="22">
        <v>6.26227</v>
      </c>
      <c r="I136" s="22">
        <v>-1.4025900000000001E-2</v>
      </c>
      <c r="J136" s="22">
        <v>126</v>
      </c>
      <c r="K136" s="22">
        <v>1.2246699999999999</v>
      </c>
      <c r="L136">
        <f t="shared" si="12"/>
        <v>17.315925925925924</v>
      </c>
      <c r="M136">
        <f t="shared" si="13"/>
        <v>21.222225655555555</v>
      </c>
      <c r="N136" s="9"/>
      <c r="O136" s="22">
        <v>0.53451499999999996</v>
      </c>
      <c r="P136" s="22">
        <v>10.202299999999999</v>
      </c>
      <c r="Q136" s="22">
        <v>-1.46179E-2</v>
      </c>
      <c r="R136" s="22">
        <v>126</v>
      </c>
      <c r="S136" s="22">
        <v>0.53378300000000001</v>
      </c>
      <c r="T136">
        <f t="shared" si="14"/>
        <v>18.046790123456791</v>
      </c>
      <c r="U136">
        <f t="shared" si="15"/>
        <v>9.6462800228395054</v>
      </c>
      <c r="X136" s="9"/>
      <c r="Y136" s="22">
        <v>1.22559</v>
      </c>
      <c r="Z136" s="22">
        <v>15.8405</v>
      </c>
      <c r="AA136" s="22">
        <v>-1.4068600000000001E-2</v>
      </c>
      <c r="AB136" s="22">
        <v>126</v>
      </c>
      <c r="AC136" s="22">
        <v>1.2234499999999999</v>
      </c>
      <c r="AD136">
        <f t="shared" si="16"/>
        <v>17.368641975308641</v>
      </c>
      <c r="AE136">
        <f t="shared" si="17"/>
        <v>21.286833918518518</v>
      </c>
      <c r="AF136" s="9"/>
      <c r="AG136" s="22">
        <v>0.53451499999999996</v>
      </c>
      <c r="AH136" s="22">
        <v>19.7805</v>
      </c>
      <c r="AI136" s="22">
        <v>-1.474E-2</v>
      </c>
      <c r="AJ136" s="22">
        <v>126</v>
      </c>
      <c r="AK136" s="22">
        <v>0.53387499999999999</v>
      </c>
      <c r="AL136">
        <f t="shared" si="18"/>
        <v>18.197530864197528</v>
      </c>
      <c r="AM136">
        <f t="shared" si="19"/>
        <v>9.7268532098765412</v>
      </c>
      <c r="AP136" s="9"/>
      <c r="AQ136" s="22">
        <v>1.22559</v>
      </c>
      <c r="AR136" s="22">
        <v>25.413699999999999</v>
      </c>
      <c r="AS136" s="22">
        <v>-1.4202899999999999E-2</v>
      </c>
      <c r="AT136" s="22">
        <v>126</v>
      </c>
      <c r="AU136" s="22">
        <v>1.2240599999999999</v>
      </c>
      <c r="AV136">
        <f t="shared" si="20"/>
        <v>17.534444444444443</v>
      </c>
      <c r="AW136">
        <f t="shared" si="21"/>
        <v>21.490039766666662</v>
      </c>
      <c r="AX136" s="9"/>
      <c r="AY136" s="22">
        <v>0.53451499999999996</v>
      </c>
      <c r="AZ136" s="22">
        <v>29.3538</v>
      </c>
      <c r="BA136" s="22">
        <v>-1.49353E-2</v>
      </c>
      <c r="BB136" s="22">
        <v>126</v>
      </c>
      <c r="BC136" s="22">
        <v>0.53381299999999998</v>
      </c>
      <c r="BD136">
        <f t="shared" si="22"/>
        <v>18.438641975308641</v>
      </c>
      <c r="BE136">
        <f t="shared" si="23"/>
        <v>9.855730715432097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1.22055</v>
      </c>
      <c r="H137" s="22">
        <v>6.2723399999999998</v>
      </c>
      <c r="I137" s="22">
        <v>-1.4035000000000001E-2</v>
      </c>
      <c r="J137" s="22">
        <v>127</v>
      </c>
      <c r="K137" s="22">
        <v>1.2203999999999999</v>
      </c>
      <c r="L137">
        <f t="shared" si="12"/>
        <v>17.327160493827162</v>
      </c>
      <c r="M137">
        <f t="shared" si="13"/>
        <v>21.148665740740743</v>
      </c>
      <c r="N137" s="9"/>
      <c r="O137" s="22">
        <v>0.539551</v>
      </c>
      <c r="P137" s="22">
        <v>10.212400000000001</v>
      </c>
      <c r="Q137" s="22">
        <v>-1.46179E-2</v>
      </c>
      <c r="R137" s="22">
        <v>127</v>
      </c>
      <c r="S137" s="22">
        <v>0.538879</v>
      </c>
      <c r="T137">
        <f t="shared" si="14"/>
        <v>18.046790123456791</v>
      </c>
      <c r="U137">
        <f t="shared" si="15"/>
        <v>9.7371636579012346</v>
      </c>
      <c r="X137" s="9"/>
      <c r="Y137" s="22">
        <v>1.22055</v>
      </c>
      <c r="Z137" s="22">
        <v>15.8506</v>
      </c>
      <c r="AA137" s="22">
        <v>-1.4071699999999999E-2</v>
      </c>
      <c r="AB137" s="22">
        <v>127</v>
      </c>
      <c r="AC137" s="22">
        <v>1.2188699999999999</v>
      </c>
      <c r="AD137">
        <f t="shared" si="16"/>
        <v>17.372469135802469</v>
      </c>
      <c r="AE137">
        <f t="shared" si="17"/>
        <v>21.203967203703705</v>
      </c>
      <c r="AF137" s="9"/>
      <c r="AG137" s="22">
        <v>0.539551</v>
      </c>
      <c r="AH137" s="22">
        <v>19.790600000000001</v>
      </c>
      <c r="AI137" s="22">
        <v>-1.4736900000000001E-2</v>
      </c>
      <c r="AJ137" s="22">
        <v>127</v>
      </c>
      <c r="AK137" s="22">
        <v>0.53906299999999996</v>
      </c>
      <c r="AL137">
        <f t="shared" si="18"/>
        <v>18.193703703703704</v>
      </c>
      <c r="AM137">
        <f t="shared" si="19"/>
        <v>9.8164310270370372</v>
      </c>
      <c r="AP137" s="9"/>
      <c r="AQ137" s="22">
        <v>1.22055</v>
      </c>
      <c r="AR137" s="22">
        <v>25.4238</v>
      </c>
      <c r="AS137" s="22">
        <v>-1.4208999999999999E-2</v>
      </c>
      <c r="AT137" s="22">
        <v>127</v>
      </c>
      <c r="AU137" s="22">
        <v>1.2194799999999999</v>
      </c>
      <c r="AV137">
        <f t="shared" si="20"/>
        <v>17.541975308641973</v>
      </c>
      <c r="AW137">
        <f t="shared" si="21"/>
        <v>21.410857962962961</v>
      </c>
      <c r="AX137" s="9"/>
      <c r="AY137" s="22">
        <v>0.539551</v>
      </c>
      <c r="AZ137" s="22">
        <v>29.363800000000001</v>
      </c>
      <c r="BA137" s="22">
        <v>-1.4932300000000001E-2</v>
      </c>
      <c r="BB137" s="22">
        <v>127</v>
      </c>
      <c r="BC137" s="22">
        <v>0.538879</v>
      </c>
      <c r="BD137">
        <f t="shared" si="22"/>
        <v>18.434938271604938</v>
      </c>
      <c r="BE137">
        <f t="shared" si="23"/>
        <v>9.9465893793827167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1.2155199999999999</v>
      </c>
      <c r="H138" s="22">
        <v>6.2824099999999996</v>
      </c>
      <c r="I138" s="22">
        <v>-1.40381E-2</v>
      </c>
      <c r="J138" s="22">
        <v>128</v>
      </c>
      <c r="K138" s="22">
        <v>1.2149000000000001</v>
      </c>
      <c r="L138">
        <f t="shared" si="12"/>
        <v>17.330987654320985</v>
      </c>
      <c r="M138">
        <f t="shared" si="13"/>
        <v>21.066162113580244</v>
      </c>
      <c r="N138" s="9"/>
      <c r="O138" s="22">
        <v>0.54458600000000001</v>
      </c>
      <c r="P138" s="22">
        <v>10.2225</v>
      </c>
      <c r="Q138" s="22">
        <v>-1.4621E-2</v>
      </c>
      <c r="R138" s="22">
        <v>128</v>
      </c>
      <c r="S138" s="22">
        <v>0.54373199999999999</v>
      </c>
      <c r="T138">
        <f t="shared" si="14"/>
        <v>18.050617283950618</v>
      </c>
      <c r="U138">
        <f t="shared" si="15"/>
        <v>9.830113464197531</v>
      </c>
      <c r="X138" s="9"/>
      <c r="Y138" s="22">
        <v>1.2155199999999999</v>
      </c>
      <c r="Z138" s="22">
        <v>15.8606</v>
      </c>
      <c r="AA138" s="22">
        <v>-1.40778E-2</v>
      </c>
      <c r="AB138" s="22">
        <v>128</v>
      </c>
      <c r="AC138" s="22">
        <v>1.2142900000000001</v>
      </c>
      <c r="AD138">
        <f t="shared" si="16"/>
        <v>17.38</v>
      </c>
      <c r="AE138">
        <f t="shared" si="17"/>
        <v>21.125737599999997</v>
      </c>
      <c r="AF138" s="9"/>
      <c r="AG138" s="22">
        <v>0.54458600000000001</v>
      </c>
      <c r="AH138" s="22">
        <v>19.800699999999999</v>
      </c>
      <c r="AI138" s="22">
        <v>-1.47308E-2</v>
      </c>
      <c r="AJ138" s="22">
        <v>128</v>
      </c>
      <c r="AK138" s="22">
        <v>0.54385399999999995</v>
      </c>
      <c r="AL138">
        <f t="shared" si="18"/>
        <v>18.186172839506174</v>
      </c>
      <c r="AM138">
        <f t="shared" si="19"/>
        <v>9.9039351219753087</v>
      </c>
      <c r="AP138" s="9"/>
      <c r="AQ138" s="22">
        <v>1.2155199999999999</v>
      </c>
      <c r="AR138" s="22">
        <v>25.433900000000001</v>
      </c>
      <c r="AS138" s="22">
        <v>-1.4208999999999999E-2</v>
      </c>
      <c r="AT138" s="22">
        <v>128</v>
      </c>
      <c r="AU138" s="22">
        <v>1.2139899999999999</v>
      </c>
      <c r="AV138">
        <f t="shared" si="20"/>
        <v>17.541975308641973</v>
      </c>
      <c r="AW138">
        <f t="shared" si="21"/>
        <v>21.322621827160489</v>
      </c>
      <c r="AX138" s="9"/>
      <c r="AY138" s="22">
        <v>0.54458600000000001</v>
      </c>
      <c r="AZ138" s="22">
        <v>29.373899999999999</v>
      </c>
      <c r="BA138" s="22">
        <v>-1.4926099999999999E-2</v>
      </c>
      <c r="BB138" s="22">
        <v>128</v>
      </c>
      <c r="BC138" s="22">
        <v>0.54394500000000001</v>
      </c>
      <c r="BD138">
        <f t="shared" si="22"/>
        <v>18.427283950617284</v>
      </c>
      <c r="BE138">
        <f t="shared" si="23"/>
        <v>10.035240857530864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1.21048</v>
      </c>
      <c r="H139" s="22">
        <v>6.2924800000000003</v>
      </c>
      <c r="I139" s="22">
        <v>-1.40442E-2</v>
      </c>
      <c r="J139" s="22">
        <v>129</v>
      </c>
      <c r="K139" s="22">
        <v>1.2094100000000001</v>
      </c>
      <c r="L139">
        <f t="shared" si="12"/>
        <v>17.338518518518516</v>
      </c>
      <c r="M139">
        <f t="shared" si="13"/>
        <v>20.987929896296293</v>
      </c>
      <c r="N139" s="9"/>
      <c r="O139" s="22">
        <v>0.54962200000000005</v>
      </c>
      <c r="P139" s="22">
        <v>10.2325</v>
      </c>
      <c r="Q139" s="22">
        <v>-1.46179E-2</v>
      </c>
      <c r="R139" s="22">
        <v>129</v>
      </c>
      <c r="S139" s="22">
        <v>0.54891999999999996</v>
      </c>
      <c r="T139">
        <f t="shared" si="14"/>
        <v>18.046790123456791</v>
      </c>
      <c r="U139">
        <f t="shared" si="15"/>
        <v>9.9189128812345686</v>
      </c>
      <c r="X139" s="9"/>
      <c r="Y139" s="22">
        <v>1.21048</v>
      </c>
      <c r="Z139" s="22">
        <v>15.870699999999999</v>
      </c>
      <c r="AA139" s="22">
        <v>-1.40839E-2</v>
      </c>
      <c r="AB139" s="22">
        <v>129</v>
      </c>
      <c r="AC139" s="22">
        <v>1.2097199999999999</v>
      </c>
      <c r="AD139">
        <f t="shared" si="16"/>
        <v>17.387530864197529</v>
      </c>
      <c r="AE139">
        <f t="shared" si="17"/>
        <v>21.047258360493824</v>
      </c>
      <c r="AF139" s="9"/>
      <c r="AG139" s="22">
        <v>0.54962200000000005</v>
      </c>
      <c r="AH139" s="22">
        <v>19.810700000000001</v>
      </c>
      <c r="AI139" s="22">
        <v>-1.47247E-2</v>
      </c>
      <c r="AJ139" s="22">
        <v>129</v>
      </c>
      <c r="AK139" s="22">
        <v>0.54898100000000005</v>
      </c>
      <c r="AL139">
        <f t="shared" si="18"/>
        <v>18.178641975308643</v>
      </c>
      <c r="AM139">
        <f t="shared" si="19"/>
        <v>9.9913815597530888</v>
      </c>
      <c r="AP139" s="9"/>
      <c r="AQ139" s="22">
        <v>1.21048</v>
      </c>
      <c r="AR139" s="22">
        <v>25.443899999999999</v>
      </c>
      <c r="AS139" s="22">
        <v>-1.42151E-2</v>
      </c>
      <c r="AT139" s="22">
        <v>129</v>
      </c>
      <c r="AU139" s="22">
        <v>1.2100200000000001</v>
      </c>
      <c r="AV139">
        <f t="shared" si="20"/>
        <v>17.549506172839507</v>
      </c>
      <c r="AW139">
        <f t="shared" si="21"/>
        <v>21.243326232098767</v>
      </c>
      <c r="AX139" s="9"/>
      <c r="AY139" s="22">
        <v>0.54962200000000005</v>
      </c>
      <c r="AZ139" s="22">
        <v>29.384</v>
      </c>
      <c r="BA139" s="22">
        <v>-1.49231E-2</v>
      </c>
      <c r="BB139" s="22">
        <v>129</v>
      </c>
      <c r="BC139" s="22">
        <v>0.54885899999999999</v>
      </c>
      <c r="BD139">
        <f t="shared" si="22"/>
        <v>18.423580246913577</v>
      </c>
      <c r="BE139">
        <f t="shared" si="23"/>
        <v>10.126005022469135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1.2054400000000001</v>
      </c>
      <c r="H140" s="22">
        <v>6.3025500000000001</v>
      </c>
      <c r="I140" s="22">
        <v>-1.40503E-2</v>
      </c>
      <c r="J140" s="22">
        <v>130</v>
      </c>
      <c r="K140" s="22">
        <v>1.2036100000000001</v>
      </c>
      <c r="L140">
        <f t="shared" ref="L140:L203" si="24">-I140/$F$2*1000</f>
        <v>17.34604938271605</v>
      </c>
      <c r="M140">
        <f t="shared" ref="M140:M203" si="25">L140*G140</f>
        <v>20.909621767901236</v>
      </c>
      <c r="N140" s="9"/>
      <c r="O140" s="22">
        <v>0.55465699999999996</v>
      </c>
      <c r="P140" s="22">
        <v>10.242599999999999</v>
      </c>
      <c r="Q140" s="22">
        <v>-1.46149E-2</v>
      </c>
      <c r="R140" s="22">
        <v>130</v>
      </c>
      <c r="S140" s="22">
        <v>0.55383300000000002</v>
      </c>
      <c r="T140">
        <f t="shared" ref="T140:T203" si="26">-Q140/$F$2*1000</f>
        <v>18.043086419753088</v>
      </c>
      <c r="U140">
        <f t="shared" ref="U140:U203" si="27">T140*O140</f>
        <v>10.007724184320988</v>
      </c>
      <c r="X140" s="9"/>
      <c r="Y140" s="22">
        <v>1.2054400000000001</v>
      </c>
      <c r="Z140" s="22">
        <v>15.880800000000001</v>
      </c>
      <c r="AA140" s="22">
        <v>-1.409E-2</v>
      </c>
      <c r="AB140" s="22">
        <v>130</v>
      </c>
      <c r="AC140" s="22">
        <v>1.2042200000000001</v>
      </c>
      <c r="AD140">
        <f t="shared" ref="AD140:AD203" si="28">-AA140/$F$2*1000</f>
        <v>17.39506172839506</v>
      </c>
      <c r="AE140">
        <f t="shared" ref="AE140:AE203" si="29">AD140*Y140</f>
        <v>20.968703209876541</v>
      </c>
      <c r="AF140" s="9"/>
      <c r="AG140" s="22">
        <v>0.55465699999999996</v>
      </c>
      <c r="AH140" s="22">
        <v>19.820799999999998</v>
      </c>
      <c r="AI140" s="22">
        <v>-1.4715600000000001E-2</v>
      </c>
      <c r="AJ140" s="22">
        <v>130</v>
      </c>
      <c r="AK140" s="22">
        <v>0.55398599999999998</v>
      </c>
      <c r="AL140">
        <f t="shared" ref="AL140:AL203" si="30">-AI140/$F$2*1000</f>
        <v>18.167407407407406</v>
      </c>
      <c r="AM140">
        <f t="shared" ref="AM140:AM203" si="31">AL140*AG140</f>
        <v>10.076679690370369</v>
      </c>
      <c r="AP140" s="9"/>
      <c r="AQ140" s="22">
        <v>1.2054400000000001</v>
      </c>
      <c r="AR140" s="22">
        <v>25.454000000000001</v>
      </c>
      <c r="AS140" s="22">
        <v>-1.4218099999999999E-2</v>
      </c>
      <c r="AT140" s="22">
        <v>130</v>
      </c>
      <c r="AU140" s="22">
        <v>1.2042200000000001</v>
      </c>
      <c r="AV140">
        <f t="shared" ref="AV140:AV203" si="32">-AS140/$F$2*1000</f>
        <v>17.553209876543207</v>
      </c>
      <c r="AW140">
        <f t="shared" ref="AW140:AW203" si="33">AV140*AQ140</f>
        <v>21.159341313580246</v>
      </c>
      <c r="AX140" s="9"/>
      <c r="AY140" s="22">
        <v>0.55465699999999996</v>
      </c>
      <c r="AZ140" s="22">
        <v>29.393999999999998</v>
      </c>
      <c r="BA140" s="22">
        <v>-1.4919999999999999E-2</v>
      </c>
      <c r="BB140" s="22">
        <v>130</v>
      </c>
      <c r="BC140" s="22">
        <v>0.55380200000000002</v>
      </c>
      <c r="BD140">
        <f t="shared" ref="BD140:BD203" si="34">-BA140/$F$2*1000</f>
        <v>18.41975308641975</v>
      </c>
      <c r="BE140">
        <f t="shared" ref="BE140:BE203" si="35">BD140*AY140</f>
        <v>10.216644987654318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1.20041</v>
      </c>
      <c r="H141" s="22">
        <v>6.3126199999999999</v>
      </c>
      <c r="I141" s="22">
        <v>-1.40594E-2</v>
      </c>
      <c r="J141" s="22">
        <v>131</v>
      </c>
      <c r="K141" s="22">
        <v>1.1999500000000001</v>
      </c>
      <c r="L141">
        <f t="shared" si="24"/>
        <v>17.357283950617283</v>
      </c>
      <c r="M141">
        <f t="shared" si="25"/>
        <v>20.835857227160492</v>
      </c>
      <c r="N141" s="9"/>
      <c r="O141" s="22">
        <v>0.55969199999999997</v>
      </c>
      <c r="P141" s="22">
        <v>10.252700000000001</v>
      </c>
      <c r="Q141" s="22">
        <v>-1.4605699999999999E-2</v>
      </c>
      <c r="R141" s="22">
        <v>131</v>
      </c>
      <c r="S141" s="22">
        <v>0.55905199999999999</v>
      </c>
      <c r="T141">
        <f t="shared" si="26"/>
        <v>18.031728395061727</v>
      </c>
      <c r="U141">
        <f t="shared" si="27"/>
        <v>10.092214128888887</v>
      </c>
      <c r="X141" s="9"/>
      <c r="Y141" s="22">
        <v>1.20041</v>
      </c>
      <c r="Z141" s="22">
        <v>15.8908</v>
      </c>
      <c r="AA141" s="22">
        <v>-1.4093E-2</v>
      </c>
      <c r="AB141" s="22">
        <v>131</v>
      </c>
      <c r="AC141" s="22">
        <v>1.1990400000000001</v>
      </c>
      <c r="AD141">
        <f t="shared" si="28"/>
        <v>17.398765432098763</v>
      </c>
      <c r="AE141">
        <f t="shared" si="29"/>
        <v>20.885652012345677</v>
      </c>
      <c r="AF141" s="9"/>
      <c r="AG141" s="22">
        <v>0.55969199999999997</v>
      </c>
      <c r="AH141" s="22">
        <v>19.8309</v>
      </c>
      <c r="AI141" s="22">
        <v>-1.47064E-2</v>
      </c>
      <c r="AJ141" s="22">
        <v>131</v>
      </c>
      <c r="AK141" s="22">
        <v>0.55896000000000001</v>
      </c>
      <c r="AL141">
        <f t="shared" si="30"/>
        <v>18.156049382716049</v>
      </c>
      <c r="AM141">
        <f t="shared" si="31"/>
        <v>10.16179559111111</v>
      </c>
      <c r="AP141" s="9"/>
      <c r="AQ141" s="22">
        <v>1.20041</v>
      </c>
      <c r="AR141" s="22">
        <v>25.464099999999998</v>
      </c>
      <c r="AS141" s="22">
        <v>-1.4224199999999999E-2</v>
      </c>
      <c r="AT141" s="22">
        <v>131</v>
      </c>
      <c r="AU141" s="22">
        <v>1.1996500000000001</v>
      </c>
      <c r="AV141">
        <f t="shared" si="32"/>
        <v>17.560740740740737</v>
      </c>
      <c r="AW141">
        <f t="shared" si="33"/>
        <v>21.080088792592587</v>
      </c>
      <c r="AX141" s="9"/>
      <c r="AY141" s="22">
        <v>0.55969199999999997</v>
      </c>
      <c r="AZ141" s="22">
        <v>29.4041</v>
      </c>
      <c r="BA141" s="22">
        <v>-1.4917E-2</v>
      </c>
      <c r="BB141" s="22">
        <v>131</v>
      </c>
      <c r="BC141" s="22">
        <v>0.55908199999999997</v>
      </c>
      <c r="BD141">
        <f t="shared" si="34"/>
        <v>18.416049382716047</v>
      </c>
      <c r="BE141">
        <f t="shared" si="35"/>
        <v>10.307315511111108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1.19537</v>
      </c>
      <c r="H142" s="22">
        <v>6.3226899999999997</v>
      </c>
      <c r="I142" s="22">
        <v>-1.40625E-2</v>
      </c>
      <c r="J142" s="22">
        <v>132</v>
      </c>
      <c r="K142" s="22">
        <v>1.19415</v>
      </c>
      <c r="L142">
        <f t="shared" si="24"/>
        <v>17.361111111111111</v>
      </c>
      <c r="M142">
        <f t="shared" si="25"/>
        <v>20.752951388888889</v>
      </c>
      <c r="N142" s="9"/>
      <c r="O142" s="22">
        <v>0.56472800000000001</v>
      </c>
      <c r="P142" s="22">
        <v>10.262700000000001</v>
      </c>
      <c r="Q142" s="22">
        <v>-1.45966E-2</v>
      </c>
      <c r="R142" s="22">
        <v>132</v>
      </c>
      <c r="S142" s="22">
        <v>0.56420899999999996</v>
      </c>
      <c r="T142">
        <f t="shared" si="26"/>
        <v>18.020493827160493</v>
      </c>
      <c r="U142">
        <f t="shared" si="27"/>
        <v>10.176677438024692</v>
      </c>
      <c r="X142" s="9"/>
      <c r="Y142" s="22">
        <v>1.19537</v>
      </c>
      <c r="Z142" s="22">
        <v>15.9009</v>
      </c>
      <c r="AA142" s="22">
        <v>-1.40961E-2</v>
      </c>
      <c r="AB142" s="22">
        <v>132</v>
      </c>
      <c r="AC142" s="22">
        <v>1.1944600000000001</v>
      </c>
      <c r="AD142">
        <f t="shared" si="28"/>
        <v>17.40259259259259</v>
      </c>
      <c r="AE142">
        <f t="shared" si="29"/>
        <v>20.802537107407407</v>
      </c>
      <c r="AF142" s="9"/>
      <c r="AG142" s="22">
        <v>0.56472800000000001</v>
      </c>
      <c r="AH142" s="22">
        <v>19.841000000000001</v>
      </c>
      <c r="AI142" s="22">
        <v>-1.4700299999999999E-2</v>
      </c>
      <c r="AJ142" s="22">
        <v>132</v>
      </c>
      <c r="AK142" s="22">
        <v>0.56402600000000003</v>
      </c>
      <c r="AL142">
        <f t="shared" si="30"/>
        <v>18.148518518518514</v>
      </c>
      <c r="AM142">
        <f t="shared" si="31"/>
        <v>10.248976565925924</v>
      </c>
      <c r="AP142" s="9"/>
      <c r="AQ142" s="22">
        <v>1.19537</v>
      </c>
      <c r="AR142" s="22">
        <v>25.4742</v>
      </c>
      <c r="AS142" s="22">
        <v>-1.42303E-2</v>
      </c>
      <c r="AT142" s="22">
        <v>132</v>
      </c>
      <c r="AU142" s="22">
        <v>1.19415</v>
      </c>
      <c r="AV142">
        <f t="shared" si="32"/>
        <v>17.568271604938271</v>
      </c>
      <c r="AW142">
        <f t="shared" si="33"/>
        <v>21.000584828395063</v>
      </c>
      <c r="AX142" s="9"/>
      <c r="AY142" s="22">
        <v>0.56472800000000001</v>
      </c>
      <c r="AZ142" s="22">
        <v>29.414200000000001</v>
      </c>
      <c r="BA142" s="22">
        <v>-1.4913900000000001E-2</v>
      </c>
      <c r="BB142" s="22">
        <v>132</v>
      </c>
      <c r="BC142" s="22">
        <v>0.56390399999999996</v>
      </c>
      <c r="BD142">
        <f t="shared" si="34"/>
        <v>18.412222222222223</v>
      </c>
      <c r="BE142">
        <f t="shared" si="35"/>
        <v>10.397897431111112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1.19034</v>
      </c>
      <c r="H143" s="22">
        <v>6.33277</v>
      </c>
      <c r="I143" s="22">
        <v>-1.4071699999999999E-2</v>
      </c>
      <c r="J143" s="22">
        <v>133</v>
      </c>
      <c r="K143" s="22">
        <v>1.1895800000000001</v>
      </c>
      <c r="L143">
        <f t="shared" si="24"/>
        <v>17.372469135802469</v>
      </c>
      <c r="M143">
        <f t="shared" si="25"/>
        <v>20.679144911111109</v>
      </c>
      <c r="N143" s="9"/>
      <c r="O143" s="22">
        <v>0.56976300000000002</v>
      </c>
      <c r="P143" s="22">
        <v>10.2728</v>
      </c>
      <c r="Q143" s="22">
        <v>-1.45874E-2</v>
      </c>
      <c r="R143" s="22">
        <v>133</v>
      </c>
      <c r="S143" s="22">
        <v>0.56912200000000002</v>
      </c>
      <c r="T143">
        <f t="shared" si="26"/>
        <v>18.009135802469135</v>
      </c>
      <c r="U143">
        <f t="shared" si="27"/>
        <v>10.260939242222221</v>
      </c>
      <c r="X143" s="9"/>
      <c r="Y143" s="22">
        <v>1.19034</v>
      </c>
      <c r="Z143" s="22">
        <v>15.911</v>
      </c>
      <c r="AA143" s="22">
        <v>-1.41022E-2</v>
      </c>
      <c r="AB143" s="22">
        <v>133</v>
      </c>
      <c r="AC143" s="22">
        <v>1.18896</v>
      </c>
      <c r="AD143">
        <f t="shared" si="28"/>
        <v>17.410123456790124</v>
      </c>
      <c r="AE143">
        <f t="shared" si="29"/>
        <v>20.723966355555557</v>
      </c>
      <c r="AF143" s="9"/>
      <c r="AG143" s="22">
        <v>0.56976300000000002</v>
      </c>
      <c r="AH143" s="22">
        <v>19.850999999999999</v>
      </c>
      <c r="AI143" s="22">
        <v>-1.46912E-2</v>
      </c>
      <c r="AJ143" s="22">
        <v>133</v>
      </c>
      <c r="AK143" s="22">
        <v>0.56909200000000004</v>
      </c>
      <c r="AL143">
        <f t="shared" si="30"/>
        <v>18.137283950617284</v>
      </c>
      <c r="AM143">
        <f t="shared" si="31"/>
        <v>10.333953315555556</v>
      </c>
      <c r="AP143" s="9"/>
      <c r="AQ143" s="22">
        <v>1.19034</v>
      </c>
      <c r="AR143" s="22">
        <v>25.484200000000001</v>
      </c>
      <c r="AS143" s="22">
        <v>-1.42395E-2</v>
      </c>
      <c r="AT143" s="22">
        <v>133</v>
      </c>
      <c r="AU143" s="22">
        <v>1.18927</v>
      </c>
      <c r="AV143">
        <f t="shared" si="32"/>
        <v>17.579629629629629</v>
      </c>
      <c r="AW143">
        <f t="shared" si="33"/>
        <v>20.925736333333333</v>
      </c>
      <c r="AX143" s="9"/>
      <c r="AY143" s="22">
        <v>0.56976300000000002</v>
      </c>
      <c r="AZ143" s="22">
        <v>29.424299999999999</v>
      </c>
      <c r="BA143" s="22">
        <v>-1.4907800000000001E-2</v>
      </c>
      <c r="BB143" s="22">
        <v>133</v>
      </c>
      <c r="BC143" s="22">
        <v>0.56903099999999995</v>
      </c>
      <c r="BD143">
        <f t="shared" si="34"/>
        <v>18.404691358024692</v>
      </c>
      <c r="BE143">
        <f t="shared" si="35"/>
        <v>10.486312162222223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1.1853</v>
      </c>
      <c r="H144" s="22">
        <v>6.3428399999999998</v>
      </c>
      <c r="I144" s="22">
        <v>-1.40778E-2</v>
      </c>
      <c r="J144" s="22">
        <v>134</v>
      </c>
      <c r="K144" s="22">
        <v>1.1843900000000001</v>
      </c>
      <c r="L144">
        <f t="shared" si="24"/>
        <v>17.38</v>
      </c>
      <c r="M144">
        <f t="shared" si="25"/>
        <v>20.600514</v>
      </c>
      <c r="N144" s="9"/>
      <c r="O144" s="22">
        <v>0.57479899999999995</v>
      </c>
      <c r="P144" s="22">
        <v>10.2829</v>
      </c>
      <c r="Q144" s="22">
        <v>-1.45813E-2</v>
      </c>
      <c r="R144" s="22">
        <v>134</v>
      </c>
      <c r="S144" s="22">
        <v>0.57406599999999997</v>
      </c>
      <c r="T144">
        <f t="shared" si="26"/>
        <v>18.001604938271605</v>
      </c>
      <c r="U144">
        <f t="shared" si="27"/>
        <v>10.34730451691358</v>
      </c>
      <c r="X144" s="9"/>
      <c r="Y144" s="22">
        <v>1.1853</v>
      </c>
      <c r="Z144" s="22">
        <v>15.921099999999999</v>
      </c>
      <c r="AA144" s="22">
        <v>-1.4108300000000001E-2</v>
      </c>
      <c r="AB144" s="22">
        <v>134</v>
      </c>
      <c r="AC144" s="22">
        <v>1.18469</v>
      </c>
      <c r="AD144">
        <f t="shared" si="28"/>
        <v>17.417654320987655</v>
      </c>
      <c r="AE144">
        <f t="shared" si="29"/>
        <v>20.645145666666668</v>
      </c>
      <c r="AF144" s="9"/>
      <c r="AG144" s="22">
        <v>0.57479899999999995</v>
      </c>
      <c r="AH144" s="22">
        <v>19.8611</v>
      </c>
      <c r="AI144" s="22">
        <v>-1.46851E-2</v>
      </c>
      <c r="AJ144" s="22">
        <v>134</v>
      </c>
      <c r="AK144" s="22">
        <v>0.57428000000000001</v>
      </c>
      <c r="AL144">
        <f t="shared" si="30"/>
        <v>18.12975308641975</v>
      </c>
      <c r="AM144">
        <f t="shared" si="31"/>
        <v>10.420963944320984</v>
      </c>
      <c r="AP144" s="9"/>
      <c r="AQ144" s="22">
        <v>1.1853</v>
      </c>
      <c r="AR144" s="22">
        <v>25.494299999999999</v>
      </c>
      <c r="AS144" s="22">
        <v>-1.42487E-2</v>
      </c>
      <c r="AT144" s="22">
        <v>134</v>
      </c>
      <c r="AU144" s="22">
        <v>1.1837800000000001</v>
      </c>
      <c r="AV144">
        <f t="shared" si="32"/>
        <v>17.590987654320987</v>
      </c>
      <c r="AW144">
        <f t="shared" si="33"/>
        <v>20.850597666666665</v>
      </c>
      <c r="AX144" s="9"/>
      <c r="AY144" s="22">
        <v>0.57479899999999995</v>
      </c>
      <c r="AZ144" s="22">
        <v>29.4343</v>
      </c>
      <c r="BA144" s="22">
        <v>-1.4904799999999999E-2</v>
      </c>
      <c r="BB144" s="22">
        <v>134</v>
      </c>
      <c r="BC144" s="22">
        <v>0.57409699999999997</v>
      </c>
      <c r="BD144">
        <f t="shared" si="34"/>
        <v>18.400987654320986</v>
      </c>
      <c r="BE144">
        <f t="shared" si="35"/>
        <v>10.576869302716048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1.1802699999999999</v>
      </c>
      <c r="H145" s="22">
        <v>6.3529099999999996</v>
      </c>
      <c r="I145" s="22">
        <v>-1.40839E-2</v>
      </c>
      <c r="J145" s="22">
        <v>135</v>
      </c>
      <c r="K145" s="22">
        <v>1.1792</v>
      </c>
      <c r="L145">
        <f t="shared" si="24"/>
        <v>17.387530864197529</v>
      </c>
      <c r="M145">
        <f t="shared" si="25"/>
        <v>20.521981053086417</v>
      </c>
      <c r="N145" s="9"/>
      <c r="O145" s="22">
        <v>0.57983399999999996</v>
      </c>
      <c r="P145" s="22">
        <v>10.292899999999999</v>
      </c>
      <c r="Q145" s="22">
        <v>-1.4578199999999999E-2</v>
      </c>
      <c r="R145" s="22">
        <v>135</v>
      </c>
      <c r="S145" s="22">
        <v>0.57916299999999998</v>
      </c>
      <c r="T145">
        <f t="shared" si="26"/>
        <v>17.997777777777777</v>
      </c>
      <c r="U145">
        <f t="shared" si="27"/>
        <v>10.435723479999998</v>
      </c>
      <c r="X145" s="9"/>
      <c r="Y145" s="22">
        <v>1.1802699999999999</v>
      </c>
      <c r="Z145" s="22">
        <v>15.931100000000001</v>
      </c>
      <c r="AA145" s="22">
        <v>-1.4114399999999999E-2</v>
      </c>
      <c r="AB145" s="22">
        <v>135</v>
      </c>
      <c r="AC145" s="22">
        <v>1.17889</v>
      </c>
      <c r="AD145">
        <f t="shared" si="28"/>
        <v>17.425185185185182</v>
      </c>
      <c r="AE145">
        <f t="shared" si="29"/>
        <v>20.566423318518513</v>
      </c>
      <c r="AF145" s="9"/>
      <c r="AG145" s="22">
        <v>0.57983399999999996</v>
      </c>
      <c r="AH145" s="22">
        <v>19.871200000000002</v>
      </c>
      <c r="AI145" s="22">
        <v>-1.4678999999999999E-2</v>
      </c>
      <c r="AJ145" s="22">
        <v>135</v>
      </c>
      <c r="AK145" s="22">
        <v>0.57916299999999998</v>
      </c>
      <c r="AL145">
        <f t="shared" si="30"/>
        <v>18.12222222222222</v>
      </c>
      <c r="AM145">
        <f t="shared" si="31"/>
        <v>10.507880599999998</v>
      </c>
      <c r="AP145" s="9"/>
      <c r="AQ145" s="22">
        <v>1.1802699999999999</v>
      </c>
      <c r="AR145" s="22">
        <v>25.5044</v>
      </c>
      <c r="AS145" s="22">
        <v>-1.42548E-2</v>
      </c>
      <c r="AT145" s="22">
        <v>135</v>
      </c>
      <c r="AU145" s="22">
        <v>1.1795</v>
      </c>
      <c r="AV145">
        <f t="shared" si="32"/>
        <v>17.598518518518517</v>
      </c>
      <c r="AW145">
        <f t="shared" si="33"/>
        <v>20.77100345185185</v>
      </c>
      <c r="AX145" s="9"/>
      <c r="AY145" s="22">
        <v>0.57983399999999996</v>
      </c>
      <c r="AZ145" s="22">
        <v>29.444400000000002</v>
      </c>
      <c r="BA145" s="22">
        <v>-1.4898700000000001E-2</v>
      </c>
      <c r="BB145" s="22">
        <v>135</v>
      </c>
      <c r="BC145" s="22">
        <v>0.57928500000000005</v>
      </c>
      <c r="BD145">
        <f t="shared" si="34"/>
        <v>18.393456790123455</v>
      </c>
      <c r="BE145">
        <f t="shared" si="35"/>
        <v>10.665151624444443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1.17523</v>
      </c>
      <c r="H146" s="22">
        <v>6.3629800000000003</v>
      </c>
      <c r="I146" s="22">
        <v>-1.4086899999999999E-2</v>
      </c>
      <c r="J146" s="22">
        <v>136</v>
      </c>
      <c r="K146" s="22">
        <v>1.17432</v>
      </c>
      <c r="L146">
        <f t="shared" si="24"/>
        <v>17.391234567901233</v>
      </c>
      <c r="M146">
        <f t="shared" si="25"/>
        <v>20.438700601234565</v>
      </c>
      <c r="N146" s="9"/>
      <c r="O146" s="22">
        <v>0.58486899999999997</v>
      </c>
      <c r="P146" s="22">
        <v>10.303000000000001</v>
      </c>
      <c r="Q146" s="22">
        <v>-1.45691E-2</v>
      </c>
      <c r="R146" s="22">
        <v>136</v>
      </c>
      <c r="S146" s="22">
        <v>0.58413700000000002</v>
      </c>
      <c r="T146">
        <f t="shared" si="26"/>
        <v>17.98654320987654</v>
      </c>
      <c r="U146">
        <f t="shared" si="27"/>
        <v>10.519771540617281</v>
      </c>
      <c r="X146" s="9"/>
      <c r="Y146" s="22">
        <v>1.17523</v>
      </c>
      <c r="Z146" s="22">
        <v>15.9412</v>
      </c>
      <c r="AA146" s="22">
        <v>-1.41174E-2</v>
      </c>
      <c r="AB146" s="22">
        <v>136</v>
      </c>
      <c r="AC146" s="22">
        <v>1.17401</v>
      </c>
      <c r="AD146">
        <f t="shared" si="28"/>
        <v>17.428888888888888</v>
      </c>
      <c r="AE146">
        <f t="shared" si="29"/>
        <v>20.482953088888888</v>
      </c>
      <c r="AF146" s="9"/>
      <c r="AG146" s="22">
        <v>0.58486899999999997</v>
      </c>
      <c r="AH146" s="22">
        <v>19.8812</v>
      </c>
      <c r="AI146" s="22">
        <v>-1.46759E-2</v>
      </c>
      <c r="AJ146" s="22">
        <v>136</v>
      </c>
      <c r="AK146" s="22">
        <v>0.58410600000000001</v>
      </c>
      <c r="AL146">
        <f t="shared" si="30"/>
        <v>18.118395061728396</v>
      </c>
      <c r="AM146">
        <f t="shared" si="31"/>
        <v>10.596887601358025</v>
      </c>
      <c r="AP146" s="9"/>
      <c r="AQ146" s="22">
        <v>1.17523</v>
      </c>
      <c r="AR146" s="22">
        <v>25.514399999999998</v>
      </c>
      <c r="AS146" s="22">
        <v>-1.4257799999999999E-2</v>
      </c>
      <c r="AT146" s="22">
        <v>136</v>
      </c>
      <c r="AU146" s="22">
        <v>1.17401</v>
      </c>
      <c r="AV146">
        <f t="shared" si="32"/>
        <v>17.60222222222222</v>
      </c>
      <c r="AW146">
        <f t="shared" si="33"/>
        <v>20.686659622222219</v>
      </c>
      <c r="AX146" s="9"/>
      <c r="AY146" s="22">
        <v>0.58486899999999997</v>
      </c>
      <c r="AZ146" s="22">
        <v>29.454499999999999</v>
      </c>
      <c r="BA146" s="22">
        <v>-1.4892600000000001E-2</v>
      </c>
      <c r="BB146" s="22">
        <v>136</v>
      </c>
      <c r="BC146" s="22">
        <v>0.58410600000000001</v>
      </c>
      <c r="BD146">
        <f t="shared" si="34"/>
        <v>18.385925925925928</v>
      </c>
      <c r="BE146">
        <f t="shared" si="35"/>
        <v>10.753358110370371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1.1701999999999999</v>
      </c>
      <c r="H147" s="22">
        <v>6.3730500000000001</v>
      </c>
      <c r="I147" s="22">
        <v>-1.409E-2</v>
      </c>
      <c r="J147" s="22">
        <v>137</v>
      </c>
      <c r="K147" s="22">
        <v>1.16943</v>
      </c>
      <c r="L147">
        <f t="shared" si="24"/>
        <v>17.39506172839506</v>
      </c>
      <c r="M147">
        <f t="shared" si="25"/>
        <v>20.355701234567899</v>
      </c>
      <c r="N147" s="9"/>
      <c r="O147" s="22">
        <v>0.58990500000000001</v>
      </c>
      <c r="P147" s="22">
        <v>10.3131</v>
      </c>
      <c r="Q147" s="22">
        <v>-1.4563E-2</v>
      </c>
      <c r="R147" s="22">
        <v>137</v>
      </c>
      <c r="S147" s="22">
        <v>0.58926400000000001</v>
      </c>
      <c r="T147">
        <f t="shared" si="26"/>
        <v>17.979012345679013</v>
      </c>
      <c r="U147">
        <f t="shared" si="27"/>
        <v>10.605909277777778</v>
      </c>
      <c r="X147" s="9"/>
      <c r="Y147" s="22">
        <v>1.1701999999999999</v>
      </c>
      <c r="Z147" s="22">
        <v>15.9513</v>
      </c>
      <c r="AA147" s="22">
        <v>-1.4123500000000001E-2</v>
      </c>
      <c r="AB147" s="22">
        <v>137</v>
      </c>
      <c r="AC147" s="22">
        <v>1.16913</v>
      </c>
      <c r="AD147">
        <f t="shared" si="28"/>
        <v>17.436419753086419</v>
      </c>
      <c r="AE147">
        <f t="shared" si="29"/>
        <v>20.404098395061727</v>
      </c>
      <c r="AF147" s="9"/>
      <c r="AG147" s="22">
        <v>0.58990500000000001</v>
      </c>
      <c r="AH147" s="22">
        <v>19.891300000000001</v>
      </c>
      <c r="AI147" s="22">
        <v>-1.46759E-2</v>
      </c>
      <c r="AJ147" s="22">
        <v>137</v>
      </c>
      <c r="AK147" s="22">
        <v>0.58938599999999997</v>
      </c>
      <c r="AL147">
        <f t="shared" si="30"/>
        <v>18.118395061728396</v>
      </c>
      <c r="AM147">
        <f t="shared" si="31"/>
        <v>10.688131838888889</v>
      </c>
      <c r="AP147" s="9"/>
      <c r="AQ147" s="22">
        <v>1.1701999999999999</v>
      </c>
      <c r="AR147" s="22">
        <v>25.5245</v>
      </c>
      <c r="AS147" s="22">
        <v>-1.4263899999999999E-2</v>
      </c>
      <c r="AT147" s="22">
        <v>137</v>
      </c>
      <c r="AU147" s="22">
        <v>1.16882</v>
      </c>
      <c r="AV147">
        <f t="shared" si="32"/>
        <v>17.609753086419751</v>
      </c>
      <c r="AW147">
        <f t="shared" si="33"/>
        <v>20.606933061728391</v>
      </c>
      <c r="AX147" s="9"/>
      <c r="AY147" s="22">
        <v>0.58990500000000001</v>
      </c>
      <c r="AZ147" s="22">
        <v>29.464500000000001</v>
      </c>
      <c r="BA147" s="22">
        <v>-1.48865E-2</v>
      </c>
      <c r="BB147" s="22">
        <v>137</v>
      </c>
      <c r="BC147" s="22">
        <v>0.58929399999999998</v>
      </c>
      <c r="BD147">
        <f t="shared" si="34"/>
        <v>18.378395061728394</v>
      </c>
      <c r="BE147">
        <f t="shared" si="35"/>
        <v>10.841507138888888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1.16516</v>
      </c>
      <c r="H148" s="22">
        <v>6.3831199999999999</v>
      </c>
      <c r="I148" s="22">
        <v>-1.40961E-2</v>
      </c>
      <c r="J148" s="22">
        <v>138</v>
      </c>
      <c r="K148" s="22">
        <v>1.16455</v>
      </c>
      <c r="L148">
        <f t="shared" si="24"/>
        <v>17.40259259259259</v>
      </c>
      <c r="M148">
        <f t="shared" si="25"/>
        <v>20.276804785185181</v>
      </c>
      <c r="N148" s="9"/>
      <c r="O148" s="22">
        <v>0.59494000000000002</v>
      </c>
      <c r="P148" s="22">
        <v>10.3232</v>
      </c>
      <c r="Q148" s="22">
        <v>-1.4559900000000001E-2</v>
      </c>
      <c r="R148" s="22">
        <v>138</v>
      </c>
      <c r="S148" s="22">
        <v>0.59429900000000002</v>
      </c>
      <c r="T148">
        <f t="shared" si="26"/>
        <v>17.975185185185186</v>
      </c>
      <c r="U148">
        <f t="shared" si="27"/>
        <v>10.694156674074074</v>
      </c>
      <c r="X148" s="9"/>
      <c r="Y148" s="22">
        <v>1.16516</v>
      </c>
      <c r="Z148" s="22">
        <v>15.9613</v>
      </c>
      <c r="AA148" s="22">
        <v>-1.4129600000000001E-2</v>
      </c>
      <c r="AB148" s="22">
        <v>138</v>
      </c>
      <c r="AC148" s="22">
        <v>1.16425</v>
      </c>
      <c r="AD148">
        <f t="shared" si="28"/>
        <v>17.443950617283949</v>
      </c>
      <c r="AE148">
        <f t="shared" si="29"/>
        <v>20.324993501234566</v>
      </c>
      <c r="AF148" s="9"/>
      <c r="AG148" s="22">
        <v>0.59494000000000002</v>
      </c>
      <c r="AH148" s="22">
        <v>19.901399999999999</v>
      </c>
      <c r="AI148" s="22">
        <v>-1.46698E-2</v>
      </c>
      <c r="AJ148" s="22">
        <v>138</v>
      </c>
      <c r="AK148" s="22">
        <v>0.59420799999999996</v>
      </c>
      <c r="AL148">
        <f t="shared" si="30"/>
        <v>18.110864197530866</v>
      </c>
      <c r="AM148">
        <f t="shared" si="31"/>
        <v>10.774877545679013</v>
      </c>
      <c r="AP148" s="9"/>
      <c r="AQ148" s="22">
        <v>1.16516</v>
      </c>
      <c r="AR148" s="22">
        <v>25.534600000000001</v>
      </c>
      <c r="AS148" s="22">
        <v>-1.4267E-2</v>
      </c>
      <c r="AT148" s="22">
        <v>138</v>
      </c>
      <c r="AU148" s="22">
        <v>1.16425</v>
      </c>
      <c r="AV148">
        <f t="shared" si="32"/>
        <v>17.613580246913582</v>
      </c>
      <c r="AW148">
        <f t="shared" si="33"/>
        <v>20.522639160493828</v>
      </c>
      <c r="AX148" s="9"/>
      <c r="AY148" s="22">
        <v>0.59494000000000002</v>
      </c>
      <c r="AZ148" s="22">
        <v>29.474599999999999</v>
      </c>
      <c r="BA148" s="22">
        <v>-1.48804E-2</v>
      </c>
      <c r="BB148" s="22">
        <v>138</v>
      </c>
      <c r="BC148" s="22">
        <v>0.59429900000000002</v>
      </c>
      <c r="BD148">
        <f t="shared" si="34"/>
        <v>18.370864197530864</v>
      </c>
      <c r="BE148">
        <f t="shared" si="35"/>
        <v>10.929561945679012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1.1601300000000001</v>
      </c>
      <c r="H149" s="22">
        <v>6.3931899999999997</v>
      </c>
      <c r="I149" s="22">
        <v>-1.41022E-2</v>
      </c>
      <c r="J149" s="22">
        <v>139</v>
      </c>
      <c r="K149" s="22">
        <v>1.1593599999999999</v>
      </c>
      <c r="L149">
        <f t="shared" si="24"/>
        <v>17.410123456790124</v>
      </c>
      <c r="M149">
        <f t="shared" si="25"/>
        <v>20.19800652592593</v>
      </c>
      <c r="N149" s="9"/>
      <c r="O149" s="22">
        <v>0.59997599999999995</v>
      </c>
      <c r="P149" s="22">
        <v>10.3332</v>
      </c>
      <c r="Q149" s="22">
        <v>-1.45538E-2</v>
      </c>
      <c r="R149" s="22">
        <v>139</v>
      </c>
      <c r="S149" s="22">
        <v>0.59942600000000001</v>
      </c>
      <c r="T149">
        <f t="shared" si="26"/>
        <v>17.967654320987652</v>
      </c>
      <c r="U149">
        <f t="shared" si="27"/>
        <v>10.780161368888887</v>
      </c>
      <c r="X149" s="9"/>
      <c r="Y149" s="22">
        <v>1.1601300000000001</v>
      </c>
      <c r="Z149" s="22">
        <v>15.971399999999999</v>
      </c>
      <c r="AA149" s="22">
        <v>-1.41327E-2</v>
      </c>
      <c r="AB149" s="22">
        <v>139</v>
      </c>
      <c r="AC149" s="22">
        <v>1.1593599999999999</v>
      </c>
      <c r="AD149">
        <f t="shared" si="28"/>
        <v>17.447777777777777</v>
      </c>
      <c r="AE149">
        <f t="shared" si="29"/>
        <v>20.241690433333336</v>
      </c>
      <c r="AF149" s="9"/>
      <c r="AG149" s="22">
        <v>0.59997599999999995</v>
      </c>
      <c r="AH149" s="22">
        <v>19.9115</v>
      </c>
      <c r="AI149" s="22">
        <v>-1.46667E-2</v>
      </c>
      <c r="AJ149" s="22">
        <v>139</v>
      </c>
      <c r="AK149" s="22">
        <v>0.59915200000000002</v>
      </c>
      <c r="AL149">
        <f t="shared" si="30"/>
        <v>18.107037037037035</v>
      </c>
      <c r="AM149">
        <f t="shared" si="31"/>
        <v>10.863787653333331</v>
      </c>
      <c r="AP149" s="9"/>
      <c r="AQ149" s="22">
        <v>1.1601300000000001</v>
      </c>
      <c r="AR149" s="22">
        <v>25.544599999999999</v>
      </c>
      <c r="AS149" s="22">
        <v>-1.42731E-2</v>
      </c>
      <c r="AT149" s="22">
        <v>139</v>
      </c>
      <c r="AU149" s="22">
        <v>1.15906</v>
      </c>
      <c r="AV149">
        <f t="shared" si="32"/>
        <v>17.621111111111112</v>
      </c>
      <c r="AW149">
        <f t="shared" si="33"/>
        <v>20.442779633333338</v>
      </c>
      <c r="AX149" s="9"/>
      <c r="AY149" s="22">
        <v>0.59997599999999995</v>
      </c>
      <c r="AZ149" s="22">
        <v>29.4847</v>
      </c>
      <c r="BA149" s="22">
        <v>-1.48743E-2</v>
      </c>
      <c r="BB149" s="22">
        <v>139</v>
      </c>
      <c r="BC149" s="22">
        <v>0.59933499999999995</v>
      </c>
      <c r="BD149">
        <f t="shared" si="34"/>
        <v>18.363333333333333</v>
      </c>
      <c r="BE149">
        <f t="shared" si="35"/>
        <v>11.017559279999999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1.15509</v>
      </c>
      <c r="H150" s="22">
        <v>6.4032600000000004</v>
      </c>
      <c r="I150" s="22">
        <v>-1.41052E-2</v>
      </c>
      <c r="J150" s="22">
        <v>140</v>
      </c>
      <c r="K150" s="22">
        <v>1.15448</v>
      </c>
      <c r="L150">
        <f t="shared" si="24"/>
        <v>17.413827160493828</v>
      </c>
      <c r="M150">
        <f t="shared" si="25"/>
        <v>20.114537614814815</v>
      </c>
      <c r="N150" s="9"/>
      <c r="O150" s="22">
        <v>0.60501099999999997</v>
      </c>
      <c r="P150" s="22">
        <v>10.343299999999999</v>
      </c>
      <c r="Q150" s="22">
        <v>-1.4550799999999999E-2</v>
      </c>
      <c r="R150" s="22">
        <v>140</v>
      </c>
      <c r="S150" s="22">
        <v>0.60427900000000001</v>
      </c>
      <c r="T150">
        <f t="shared" si="26"/>
        <v>17.963950617283949</v>
      </c>
      <c r="U150">
        <f t="shared" si="27"/>
        <v>10.868387726913578</v>
      </c>
      <c r="X150" s="9"/>
      <c r="Y150" s="22">
        <v>1.15509</v>
      </c>
      <c r="Z150" s="22">
        <v>15.9815</v>
      </c>
      <c r="AA150" s="22">
        <v>-1.4135699999999999E-2</v>
      </c>
      <c r="AB150" s="22">
        <v>140</v>
      </c>
      <c r="AC150" s="22">
        <v>1.15387</v>
      </c>
      <c r="AD150">
        <f t="shared" si="28"/>
        <v>17.45148148148148</v>
      </c>
      <c r="AE150">
        <f t="shared" si="29"/>
        <v>20.158031744444443</v>
      </c>
      <c r="AF150" s="9"/>
      <c r="AG150" s="22">
        <v>0.60501099999999997</v>
      </c>
      <c r="AH150" s="22">
        <v>19.921500000000002</v>
      </c>
      <c r="AI150" s="22">
        <v>-1.46637E-2</v>
      </c>
      <c r="AJ150" s="22">
        <v>140</v>
      </c>
      <c r="AK150" s="22">
        <v>0.60412600000000005</v>
      </c>
      <c r="AL150">
        <f t="shared" si="30"/>
        <v>18.103333333333332</v>
      </c>
      <c r="AM150">
        <f t="shared" si="31"/>
        <v>10.952715803333332</v>
      </c>
      <c r="AP150" s="9"/>
      <c r="AQ150" s="22">
        <v>1.15509</v>
      </c>
      <c r="AR150" s="22">
        <v>25.5547</v>
      </c>
      <c r="AS150" s="22">
        <v>-1.42761E-2</v>
      </c>
      <c r="AT150" s="22">
        <v>140</v>
      </c>
      <c r="AU150" s="22">
        <v>1.15448</v>
      </c>
      <c r="AV150">
        <f t="shared" si="32"/>
        <v>17.624814814814812</v>
      </c>
      <c r="AW150">
        <f t="shared" si="33"/>
        <v>20.35824734444444</v>
      </c>
      <c r="AX150" s="9"/>
      <c r="AY150" s="22">
        <v>0.60501099999999997</v>
      </c>
      <c r="AZ150" s="22">
        <v>29.494800000000001</v>
      </c>
      <c r="BA150" s="22">
        <v>-1.48682E-2</v>
      </c>
      <c r="BB150" s="22">
        <v>140</v>
      </c>
      <c r="BC150" s="22">
        <v>0.60424800000000001</v>
      </c>
      <c r="BD150">
        <f t="shared" si="34"/>
        <v>18.355802469135799</v>
      </c>
      <c r="BE150">
        <f t="shared" si="35"/>
        <v>11.105462407654318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1.15005</v>
      </c>
      <c r="H151" s="22">
        <v>6.4133300000000002</v>
      </c>
      <c r="I151" s="22">
        <v>-1.4108300000000001E-2</v>
      </c>
      <c r="J151" s="22">
        <v>141</v>
      </c>
      <c r="K151" s="22">
        <v>1.1486799999999999</v>
      </c>
      <c r="L151">
        <f t="shared" si="24"/>
        <v>17.417654320987655</v>
      </c>
      <c r="M151">
        <f t="shared" si="25"/>
        <v>20.031173351851852</v>
      </c>
      <c r="N151" s="9"/>
      <c r="O151" s="22">
        <v>0.61004599999999998</v>
      </c>
      <c r="P151" s="22">
        <v>10.353400000000001</v>
      </c>
      <c r="Q151" s="22">
        <v>-1.45477E-2</v>
      </c>
      <c r="R151" s="22">
        <v>141</v>
      </c>
      <c r="S151" s="22">
        <v>0.60946699999999998</v>
      </c>
      <c r="T151">
        <f t="shared" si="26"/>
        <v>17.960123456790122</v>
      </c>
      <c r="U151">
        <f t="shared" si="27"/>
        <v>10.956501474320985</v>
      </c>
      <c r="X151" s="9"/>
      <c r="Y151" s="22">
        <v>1.15005</v>
      </c>
      <c r="Z151" s="22">
        <v>15.9916</v>
      </c>
      <c r="AA151" s="22">
        <v>-1.41418E-2</v>
      </c>
      <c r="AB151" s="22">
        <v>141</v>
      </c>
      <c r="AC151" s="22">
        <v>1.1492899999999999</v>
      </c>
      <c r="AD151">
        <f t="shared" si="28"/>
        <v>17.45901234567901</v>
      </c>
      <c r="AE151">
        <f t="shared" si="29"/>
        <v>20.078737148148146</v>
      </c>
      <c r="AF151" s="9"/>
      <c r="AG151" s="22">
        <v>0.61004599999999998</v>
      </c>
      <c r="AH151" s="22">
        <v>19.9316</v>
      </c>
      <c r="AI151" s="22">
        <v>-1.4660599999999999E-2</v>
      </c>
      <c r="AJ151" s="22">
        <v>141</v>
      </c>
      <c r="AK151" s="22">
        <v>0.609344</v>
      </c>
      <c r="AL151">
        <f t="shared" si="30"/>
        <v>18.099506172839504</v>
      </c>
      <c r="AM151">
        <f t="shared" si="31"/>
        <v>11.041531342716048</v>
      </c>
      <c r="AP151" s="9"/>
      <c r="AQ151" s="22">
        <v>1.15005</v>
      </c>
      <c r="AR151" s="22">
        <v>25.564800000000002</v>
      </c>
      <c r="AS151" s="22">
        <v>-1.42822E-2</v>
      </c>
      <c r="AT151" s="22">
        <v>141</v>
      </c>
      <c r="AU151" s="22">
        <v>1.14899</v>
      </c>
      <c r="AV151">
        <f t="shared" si="32"/>
        <v>17.632345679012342</v>
      </c>
      <c r="AW151">
        <f t="shared" si="33"/>
        <v>20.278079148148144</v>
      </c>
      <c r="AX151" s="9"/>
      <c r="AY151" s="22">
        <v>0.61004599999999998</v>
      </c>
      <c r="AZ151" s="22">
        <v>29.504799999999999</v>
      </c>
      <c r="BA151" s="22">
        <v>-1.48621E-2</v>
      </c>
      <c r="BB151" s="22">
        <v>141</v>
      </c>
      <c r="BC151" s="22">
        <v>0.60952799999999996</v>
      </c>
      <c r="BD151">
        <f t="shared" si="34"/>
        <v>18.348271604938269</v>
      </c>
      <c r="BE151">
        <f t="shared" si="35"/>
        <v>11.19328969950617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1.1450199999999999</v>
      </c>
      <c r="H152" s="22">
        <v>6.4234</v>
      </c>
      <c r="I152" s="22">
        <v>-1.4114399999999999E-2</v>
      </c>
      <c r="J152" s="22">
        <v>142</v>
      </c>
      <c r="K152" s="22">
        <v>1.1440999999999999</v>
      </c>
      <c r="L152">
        <f t="shared" si="24"/>
        <v>17.425185185185182</v>
      </c>
      <c r="M152">
        <f t="shared" si="25"/>
        <v>19.952185540740736</v>
      </c>
      <c r="N152" s="9"/>
      <c r="O152" s="22">
        <v>0.61508200000000002</v>
      </c>
      <c r="P152" s="22">
        <v>10.3634</v>
      </c>
      <c r="Q152" s="22">
        <v>-1.45386E-2</v>
      </c>
      <c r="R152" s="22">
        <v>142</v>
      </c>
      <c r="S152" s="22">
        <v>0.61441000000000001</v>
      </c>
      <c r="T152">
        <f t="shared" si="26"/>
        <v>17.948888888888888</v>
      </c>
      <c r="U152">
        <f t="shared" si="27"/>
        <v>11.040038475555555</v>
      </c>
      <c r="X152" s="9"/>
      <c r="Y152" s="22">
        <v>1.1450199999999999</v>
      </c>
      <c r="Z152" s="22">
        <v>16.0016</v>
      </c>
      <c r="AA152" s="22">
        <v>-1.41479E-2</v>
      </c>
      <c r="AB152" s="22">
        <v>142</v>
      </c>
      <c r="AC152" s="22">
        <v>1.1444099999999999</v>
      </c>
      <c r="AD152">
        <f t="shared" si="28"/>
        <v>17.466543209876541</v>
      </c>
      <c r="AE152">
        <f t="shared" si="29"/>
        <v>19.999541306172837</v>
      </c>
      <c r="AF152" s="9"/>
      <c r="AG152" s="22">
        <v>0.61508200000000002</v>
      </c>
      <c r="AH152" s="22">
        <v>19.941700000000001</v>
      </c>
      <c r="AI152" s="22">
        <v>-1.4654500000000001E-2</v>
      </c>
      <c r="AJ152" s="22">
        <v>142</v>
      </c>
      <c r="AK152" s="22">
        <v>0.61444100000000001</v>
      </c>
      <c r="AL152">
        <f t="shared" si="30"/>
        <v>18.091975308641977</v>
      </c>
      <c r="AM152">
        <f t="shared" si="31"/>
        <v>11.128048356790124</v>
      </c>
      <c r="AP152" s="9"/>
      <c r="AQ152" s="22">
        <v>1.1450199999999999</v>
      </c>
      <c r="AR152" s="22">
        <v>25.5749</v>
      </c>
      <c r="AS152" s="22">
        <v>-1.42883E-2</v>
      </c>
      <c r="AT152" s="22">
        <v>142</v>
      </c>
      <c r="AU152" s="22">
        <v>1.1434899999999999</v>
      </c>
      <c r="AV152">
        <f t="shared" si="32"/>
        <v>17.639876543209876</v>
      </c>
      <c r="AW152">
        <f t="shared" si="33"/>
        <v>20.198011439506171</v>
      </c>
      <c r="AX152" s="9"/>
      <c r="AY152" s="22">
        <v>0.61508200000000002</v>
      </c>
      <c r="AZ152" s="22">
        <v>29.514900000000001</v>
      </c>
      <c r="BA152" s="22">
        <v>-1.48529E-2</v>
      </c>
      <c r="BB152" s="22">
        <v>142</v>
      </c>
      <c r="BC152" s="22">
        <v>0.61438000000000004</v>
      </c>
      <c r="BD152">
        <f t="shared" si="34"/>
        <v>18.336913580246915</v>
      </c>
      <c r="BE152">
        <f t="shared" si="35"/>
        <v>11.278705478765433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1.13998</v>
      </c>
      <c r="H153" s="22">
        <v>6.4334800000000003</v>
      </c>
      <c r="I153" s="22">
        <v>-1.41174E-2</v>
      </c>
      <c r="J153" s="22">
        <v>143</v>
      </c>
      <c r="K153" s="22">
        <v>1.1392199999999999</v>
      </c>
      <c r="L153">
        <f t="shared" si="24"/>
        <v>17.428888888888888</v>
      </c>
      <c r="M153">
        <f t="shared" si="25"/>
        <v>19.868584755555556</v>
      </c>
      <c r="N153" s="9"/>
      <c r="O153" s="22">
        <v>0.62011700000000003</v>
      </c>
      <c r="P153" s="22">
        <v>10.3735</v>
      </c>
      <c r="Q153" s="22">
        <v>-1.45386E-2</v>
      </c>
      <c r="R153" s="22">
        <v>143</v>
      </c>
      <c r="S153" s="22">
        <v>0.61935399999999996</v>
      </c>
      <c r="T153">
        <f t="shared" si="26"/>
        <v>17.948888888888888</v>
      </c>
      <c r="U153">
        <f t="shared" si="27"/>
        <v>11.130411131111112</v>
      </c>
      <c r="X153" s="9"/>
      <c r="Y153" s="22">
        <v>1.13998</v>
      </c>
      <c r="Z153" s="22">
        <v>16.011700000000001</v>
      </c>
      <c r="AA153" s="22">
        <v>-1.4154099999999999E-2</v>
      </c>
      <c r="AB153" s="22">
        <v>143</v>
      </c>
      <c r="AC153" s="22">
        <v>1.1389199999999999</v>
      </c>
      <c r="AD153">
        <f t="shared" si="28"/>
        <v>17.474197530864195</v>
      </c>
      <c r="AE153">
        <f t="shared" si="29"/>
        <v>19.920235701234564</v>
      </c>
      <c r="AF153" s="9"/>
      <c r="AG153" s="22">
        <v>0.62011700000000003</v>
      </c>
      <c r="AH153" s="22">
        <v>19.951699999999999</v>
      </c>
      <c r="AI153" s="22">
        <v>-1.4648400000000001E-2</v>
      </c>
      <c r="AJ153" s="22">
        <v>143</v>
      </c>
      <c r="AK153" s="22">
        <v>0.61947600000000003</v>
      </c>
      <c r="AL153">
        <f t="shared" si="30"/>
        <v>18.084444444444443</v>
      </c>
      <c r="AM153">
        <f t="shared" si="31"/>
        <v>11.214471435555556</v>
      </c>
      <c r="AP153" s="9"/>
      <c r="AQ153" s="22">
        <v>1.13998</v>
      </c>
      <c r="AR153" s="22">
        <v>25.584900000000001</v>
      </c>
      <c r="AS153" s="22">
        <v>-1.4291399999999999E-2</v>
      </c>
      <c r="AT153" s="22">
        <v>143</v>
      </c>
      <c r="AU153" s="22">
        <v>1.1398299999999999</v>
      </c>
      <c r="AV153">
        <f t="shared" si="32"/>
        <v>17.643703703703704</v>
      </c>
      <c r="AW153">
        <f t="shared" si="33"/>
        <v>20.113469348148147</v>
      </c>
      <c r="AX153" s="9"/>
      <c r="AY153" s="22">
        <v>0.62011700000000003</v>
      </c>
      <c r="AZ153" s="22">
        <v>29.524999999999999</v>
      </c>
      <c r="BA153" s="22">
        <v>-1.4843800000000001E-2</v>
      </c>
      <c r="BB153" s="22">
        <v>143</v>
      </c>
      <c r="BC153" s="22">
        <v>0.61950700000000003</v>
      </c>
      <c r="BD153">
        <f t="shared" si="34"/>
        <v>18.325679012345677</v>
      </c>
      <c r="BE153">
        <f t="shared" si="35"/>
        <v>11.364065092098764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1.1349499999999999</v>
      </c>
      <c r="H154" s="22">
        <v>6.4435500000000001</v>
      </c>
      <c r="I154" s="22">
        <v>-1.4120499999999999E-2</v>
      </c>
      <c r="J154" s="22">
        <v>144</v>
      </c>
      <c r="K154" s="22">
        <v>1.1340300000000001</v>
      </c>
      <c r="L154">
        <f t="shared" si="24"/>
        <v>17.432716049382716</v>
      </c>
      <c r="M154">
        <f t="shared" si="25"/>
        <v>19.785261080246912</v>
      </c>
      <c r="N154" s="9"/>
      <c r="O154" s="22">
        <v>0.62515299999999996</v>
      </c>
      <c r="P154" s="22">
        <v>10.383599999999999</v>
      </c>
      <c r="Q154" s="22">
        <v>-1.45325E-2</v>
      </c>
      <c r="R154" s="22">
        <v>144</v>
      </c>
      <c r="S154" s="22">
        <v>0.62445099999999998</v>
      </c>
      <c r="T154">
        <f t="shared" si="26"/>
        <v>17.941358024691358</v>
      </c>
      <c r="U154">
        <f t="shared" si="27"/>
        <v>11.216093793209875</v>
      </c>
      <c r="X154" s="9"/>
      <c r="Y154" s="22">
        <v>1.1349499999999999</v>
      </c>
      <c r="Z154" s="22">
        <v>16.021799999999999</v>
      </c>
      <c r="AA154" s="22">
        <v>-1.4157100000000001E-2</v>
      </c>
      <c r="AB154" s="22">
        <v>144</v>
      </c>
      <c r="AC154" s="22">
        <v>1.1337299999999999</v>
      </c>
      <c r="AD154">
        <f t="shared" si="28"/>
        <v>17.477901234567902</v>
      </c>
      <c r="AE154">
        <f t="shared" si="29"/>
        <v>19.83654400617284</v>
      </c>
      <c r="AF154" s="9"/>
      <c r="AG154" s="22">
        <v>0.62515299999999996</v>
      </c>
      <c r="AH154" s="22">
        <v>19.9618</v>
      </c>
      <c r="AI154" s="22">
        <v>-1.4645399999999999E-2</v>
      </c>
      <c r="AJ154" s="22">
        <v>144</v>
      </c>
      <c r="AK154" s="22">
        <v>0.62441999999999998</v>
      </c>
      <c r="AL154">
        <f t="shared" si="30"/>
        <v>18.080740740740737</v>
      </c>
      <c r="AM154">
        <f t="shared" si="31"/>
        <v>11.303229316296292</v>
      </c>
      <c r="AP154" s="9"/>
      <c r="AQ154" s="22">
        <v>1.1349499999999999</v>
      </c>
      <c r="AR154" s="22">
        <v>25.594999999999999</v>
      </c>
      <c r="AS154" s="22">
        <v>-1.4300500000000001E-2</v>
      </c>
      <c r="AT154" s="22">
        <v>144</v>
      </c>
      <c r="AU154" s="22">
        <v>1.1343399999999999</v>
      </c>
      <c r="AV154">
        <f t="shared" si="32"/>
        <v>17.654938271604937</v>
      </c>
      <c r="AW154">
        <f t="shared" si="33"/>
        <v>20.03747219135802</v>
      </c>
      <c r="AX154" s="9"/>
      <c r="AY154" s="22">
        <v>0.62515299999999996</v>
      </c>
      <c r="AZ154" s="22">
        <v>29.535</v>
      </c>
      <c r="BA154" s="22">
        <v>-1.48407E-2</v>
      </c>
      <c r="BB154" s="22">
        <v>144</v>
      </c>
      <c r="BC154" s="22">
        <v>0.62451199999999996</v>
      </c>
      <c r="BD154">
        <f t="shared" si="34"/>
        <v>18.32185185185185</v>
      </c>
      <c r="BE154">
        <f t="shared" si="35"/>
        <v>11.453960650740738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1.12991</v>
      </c>
      <c r="H155" s="22">
        <v>6.4536199999999999</v>
      </c>
      <c r="I155" s="22">
        <v>-1.4129600000000001E-2</v>
      </c>
      <c r="J155" s="22">
        <v>145</v>
      </c>
      <c r="K155" s="22">
        <v>1.1288499999999999</v>
      </c>
      <c r="L155">
        <f t="shared" si="24"/>
        <v>17.443950617283949</v>
      </c>
      <c r="M155">
        <f t="shared" si="25"/>
        <v>19.710094241975305</v>
      </c>
      <c r="N155" s="9"/>
      <c r="O155" s="22">
        <v>0.63018799999999997</v>
      </c>
      <c r="P155" s="22">
        <v>10.393700000000001</v>
      </c>
      <c r="Q155" s="22">
        <v>-1.45264E-2</v>
      </c>
      <c r="R155" s="22">
        <v>145</v>
      </c>
      <c r="S155" s="22">
        <v>0.62960799999999995</v>
      </c>
      <c r="T155">
        <f t="shared" si="26"/>
        <v>17.933827160493827</v>
      </c>
      <c r="U155">
        <f t="shared" si="27"/>
        <v>11.301682670617284</v>
      </c>
      <c r="X155" s="9"/>
      <c r="Y155" s="22">
        <v>1.12991</v>
      </c>
      <c r="Z155" s="22">
        <v>16.0318</v>
      </c>
      <c r="AA155" s="22">
        <v>-1.41602E-2</v>
      </c>
      <c r="AB155" s="22">
        <v>145</v>
      </c>
      <c r="AC155" s="22">
        <v>1.1285400000000001</v>
      </c>
      <c r="AD155">
        <f t="shared" si="28"/>
        <v>17.481728395061729</v>
      </c>
      <c r="AE155">
        <f t="shared" si="29"/>
        <v>19.752779730864198</v>
      </c>
      <c r="AF155" s="9"/>
      <c r="AG155" s="22">
        <v>0.63018799999999997</v>
      </c>
      <c r="AH155" s="22">
        <v>19.971900000000002</v>
      </c>
      <c r="AI155" s="22">
        <v>-1.4639299999999999E-2</v>
      </c>
      <c r="AJ155" s="22">
        <v>145</v>
      </c>
      <c r="AK155" s="22">
        <v>0.62945600000000002</v>
      </c>
      <c r="AL155">
        <f t="shared" si="30"/>
        <v>18.07320987654321</v>
      </c>
      <c r="AM155">
        <f t="shared" si="31"/>
        <v>11.389519985679012</v>
      </c>
      <c r="AP155" s="9"/>
      <c r="AQ155" s="22">
        <v>1.12991</v>
      </c>
      <c r="AR155" s="22">
        <v>25.6051</v>
      </c>
      <c r="AS155" s="22">
        <v>-1.43036E-2</v>
      </c>
      <c r="AT155" s="22">
        <v>145</v>
      </c>
      <c r="AU155" s="22">
        <v>1.1285400000000001</v>
      </c>
      <c r="AV155">
        <f t="shared" si="32"/>
        <v>17.658765432098765</v>
      </c>
      <c r="AW155">
        <f t="shared" si="33"/>
        <v>19.952815649382714</v>
      </c>
      <c r="AX155" s="9"/>
      <c r="AY155" s="22">
        <v>0.63018799999999997</v>
      </c>
      <c r="AZ155" s="22">
        <v>29.545100000000001</v>
      </c>
      <c r="BA155" s="22">
        <v>-1.48346E-2</v>
      </c>
      <c r="BB155" s="22">
        <v>145</v>
      </c>
      <c r="BC155" s="22">
        <v>0.62951699999999999</v>
      </c>
      <c r="BD155">
        <f t="shared" si="34"/>
        <v>18.31432098765432</v>
      </c>
      <c r="BE155">
        <f t="shared" si="35"/>
        <v>11.541465314567899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1.1248800000000001</v>
      </c>
      <c r="H156" s="22">
        <v>6.4636899999999997</v>
      </c>
      <c r="I156" s="22">
        <v>-1.4135699999999999E-2</v>
      </c>
      <c r="J156" s="22">
        <v>146</v>
      </c>
      <c r="K156" s="22">
        <v>1.1242700000000001</v>
      </c>
      <c r="L156">
        <f t="shared" si="24"/>
        <v>17.45148148148148</v>
      </c>
      <c r="M156">
        <f t="shared" si="25"/>
        <v>19.630822488888889</v>
      </c>
      <c r="N156" s="9"/>
      <c r="O156" s="22">
        <v>0.63522299999999998</v>
      </c>
      <c r="P156" s="22">
        <v>10.403700000000001</v>
      </c>
      <c r="Q156" s="22">
        <v>-1.45203E-2</v>
      </c>
      <c r="R156" s="22">
        <v>146</v>
      </c>
      <c r="S156" s="22">
        <v>0.63446000000000002</v>
      </c>
      <c r="T156">
        <f t="shared" si="26"/>
        <v>17.926296296296293</v>
      </c>
      <c r="U156">
        <f t="shared" si="27"/>
        <v>11.387195712222219</v>
      </c>
      <c r="X156" s="9"/>
      <c r="Y156" s="22">
        <v>1.1248800000000001</v>
      </c>
      <c r="Z156" s="22">
        <v>16.041899999999998</v>
      </c>
      <c r="AA156" s="22">
        <v>-1.41663E-2</v>
      </c>
      <c r="AB156" s="22">
        <v>146</v>
      </c>
      <c r="AC156" s="22">
        <v>1.1242700000000001</v>
      </c>
      <c r="AD156">
        <f t="shared" si="28"/>
        <v>17.489259259259256</v>
      </c>
      <c r="AE156">
        <f t="shared" si="29"/>
        <v>19.673317955555554</v>
      </c>
      <c r="AF156" s="9"/>
      <c r="AG156" s="22">
        <v>0.63522299999999998</v>
      </c>
      <c r="AH156" s="22">
        <v>19.981999999999999</v>
      </c>
      <c r="AI156" s="22">
        <v>-1.46362E-2</v>
      </c>
      <c r="AJ156" s="22">
        <v>146</v>
      </c>
      <c r="AK156" s="22">
        <v>0.63461299999999998</v>
      </c>
      <c r="AL156">
        <f t="shared" si="30"/>
        <v>18.069382716049383</v>
      </c>
      <c r="AM156">
        <f t="shared" si="31"/>
        <v>11.478087497037036</v>
      </c>
      <c r="AP156" s="9"/>
      <c r="AQ156" s="22">
        <v>1.1248800000000001</v>
      </c>
      <c r="AR156" s="22">
        <v>25.615100000000002</v>
      </c>
      <c r="AS156" s="22">
        <v>-1.4312699999999999E-2</v>
      </c>
      <c r="AT156" s="22">
        <v>146</v>
      </c>
      <c r="AU156" s="22">
        <v>1.1236600000000001</v>
      </c>
      <c r="AV156">
        <f t="shared" si="32"/>
        <v>17.669999999999998</v>
      </c>
      <c r="AW156">
        <f t="shared" si="33"/>
        <v>19.876629600000001</v>
      </c>
      <c r="AX156" s="9"/>
      <c r="AY156" s="22">
        <v>0.63522299999999998</v>
      </c>
      <c r="AZ156" s="22">
        <v>29.555199999999999</v>
      </c>
      <c r="BA156" s="22">
        <v>-1.4831499999999999E-2</v>
      </c>
      <c r="BB156" s="22">
        <v>146</v>
      </c>
      <c r="BC156" s="22">
        <v>0.63449100000000003</v>
      </c>
      <c r="BD156">
        <f t="shared" si="34"/>
        <v>18.310493827160489</v>
      </c>
      <c r="BE156">
        <f t="shared" si="35"/>
        <v>11.631246820370366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1.1198399999999999</v>
      </c>
      <c r="H157" s="22">
        <v>6.4737600000000004</v>
      </c>
      <c r="I157" s="22">
        <v>-1.41418E-2</v>
      </c>
      <c r="J157" s="22">
        <v>147</v>
      </c>
      <c r="K157" s="22">
        <v>1.1190800000000001</v>
      </c>
      <c r="L157">
        <f t="shared" si="24"/>
        <v>17.45901234567901</v>
      </c>
      <c r="M157">
        <f t="shared" si="25"/>
        <v>19.551300385185183</v>
      </c>
      <c r="N157" s="9"/>
      <c r="O157" s="22">
        <v>0.64025900000000002</v>
      </c>
      <c r="P157" s="22">
        <v>10.4138</v>
      </c>
      <c r="Q157" s="22">
        <v>-1.45142E-2</v>
      </c>
      <c r="R157" s="22">
        <v>147</v>
      </c>
      <c r="S157" s="22">
        <v>0.63952600000000004</v>
      </c>
      <c r="T157">
        <f t="shared" si="26"/>
        <v>17.918765432098763</v>
      </c>
      <c r="U157">
        <f t="shared" si="27"/>
        <v>11.472650836790121</v>
      </c>
      <c r="X157" s="9"/>
      <c r="Y157" s="22">
        <v>1.1198399999999999</v>
      </c>
      <c r="Z157" s="22">
        <v>16.052</v>
      </c>
      <c r="AA157" s="22">
        <v>-1.4175399999999999E-2</v>
      </c>
      <c r="AB157" s="22">
        <v>147</v>
      </c>
      <c r="AC157" s="22">
        <v>1.11877</v>
      </c>
      <c r="AD157">
        <f t="shared" si="28"/>
        <v>17.500493827160494</v>
      </c>
      <c r="AE157">
        <f t="shared" si="29"/>
        <v>19.597753007407405</v>
      </c>
      <c r="AF157" s="9"/>
      <c r="AG157" s="22">
        <v>0.64025900000000002</v>
      </c>
      <c r="AH157" s="22">
        <v>19.992000000000001</v>
      </c>
      <c r="AI157" s="22">
        <v>-1.46362E-2</v>
      </c>
      <c r="AJ157" s="22">
        <v>147</v>
      </c>
      <c r="AK157" s="22">
        <v>0.63943499999999998</v>
      </c>
      <c r="AL157">
        <f t="shared" si="30"/>
        <v>18.069382716049383</v>
      </c>
      <c r="AM157">
        <f t="shared" si="31"/>
        <v>11.569084908395062</v>
      </c>
      <c r="AP157" s="9"/>
      <c r="AQ157" s="22">
        <v>1.1198399999999999</v>
      </c>
      <c r="AR157" s="22">
        <v>25.6252</v>
      </c>
      <c r="AS157" s="22">
        <v>-1.43188E-2</v>
      </c>
      <c r="AT157" s="22">
        <v>147</v>
      </c>
      <c r="AU157" s="22">
        <v>1.11877</v>
      </c>
      <c r="AV157">
        <f t="shared" si="32"/>
        <v>17.677530864197529</v>
      </c>
      <c r="AW157">
        <f t="shared" si="33"/>
        <v>19.796006162962961</v>
      </c>
      <c r="AX157" s="9"/>
      <c r="AY157" s="22">
        <v>0.64025900000000002</v>
      </c>
      <c r="AZ157" s="22">
        <v>29.565300000000001</v>
      </c>
      <c r="BA157" s="22">
        <v>-1.4825400000000001E-2</v>
      </c>
      <c r="BB157" s="22">
        <v>147</v>
      </c>
      <c r="BC157" s="22">
        <v>0.639679</v>
      </c>
      <c r="BD157">
        <f t="shared" si="34"/>
        <v>18.302962962962962</v>
      </c>
      <c r="BE157">
        <f t="shared" si="35"/>
        <v>11.718636763703703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1.1148100000000001</v>
      </c>
      <c r="H158" s="22">
        <v>6.4838300000000002</v>
      </c>
      <c r="I158" s="22">
        <v>-1.41418E-2</v>
      </c>
      <c r="J158" s="22">
        <v>148</v>
      </c>
      <c r="K158" s="22">
        <v>1.1135900000000001</v>
      </c>
      <c r="L158">
        <f t="shared" si="24"/>
        <v>17.45901234567901</v>
      </c>
      <c r="M158">
        <f t="shared" si="25"/>
        <v>19.463481553086417</v>
      </c>
      <c r="N158" s="9"/>
      <c r="O158" s="22">
        <v>0.64529400000000003</v>
      </c>
      <c r="P158" s="22">
        <v>10.4239</v>
      </c>
      <c r="Q158" s="22">
        <v>-1.4505000000000001E-2</v>
      </c>
      <c r="R158" s="22">
        <v>148</v>
      </c>
      <c r="S158" s="22">
        <v>0.64456199999999997</v>
      </c>
      <c r="T158">
        <f t="shared" si="26"/>
        <v>17.907407407407408</v>
      </c>
      <c r="U158">
        <f t="shared" si="27"/>
        <v>11.555542555555556</v>
      </c>
      <c r="X158" s="9"/>
      <c r="Y158" s="22">
        <v>1.1148100000000001</v>
      </c>
      <c r="Z158" s="22">
        <v>16.062100000000001</v>
      </c>
      <c r="AA158" s="22">
        <v>-1.41815E-2</v>
      </c>
      <c r="AB158" s="22">
        <v>148</v>
      </c>
      <c r="AC158" s="22">
        <v>1.1129800000000001</v>
      </c>
      <c r="AD158">
        <f t="shared" si="28"/>
        <v>17.508024691358024</v>
      </c>
      <c r="AE158">
        <f t="shared" si="29"/>
        <v>19.518121006172841</v>
      </c>
      <c r="AF158" s="9"/>
      <c r="AG158" s="22">
        <v>0.64529400000000003</v>
      </c>
      <c r="AH158" s="22">
        <v>20.002099999999999</v>
      </c>
      <c r="AI158" s="22">
        <v>-1.4633200000000001E-2</v>
      </c>
      <c r="AJ158" s="22">
        <v>148</v>
      </c>
      <c r="AK158" s="22">
        <v>0.64456199999999997</v>
      </c>
      <c r="AL158">
        <f t="shared" si="30"/>
        <v>18.065679012345679</v>
      </c>
      <c r="AM158">
        <f t="shared" si="31"/>
        <v>11.657674272592594</v>
      </c>
      <c r="AP158" s="9"/>
      <c r="AQ158" s="22">
        <v>1.1148100000000001</v>
      </c>
      <c r="AR158" s="22">
        <v>25.635300000000001</v>
      </c>
      <c r="AS158" s="22">
        <v>-1.4328E-2</v>
      </c>
      <c r="AT158" s="22">
        <v>148</v>
      </c>
      <c r="AU158" s="22">
        <v>1.11389</v>
      </c>
      <c r="AV158">
        <f t="shared" si="32"/>
        <v>17.68888888888889</v>
      </c>
      <c r="AW158">
        <f t="shared" si="33"/>
        <v>19.719750222222224</v>
      </c>
      <c r="AX158" s="9"/>
      <c r="AY158" s="22">
        <v>0.64529400000000003</v>
      </c>
      <c r="AZ158" s="22">
        <v>29.575299999999999</v>
      </c>
      <c r="BA158" s="22">
        <v>-1.4819300000000001E-2</v>
      </c>
      <c r="BB158" s="22">
        <v>148</v>
      </c>
      <c r="BC158" s="22">
        <v>0.64465300000000003</v>
      </c>
      <c r="BD158">
        <f t="shared" si="34"/>
        <v>18.295432098765431</v>
      </c>
      <c r="BE158">
        <f t="shared" si="35"/>
        <v>11.805932560740741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1.1097699999999999</v>
      </c>
      <c r="H159" s="22">
        <v>6.4939</v>
      </c>
      <c r="I159" s="22">
        <v>-1.41479E-2</v>
      </c>
      <c r="J159" s="22">
        <v>149</v>
      </c>
      <c r="K159" s="22">
        <v>1.1090100000000001</v>
      </c>
      <c r="L159">
        <f t="shared" si="24"/>
        <v>17.466543209876541</v>
      </c>
      <c r="M159">
        <f t="shared" si="25"/>
        <v>19.383845658024686</v>
      </c>
      <c r="N159" s="9"/>
      <c r="O159" s="22">
        <v>0.65032999999999996</v>
      </c>
      <c r="P159" s="22">
        <v>10.4339</v>
      </c>
      <c r="Q159" s="22">
        <v>-1.4501999999999999E-2</v>
      </c>
      <c r="R159" s="22">
        <v>149</v>
      </c>
      <c r="S159" s="22">
        <v>0.64965799999999996</v>
      </c>
      <c r="T159">
        <f t="shared" si="26"/>
        <v>17.903703703703702</v>
      </c>
      <c r="U159">
        <f t="shared" si="27"/>
        <v>11.643315629629628</v>
      </c>
      <c r="X159" s="9"/>
      <c r="Y159" s="22">
        <v>1.1097699999999999</v>
      </c>
      <c r="Z159" s="22">
        <v>16.072099999999999</v>
      </c>
      <c r="AA159" s="22">
        <v>-1.4190700000000001E-2</v>
      </c>
      <c r="AB159" s="22">
        <v>149</v>
      </c>
      <c r="AC159" s="22">
        <v>1.1084000000000001</v>
      </c>
      <c r="AD159">
        <f t="shared" si="28"/>
        <v>17.519382716049382</v>
      </c>
      <c r="AE159">
        <f t="shared" si="29"/>
        <v>19.442485356790122</v>
      </c>
      <c r="AF159" s="9"/>
      <c r="AG159" s="22">
        <v>0.65032999999999996</v>
      </c>
      <c r="AH159" s="22">
        <v>20.0122</v>
      </c>
      <c r="AI159" s="22">
        <v>-1.4633200000000001E-2</v>
      </c>
      <c r="AJ159" s="22">
        <v>149</v>
      </c>
      <c r="AK159" s="22">
        <v>0.64978000000000002</v>
      </c>
      <c r="AL159">
        <f t="shared" si="30"/>
        <v>18.065679012345679</v>
      </c>
      <c r="AM159">
        <f t="shared" si="31"/>
        <v>11.748653032098765</v>
      </c>
      <c r="AP159" s="9"/>
      <c r="AQ159" s="22">
        <v>1.1097699999999999</v>
      </c>
      <c r="AR159" s="22">
        <v>25.645399999999999</v>
      </c>
      <c r="AS159" s="22">
        <v>-1.4334100000000001E-2</v>
      </c>
      <c r="AT159" s="22">
        <v>149</v>
      </c>
      <c r="AU159" s="22">
        <v>1.1087</v>
      </c>
      <c r="AV159">
        <f t="shared" si="32"/>
        <v>17.69641975308642</v>
      </c>
      <c r="AW159">
        <f t="shared" si="33"/>
        <v>19.638955749382717</v>
      </c>
      <c r="AX159" s="9"/>
      <c r="AY159" s="22">
        <v>0.65032999999999996</v>
      </c>
      <c r="AZ159" s="22">
        <v>29.5854</v>
      </c>
      <c r="BA159" s="22">
        <v>-1.4816299999999999E-2</v>
      </c>
      <c r="BB159" s="22">
        <v>149</v>
      </c>
      <c r="BC159" s="22">
        <v>0.64978000000000002</v>
      </c>
      <c r="BD159">
        <f t="shared" si="34"/>
        <v>18.291728395061728</v>
      </c>
      <c r="BE159">
        <f t="shared" si="35"/>
        <v>11.895659727160494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1.1047400000000001</v>
      </c>
      <c r="H160" s="22">
        <v>6.5039699999999998</v>
      </c>
      <c r="I160" s="22">
        <v>-1.4154099999999999E-2</v>
      </c>
      <c r="J160" s="22">
        <v>150</v>
      </c>
      <c r="K160" s="22">
        <v>1.1035200000000001</v>
      </c>
      <c r="L160">
        <f t="shared" si="24"/>
        <v>17.474197530864195</v>
      </c>
      <c r="M160">
        <f t="shared" si="25"/>
        <v>19.304444980246913</v>
      </c>
      <c r="N160" s="9"/>
      <c r="O160" s="22">
        <v>0.65536499999999998</v>
      </c>
      <c r="P160" s="22">
        <v>10.444000000000001</v>
      </c>
      <c r="Q160" s="22">
        <v>-1.44989E-2</v>
      </c>
      <c r="R160" s="22">
        <v>150</v>
      </c>
      <c r="S160" s="22">
        <v>0.65487700000000004</v>
      </c>
      <c r="T160">
        <f t="shared" si="26"/>
        <v>17.899876543209874</v>
      </c>
      <c r="U160">
        <f t="shared" si="27"/>
        <v>11.730952590740738</v>
      </c>
      <c r="X160" s="9"/>
      <c r="Y160" s="22">
        <v>1.1047400000000001</v>
      </c>
      <c r="Z160" s="22">
        <v>16.0822</v>
      </c>
      <c r="AA160" s="22">
        <v>-1.41937E-2</v>
      </c>
      <c r="AB160" s="22">
        <v>150</v>
      </c>
      <c r="AC160" s="22">
        <v>1.1035200000000001</v>
      </c>
      <c r="AD160">
        <f t="shared" si="28"/>
        <v>17.523086419753085</v>
      </c>
      <c r="AE160">
        <f t="shared" si="29"/>
        <v>19.358454491358025</v>
      </c>
      <c r="AF160" s="9"/>
      <c r="AG160" s="22">
        <v>0.65536499999999998</v>
      </c>
      <c r="AH160" s="22">
        <v>20.022200000000002</v>
      </c>
      <c r="AI160" s="22">
        <v>-1.46301E-2</v>
      </c>
      <c r="AJ160" s="22">
        <v>150</v>
      </c>
      <c r="AK160" s="22">
        <v>0.65463300000000002</v>
      </c>
      <c r="AL160">
        <f t="shared" si="30"/>
        <v>18.061851851851848</v>
      </c>
      <c r="AM160">
        <f t="shared" si="31"/>
        <v>11.837105538888887</v>
      </c>
      <c r="AP160" s="9"/>
      <c r="AQ160" s="22">
        <v>1.1047400000000001</v>
      </c>
      <c r="AR160" s="22">
        <v>25.6554</v>
      </c>
      <c r="AS160" s="22">
        <v>-1.43372E-2</v>
      </c>
      <c r="AT160" s="22">
        <v>150</v>
      </c>
      <c r="AU160" s="22">
        <v>1.10382</v>
      </c>
      <c r="AV160">
        <f t="shared" si="32"/>
        <v>17.700246913580244</v>
      </c>
      <c r="AW160">
        <f t="shared" si="33"/>
        <v>19.554170775308641</v>
      </c>
      <c r="AX160" s="9"/>
      <c r="AY160" s="22">
        <v>0.65536499999999998</v>
      </c>
      <c r="AZ160" s="22">
        <v>29.595500000000001</v>
      </c>
      <c r="BA160" s="22">
        <v>-1.4810200000000001E-2</v>
      </c>
      <c r="BB160" s="22">
        <v>150</v>
      </c>
      <c r="BC160" s="22">
        <v>0.65472399999999997</v>
      </c>
      <c r="BD160">
        <f t="shared" si="34"/>
        <v>18.284197530864198</v>
      </c>
      <c r="BE160">
        <f t="shared" si="35"/>
        <v>11.982823114814815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1.0996999999999999</v>
      </c>
      <c r="H161" s="22">
        <v>6.5140399999999996</v>
      </c>
      <c r="I161" s="22">
        <v>-1.4157100000000001E-2</v>
      </c>
      <c r="J161" s="22">
        <v>151</v>
      </c>
      <c r="K161" s="22">
        <v>1.09833</v>
      </c>
      <c r="L161">
        <f t="shared" si="24"/>
        <v>17.477901234567902</v>
      </c>
      <c r="M161">
        <f t="shared" si="25"/>
        <v>19.220447987654321</v>
      </c>
      <c r="N161" s="9"/>
      <c r="O161" s="22">
        <v>0.66039999999999999</v>
      </c>
      <c r="P161" s="22">
        <v>10.4541</v>
      </c>
      <c r="Q161" s="22">
        <v>-1.44958E-2</v>
      </c>
      <c r="R161" s="22">
        <v>151</v>
      </c>
      <c r="S161" s="22">
        <v>0.65982099999999999</v>
      </c>
      <c r="T161">
        <f t="shared" si="26"/>
        <v>17.896049382716047</v>
      </c>
      <c r="U161">
        <f t="shared" si="27"/>
        <v>11.818551012345678</v>
      </c>
      <c r="X161" s="9"/>
      <c r="Y161" s="22">
        <v>1.0996999999999999</v>
      </c>
      <c r="Z161" s="22">
        <v>16.092300000000002</v>
      </c>
      <c r="AA161" s="22">
        <v>-1.4196800000000001E-2</v>
      </c>
      <c r="AB161" s="22">
        <v>151</v>
      </c>
      <c r="AC161" s="22">
        <v>1.09924</v>
      </c>
      <c r="AD161">
        <f t="shared" si="28"/>
        <v>17.526913580246916</v>
      </c>
      <c r="AE161">
        <f t="shared" si="29"/>
        <v>19.274346864197533</v>
      </c>
      <c r="AF161" s="9"/>
      <c r="AG161" s="22">
        <v>0.66039999999999999</v>
      </c>
      <c r="AH161" s="22">
        <v>20.032299999999999</v>
      </c>
      <c r="AI161" s="22">
        <v>-1.4627100000000001E-2</v>
      </c>
      <c r="AJ161" s="22">
        <v>151</v>
      </c>
      <c r="AK161" s="22">
        <v>0.65969800000000001</v>
      </c>
      <c r="AL161">
        <f t="shared" si="30"/>
        <v>18.058148148148145</v>
      </c>
      <c r="AM161">
        <f t="shared" si="31"/>
        <v>11.925601037037035</v>
      </c>
      <c r="AP161" s="9"/>
      <c r="AQ161" s="22">
        <v>1.0996999999999999</v>
      </c>
      <c r="AR161" s="22">
        <v>25.665500000000002</v>
      </c>
      <c r="AS161" s="22">
        <v>-1.4346299999999999E-2</v>
      </c>
      <c r="AT161" s="22">
        <v>151</v>
      </c>
      <c r="AU161" s="22">
        <v>1.09955</v>
      </c>
      <c r="AV161">
        <f t="shared" si="32"/>
        <v>17.711481481481481</v>
      </c>
      <c r="AW161">
        <f t="shared" si="33"/>
        <v>19.477316185185185</v>
      </c>
      <c r="AX161" s="9"/>
      <c r="AY161" s="22">
        <v>0.66039999999999999</v>
      </c>
      <c r="AZ161" s="22">
        <v>29.605499999999999</v>
      </c>
      <c r="BA161" s="22">
        <v>-1.4804100000000001E-2</v>
      </c>
      <c r="BB161" s="22">
        <v>151</v>
      </c>
      <c r="BC161" s="22">
        <v>0.65966800000000003</v>
      </c>
      <c r="BD161">
        <f t="shared" si="34"/>
        <v>18.276666666666667</v>
      </c>
      <c r="BE161">
        <f t="shared" si="35"/>
        <v>12.069910666666667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1.09467</v>
      </c>
      <c r="H162" s="22">
        <v>6.5241100000000003</v>
      </c>
      <c r="I162" s="22">
        <v>-1.41602E-2</v>
      </c>
      <c r="J162" s="22">
        <v>152</v>
      </c>
      <c r="K162" s="22">
        <v>1.09314</v>
      </c>
      <c r="L162">
        <f t="shared" si="24"/>
        <v>17.481728395061729</v>
      </c>
      <c r="M162">
        <f t="shared" si="25"/>
        <v>19.136723622222224</v>
      </c>
      <c r="N162" s="9"/>
      <c r="O162" s="22">
        <v>0.66543600000000003</v>
      </c>
      <c r="P162" s="22">
        <v>10.4642</v>
      </c>
      <c r="Q162" s="22">
        <v>-1.44928E-2</v>
      </c>
      <c r="R162" s="22">
        <v>152</v>
      </c>
      <c r="S162" s="22">
        <v>0.66470300000000004</v>
      </c>
      <c r="T162">
        <f t="shared" si="26"/>
        <v>17.892345679012344</v>
      </c>
      <c r="U162">
        <f t="shared" si="27"/>
        <v>11.906210939259259</v>
      </c>
      <c r="X162" s="9"/>
      <c r="Y162" s="22">
        <v>1.09467</v>
      </c>
      <c r="Z162" s="22">
        <v>16.1023</v>
      </c>
      <c r="AA162" s="22">
        <v>-1.4202899999999999E-2</v>
      </c>
      <c r="AB162" s="22">
        <v>152</v>
      </c>
      <c r="AC162" s="22">
        <v>1.09375</v>
      </c>
      <c r="AD162">
        <f t="shared" si="28"/>
        <v>17.534444444444443</v>
      </c>
      <c r="AE162">
        <f t="shared" si="29"/>
        <v>19.194430299999997</v>
      </c>
      <c r="AF162" s="9"/>
      <c r="AG162" s="22">
        <v>0.66543600000000003</v>
      </c>
      <c r="AH162" s="22">
        <v>20.042400000000001</v>
      </c>
      <c r="AI162" s="22">
        <v>-1.4621E-2</v>
      </c>
      <c r="AJ162" s="22">
        <v>152</v>
      </c>
      <c r="AK162" s="22">
        <v>0.664856</v>
      </c>
      <c r="AL162">
        <f t="shared" si="30"/>
        <v>18.050617283950618</v>
      </c>
      <c r="AM162">
        <f t="shared" si="31"/>
        <v>12.011530562962964</v>
      </c>
      <c r="AP162" s="9"/>
      <c r="AQ162" s="22">
        <v>1.09467</v>
      </c>
      <c r="AR162" s="22">
        <v>25.675599999999999</v>
      </c>
      <c r="AS162" s="22">
        <v>-1.43494E-2</v>
      </c>
      <c r="AT162" s="22">
        <v>152</v>
      </c>
      <c r="AU162" s="22">
        <v>1.09406</v>
      </c>
      <c r="AV162">
        <f t="shared" si="32"/>
        <v>17.715308641975309</v>
      </c>
      <c r="AW162">
        <f t="shared" si="33"/>
        <v>19.392416911111113</v>
      </c>
      <c r="AX162" s="9"/>
      <c r="AY162" s="22">
        <v>0.66543600000000003</v>
      </c>
      <c r="AZ162" s="22">
        <v>29.615600000000001</v>
      </c>
      <c r="BA162" s="22">
        <v>-1.4804100000000001E-2</v>
      </c>
      <c r="BB162" s="22">
        <v>152</v>
      </c>
      <c r="BC162" s="22">
        <v>0.664856</v>
      </c>
      <c r="BD162">
        <f t="shared" si="34"/>
        <v>18.276666666666667</v>
      </c>
      <c r="BE162">
        <f t="shared" si="35"/>
        <v>12.161951960000001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1.0896300000000001</v>
      </c>
      <c r="H163" s="22">
        <v>6.5341899999999997</v>
      </c>
      <c r="I163" s="22">
        <v>-1.4163200000000001E-2</v>
      </c>
      <c r="J163" s="22">
        <v>153</v>
      </c>
      <c r="K163" s="22">
        <v>1.08765</v>
      </c>
      <c r="L163">
        <f t="shared" si="24"/>
        <v>17.485432098765433</v>
      </c>
      <c r="M163">
        <f t="shared" si="25"/>
        <v>19.052651377777782</v>
      </c>
      <c r="N163" s="9"/>
      <c r="O163" s="22">
        <v>0.67047100000000004</v>
      </c>
      <c r="P163" s="22">
        <v>10.4742</v>
      </c>
      <c r="Q163" s="22">
        <v>-1.44867E-2</v>
      </c>
      <c r="R163" s="22">
        <v>153</v>
      </c>
      <c r="S163" s="22">
        <v>0.66976899999999995</v>
      </c>
      <c r="T163">
        <f t="shared" si="26"/>
        <v>17.884814814814817</v>
      </c>
      <c r="U163">
        <f t="shared" si="27"/>
        <v>11.991249673703706</v>
      </c>
      <c r="X163" s="9"/>
      <c r="Y163" s="22">
        <v>1.0896300000000001</v>
      </c>
      <c r="Z163" s="22">
        <v>16.112400000000001</v>
      </c>
      <c r="AA163" s="22">
        <v>-1.4208999999999999E-2</v>
      </c>
      <c r="AB163" s="22">
        <v>153</v>
      </c>
      <c r="AC163" s="22">
        <v>1.08795</v>
      </c>
      <c r="AD163">
        <f t="shared" si="28"/>
        <v>17.541975308641973</v>
      </c>
      <c r="AE163">
        <f t="shared" si="29"/>
        <v>19.114262555555555</v>
      </c>
      <c r="AF163" s="9"/>
      <c r="AG163" s="22">
        <v>0.67047100000000004</v>
      </c>
      <c r="AH163" s="22">
        <v>20.052399999999999</v>
      </c>
      <c r="AI163" s="22">
        <v>-1.46149E-2</v>
      </c>
      <c r="AJ163" s="22">
        <v>153</v>
      </c>
      <c r="AK163" s="22">
        <v>0.66983000000000004</v>
      </c>
      <c r="AL163">
        <f t="shared" si="30"/>
        <v>18.043086419753088</v>
      </c>
      <c r="AM163">
        <f t="shared" si="31"/>
        <v>12.097366194938273</v>
      </c>
      <c r="AP163" s="9"/>
      <c r="AQ163" s="22">
        <v>1.0896300000000001</v>
      </c>
      <c r="AR163" s="22">
        <v>25.685600000000001</v>
      </c>
      <c r="AS163" s="22">
        <v>-1.43585E-2</v>
      </c>
      <c r="AT163" s="22">
        <v>153</v>
      </c>
      <c r="AU163" s="22">
        <v>1.08826</v>
      </c>
      <c r="AV163">
        <f t="shared" si="32"/>
        <v>17.726543209876542</v>
      </c>
      <c r="AW163">
        <f t="shared" si="33"/>
        <v>19.315373277777777</v>
      </c>
      <c r="AX163" s="9"/>
      <c r="AY163" s="22">
        <v>0.67047100000000004</v>
      </c>
      <c r="AZ163" s="22">
        <v>29.625699999999998</v>
      </c>
      <c r="BA163" s="22">
        <v>-1.4801E-2</v>
      </c>
      <c r="BB163" s="22">
        <v>153</v>
      </c>
      <c r="BC163" s="22">
        <v>0.66961700000000002</v>
      </c>
      <c r="BD163">
        <f t="shared" si="34"/>
        <v>18.27283950617284</v>
      </c>
      <c r="BE163">
        <f t="shared" si="35"/>
        <v>12.25140897654321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1.0845899999999999</v>
      </c>
      <c r="H164" s="22">
        <v>6.5442600000000004</v>
      </c>
      <c r="I164" s="22">
        <v>-1.41663E-2</v>
      </c>
      <c r="J164" s="22">
        <v>154</v>
      </c>
      <c r="K164" s="22">
        <v>1.08429</v>
      </c>
      <c r="L164">
        <f t="shared" si="24"/>
        <v>17.489259259259256</v>
      </c>
      <c r="M164">
        <f t="shared" si="25"/>
        <v>18.968675699999995</v>
      </c>
      <c r="N164" s="9"/>
      <c r="O164" s="22">
        <v>0.67550699999999997</v>
      </c>
      <c r="P164" s="22">
        <v>10.484299999999999</v>
      </c>
      <c r="Q164" s="22">
        <v>-1.44867E-2</v>
      </c>
      <c r="R164" s="22">
        <v>154</v>
      </c>
      <c r="S164" s="22">
        <v>0.67501800000000001</v>
      </c>
      <c r="T164">
        <f t="shared" si="26"/>
        <v>17.884814814814817</v>
      </c>
      <c r="U164">
        <f t="shared" si="27"/>
        <v>12.081317601111111</v>
      </c>
      <c r="X164" s="9"/>
      <c r="Y164" s="22">
        <v>1.0845899999999999</v>
      </c>
      <c r="Z164" s="22">
        <v>16.122499999999999</v>
      </c>
      <c r="AA164" s="22">
        <v>-1.4212000000000001E-2</v>
      </c>
      <c r="AB164" s="22">
        <v>154</v>
      </c>
      <c r="AC164" s="22">
        <v>1.08307</v>
      </c>
      <c r="AD164">
        <f t="shared" si="28"/>
        <v>17.54567901234568</v>
      </c>
      <c r="AE164">
        <f t="shared" si="29"/>
        <v>19.029868</v>
      </c>
      <c r="AF164" s="9"/>
      <c r="AG164" s="22">
        <v>0.67550699999999997</v>
      </c>
      <c r="AH164" s="22">
        <v>20.0625</v>
      </c>
      <c r="AI164" s="22">
        <v>-1.46088E-2</v>
      </c>
      <c r="AJ164" s="22">
        <v>154</v>
      </c>
      <c r="AK164" s="22">
        <v>0.67492700000000005</v>
      </c>
      <c r="AL164">
        <f t="shared" si="30"/>
        <v>18.035555555555554</v>
      </c>
      <c r="AM164">
        <f t="shared" si="31"/>
        <v>12.183144026666666</v>
      </c>
      <c r="AP164" s="9"/>
      <c r="AQ164" s="22">
        <v>1.0845899999999999</v>
      </c>
      <c r="AR164" s="22">
        <v>25.695699999999999</v>
      </c>
      <c r="AS164" s="22">
        <v>-1.43646E-2</v>
      </c>
      <c r="AT164" s="22">
        <v>154</v>
      </c>
      <c r="AU164" s="22">
        <v>1.08429</v>
      </c>
      <c r="AV164">
        <f t="shared" si="32"/>
        <v>17.734074074074073</v>
      </c>
      <c r="AW164">
        <f t="shared" si="33"/>
        <v>19.234199399999998</v>
      </c>
      <c r="AX164" s="9"/>
      <c r="AY164" s="22">
        <v>0.67550699999999997</v>
      </c>
      <c r="AZ164" s="22">
        <v>29.6358</v>
      </c>
      <c r="BA164" s="22">
        <v>-1.47949E-2</v>
      </c>
      <c r="BB164" s="22">
        <v>154</v>
      </c>
      <c r="BC164" s="22">
        <v>0.67465200000000003</v>
      </c>
      <c r="BD164">
        <f t="shared" si="34"/>
        <v>18.265308641975306</v>
      </c>
      <c r="BE164">
        <f t="shared" si="35"/>
        <v>12.338343844814812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1.0795600000000001</v>
      </c>
      <c r="H165" s="22">
        <v>6.5543300000000002</v>
      </c>
      <c r="I165" s="22">
        <v>-1.41724E-2</v>
      </c>
      <c r="J165" s="22">
        <v>155</v>
      </c>
      <c r="K165" s="22">
        <v>1.0784899999999999</v>
      </c>
      <c r="L165">
        <f t="shared" si="24"/>
        <v>17.496790123456787</v>
      </c>
      <c r="M165">
        <f t="shared" si="25"/>
        <v>18.888834745679009</v>
      </c>
      <c r="N165" s="9"/>
      <c r="O165" s="22">
        <v>0.68054199999999998</v>
      </c>
      <c r="P165" s="22">
        <v>10.494400000000001</v>
      </c>
      <c r="Q165" s="22">
        <v>-1.44806E-2</v>
      </c>
      <c r="R165" s="22">
        <v>155</v>
      </c>
      <c r="S165" s="22">
        <v>0.67996199999999996</v>
      </c>
      <c r="T165">
        <f t="shared" si="26"/>
        <v>17.877283950617283</v>
      </c>
      <c r="U165">
        <f t="shared" si="27"/>
        <v>12.166242574320986</v>
      </c>
      <c r="X165" s="9"/>
      <c r="Y165" s="22">
        <v>1.0795600000000001</v>
      </c>
      <c r="Z165" s="22">
        <v>16.1325</v>
      </c>
      <c r="AA165" s="22">
        <v>-1.42212E-2</v>
      </c>
      <c r="AB165" s="22">
        <v>155</v>
      </c>
      <c r="AC165" s="22">
        <v>1.0784899999999999</v>
      </c>
      <c r="AD165">
        <f t="shared" si="28"/>
        <v>17.557037037037034</v>
      </c>
      <c r="AE165">
        <f t="shared" si="29"/>
        <v>18.953874903703703</v>
      </c>
      <c r="AF165" s="9"/>
      <c r="AG165" s="22">
        <v>0.68054199999999998</v>
      </c>
      <c r="AH165" s="22">
        <v>20.072600000000001</v>
      </c>
      <c r="AI165" s="22">
        <v>-1.46027E-2</v>
      </c>
      <c r="AJ165" s="22">
        <v>155</v>
      </c>
      <c r="AK165" s="22">
        <v>0.67996199999999996</v>
      </c>
      <c r="AL165">
        <f t="shared" si="30"/>
        <v>18.028024691358024</v>
      </c>
      <c r="AM165">
        <f t="shared" si="31"/>
        <v>12.268827979506172</v>
      </c>
      <c r="AP165" s="9"/>
      <c r="AQ165" s="22">
        <v>1.0795600000000001</v>
      </c>
      <c r="AR165" s="22">
        <v>25.7058</v>
      </c>
      <c r="AS165" s="22">
        <v>-1.43707E-2</v>
      </c>
      <c r="AT165" s="22">
        <v>155</v>
      </c>
      <c r="AU165" s="22">
        <v>1.0784899999999999</v>
      </c>
      <c r="AV165">
        <f t="shared" si="32"/>
        <v>17.741604938271603</v>
      </c>
      <c r="AW165">
        <f t="shared" si="33"/>
        <v>19.153127027160494</v>
      </c>
      <c r="AX165" s="9"/>
      <c r="AY165" s="22">
        <v>0.68054199999999998</v>
      </c>
      <c r="AZ165" s="22">
        <v>29.645800000000001</v>
      </c>
      <c r="BA165" s="22">
        <v>-1.47919E-2</v>
      </c>
      <c r="BB165" s="22">
        <v>155</v>
      </c>
      <c r="BC165" s="22">
        <v>0.67984</v>
      </c>
      <c r="BD165">
        <f t="shared" si="34"/>
        <v>18.261604938271603</v>
      </c>
      <c r="BE165">
        <f t="shared" si="35"/>
        <v>12.427789147901233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1.0745199999999999</v>
      </c>
      <c r="H166" s="22">
        <v>6.5644</v>
      </c>
      <c r="I166" s="22">
        <v>-1.4175399999999999E-2</v>
      </c>
      <c r="J166" s="22">
        <v>156</v>
      </c>
      <c r="K166" s="22">
        <v>1.0739099999999999</v>
      </c>
      <c r="L166">
        <f t="shared" si="24"/>
        <v>17.500493827160494</v>
      </c>
      <c r="M166">
        <f t="shared" si="25"/>
        <v>18.804630627160492</v>
      </c>
      <c r="N166" s="9"/>
      <c r="O166" s="22">
        <v>0.68557699999999999</v>
      </c>
      <c r="P166" s="22">
        <v>10.5044</v>
      </c>
      <c r="Q166" s="22">
        <v>-1.44745E-2</v>
      </c>
      <c r="R166" s="22">
        <v>156</v>
      </c>
      <c r="S166" s="22">
        <v>0.68493700000000002</v>
      </c>
      <c r="T166">
        <f t="shared" si="26"/>
        <v>17.869753086419752</v>
      </c>
      <c r="U166">
        <f t="shared" si="27"/>
        <v>12.251091711728394</v>
      </c>
      <c r="X166" s="9"/>
      <c r="Y166" s="22">
        <v>1.0745199999999999</v>
      </c>
      <c r="Z166" s="22">
        <v>16.142600000000002</v>
      </c>
      <c r="AA166" s="22">
        <v>-1.42303E-2</v>
      </c>
      <c r="AB166" s="22">
        <v>156</v>
      </c>
      <c r="AC166" s="22">
        <v>1.07361</v>
      </c>
      <c r="AD166">
        <f t="shared" si="28"/>
        <v>17.568271604938271</v>
      </c>
      <c r="AE166">
        <f t="shared" si="29"/>
        <v>18.877459204938269</v>
      </c>
      <c r="AF166" s="9"/>
      <c r="AG166" s="22">
        <v>0.68557699999999999</v>
      </c>
      <c r="AH166" s="22">
        <v>20.082699999999999</v>
      </c>
      <c r="AI166" s="22">
        <v>-1.4599600000000001E-2</v>
      </c>
      <c r="AJ166" s="22">
        <v>156</v>
      </c>
      <c r="AK166" s="22">
        <v>0.68475299999999995</v>
      </c>
      <c r="AL166">
        <f t="shared" si="30"/>
        <v>18.0241975308642</v>
      </c>
      <c r="AM166">
        <f t="shared" si="31"/>
        <v>12.356975270617285</v>
      </c>
      <c r="AP166" s="9"/>
      <c r="AQ166" s="22">
        <v>1.0745199999999999</v>
      </c>
      <c r="AR166" s="22">
        <v>25.715900000000001</v>
      </c>
      <c r="AS166" s="22">
        <v>-1.43768E-2</v>
      </c>
      <c r="AT166" s="22">
        <v>156</v>
      </c>
      <c r="AU166" s="22">
        <v>1.07361</v>
      </c>
      <c r="AV166">
        <f t="shared" si="32"/>
        <v>17.749135802469137</v>
      </c>
      <c r="AW166">
        <f t="shared" si="33"/>
        <v>19.071801402469134</v>
      </c>
      <c r="AX166" s="9"/>
      <c r="AY166" s="22">
        <v>0.68557699999999999</v>
      </c>
      <c r="AZ166" s="22">
        <v>29.655899999999999</v>
      </c>
      <c r="BA166" s="22">
        <v>-1.47858E-2</v>
      </c>
      <c r="BB166" s="22">
        <v>156</v>
      </c>
      <c r="BC166" s="22">
        <v>0.68508899999999995</v>
      </c>
      <c r="BD166">
        <f t="shared" si="34"/>
        <v>18.254074074074072</v>
      </c>
      <c r="BE166">
        <f t="shared" si="35"/>
        <v>12.51457334148148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1.0694900000000001</v>
      </c>
      <c r="H167" s="22">
        <v>6.5744699999999998</v>
      </c>
      <c r="I167" s="22">
        <v>-1.41846E-2</v>
      </c>
      <c r="J167" s="22">
        <v>157</v>
      </c>
      <c r="K167" s="22">
        <v>1.06812</v>
      </c>
      <c r="L167">
        <f t="shared" si="24"/>
        <v>17.511851851851851</v>
      </c>
      <c r="M167">
        <f t="shared" si="25"/>
        <v>18.728750437037036</v>
      </c>
      <c r="N167" s="9"/>
      <c r="O167" s="22">
        <v>0.69061300000000003</v>
      </c>
      <c r="P167" s="22">
        <v>10.5145</v>
      </c>
      <c r="Q167" s="22">
        <v>-1.4468399999999999E-2</v>
      </c>
      <c r="R167" s="22">
        <v>157</v>
      </c>
      <c r="S167" s="22">
        <v>0.68994100000000003</v>
      </c>
      <c r="T167">
        <f t="shared" si="26"/>
        <v>17.862222222222222</v>
      </c>
      <c r="U167">
        <f t="shared" si="27"/>
        <v>12.335882875555557</v>
      </c>
      <c r="X167" s="9"/>
      <c r="Y167" s="22">
        <v>1.0694900000000001</v>
      </c>
      <c r="Z167" s="22">
        <v>16.152699999999999</v>
      </c>
      <c r="AA167" s="22">
        <v>-1.42334E-2</v>
      </c>
      <c r="AB167" s="22">
        <v>157</v>
      </c>
      <c r="AC167" s="22">
        <v>1.0684199999999999</v>
      </c>
      <c r="AD167">
        <f t="shared" si="28"/>
        <v>17.572098765432099</v>
      </c>
      <c r="AE167">
        <f t="shared" si="29"/>
        <v>18.793183908641975</v>
      </c>
      <c r="AF167" s="9"/>
      <c r="AG167" s="22">
        <v>0.69061300000000003</v>
      </c>
      <c r="AH167" s="22">
        <v>20.092700000000001</v>
      </c>
      <c r="AI167" s="22">
        <v>-1.4593500000000001E-2</v>
      </c>
      <c r="AJ167" s="22">
        <v>157</v>
      </c>
      <c r="AK167" s="22">
        <v>0.69012499999999999</v>
      </c>
      <c r="AL167">
        <f t="shared" si="30"/>
        <v>18.016666666666666</v>
      </c>
      <c r="AM167">
        <f t="shared" si="31"/>
        <v>12.442544216666667</v>
      </c>
      <c r="AP167" s="9"/>
      <c r="AQ167" s="22">
        <v>1.0694900000000001</v>
      </c>
      <c r="AR167" s="22">
        <v>25.725899999999999</v>
      </c>
      <c r="AS167" s="22">
        <v>-1.4379899999999999E-2</v>
      </c>
      <c r="AT167" s="22">
        <v>157</v>
      </c>
      <c r="AU167" s="22">
        <v>1.06873</v>
      </c>
      <c r="AV167">
        <f t="shared" si="32"/>
        <v>17.752962962962961</v>
      </c>
      <c r="AW167">
        <f t="shared" si="33"/>
        <v>18.986616359259259</v>
      </c>
      <c r="AX167" s="9"/>
      <c r="AY167" s="22">
        <v>0.69061300000000003</v>
      </c>
      <c r="AZ167" s="22">
        <v>29.666</v>
      </c>
      <c r="BA167" s="22">
        <v>-1.47797E-2</v>
      </c>
      <c r="BB167" s="22">
        <v>157</v>
      </c>
      <c r="BC167" s="22">
        <v>0.68994100000000003</v>
      </c>
      <c r="BD167">
        <f t="shared" si="34"/>
        <v>18.246543209876542</v>
      </c>
      <c r="BE167">
        <f t="shared" si="35"/>
        <v>12.601299945802468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1.0644499999999999</v>
      </c>
      <c r="H168" s="22">
        <v>6.5845399999999996</v>
      </c>
      <c r="I168" s="22">
        <v>-1.4190700000000001E-2</v>
      </c>
      <c r="J168" s="22">
        <v>158</v>
      </c>
      <c r="K168" s="22">
        <v>1.0632299999999999</v>
      </c>
      <c r="L168">
        <f t="shared" si="24"/>
        <v>17.519382716049382</v>
      </c>
      <c r="M168">
        <f t="shared" si="25"/>
        <v>18.648506932098762</v>
      </c>
      <c r="N168" s="9"/>
      <c r="O168" s="22">
        <v>0.69564800000000004</v>
      </c>
      <c r="P168" s="22">
        <v>10.5246</v>
      </c>
      <c r="Q168" s="22">
        <v>-1.44653E-2</v>
      </c>
      <c r="R168" s="22">
        <v>158</v>
      </c>
      <c r="S168" s="22">
        <v>0.69522099999999998</v>
      </c>
      <c r="T168">
        <f t="shared" si="26"/>
        <v>17.858395061728395</v>
      </c>
      <c r="U168">
        <f t="shared" si="27"/>
        <v>12.423156807901234</v>
      </c>
      <c r="X168" s="9"/>
      <c r="Y168" s="22">
        <v>1.0644499999999999</v>
      </c>
      <c r="Z168" s="22">
        <v>16.162800000000001</v>
      </c>
      <c r="AA168" s="22">
        <v>-1.42395E-2</v>
      </c>
      <c r="AB168" s="22">
        <v>158</v>
      </c>
      <c r="AC168" s="22">
        <v>1.0632299999999999</v>
      </c>
      <c r="AD168">
        <f t="shared" si="28"/>
        <v>17.579629629629629</v>
      </c>
      <c r="AE168">
        <f t="shared" si="29"/>
        <v>18.712636759259258</v>
      </c>
      <c r="AF168" s="9"/>
      <c r="AG168" s="22">
        <v>0.69564800000000004</v>
      </c>
      <c r="AH168" s="22">
        <v>20.102799999999998</v>
      </c>
      <c r="AI168" s="22">
        <v>-1.45874E-2</v>
      </c>
      <c r="AJ168" s="22">
        <v>158</v>
      </c>
      <c r="AK168" s="22">
        <v>0.69503800000000004</v>
      </c>
      <c r="AL168">
        <f t="shared" si="30"/>
        <v>18.009135802469135</v>
      </c>
      <c r="AM168">
        <f t="shared" si="31"/>
        <v>12.52801930271605</v>
      </c>
      <c r="AP168" s="9"/>
      <c r="AQ168" s="22">
        <v>1.0644499999999999</v>
      </c>
      <c r="AR168" s="22">
        <v>25.736000000000001</v>
      </c>
      <c r="AS168" s="22">
        <v>-1.4382900000000001E-2</v>
      </c>
      <c r="AT168" s="22">
        <v>158</v>
      </c>
      <c r="AU168" s="22">
        <v>1.0632299999999999</v>
      </c>
      <c r="AV168">
        <f t="shared" si="32"/>
        <v>17.756666666666668</v>
      </c>
      <c r="AW168">
        <f t="shared" si="33"/>
        <v>18.901083833333331</v>
      </c>
      <c r="AX168" s="9"/>
      <c r="AY168" s="22">
        <v>0.69564800000000004</v>
      </c>
      <c r="AZ168" s="22">
        <v>29.675999999999998</v>
      </c>
      <c r="BA168" s="22">
        <v>-1.4776600000000001E-2</v>
      </c>
      <c r="BB168" s="22">
        <v>158</v>
      </c>
      <c r="BC168" s="22">
        <v>0.69488499999999997</v>
      </c>
      <c r="BD168">
        <f t="shared" si="34"/>
        <v>18.242716049382715</v>
      </c>
      <c r="BE168">
        <f t="shared" si="35"/>
        <v>12.690508934320988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1.05942</v>
      </c>
      <c r="H169" s="22">
        <v>6.5946100000000003</v>
      </c>
      <c r="I169" s="22">
        <v>-1.4196800000000001E-2</v>
      </c>
      <c r="J169" s="22">
        <v>159</v>
      </c>
      <c r="K169" s="22">
        <v>1.0586500000000001</v>
      </c>
      <c r="L169">
        <f t="shared" si="24"/>
        <v>17.526913580246916</v>
      </c>
      <c r="M169">
        <f t="shared" si="25"/>
        <v>18.568362785185187</v>
      </c>
      <c r="N169" s="9"/>
      <c r="O169" s="22">
        <v>0.70068399999999997</v>
      </c>
      <c r="P169" s="22">
        <v>10.534700000000001</v>
      </c>
      <c r="Q169" s="22">
        <v>-1.44592E-2</v>
      </c>
      <c r="R169" s="22">
        <v>159</v>
      </c>
      <c r="S169" s="22">
        <v>0.70001199999999997</v>
      </c>
      <c r="T169">
        <f t="shared" si="26"/>
        <v>17.850864197530864</v>
      </c>
      <c r="U169">
        <f t="shared" si="27"/>
        <v>12.507814929382716</v>
      </c>
      <c r="X169" s="9"/>
      <c r="Y169" s="22">
        <v>1.05942</v>
      </c>
      <c r="Z169" s="22">
        <v>16.172799999999999</v>
      </c>
      <c r="AA169" s="22">
        <v>-1.4242599999999999E-2</v>
      </c>
      <c r="AB169" s="22">
        <v>159</v>
      </c>
      <c r="AC169" s="22">
        <v>1.0580400000000001</v>
      </c>
      <c r="AD169">
        <f t="shared" si="28"/>
        <v>17.583456790123453</v>
      </c>
      <c r="AE169">
        <f t="shared" si="29"/>
        <v>18.62826579259259</v>
      </c>
      <c r="AF169" s="9"/>
      <c r="AG169" s="22">
        <v>0.70068399999999997</v>
      </c>
      <c r="AH169" s="22">
        <v>20.1129</v>
      </c>
      <c r="AI169" s="22">
        <v>-1.4578199999999999E-2</v>
      </c>
      <c r="AJ169" s="22">
        <v>159</v>
      </c>
      <c r="AK169" s="22">
        <v>0.69998199999999999</v>
      </c>
      <c r="AL169">
        <f t="shared" si="30"/>
        <v>17.997777777777777</v>
      </c>
      <c r="AM169">
        <f t="shared" si="31"/>
        <v>12.610754924444445</v>
      </c>
      <c r="AP169" s="9"/>
      <c r="AQ169" s="22">
        <v>1.05942</v>
      </c>
      <c r="AR169" s="22">
        <v>25.746099999999998</v>
      </c>
      <c r="AS169" s="22">
        <v>-1.4389000000000001E-2</v>
      </c>
      <c r="AT169" s="22">
        <v>159</v>
      </c>
      <c r="AU169" s="22">
        <v>1.0595699999999999</v>
      </c>
      <c r="AV169">
        <f t="shared" si="32"/>
        <v>17.764197530864198</v>
      </c>
      <c r="AW169">
        <f t="shared" si="33"/>
        <v>18.819746148148148</v>
      </c>
      <c r="AX169" s="9"/>
      <c r="AY169" s="22">
        <v>0.70068399999999997</v>
      </c>
      <c r="AZ169" s="22">
        <v>29.6861</v>
      </c>
      <c r="BA169" s="22">
        <v>-1.4770500000000001E-2</v>
      </c>
      <c r="BB169" s="22">
        <v>159</v>
      </c>
      <c r="BC169" s="22">
        <v>0.69986000000000004</v>
      </c>
      <c r="BD169">
        <f t="shared" si="34"/>
        <v>18.235185185185184</v>
      </c>
      <c r="BE169">
        <f t="shared" si="35"/>
        <v>12.777102496296296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1.0543800000000001</v>
      </c>
      <c r="H170" s="22">
        <v>6.6046800000000001</v>
      </c>
      <c r="I170" s="22">
        <v>-1.42059E-2</v>
      </c>
      <c r="J170" s="22">
        <v>160</v>
      </c>
      <c r="K170" s="22">
        <v>1.0531600000000001</v>
      </c>
      <c r="L170">
        <f t="shared" si="24"/>
        <v>17.538148148148146</v>
      </c>
      <c r="M170">
        <f t="shared" si="25"/>
        <v>18.491872644444445</v>
      </c>
      <c r="N170" s="9"/>
      <c r="O170" s="22">
        <v>0.70571899999999999</v>
      </c>
      <c r="P170" s="22">
        <v>10.544700000000001</v>
      </c>
      <c r="Q170" s="22">
        <v>-1.4456200000000001E-2</v>
      </c>
      <c r="R170" s="22">
        <v>160</v>
      </c>
      <c r="S170" s="22">
        <v>0.70510899999999999</v>
      </c>
      <c r="T170">
        <f t="shared" si="26"/>
        <v>17.847160493827161</v>
      </c>
      <c r="U170">
        <f t="shared" si="27"/>
        <v>12.595080256543209</v>
      </c>
      <c r="X170" s="9"/>
      <c r="Y170" s="22">
        <v>1.0543800000000001</v>
      </c>
      <c r="Z170" s="22">
        <v>16.1829</v>
      </c>
      <c r="AA170" s="22">
        <v>-1.42487E-2</v>
      </c>
      <c r="AB170" s="22">
        <v>160</v>
      </c>
      <c r="AC170" s="22">
        <v>1.0528599999999999</v>
      </c>
      <c r="AD170">
        <f t="shared" si="28"/>
        <v>17.590987654320987</v>
      </c>
      <c r="AE170">
        <f t="shared" si="29"/>
        <v>18.547585562962965</v>
      </c>
      <c r="AF170" s="9"/>
      <c r="AG170" s="22">
        <v>0.70571899999999999</v>
      </c>
      <c r="AH170" s="22">
        <v>20.122900000000001</v>
      </c>
      <c r="AI170" s="22">
        <v>-1.45752E-2</v>
      </c>
      <c r="AJ170" s="22">
        <v>160</v>
      </c>
      <c r="AK170" s="22">
        <v>0.705017</v>
      </c>
      <c r="AL170">
        <f t="shared" si="30"/>
        <v>17.994074074074071</v>
      </c>
      <c r="AM170">
        <f t="shared" si="31"/>
        <v>12.698759961481478</v>
      </c>
      <c r="AP170" s="9"/>
      <c r="AQ170" s="22">
        <v>1.0543800000000001</v>
      </c>
      <c r="AR170" s="22">
        <v>25.7561</v>
      </c>
      <c r="AS170" s="22">
        <v>-1.43982E-2</v>
      </c>
      <c r="AT170" s="22">
        <v>160</v>
      </c>
      <c r="AU170" s="22">
        <v>1.0525500000000001</v>
      </c>
      <c r="AV170">
        <f t="shared" si="32"/>
        <v>17.775555555555556</v>
      </c>
      <c r="AW170">
        <f t="shared" si="33"/>
        <v>18.742190266666668</v>
      </c>
      <c r="AX170" s="9"/>
      <c r="AY170" s="22">
        <v>0.70571899999999999</v>
      </c>
      <c r="AZ170" s="22">
        <v>29.696200000000001</v>
      </c>
      <c r="BA170" s="22">
        <v>-1.4761399999999999E-2</v>
      </c>
      <c r="BB170" s="22">
        <v>160</v>
      </c>
      <c r="BC170" s="22">
        <v>0.70504800000000001</v>
      </c>
      <c r="BD170">
        <f t="shared" si="34"/>
        <v>18.22395061728395</v>
      </c>
      <c r="BE170">
        <f t="shared" si="35"/>
        <v>12.860988205679012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1.04935</v>
      </c>
      <c r="H171" s="22">
        <v>6.6147499999999999</v>
      </c>
      <c r="I171" s="22">
        <v>-1.4212000000000001E-2</v>
      </c>
      <c r="J171" s="22">
        <v>161</v>
      </c>
      <c r="K171" s="22">
        <v>1.0482800000000001</v>
      </c>
      <c r="L171">
        <f t="shared" si="24"/>
        <v>17.54567901234568</v>
      </c>
      <c r="M171">
        <f t="shared" si="25"/>
        <v>18.411558271604939</v>
      </c>
      <c r="N171" s="9"/>
      <c r="O171" s="22">
        <v>0.710754</v>
      </c>
      <c r="P171" s="22">
        <v>10.5548</v>
      </c>
      <c r="Q171" s="22">
        <v>-1.44501E-2</v>
      </c>
      <c r="R171" s="22">
        <v>161</v>
      </c>
      <c r="S171" s="22">
        <v>0.70996099999999995</v>
      </c>
      <c r="T171">
        <f t="shared" si="26"/>
        <v>17.839629629629631</v>
      </c>
      <c r="U171">
        <f t="shared" si="27"/>
        <v>12.679588117777778</v>
      </c>
      <c r="X171" s="9"/>
      <c r="Y171" s="22">
        <v>1.04935</v>
      </c>
      <c r="Z171" s="22">
        <v>16.193000000000001</v>
      </c>
      <c r="AA171" s="22">
        <v>-1.4251700000000001E-2</v>
      </c>
      <c r="AB171" s="22">
        <v>161</v>
      </c>
      <c r="AC171" s="22">
        <v>1.0482800000000001</v>
      </c>
      <c r="AD171">
        <f t="shared" si="28"/>
        <v>17.594691358024694</v>
      </c>
      <c r="AE171">
        <f t="shared" si="29"/>
        <v>18.462989376543213</v>
      </c>
      <c r="AF171" s="9"/>
      <c r="AG171" s="22">
        <v>0.710754</v>
      </c>
      <c r="AH171" s="22">
        <v>20.132999999999999</v>
      </c>
      <c r="AI171" s="22">
        <v>-1.45691E-2</v>
      </c>
      <c r="AJ171" s="22">
        <v>161</v>
      </c>
      <c r="AK171" s="22">
        <v>0.71023599999999998</v>
      </c>
      <c r="AL171">
        <f t="shared" si="30"/>
        <v>17.98654320987654</v>
      </c>
      <c r="AM171">
        <f t="shared" si="31"/>
        <v>12.784007532592591</v>
      </c>
      <c r="AP171" s="9"/>
      <c r="AQ171" s="22">
        <v>1.04935</v>
      </c>
      <c r="AR171" s="22">
        <v>25.766200000000001</v>
      </c>
      <c r="AS171" s="22">
        <v>-1.44043E-2</v>
      </c>
      <c r="AT171" s="22">
        <v>161</v>
      </c>
      <c r="AU171" s="22">
        <v>1.0479700000000001</v>
      </c>
      <c r="AV171">
        <f t="shared" si="32"/>
        <v>17.783086419753086</v>
      </c>
      <c r="AW171">
        <f t="shared" si="33"/>
        <v>18.660681734567902</v>
      </c>
      <c r="AX171" s="9"/>
      <c r="AY171" s="22">
        <v>0.710754</v>
      </c>
      <c r="AZ171" s="22">
        <v>29.706299999999999</v>
      </c>
      <c r="BA171" s="22">
        <v>-1.47552E-2</v>
      </c>
      <c r="BB171" s="22">
        <v>161</v>
      </c>
      <c r="BC171" s="22">
        <v>0.70999100000000004</v>
      </c>
      <c r="BD171">
        <f t="shared" si="34"/>
        <v>18.216296296296292</v>
      </c>
      <c r="BE171">
        <f t="shared" si="35"/>
        <v>12.947305457777775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1.0443100000000001</v>
      </c>
      <c r="H172" s="22">
        <v>6.6248199999999997</v>
      </c>
      <c r="I172" s="22">
        <v>-1.42151E-2</v>
      </c>
      <c r="J172" s="22">
        <v>162</v>
      </c>
      <c r="K172" s="22">
        <v>1.0430900000000001</v>
      </c>
      <c r="L172">
        <f t="shared" si="24"/>
        <v>17.549506172839507</v>
      </c>
      <c r="M172">
        <f t="shared" si="25"/>
        <v>18.327124791358028</v>
      </c>
      <c r="N172" s="9"/>
      <c r="O172" s="22">
        <v>0.71579000000000004</v>
      </c>
      <c r="P172" s="22">
        <v>10.5649</v>
      </c>
      <c r="Q172" s="22">
        <v>-1.4447E-2</v>
      </c>
      <c r="R172" s="22">
        <v>162</v>
      </c>
      <c r="S172" s="22">
        <v>0.71539299999999995</v>
      </c>
      <c r="T172">
        <f t="shared" si="26"/>
        <v>17.8358024691358</v>
      </c>
      <c r="U172">
        <f t="shared" si="27"/>
        <v>12.766689049382714</v>
      </c>
      <c r="X172" s="9"/>
      <c r="Y172" s="22">
        <v>1.0443100000000001</v>
      </c>
      <c r="Z172" s="22">
        <v>16.202999999999999</v>
      </c>
      <c r="AA172" s="22">
        <v>-1.42548E-2</v>
      </c>
      <c r="AB172" s="22">
        <v>162</v>
      </c>
      <c r="AC172" s="22">
        <v>1.0434000000000001</v>
      </c>
      <c r="AD172">
        <f t="shared" si="28"/>
        <v>17.598518518518517</v>
      </c>
      <c r="AE172">
        <f t="shared" si="29"/>
        <v>18.378308874074076</v>
      </c>
      <c r="AF172" s="9"/>
      <c r="AG172" s="22">
        <v>0.71579000000000004</v>
      </c>
      <c r="AH172" s="22">
        <v>20.1431</v>
      </c>
      <c r="AI172" s="22">
        <v>-1.4566000000000001E-2</v>
      </c>
      <c r="AJ172" s="22">
        <v>162</v>
      </c>
      <c r="AK172" s="22">
        <v>0.71511800000000003</v>
      </c>
      <c r="AL172">
        <f t="shared" si="30"/>
        <v>17.982716049382717</v>
      </c>
      <c r="AM172">
        <f t="shared" si="31"/>
        <v>12.871848320987656</v>
      </c>
      <c r="AP172" s="9"/>
      <c r="AQ172" s="22">
        <v>1.0443100000000001</v>
      </c>
      <c r="AR172" s="22">
        <v>25.776299999999999</v>
      </c>
      <c r="AS172" s="22">
        <v>-1.44104E-2</v>
      </c>
      <c r="AT172" s="22">
        <v>162</v>
      </c>
      <c r="AU172" s="22">
        <v>1.0437000000000001</v>
      </c>
      <c r="AV172">
        <f t="shared" si="32"/>
        <v>17.790617283950617</v>
      </c>
      <c r="AW172">
        <f t="shared" si="33"/>
        <v>18.57891953580247</v>
      </c>
      <c r="AX172" s="9"/>
      <c r="AY172" s="22">
        <v>0.71579000000000004</v>
      </c>
      <c r="AZ172" s="22">
        <v>29.7163</v>
      </c>
      <c r="BA172" s="22">
        <v>-1.47461E-2</v>
      </c>
      <c r="BB172" s="22">
        <v>162</v>
      </c>
      <c r="BC172" s="22">
        <v>0.71514900000000003</v>
      </c>
      <c r="BD172">
        <f t="shared" si="34"/>
        <v>18.205061728395062</v>
      </c>
      <c r="BE172">
        <f t="shared" si="35"/>
        <v>13.031001134567902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1.03928</v>
      </c>
      <c r="H173" s="22">
        <v>6.6349</v>
      </c>
      <c r="I173" s="22">
        <v>-1.4218099999999999E-2</v>
      </c>
      <c r="J173" s="22">
        <v>163</v>
      </c>
      <c r="K173" s="22">
        <v>1.0382100000000001</v>
      </c>
      <c r="L173">
        <f t="shared" si="24"/>
        <v>17.553209876543207</v>
      </c>
      <c r="M173">
        <f t="shared" si="25"/>
        <v>18.242699960493823</v>
      </c>
      <c r="N173" s="9"/>
      <c r="O173" s="22">
        <v>0.72082500000000005</v>
      </c>
      <c r="P173" s="22">
        <v>10.5749</v>
      </c>
      <c r="Q173" s="22">
        <v>-1.4444E-2</v>
      </c>
      <c r="R173" s="22">
        <v>163</v>
      </c>
      <c r="S173" s="22">
        <v>0.72018400000000005</v>
      </c>
      <c r="T173">
        <f t="shared" si="26"/>
        <v>17.832098765432097</v>
      </c>
      <c r="U173">
        <f t="shared" si="27"/>
        <v>12.853822592592591</v>
      </c>
      <c r="X173" s="9"/>
      <c r="Y173" s="22">
        <v>1.03928</v>
      </c>
      <c r="Z173" s="22">
        <v>16.213100000000001</v>
      </c>
      <c r="AA173" s="22">
        <v>-1.42609E-2</v>
      </c>
      <c r="AB173" s="22">
        <v>163</v>
      </c>
      <c r="AC173" s="22">
        <v>1.03851</v>
      </c>
      <c r="AD173">
        <f t="shared" si="28"/>
        <v>17.606049382716048</v>
      </c>
      <c r="AE173">
        <f t="shared" si="29"/>
        <v>18.297615002469133</v>
      </c>
      <c r="AF173" s="9"/>
      <c r="AG173" s="22">
        <v>0.72082500000000005</v>
      </c>
      <c r="AH173" s="22">
        <v>20.153199999999998</v>
      </c>
      <c r="AI173" s="22">
        <v>-1.4559900000000001E-2</v>
      </c>
      <c r="AJ173" s="22">
        <v>163</v>
      </c>
      <c r="AK173" s="22">
        <v>0.720001</v>
      </c>
      <c r="AL173">
        <f t="shared" si="30"/>
        <v>17.975185185185186</v>
      </c>
      <c r="AM173">
        <f t="shared" si="31"/>
        <v>12.956962861111112</v>
      </c>
      <c r="AP173" s="9"/>
      <c r="AQ173" s="22">
        <v>1.03928</v>
      </c>
      <c r="AR173" s="22">
        <v>25.7864</v>
      </c>
      <c r="AS173" s="22">
        <v>-1.4419599999999999E-2</v>
      </c>
      <c r="AT173" s="22">
        <v>163</v>
      </c>
      <c r="AU173" s="22">
        <v>1.0379</v>
      </c>
      <c r="AV173">
        <f t="shared" si="32"/>
        <v>17.801975308641975</v>
      </c>
      <c r="AW173">
        <f t="shared" si="33"/>
        <v>18.501236898765431</v>
      </c>
      <c r="AX173" s="9"/>
      <c r="AY173" s="22">
        <v>0.72082500000000005</v>
      </c>
      <c r="AZ173" s="22">
        <v>29.726400000000002</v>
      </c>
      <c r="BA173" s="22">
        <v>-1.474E-2</v>
      </c>
      <c r="BB173" s="22">
        <v>163</v>
      </c>
      <c r="BC173" s="22">
        <v>0.71997100000000003</v>
      </c>
      <c r="BD173">
        <f t="shared" si="34"/>
        <v>18.197530864197528</v>
      </c>
      <c r="BE173">
        <f t="shared" si="35"/>
        <v>13.117235185185184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1.03424</v>
      </c>
      <c r="H174" s="22">
        <v>6.6449699999999998</v>
      </c>
      <c r="I174" s="22">
        <v>-1.4224199999999999E-2</v>
      </c>
      <c r="J174" s="22">
        <v>164</v>
      </c>
      <c r="K174" s="22">
        <v>1.03363</v>
      </c>
      <c r="L174">
        <f t="shared" si="24"/>
        <v>17.560740740740737</v>
      </c>
      <c r="M174">
        <f t="shared" si="25"/>
        <v>18.162020503703701</v>
      </c>
      <c r="N174" s="9"/>
      <c r="O174" s="22">
        <v>0.72586099999999998</v>
      </c>
      <c r="P174" s="22">
        <v>10.585000000000001</v>
      </c>
      <c r="Q174" s="22">
        <v>-1.44379E-2</v>
      </c>
      <c r="R174" s="22">
        <v>164</v>
      </c>
      <c r="S174" s="22">
        <v>0.72528099999999995</v>
      </c>
      <c r="T174">
        <f t="shared" si="26"/>
        <v>17.824567901234566</v>
      </c>
      <c r="U174">
        <f t="shared" si="27"/>
        <v>12.938158681358024</v>
      </c>
      <c r="X174" s="9"/>
      <c r="Y174" s="22">
        <v>1.03424</v>
      </c>
      <c r="Z174" s="22">
        <v>16.223199999999999</v>
      </c>
      <c r="AA174" s="22">
        <v>-1.4267E-2</v>
      </c>
      <c r="AB174" s="22">
        <v>164</v>
      </c>
      <c r="AC174" s="22">
        <v>1.03302</v>
      </c>
      <c r="AD174">
        <f t="shared" si="28"/>
        <v>17.613580246913582</v>
      </c>
      <c r="AE174">
        <f t="shared" si="29"/>
        <v>18.216669234567902</v>
      </c>
      <c r="AF174" s="9"/>
      <c r="AG174" s="22">
        <v>0.72586099999999998</v>
      </c>
      <c r="AH174" s="22">
        <v>20.1632</v>
      </c>
      <c r="AI174" s="22">
        <v>-1.4556899999999999E-2</v>
      </c>
      <c r="AJ174" s="22">
        <v>164</v>
      </c>
      <c r="AK174" s="22">
        <v>0.72506700000000002</v>
      </c>
      <c r="AL174">
        <f t="shared" si="30"/>
        <v>17.971481481481479</v>
      </c>
      <c r="AM174">
        <f t="shared" si="31"/>
        <v>13.044797519629627</v>
      </c>
      <c r="AP174" s="9"/>
      <c r="AQ174" s="22">
        <v>1.03424</v>
      </c>
      <c r="AR174" s="22">
        <v>25.796399999999998</v>
      </c>
      <c r="AS174" s="22">
        <v>-1.44257E-2</v>
      </c>
      <c r="AT174" s="22">
        <v>164</v>
      </c>
      <c r="AU174" s="22">
        <v>1.0333300000000001</v>
      </c>
      <c r="AV174">
        <f t="shared" si="32"/>
        <v>17.809506172839505</v>
      </c>
      <c r="AW174">
        <f t="shared" si="33"/>
        <v>18.419303664197532</v>
      </c>
      <c r="AX174" s="9"/>
      <c r="AY174" s="22">
        <v>0.72586099999999998</v>
      </c>
      <c r="AZ174" s="22">
        <v>29.736499999999999</v>
      </c>
      <c r="BA174" s="22">
        <v>-1.4733899999999999E-2</v>
      </c>
      <c r="BB174" s="22">
        <v>164</v>
      </c>
      <c r="BC174" s="22">
        <v>0.72512799999999999</v>
      </c>
      <c r="BD174">
        <f t="shared" si="34"/>
        <v>18.189999999999998</v>
      </c>
      <c r="BE174">
        <f t="shared" si="35"/>
        <v>13.203411589999998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1.02921</v>
      </c>
      <c r="H175" s="22">
        <v>6.6550399999999996</v>
      </c>
      <c r="I175" s="22">
        <v>-1.4224199999999999E-2</v>
      </c>
      <c r="J175" s="22">
        <v>165</v>
      </c>
      <c r="K175" s="22">
        <v>1.02783</v>
      </c>
      <c r="L175">
        <f t="shared" si="24"/>
        <v>17.560740740740737</v>
      </c>
      <c r="M175">
        <f t="shared" si="25"/>
        <v>18.073689977777775</v>
      </c>
      <c r="N175" s="9"/>
      <c r="O175" s="22">
        <v>0.73089599999999999</v>
      </c>
      <c r="P175" s="22">
        <v>10.5951</v>
      </c>
      <c r="Q175" s="22">
        <v>-1.4434799999999999E-2</v>
      </c>
      <c r="R175" s="22">
        <v>165</v>
      </c>
      <c r="S175" s="22">
        <v>0.73053000000000001</v>
      </c>
      <c r="T175">
        <f t="shared" si="26"/>
        <v>17.820740740740739</v>
      </c>
      <c r="U175">
        <f t="shared" si="27"/>
        <v>13.025108124444444</v>
      </c>
      <c r="X175" s="9"/>
      <c r="Y175" s="22">
        <v>1.02921</v>
      </c>
      <c r="Z175" s="22">
        <v>16.2333</v>
      </c>
      <c r="AA175" s="22">
        <v>-1.42731E-2</v>
      </c>
      <c r="AB175" s="22">
        <v>165</v>
      </c>
      <c r="AC175" s="22">
        <v>1.0281400000000001</v>
      </c>
      <c r="AD175">
        <f t="shared" si="28"/>
        <v>17.621111111111112</v>
      </c>
      <c r="AE175">
        <f t="shared" si="29"/>
        <v>18.135823766666668</v>
      </c>
      <c r="AF175" s="9"/>
      <c r="AG175" s="22">
        <v>0.73089599999999999</v>
      </c>
      <c r="AH175" s="22">
        <v>20.173300000000001</v>
      </c>
      <c r="AI175" s="22">
        <v>-1.45538E-2</v>
      </c>
      <c r="AJ175" s="22">
        <v>165</v>
      </c>
      <c r="AK175" s="22">
        <v>0.73007200000000005</v>
      </c>
      <c r="AL175">
        <f t="shared" si="30"/>
        <v>17.967654320987652</v>
      </c>
      <c r="AM175">
        <f t="shared" si="31"/>
        <v>13.132486672592592</v>
      </c>
      <c r="AP175" s="9"/>
      <c r="AQ175" s="22">
        <v>1.02921</v>
      </c>
      <c r="AR175" s="22">
        <v>25.8065</v>
      </c>
      <c r="AS175" s="22">
        <v>-1.44318E-2</v>
      </c>
      <c r="AT175" s="22">
        <v>165</v>
      </c>
      <c r="AU175" s="22">
        <v>1.0281400000000001</v>
      </c>
      <c r="AV175">
        <f t="shared" si="32"/>
        <v>17.817037037037036</v>
      </c>
      <c r="AW175">
        <f t="shared" si="33"/>
        <v>18.337472688888887</v>
      </c>
      <c r="AX175" s="9"/>
      <c r="AY175" s="22">
        <v>0.73089599999999999</v>
      </c>
      <c r="AZ175" s="22">
        <v>29.746500000000001</v>
      </c>
      <c r="BA175" s="22">
        <v>-1.47308E-2</v>
      </c>
      <c r="BB175" s="22">
        <v>165</v>
      </c>
      <c r="BC175" s="22">
        <v>0.73013300000000003</v>
      </c>
      <c r="BD175">
        <f t="shared" si="34"/>
        <v>18.186172839506174</v>
      </c>
      <c r="BE175">
        <f t="shared" si="35"/>
        <v>13.292200983703705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1.02417</v>
      </c>
      <c r="H176" s="22">
        <v>6.6651100000000003</v>
      </c>
      <c r="I176" s="22">
        <v>-1.4224199999999999E-2</v>
      </c>
      <c r="J176" s="22">
        <v>166</v>
      </c>
      <c r="K176" s="22">
        <v>1.02325</v>
      </c>
      <c r="L176">
        <f t="shared" si="24"/>
        <v>17.560740740740737</v>
      </c>
      <c r="M176">
        <f t="shared" si="25"/>
        <v>17.985183844444443</v>
      </c>
      <c r="N176" s="9"/>
      <c r="O176" s="22">
        <v>0.735931</v>
      </c>
      <c r="P176" s="22">
        <v>10.6051</v>
      </c>
      <c r="Q176" s="22">
        <v>-1.44318E-2</v>
      </c>
      <c r="R176" s="22">
        <v>166</v>
      </c>
      <c r="S176" s="22">
        <v>0.73516800000000004</v>
      </c>
      <c r="T176">
        <f t="shared" si="26"/>
        <v>17.817037037037036</v>
      </c>
      <c r="U176">
        <f t="shared" si="27"/>
        <v>13.112109883703702</v>
      </c>
      <c r="X176" s="9"/>
      <c r="Y176" s="22">
        <v>1.02417</v>
      </c>
      <c r="Z176" s="22">
        <v>16.243300000000001</v>
      </c>
      <c r="AA176" s="22">
        <v>-1.42761E-2</v>
      </c>
      <c r="AB176" s="22">
        <v>166</v>
      </c>
      <c r="AC176" s="22">
        <v>1.02356</v>
      </c>
      <c r="AD176">
        <f t="shared" si="28"/>
        <v>17.624814814814812</v>
      </c>
      <c r="AE176">
        <f t="shared" si="29"/>
        <v>18.050806588888886</v>
      </c>
      <c r="AF176" s="9"/>
      <c r="AG176" s="22">
        <v>0.735931</v>
      </c>
      <c r="AH176" s="22">
        <v>20.183399999999999</v>
      </c>
      <c r="AI176" s="22">
        <v>-1.45477E-2</v>
      </c>
      <c r="AJ176" s="22">
        <v>166</v>
      </c>
      <c r="AK176" s="22">
        <v>0.73529100000000003</v>
      </c>
      <c r="AL176">
        <f t="shared" si="30"/>
        <v>17.960123456790122</v>
      </c>
      <c r="AM176">
        <f t="shared" si="31"/>
        <v>13.21741161567901</v>
      </c>
      <c r="AP176" s="9"/>
      <c r="AQ176" s="22">
        <v>1.02417</v>
      </c>
      <c r="AR176" s="22">
        <v>25.816600000000001</v>
      </c>
      <c r="AS176" s="22">
        <v>-1.4434799999999999E-2</v>
      </c>
      <c r="AT176" s="22">
        <v>166</v>
      </c>
      <c r="AU176" s="22">
        <v>1.02325</v>
      </c>
      <c r="AV176">
        <f t="shared" si="32"/>
        <v>17.820740740740739</v>
      </c>
      <c r="AW176">
        <f t="shared" si="33"/>
        <v>18.251468044444444</v>
      </c>
      <c r="AX176" s="9"/>
      <c r="AY176" s="22">
        <v>0.735931</v>
      </c>
      <c r="AZ176" s="22">
        <v>29.756599999999999</v>
      </c>
      <c r="BA176" s="22">
        <v>-1.4727799999999999E-2</v>
      </c>
      <c r="BB176" s="22">
        <v>166</v>
      </c>
      <c r="BC176" s="22">
        <v>0.73526000000000002</v>
      </c>
      <c r="BD176">
        <f t="shared" si="34"/>
        <v>18.182469135802467</v>
      </c>
      <c r="BE176">
        <f t="shared" si="35"/>
        <v>13.381042693580246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1.0191300000000001</v>
      </c>
      <c r="H177" s="22">
        <v>6.6751800000000001</v>
      </c>
      <c r="I177" s="22">
        <v>-1.42303E-2</v>
      </c>
      <c r="J177" s="22">
        <v>167</v>
      </c>
      <c r="K177" s="22">
        <v>1.01807</v>
      </c>
      <c r="L177">
        <f t="shared" si="24"/>
        <v>17.568271604938271</v>
      </c>
      <c r="M177">
        <f t="shared" si="25"/>
        <v>17.904352640740743</v>
      </c>
      <c r="N177" s="9"/>
      <c r="O177" s="22">
        <v>0.74096700000000004</v>
      </c>
      <c r="P177" s="22">
        <v>10.6152</v>
      </c>
      <c r="Q177" s="22">
        <v>-1.4428699999999999E-2</v>
      </c>
      <c r="R177" s="22">
        <v>167</v>
      </c>
      <c r="S177" s="22">
        <v>0.74050899999999997</v>
      </c>
      <c r="T177">
        <f t="shared" si="26"/>
        <v>17.813209876543205</v>
      </c>
      <c r="U177">
        <f t="shared" si="27"/>
        <v>13.19900068259259</v>
      </c>
      <c r="X177" s="9"/>
      <c r="Y177" s="22">
        <v>1.0191300000000001</v>
      </c>
      <c r="Z177" s="22">
        <v>16.253399999999999</v>
      </c>
      <c r="AA177" s="22">
        <v>-1.42822E-2</v>
      </c>
      <c r="AB177" s="22">
        <v>167</v>
      </c>
      <c r="AC177" s="22">
        <v>1.01776</v>
      </c>
      <c r="AD177">
        <f t="shared" si="28"/>
        <v>17.632345679012342</v>
      </c>
      <c r="AE177">
        <f t="shared" si="29"/>
        <v>17.96965245185185</v>
      </c>
      <c r="AF177" s="9"/>
      <c r="AG177" s="22">
        <v>0.74096700000000004</v>
      </c>
      <c r="AH177" s="22">
        <v>20.1934</v>
      </c>
      <c r="AI177" s="22">
        <v>-1.4544700000000001E-2</v>
      </c>
      <c r="AJ177" s="22">
        <v>167</v>
      </c>
      <c r="AK177" s="22">
        <v>0.74023399999999995</v>
      </c>
      <c r="AL177">
        <f t="shared" si="30"/>
        <v>17.956419753086422</v>
      </c>
      <c r="AM177">
        <f t="shared" si="31"/>
        <v>13.305114475185187</v>
      </c>
      <c r="AP177" s="9"/>
      <c r="AQ177" s="22">
        <v>1.0191300000000001</v>
      </c>
      <c r="AR177" s="22">
        <v>25.826599999999999</v>
      </c>
      <c r="AS177" s="22">
        <v>-1.44409E-2</v>
      </c>
      <c r="AT177" s="22">
        <v>167</v>
      </c>
      <c r="AU177" s="22">
        <v>1.01837</v>
      </c>
      <c r="AV177">
        <f t="shared" si="32"/>
        <v>17.828271604938269</v>
      </c>
      <c r="AW177">
        <f t="shared" si="33"/>
        <v>18.16932644074074</v>
      </c>
      <c r="AX177" s="9"/>
      <c r="AY177" s="22">
        <v>0.74096700000000004</v>
      </c>
      <c r="AZ177" s="22">
        <v>29.7667</v>
      </c>
      <c r="BA177" s="22">
        <v>-1.4721700000000001E-2</v>
      </c>
      <c r="BB177" s="22">
        <v>167</v>
      </c>
      <c r="BC177" s="22">
        <v>0.74017299999999997</v>
      </c>
      <c r="BD177">
        <f t="shared" si="34"/>
        <v>18.174938271604937</v>
      </c>
      <c r="BE177">
        <f t="shared" si="35"/>
        <v>13.467029486296296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1.0141</v>
      </c>
      <c r="H178" s="22">
        <v>6.6852499999999999</v>
      </c>
      <c r="I178" s="22">
        <v>-1.4236499999999999E-2</v>
      </c>
      <c r="J178" s="22">
        <v>168</v>
      </c>
      <c r="K178" s="22">
        <v>1.01318</v>
      </c>
      <c r="L178">
        <f t="shared" si="24"/>
        <v>17.575925925925926</v>
      </c>
      <c r="M178">
        <f t="shared" si="25"/>
        <v>17.823746481481482</v>
      </c>
      <c r="N178" s="9"/>
      <c r="O178" s="22">
        <v>0.74600200000000005</v>
      </c>
      <c r="P178" s="22">
        <v>10.625299999999999</v>
      </c>
      <c r="Q178" s="22">
        <v>-1.4422600000000001E-2</v>
      </c>
      <c r="R178" s="22">
        <v>168</v>
      </c>
      <c r="S178" s="22">
        <v>0.74517800000000001</v>
      </c>
      <c r="T178">
        <f t="shared" si="26"/>
        <v>17.805679012345678</v>
      </c>
      <c r="U178">
        <f t="shared" si="27"/>
        <v>13.2830721545679</v>
      </c>
      <c r="X178" s="9"/>
      <c r="Y178" s="22">
        <v>1.0141</v>
      </c>
      <c r="Z178" s="22">
        <v>16.263500000000001</v>
      </c>
      <c r="AA178" s="22">
        <v>-1.42883E-2</v>
      </c>
      <c r="AB178" s="22">
        <v>168</v>
      </c>
      <c r="AC178" s="22">
        <v>1.01349</v>
      </c>
      <c r="AD178">
        <f t="shared" si="28"/>
        <v>17.639876543209876</v>
      </c>
      <c r="AE178">
        <f t="shared" si="29"/>
        <v>17.888598802469136</v>
      </c>
      <c r="AF178" s="9"/>
      <c r="AG178" s="22">
        <v>0.74600200000000005</v>
      </c>
      <c r="AH178" s="22">
        <v>20.203499999999998</v>
      </c>
      <c r="AI178" s="22">
        <v>-1.4544700000000001E-2</v>
      </c>
      <c r="AJ178" s="22">
        <v>168</v>
      </c>
      <c r="AK178" s="22">
        <v>0.74542200000000003</v>
      </c>
      <c r="AL178">
        <f t="shared" si="30"/>
        <v>17.956419753086422</v>
      </c>
      <c r="AM178">
        <f t="shared" si="31"/>
        <v>13.395525048641979</v>
      </c>
      <c r="AP178" s="9"/>
      <c r="AQ178" s="22">
        <v>1.0141</v>
      </c>
      <c r="AR178" s="22">
        <v>25.8367</v>
      </c>
      <c r="AS178" s="22">
        <v>-1.4444E-2</v>
      </c>
      <c r="AT178" s="22">
        <v>168</v>
      </c>
      <c r="AU178" s="22">
        <v>1.01318</v>
      </c>
      <c r="AV178">
        <f t="shared" si="32"/>
        <v>17.832098765432097</v>
      </c>
      <c r="AW178">
        <f t="shared" si="33"/>
        <v>18.08353135802469</v>
      </c>
      <c r="AX178" s="9"/>
      <c r="AY178" s="22">
        <v>0.74600200000000005</v>
      </c>
      <c r="AZ178" s="22">
        <v>29.776700000000002</v>
      </c>
      <c r="BA178" s="22">
        <v>-1.4721700000000001E-2</v>
      </c>
      <c r="BB178" s="22">
        <v>168</v>
      </c>
      <c r="BC178" s="22">
        <v>0.74536100000000005</v>
      </c>
      <c r="BD178">
        <f t="shared" si="34"/>
        <v>18.174938271604937</v>
      </c>
      <c r="BE178">
        <f t="shared" si="35"/>
        <v>13.558540300493828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1.0090600000000001</v>
      </c>
      <c r="H179" s="22">
        <v>6.6953199999999997</v>
      </c>
      <c r="I179" s="22">
        <v>-1.4242599999999999E-2</v>
      </c>
      <c r="J179" s="22">
        <v>169</v>
      </c>
      <c r="K179" s="22">
        <v>1.0083</v>
      </c>
      <c r="L179">
        <f t="shared" si="24"/>
        <v>17.583456790123453</v>
      </c>
      <c r="M179">
        <f t="shared" si="25"/>
        <v>17.742762908641971</v>
      </c>
      <c r="N179" s="9"/>
      <c r="O179" s="22">
        <v>0.75103799999999998</v>
      </c>
      <c r="P179" s="22">
        <v>10.635400000000001</v>
      </c>
      <c r="Q179" s="22">
        <v>-1.4419599999999999E-2</v>
      </c>
      <c r="R179" s="22">
        <v>169</v>
      </c>
      <c r="S179" s="22">
        <v>0.75018300000000004</v>
      </c>
      <c r="T179">
        <f t="shared" si="26"/>
        <v>17.801975308641975</v>
      </c>
      <c r="U179">
        <f t="shared" si="27"/>
        <v>13.36995993185185</v>
      </c>
      <c r="X179" s="9"/>
      <c r="Y179" s="22">
        <v>1.0090600000000001</v>
      </c>
      <c r="Z179" s="22">
        <v>16.273499999999999</v>
      </c>
      <c r="AA179" s="22">
        <v>-1.4294400000000001E-2</v>
      </c>
      <c r="AB179" s="22">
        <v>169</v>
      </c>
      <c r="AC179" s="22">
        <v>1.00861</v>
      </c>
      <c r="AD179">
        <f t="shared" si="28"/>
        <v>17.647407407407407</v>
      </c>
      <c r="AE179">
        <f t="shared" si="29"/>
        <v>17.80729291851852</v>
      </c>
      <c r="AF179" s="9"/>
      <c r="AG179" s="22">
        <v>0.75103799999999998</v>
      </c>
      <c r="AH179" s="22">
        <v>20.2136</v>
      </c>
      <c r="AI179" s="22">
        <v>-1.45416E-2</v>
      </c>
      <c r="AJ179" s="22">
        <v>169</v>
      </c>
      <c r="AK179" s="22">
        <v>0.75021400000000005</v>
      </c>
      <c r="AL179">
        <f t="shared" si="30"/>
        <v>17.952592592592595</v>
      </c>
      <c r="AM179">
        <f t="shared" si="31"/>
        <v>13.483079235555557</v>
      </c>
      <c r="AP179" s="9"/>
      <c r="AQ179" s="22">
        <v>1.0090600000000001</v>
      </c>
      <c r="AR179" s="22">
        <v>25.846800000000002</v>
      </c>
      <c r="AS179" s="22">
        <v>-1.44501E-2</v>
      </c>
      <c r="AT179" s="22">
        <v>169</v>
      </c>
      <c r="AU179" s="22">
        <v>1.008</v>
      </c>
      <c r="AV179">
        <f t="shared" si="32"/>
        <v>17.839629629629631</v>
      </c>
      <c r="AW179">
        <f t="shared" si="33"/>
        <v>18.001256674074078</v>
      </c>
      <c r="AX179" s="9"/>
      <c r="AY179" s="22">
        <v>0.75103799999999998</v>
      </c>
      <c r="AZ179" s="22">
        <v>29.786799999999999</v>
      </c>
      <c r="BA179" s="22">
        <v>-1.4715600000000001E-2</v>
      </c>
      <c r="BB179" s="22">
        <v>169</v>
      </c>
      <c r="BC179" s="22">
        <v>0.75036599999999998</v>
      </c>
      <c r="BD179">
        <f t="shared" si="34"/>
        <v>18.167407407407406</v>
      </c>
      <c r="BE179">
        <f t="shared" si="35"/>
        <v>13.644413324444443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1.00403</v>
      </c>
      <c r="H180" s="22">
        <v>6.7053900000000004</v>
      </c>
      <c r="I180" s="22">
        <v>-1.4251700000000001E-2</v>
      </c>
      <c r="J180" s="22">
        <v>170</v>
      </c>
      <c r="K180" s="22">
        <v>1.0031099999999999</v>
      </c>
      <c r="L180">
        <f t="shared" si="24"/>
        <v>17.594691358024694</v>
      </c>
      <c r="M180">
        <f t="shared" si="25"/>
        <v>17.665597964197534</v>
      </c>
      <c r="N180" s="9"/>
      <c r="O180" s="22">
        <v>0.756073</v>
      </c>
      <c r="P180" s="22">
        <v>10.6454</v>
      </c>
      <c r="Q180" s="22">
        <v>-1.44165E-2</v>
      </c>
      <c r="R180" s="22">
        <v>170</v>
      </c>
      <c r="S180" s="22">
        <v>0.75531000000000004</v>
      </c>
      <c r="T180">
        <f t="shared" si="26"/>
        <v>17.798148148148147</v>
      </c>
      <c r="U180">
        <f t="shared" si="27"/>
        <v>13.456699264814814</v>
      </c>
      <c r="X180" s="9"/>
      <c r="Y180" s="22">
        <v>1.00403</v>
      </c>
      <c r="Z180" s="22">
        <v>16.2836</v>
      </c>
      <c r="AA180" s="22">
        <v>-1.43036E-2</v>
      </c>
      <c r="AB180" s="22">
        <v>170</v>
      </c>
      <c r="AC180" s="22">
        <v>1.0031099999999999</v>
      </c>
      <c r="AD180">
        <f t="shared" si="28"/>
        <v>17.658765432098765</v>
      </c>
      <c r="AE180">
        <f t="shared" si="29"/>
        <v>17.729930256790123</v>
      </c>
      <c r="AF180" s="9"/>
      <c r="AG180" s="22">
        <v>0.756073</v>
      </c>
      <c r="AH180" s="22">
        <v>20.223700000000001</v>
      </c>
      <c r="AI180" s="22">
        <v>-1.45386E-2</v>
      </c>
      <c r="AJ180" s="22">
        <v>170</v>
      </c>
      <c r="AK180" s="22">
        <v>0.75531000000000004</v>
      </c>
      <c r="AL180">
        <f t="shared" si="30"/>
        <v>17.948888888888888</v>
      </c>
      <c r="AM180">
        <f t="shared" si="31"/>
        <v>13.570670268888888</v>
      </c>
      <c r="AP180" s="9"/>
      <c r="AQ180" s="22">
        <v>1.00403</v>
      </c>
      <c r="AR180" s="22">
        <v>25.8568</v>
      </c>
      <c r="AS180" s="22">
        <v>-1.4456200000000001E-2</v>
      </c>
      <c r="AT180" s="22">
        <v>170</v>
      </c>
      <c r="AU180" s="22">
        <v>1.00281</v>
      </c>
      <c r="AV180">
        <f t="shared" si="32"/>
        <v>17.847160493827161</v>
      </c>
      <c r="AW180">
        <f t="shared" si="33"/>
        <v>17.919084550617285</v>
      </c>
      <c r="AX180" s="9"/>
      <c r="AY180" s="22">
        <v>0.756073</v>
      </c>
      <c r="AZ180" s="22">
        <v>29.796900000000001</v>
      </c>
      <c r="BA180" s="22">
        <v>-1.47095E-2</v>
      </c>
      <c r="BB180" s="22">
        <v>170</v>
      </c>
      <c r="BC180" s="22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0.99899300000000002</v>
      </c>
      <c r="H181" s="22">
        <v>6.7154600000000002</v>
      </c>
      <c r="I181" s="22">
        <v>-1.42548E-2</v>
      </c>
      <c r="J181" s="22">
        <v>171</v>
      </c>
      <c r="K181" s="22">
        <v>0.99822999999999995</v>
      </c>
      <c r="L181">
        <f t="shared" si="24"/>
        <v>17.598518518518517</v>
      </c>
      <c r="M181">
        <f t="shared" si="25"/>
        <v>17.580796810370369</v>
      </c>
      <c r="N181" s="9"/>
      <c r="O181" s="22">
        <v>0.76110800000000001</v>
      </c>
      <c r="P181" s="22">
        <v>10.6555</v>
      </c>
      <c r="Q181" s="22">
        <v>-1.44104E-2</v>
      </c>
      <c r="R181" s="22">
        <v>171</v>
      </c>
      <c r="S181" s="22">
        <v>0.75958300000000001</v>
      </c>
      <c r="T181">
        <f t="shared" si="26"/>
        <v>17.790617283950617</v>
      </c>
      <c r="U181">
        <f t="shared" si="27"/>
        <v>13.540581139753087</v>
      </c>
      <c r="X181" s="9"/>
      <c r="Y181" s="22">
        <v>0.99899300000000002</v>
      </c>
      <c r="Z181" s="22">
        <v>16.293700000000001</v>
      </c>
      <c r="AA181" s="22">
        <v>-1.43097E-2</v>
      </c>
      <c r="AB181" s="22">
        <v>171</v>
      </c>
      <c r="AC181" s="22">
        <v>0.99822999999999995</v>
      </c>
      <c r="AD181">
        <f t="shared" si="28"/>
        <v>17.666296296296295</v>
      </c>
      <c r="AE181">
        <f t="shared" si="29"/>
        <v>17.648506335925926</v>
      </c>
      <c r="AF181" s="9"/>
      <c r="AG181" s="22">
        <v>0.76110800000000001</v>
      </c>
      <c r="AH181" s="22">
        <v>20.233699999999999</v>
      </c>
      <c r="AI181" s="22">
        <v>-1.45325E-2</v>
      </c>
      <c r="AJ181" s="22">
        <v>171</v>
      </c>
      <c r="AK181" s="22">
        <v>0.76019300000000001</v>
      </c>
      <c r="AL181">
        <f t="shared" si="30"/>
        <v>17.941358024691358</v>
      </c>
      <c r="AM181">
        <f t="shared" si="31"/>
        <v>13.655311123456789</v>
      </c>
      <c r="AP181" s="9"/>
      <c r="AQ181" s="22">
        <v>0.99899300000000002</v>
      </c>
      <c r="AR181" s="22">
        <v>25.866900000000001</v>
      </c>
      <c r="AS181" s="22">
        <v>-1.4462300000000001E-2</v>
      </c>
      <c r="AT181" s="22">
        <v>171</v>
      </c>
      <c r="AU181" s="22">
        <v>0.99822999999999995</v>
      </c>
      <c r="AV181">
        <f t="shared" si="32"/>
        <v>17.854691358024692</v>
      </c>
      <c r="AW181">
        <f t="shared" si="33"/>
        <v>17.836711683827161</v>
      </c>
      <c r="AX181" s="9"/>
      <c r="AY181" s="22">
        <v>0.76110800000000001</v>
      </c>
      <c r="AZ181" s="22">
        <v>29.806999999999999</v>
      </c>
      <c r="BA181" s="22">
        <v>-1.47064E-2</v>
      </c>
      <c r="BB181" s="22">
        <v>171</v>
      </c>
      <c r="BC181" s="22">
        <v>0.76019300000000001</v>
      </c>
      <c r="BD181">
        <f t="shared" si="34"/>
        <v>18.156049382716049</v>
      </c>
      <c r="BE181">
        <f t="shared" si="35"/>
        <v>13.818714433580247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0.99395800000000001</v>
      </c>
      <c r="H182" s="22">
        <v>6.72553</v>
      </c>
      <c r="I182" s="22">
        <v>-1.42609E-2</v>
      </c>
      <c r="J182" s="22">
        <v>172</v>
      </c>
      <c r="K182" s="22">
        <v>0.99273699999999998</v>
      </c>
      <c r="L182">
        <f t="shared" si="24"/>
        <v>17.606049382716048</v>
      </c>
      <c r="M182">
        <f t="shared" si="25"/>
        <v>17.499673632345676</v>
      </c>
      <c r="N182" s="9"/>
      <c r="O182" s="22">
        <v>0.76614400000000005</v>
      </c>
      <c r="P182" s="22">
        <v>10.6656</v>
      </c>
      <c r="Q182" s="22">
        <v>-1.44043E-2</v>
      </c>
      <c r="R182" s="22">
        <v>172</v>
      </c>
      <c r="S182" s="22">
        <v>0.76568599999999998</v>
      </c>
      <c r="T182">
        <f t="shared" si="26"/>
        <v>17.783086419753086</v>
      </c>
      <c r="U182">
        <f t="shared" si="27"/>
        <v>13.62440496197531</v>
      </c>
      <c r="X182" s="9"/>
      <c r="Y182" s="22">
        <v>0.99395800000000001</v>
      </c>
      <c r="Z182" s="22">
        <v>16.303799999999999</v>
      </c>
      <c r="AA182" s="22">
        <v>-1.43158E-2</v>
      </c>
      <c r="AB182" s="22">
        <v>172</v>
      </c>
      <c r="AC182" s="22">
        <v>0.99334699999999998</v>
      </c>
      <c r="AD182">
        <f t="shared" si="28"/>
        <v>17.673827160493826</v>
      </c>
      <c r="AE182">
        <f t="shared" si="29"/>
        <v>17.567041896790123</v>
      </c>
      <c r="AF182" s="9"/>
      <c r="AG182" s="22">
        <v>0.76614400000000005</v>
      </c>
      <c r="AH182" s="22">
        <v>20.2438</v>
      </c>
      <c r="AI182" s="22">
        <v>-1.4523299999999999E-2</v>
      </c>
      <c r="AJ182" s="22">
        <v>172</v>
      </c>
      <c r="AK182" s="22">
        <v>0.76507599999999998</v>
      </c>
      <c r="AL182">
        <f t="shared" si="30"/>
        <v>17.93</v>
      </c>
      <c r="AM182">
        <f t="shared" si="31"/>
        <v>13.736961920000001</v>
      </c>
      <c r="AP182" s="9"/>
      <c r="AQ182" s="22">
        <v>0.99395800000000001</v>
      </c>
      <c r="AR182" s="22">
        <v>25.876999999999999</v>
      </c>
      <c r="AS182" s="22">
        <v>-1.4468399999999999E-2</v>
      </c>
      <c r="AT182" s="22">
        <v>172</v>
      </c>
      <c r="AU182" s="22">
        <v>0.99334699999999998</v>
      </c>
      <c r="AV182">
        <f t="shared" si="32"/>
        <v>17.862222222222222</v>
      </c>
      <c r="AW182">
        <f t="shared" si="33"/>
        <v>17.754298675555557</v>
      </c>
      <c r="AX182" s="9"/>
      <c r="AY182" s="22">
        <v>0.76614400000000005</v>
      </c>
      <c r="AZ182" s="22">
        <v>29.817</v>
      </c>
      <c r="BA182" s="22">
        <v>-1.4700299999999999E-2</v>
      </c>
      <c r="BB182" s="22">
        <v>172</v>
      </c>
      <c r="BC182" s="22">
        <v>0.76538099999999998</v>
      </c>
      <c r="BD182">
        <f t="shared" si="34"/>
        <v>18.148518518518514</v>
      </c>
      <c r="BE182">
        <f t="shared" si="35"/>
        <v>13.904378571851849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0.98892199999999997</v>
      </c>
      <c r="H183" s="22">
        <v>6.7356100000000003</v>
      </c>
      <c r="I183" s="22">
        <v>-1.4263899999999999E-2</v>
      </c>
      <c r="J183" s="22">
        <v>173</v>
      </c>
      <c r="K183" s="22">
        <v>0.98815900000000001</v>
      </c>
      <c r="L183">
        <f t="shared" si="24"/>
        <v>17.609753086419751</v>
      </c>
      <c r="M183">
        <f t="shared" si="25"/>
        <v>17.414672241728393</v>
      </c>
      <c r="N183" s="9"/>
      <c r="O183" s="22">
        <v>0.77117899999999995</v>
      </c>
      <c r="P183" s="22">
        <v>10.675599999999999</v>
      </c>
      <c r="Q183" s="22">
        <v>-1.43921E-2</v>
      </c>
      <c r="R183" s="22">
        <v>173</v>
      </c>
      <c r="S183" s="22">
        <v>0.76995800000000003</v>
      </c>
      <c r="T183">
        <f t="shared" si="26"/>
        <v>17.768024691358022</v>
      </c>
      <c r="U183">
        <f t="shared" si="27"/>
        <v>13.702327513456787</v>
      </c>
      <c r="X183" s="9"/>
      <c r="Y183" s="22">
        <v>0.98892199999999997</v>
      </c>
      <c r="Z183" s="22">
        <v>16.313800000000001</v>
      </c>
      <c r="AA183" s="22">
        <v>-1.43188E-2</v>
      </c>
      <c r="AB183" s="22">
        <v>173</v>
      </c>
      <c r="AC183" s="22">
        <v>0.98877000000000004</v>
      </c>
      <c r="AD183">
        <f t="shared" si="28"/>
        <v>17.677530864197529</v>
      </c>
      <c r="AE183">
        <f t="shared" si="29"/>
        <v>17.481699177283947</v>
      </c>
      <c r="AF183" s="9"/>
      <c r="AG183" s="22">
        <v>0.77117899999999995</v>
      </c>
      <c r="AH183" s="22">
        <v>20.253900000000002</v>
      </c>
      <c r="AI183" s="22">
        <v>-1.4517199999999999E-2</v>
      </c>
      <c r="AJ183" s="22">
        <v>173</v>
      </c>
      <c r="AK183" s="22">
        <v>0.77056899999999995</v>
      </c>
      <c r="AL183">
        <f t="shared" si="30"/>
        <v>17.922469135802466</v>
      </c>
      <c r="AM183">
        <f t="shared" si="31"/>
        <v>13.821431825679008</v>
      </c>
      <c r="AP183" s="9"/>
      <c r="AQ183" s="22">
        <v>0.98892199999999997</v>
      </c>
      <c r="AR183" s="22">
        <v>25.8871</v>
      </c>
      <c r="AS183" s="22">
        <v>-1.4471400000000001E-2</v>
      </c>
      <c r="AT183" s="22">
        <v>173</v>
      </c>
      <c r="AU183" s="22">
        <v>0.98754900000000001</v>
      </c>
      <c r="AV183">
        <f t="shared" si="32"/>
        <v>17.865925925925925</v>
      </c>
      <c r="AW183">
        <f t="shared" si="33"/>
        <v>17.668007198518517</v>
      </c>
      <c r="AX183" s="9"/>
      <c r="AY183" s="22">
        <v>0.77117899999999995</v>
      </c>
      <c r="AZ183" s="22">
        <v>29.827100000000002</v>
      </c>
      <c r="BA183" s="22">
        <v>-1.46912E-2</v>
      </c>
      <c r="BB183" s="22">
        <v>173</v>
      </c>
      <c r="BC183" s="22">
        <v>0.76995800000000003</v>
      </c>
      <c r="BD183">
        <f t="shared" si="34"/>
        <v>18.137283950617284</v>
      </c>
      <c r="BE183">
        <f t="shared" si="35"/>
        <v>13.987092499753086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0.98388699999999996</v>
      </c>
      <c r="H184" s="22">
        <v>6.7456800000000001</v>
      </c>
      <c r="I184" s="22">
        <v>-1.4267E-2</v>
      </c>
      <c r="J184" s="22">
        <v>174</v>
      </c>
      <c r="K184" s="22">
        <v>0.98297100000000004</v>
      </c>
      <c r="L184">
        <f t="shared" si="24"/>
        <v>17.613580246913582</v>
      </c>
      <c r="M184">
        <f t="shared" si="25"/>
        <v>17.329772628395062</v>
      </c>
      <c r="N184" s="9"/>
      <c r="O184" s="22">
        <v>0.77621499999999999</v>
      </c>
      <c r="P184" s="22">
        <v>10.685700000000001</v>
      </c>
      <c r="Q184" s="22">
        <v>-1.4382900000000001E-2</v>
      </c>
      <c r="R184" s="22">
        <v>174</v>
      </c>
      <c r="S184" s="22">
        <v>0.775146</v>
      </c>
      <c r="T184">
        <f t="shared" si="26"/>
        <v>17.756666666666668</v>
      </c>
      <c r="U184">
        <f t="shared" si="27"/>
        <v>13.782991016666667</v>
      </c>
      <c r="X184" s="9"/>
      <c r="Y184" s="22">
        <v>0.98388699999999996</v>
      </c>
      <c r="Z184" s="22">
        <v>16.323899999999998</v>
      </c>
      <c r="AA184" s="22">
        <v>-1.43219E-2</v>
      </c>
      <c r="AB184" s="22">
        <v>174</v>
      </c>
      <c r="AC184" s="22">
        <v>0.98266600000000004</v>
      </c>
      <c r="AD184">
        <f t="shared" si="28"/>
        <v>17.68135802469136</v>
      </c>
      <c r="AE184">
        <f t="shared" si="29"/>
        <v>17.396458302839505</v>
      </c>
      <c r="AF184" s="9"/>
      <c r="AG184" s="22">
        <v>0.77621499999999999</v>
      </c>
      <c r="AH184" s="22">
        <v>20.2639</v>
      </c>
      <c r="AI184" s="22">
        <v>-1.4511100000000001E-2</v>
      </c>
      <c r="AJ184" s="22">
        <v>174</v>
      </c>
      <c r="AK184" s="22">
        <v>0.77575700000000003</v>
      </c>
      <c r="AL184">
        <f t="shared" si="30"/>
        <v>17.914938271604939</v>
      </c>
      <c r="AM184">
        <f t="shared" si="31"/>
        <v>13.905843810493828</v>
      </c>
      <c r="AP184" s="9"/>
      <c r="AQ184" s="22">
        <v>0.98388699999999996</v>
      </c>
      <c r="AR184" s="22">
        <v>25.897099999999998</v>
      </c>
      <c r="AS184" s="22">
        <v>-1.4477500000000001E-2</v>
      </c>
      <c r="AT184" s="22">
        <v>174</v>
      </c>
      <c r="AU184" s="22">
        <v>0.98236100000000004</v>
      </c>
      <c r="AV184">
        <f t="shared" si="32"/>
        <v>17.873456790123456</v>
      </c>
      <c r="AW184">
        <f t="shared" si="33"/>
        <v>17.585461780864197</v>
      </c>
      <c r="AX184" s="9"/>
      <c r="AY184" s="22">
        <v>0.77621499999999999</v>
      </c>
      <c r="AZ184" s="22">
        <v>29.837199999999999</v>
      </c>
      <c r="BA184" s="22">
        <v>-1.46851E-2</v>
      </c>
      <c r="BB184" s="22">
        <v>174</v>
      </c>
      <c r="BC184" s="22">
        <v>0.775146</v>
      </c>
      <c r="BD184">
        <f t="shared" si="34"/>
        <v>18.12975308641975</v>
      </c>
      <c r="BE184">
        <f t="shared" si="35"/>
        <v>14.072586291975306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0.97885100000000003</v>
      </c>
      <c r="H185" s="22">
        <v>6.7557499999999999</v>
      </c>
      <c r="I185" s="22">
        <v>-1.42761E-2</v>
      </c>
      <c r="J185" s="22">
        <v>175</v>
      </c>
      <c r="K185" s="22">
        <v>0.97778299999999996</v>
      </c>
      <c r="L185">
        <f t="shared" si="24"/>
        <v>17.624814814814812</v>
      </c>
      <c r="M185">
        <f t="shared" si="25"/>
        <v>17.252067606296293</v>
      </c>
      <c r="N185" s="9"/>
      <c r="O185" s="22">
        <v>0.78125</v>
      </c>
      <c r="P185" s="22">
        <v>10.6958</v>
      </c>
      <c r="Q185" s="22">
        <v>-1.43768E-2</v>
      </c>
      <c r="R185" s="22">
        <v>175</v>
      </c>
      <c r="S185" s="22">
        <v>0.78033399999999997</v>
      </c>
      <c r="T185">
        <f t="shared" si="26"/>
        <v>17.749135802469137</v>
      </c>
      <c r="U185">
        <f t="shared" si="27"/>
        <v>13.866512345679013</v>
      </c>
      <c r="X185" s="9"/>
      <c r="Y185" s="22">
        <v>0.97885100000000003</v>
      </c>
      <c r="Z185" s="22">
        <v>16.334</v>
      </c>
      <c r="AA185" s="22">
        <v>-1.43219E-2</v>
      </c>
      <c r="AB185" s="22">
        <v>175</v>
      </c>
      <c r="AC185" s="22">
        <v>0.97778299999999996</v>
      </c>
      <c r="AD185">
        <f t="shared" si="28"/>
        <v>17.68135802469136</v>
      </c>
      <c r="AE185">
        <f t="shared" si="29"/>
        <v>17.307414983827162</v>
      </c>
      <c r="AF185" s="9"/>
      <c r="AG185" s="22">
        <v>0.78125</v>
      </c>
      <c r="AH185" s="22">
        <v>20.274000000000001</v>
      </c>
      <c r="AI185" s="22">
        <v>-1.4508099999999999E-2</v>
      </c>
      <c r="AJ185" s="22">
        <v>175</v>
      </c>
      <c r="AK185" s="22">
        <v>0.78064</v>
      </c>
      <c r="AL185">
        <f t="shared" si="30"/>
        <v>17.911234567901232</v>
      </c>
      <c r="AM185">
        <f t="shared" si="31"/>
        <v>13.993152006172838</v>
      </c>
      <c r="AP185" s="9"/>
      <c r="AQ185" s="22">
        <v>0.97885100000000003</v>
      </c>
      <c r="AR185" s="22">
        <v>25.9072</v>
      </c>
      <c r="AS185" s="22">
        <v>-1.44867E-2</v>
      </c>
      <c r="AT185" s="22">
        <v>175</v>
      </c>
      <c r="AU185" s="22">
        <v>0.97778299999999996</v>
      </c>
      <c r="AV185">
        <f t="shared" si="32"/>
        <v>17.884814814814817</v>
      </c>
      <c r="AW185">
        <f t="shared" si="33"/>
        <v>17.506568866296298</v>
      </c>
      <c r="AX185" s="9"/>
      <c r="AY185" s="22">
        <v>0.78125</v>
      </c>
      <c r="AZ185" s="22">
        <v>29.847200000000001</v>
      </c>
      <c r="BA185" s="22">
        <v>-1.4682000000000001E-2</v>
      </c>
      <c r="BB185" s="22">
        <v>175</v>
      </c>
      <c r="BC185" s="22">
        <v>0.78033399999999997</v>
      </c>
      <c r="BD185">
        <f t="shared" si="34"/>
        <v>18.125925925925923</v>
      </c>
      <c r="BE185">
        <f t="shared" si="35"/>
        <v>14.160879629629628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0.97381600000000001</v>
      </c>
      <c r="H186" s="22">
        <v>6.7658199999999997</v>
      </c>
      <c r="I186" s="22">
        <v>-1.4279200000000001E-2</v>
      </c>
      <c r="J186" s="22">
        <v>176</v>
      </c>
      <c r="K186" s="22">
        <v>0.97198499999999999</v>
      </c>
      <c r="L186">
        <f t="shared" si="24"/>
        <v>17.628641975308639</v>
      </c>
      <c r="M186">
        <f t="shared" si="25"/>
        <v>17.167053613827157</v>
      </c>
      <c r="N186" s="9"/>
      <c r="O186" s="22">
        <v>0.78628500000000001</v>
      </c>
      <c r="P186" s="22">
        <v>10.7059</v>
      </c>
      <c r="Q186" s="22">
        <v>-1.43768E-2</v>
      </c>
      <c r="R186" s="22">
        <v>176</v>
      </c>
      <c r="S186" s="22">
        <v>0.78552200000000005</v>
      </c>
      <c r="T186">
        <f t="shared" si="26"/>
        <v>17.749135802469137</v>
      </c>
      <c r="U186">
        <f t="shared" si="27"/>
        <v>13.955879244444446</v>
      </c>
      <c r="X186" s="9"/>
      <c r="Y186" s="22">
        <v>0.97381600000000001</v>
      </c>
      <c r="Z186" s="22">
        <v>16.344000000000001</v>
      </c>
      <c r="AA186" s="22">
        <v>-1.4324999999999999E-2</v>
      </c>
      <c r="AB186" s="22">
        <v>176</v>
      </c>
      <c r="AC186" s="22">
        <v>0.97228999999999999</v>
      </c>
      <c r="AD186">
        <f t="shared" si="28"/>
        <v>17.685185185185183</v>
      </c>
      <c r="AE186">
        <f t="shared" si="29"/>
        <v>17.222116296296296</v>
      </c>
      <c r="AF186" s="9"/>
      <c r="AG186" s="22">
        <v>0.78628500000000001</v>
      </c>
      <c r="AH186" s="22">
        <v>20.284099999999999</v>
      </c>
      <c r="AI186" s="22">
        <v>-1.4505000000000001E-2</v>
      </c>
      <c r="AJ186" s="22">
        <v>176</v>
      </c>
      <c r="AK186" s="22">
        <v>0.78552200000000005</v>
      </c>
      <c r="AL186">
        <f t="shared" si="30"/>
        <v>17.907407407407408</v>
      </c>
      <c r="AM186">
        <f t="shared" si="31"/>
        <v>14.080325833333335</v>
      </c>
      <c r="AP186" s="9"/>
      <c r="AQ186" s="22">
        <v>0.97381600000000001</v>
      </c>
      <c r="AR186" s="22">
        <v>25.917300000000001</v>
      </c>
      <c r="AS186" s="22">
        <v>-1.44928E-2</v>
      </c>
      <c r="AT186" s="22">
        <v>176</v>
      </c>
      <c r="AU186" s="22">
        <v>0.97259499999999999</v>
      </c>
      <c r="AV186">
        <f t="shared" si="32"/>
        <v>17.892345679012344</v>
      </c>
      <c r="AW186">
        <f t="shared" si="33"/>
        <v>17.423852499753085</v>
      </c>
      <c r="AX186" s="9"/>
      <c r="AY186" s="22">
        <v>0.78628500000000001</v>
      </c>
      <c r="AZ186" s="22">
        <v>29.857299999999999</v>
      </c>
      <c r="BA186" s="22">
        <v>-1.4672899999999999E-2</v>
      </c>
      <c r="BB186" s="22">
        <v>176</v>
      </c>
      <c r="BC186" s="22">
        <v>0.78582799999999997</v>
      </c>
      <c r="BD186">
        <f t="shared" si="34"/>
        <v>18.11469135802469</v>
      </c>
      <c r="BE186">
        <f t="shared" si="35"/>
        <v>14.243310094444443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0.968781</v>
      </c>
      <c r="H187" s="22">
        <v>6.7758900000000004</v>
      </c>
      <c r="I187" s="22">
        <v>-1.4285300000000001E-2</v>
      </c>
      <c r="J187" s="22">
        <v>177</v>
      </c>
      <c r="K187" s="22">
        <v>0.96801800000000005</v>
      </c>
      <c r="L187">
        <f t="shared" si="24"/>
        <v>17.636172839506173</v>
      </c>
      <c r="M187">
        <f t="shared" si="25"/>
        <v>17.085589159629631</v>
      </c>
      <c r="N187" s="9"/>
      <c r="O187" s="22">
        <v>0.79132100000000005</v>
      </c>
      <c r="P187" s="22">
        <v>10.7159</v>
      </c>
      <c r="Q187" s="22">
        <v>-1.43707E-2</v>
      </c>
      <c r="R187" s="22">
        <v>177</v>
      </c>
      <c r="S187" s="22">
        <v>0.79071000000000002</v>
      </c>
      <c r="T187">
        <f t="shared" si="26"/>
        <v>17.741604938271603</v>
      </c>
      <c r="U187">
        <f t="shared" si="27"/>
        <v>14.039304561358025</v>
      </c>
      <c r="X187" s="9"/>
      <c r="Y187" s="22">
        <v>0.968781</v>
      </c>
      <c r="Z187" s="22">
        <v>16.354099999999999</v>
      </c>
      <c r="AA187" s="22">
        <v>-1.4331099999999999E-2</v>
      </c>
      <c r="AB187" s="22">
        <v>177</v>
      </c>
      <c r="AC187" s="22">
        <v>0.96710200000000002</v>
      </c>
      <c r="AD187">
        <f t="shared" si="28"/>
        <v>17.692716049382714</v>
      </c>
      <c r="AE187">
        <f t="shared" si="29"/>
        <v>17.140367147037036</v>
      </c>
      <c r="AF187" s="9"/>
      <c r="AG187" s="22">
        <v>0.79132100000000005</v>
      </c>
      <c r="AH187" s="22">
        <v>20.2942</v>
      </c>
      <c r="AI187" s="22">
        <v>-1.4501999999999999E-2</v>
      </c>
      <c r="AJ187" s="22">
        <v>177</v>
      </c>
      <c r="AK187" s="22">
        <v>0.79040500000000002</v>
      </c>
      <c r="AL187">
        <f t="shared" si="30"/>
        <v>17.903703703703702</v>
      </c>
      <c r="AM187">
        <f t="shared" si="31"/>
        <v>14.167576718518518</v>
      </c>
      <c r="AP187" s="9"/>
      <c r="AQ187" s="22">
        <v>0.968781</v>
      </c>
      <c r="AR187" s="22">
        <v>25.927299999999999</v>
      </c>
      <c r="AS187" s="22">
        <v>-1.44989E-2</v>
      </c>
      <c r="AT187" s="22">
        <v>177</v>
      </c>
      <c r="AU187" s="22">
        <v>0.96801800000000005</v>
      </c>
      <c r="AV187">
        <f t="shared" si="32"/>
        <v>17.899876543209874</v>
      </c>
      <c r="AW187">
        <f t="shared" si="33"/>
        <v>17.341060297407406</v>
      </c>
      <c r="AX187" s="9"/>
      <c r="AY187" s="22">
        <v>0.79132100000000005</v>
      </c>
      <c r="AZ187" s="22">
        <v>29.8674</v>
      </c>
      <c r="BA187" s="22">
        <v>-1.46698E-2</v>
      </c>
      <c r="BB187" s="22">
        <v>177</v>
      </c>
      <c r="BC187" s="22">
        <v>0.79040500000000002</v>
      </c>
      <c r="BD187">
        <f t="shared" si="34"/>
        <v>18.110864197530866</v>
      </c>
      <c r="BE187">
        <f t="shared" si="35"/>
        <v>14.331507167654323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0.96374499999999996</v>
      </c>
      <c r="H188" s="22">
        <v>6.7859600000000002</v>
      </c>
      <c r="I188" s="22">
        <v>-1.4291399999999999E-2</v>
      </c>
      <c r="J188" s="22">
        <v>178</v>
      </c>
      <c r="K188" s="22">
        <v>0.96282999999999996</v>
      </c>
      <c r="L188">
        <f t="shared" si="24"/>
        <v>17.643703703703704</v>
      </c>
      <c r="M188">
        <f t="shared" si="25"/>
        <v>17.004031225925925</v>
      </c>
      <c r="N188" s="9"/>
      <c r="O188" s="22">
        <v>0.79635599999999995</v>
      </c>
      <c r="P188" s="22">
        <v>10.726000000000001</v>
      </c>
      <c r="Q188" s="22">
        <v>-1.43646E-2</v>
      </c>
      <c r="R188" s="22">
        <v>178</v>
      </c>
      <c r="S188" s="22">
        <v>0.79528799999999999</v>
      </c>
      <c r="T188">
        <f t="shared" si="26"/>
        <v>17.734074074074073</v>
      </c>
      <c r="U188">
        <f t="shared" si="27"/>
        <v>14.122636293333331</v>
      </c>
      <c r="X188" s="9"/>
      <c r="Y188" s="22">
        <v>0.96374499999999996</v>
      </c>
      <c r="Z188" s="22">
        <v>16.3642</v>
      </c>
      <c r="AA188" s="22">
        <v>-1.43372E-2</v>
      </c>
      <c r="AB188" s="22">
        <v>178</v>
      </c>
      <c r="AC188" s="22">
        <v>0.96282999999999996</v>
      </c>
      <c r="AD188">
        <f t="shared" si="28"/>
        <v>17.700246913580244</v>
      </c>
      <c r="AE188">
        <f t="shared" si="29"/>
        <v>17.058524461728393</v>
      </c>
      <c r="AF188" s="9"/>
      <c r="AG188" s="22">
        <v>0.79635599999999995</v>
      </c>
      <c r="AH188" s="22">
        <v>20.304200000000002</v>
      </c>
      <c r="AI188" s="22">
        <v>-1.44989E-2</v>
      </c>
      <c r="AJ188" s="22">
        <v>178</v>
      </c>
      <c r="AK188" s="22">
        <v>0.79559299999999999</v>
      </c>
      <c r="AL188">
        <f t="shared" si="30"/>
        <v>17.899876543209874</v>
      </c>
      <c r="AM188">
        <f t="shared" si="31"/>
        <v>14.254674084444442</v>
      </c>
      <c r="AP188" s="9"/>
      <c r="AQ188" s="22">
        <v>0.96374499999999996</v>
      </c>
      <c r="AR188" s="22">
        <v>25.9374</v>
      </c>
      <c r="AS188" s="22">
        <v>-1.4501999999999999E-2</v>
      </c>
      <c r="AT188" s="22">
        <v>178</v>
      </c>
      <c r="AU188" s="22">
        <v>0.96313499999999996</v>
      </c>
      <c r="AV188">
        <f t="shared" si="32"/>
        <v>17.903703703703702</v>
      </c>
      <c r="AW188">
        <f t="shared" si="33"/>
        <v>17.254604925925925</v>
      </c>
      <c r="AX188" s="9"/>
      <c r="AY188" s="22">
        <v>0.79635599999999995</v>
      </c>
      <c r="AZ188" s="22">
        <v>29.877500000000001</v>
      </c>
      <c r="BA188" s="22">
        <v>-1.46637E-2</v>
      </c>
      <c r="BB188" s="22">
        <v>178</v>
      </c>
      <c r="BC188" s="22">
        <v>0.79528799999999999</v>
      </c>
      <c r="BD188">
        <f t="shared" si="34"/>
        <v>18.103333333333332</v>
      </c>
      <c r="BE188">
        <f t="shared" si="35"/>
        <v>14.416698119999998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0.95870999999999995</v>
      </c>
      <c r="H189" s="22">
        <v>6.79603</v>
      </c>
      <c r="I189" s="22">
        <v>-1.4297499999999999E-2</v>
      </c>
      <c r="J189" s="22">
        <v>179</v>
      </c>
      <c r="K189" s="22">
        <v>0.95764199999999999</v>
      </c>
      <c r="L189">
        <f t="shared" si="24"/>
        <v>17.651234567901231</v>
      </c>
      <c r="M189">
        <f t="shared" si="25"/>
        <v>16.922415092592587</v>
      </c>
      <c r="N189" s="9"/>
      <c r="O189" s="22">
        <v>0.80139199999999999</v>
      </c>
      <c r="P189" s="22">
        <v>10.7361</v>
      </c>
      <c r="Q189" s="22">
        <v>-1.43616E-2</v>
      </c>
      <c r="R189" s="22">
        <v>179</v>
      </c>
      <c r="S189" s="22">
        <v>0.79956099999999997</v>
      </c>
      <c r="T189">
        <f t="shared" si="26"/>
        <v>17.73037037037037</v>
      </c>
      <c r="U189">
        <f t="shared" si="27"/>
        <v>14.20897697185185</v>
      </c>
      <c r="X189" s="9"/>
      <c r="Y189" s="22">
        <v>0.95870999999999995</v>
      </c>
      <c r="Z189" s="22">
        <v>16.374300000000002</v>
      </c>
      <c r="AA189" s="22">
        <v>-1.43372E-2</v>
      </c>
      <c r="AB189" s="22">
        <v>179</v>
      </c>
      <c r="AC189" s="22">
        <v>0.95794699999999999</v>
      </c>
      <c r="AD189">
        <f t="shared" si="28"/>
        <v>17.700246913580244</v>
      </c>
      <c r="AE189">
        <f t="shared" si="29"/>
        <v>16.969403718518514</v>
      </c>
      <c r="AF189" s="9"/>
      <c r="AG189" s="22">
        <v>0.80139199999999999</v>
      </c>
      <c r="AH189" s="22">
        <v>20.314299999999999</v>
      </c>
      <c r="AI189" s="22">
        <v>-1.44928E-2</v>
      </c>
      <c r="AJ189" s="22">
        <v>179</v>
      </c>
      <c r="AK189" s="22">
        <v>0.80047599999999997</v>
      </c>
      <c r="AL189">
        <f t="shared" si="30"/>
        <v>17.892345679012344</v>
      </c>
      <c r="AM189">
        <f t="shared" si="31"/>
        <v>14.33878268839506</v>
      </c>
      <c r="AP189" s="9"/>
      <c r="AQ189" s="22">
        <v>0.95870999999999995</v>
      </c>
      <c r="AR189" s="22">
        <v>25.947500000000002</v>
      </c>
      <c r="AS189" s="22">
        <v>-1.4505000000000001E-2</v>
      </c>
      <c r="AT189" s="22">
        <v>179</v>
      </c>
      <c r="AU189" s="22">
        <v>0.95794699999999999</v>
      </c>
      <c r="AV189">
        <f t="shared" si="32"/>
        <v>17.907407407407408</v>
      </c>
      <c r="AW189">
        <f t="shared" si="33"/>
        <v>17.168010555555554</v>
      </c>
      <c r="AX189" s="9"/>
      <c r="AY189" s="22">
        <v>0.80139199999999999</v>
      </c>
      <c r="AZ189" s="22">
        <v>29.887499999999999</v>
      </c>
      <c r="BA189" s="22">
        <v>-1.46576E-2</v>
      </c>
      <c r="BB189" s="22">
        <v>179</v>
      </c>
      <c r="BC189" s="22">
        <v>0.80017099999999997</v>
      </c>
      <c r="BD189">
        <f t="shared" si="34"/>
        <v>18.095802469135801</v>
      </c>
      <c r="BE189">
        <f t="shared" si="35"/>
        <v>14.501831332345677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0.95367400000000002</v>
      </c>
      <c r="H190" s="22">
        <v>6.8060999999999998</v>
      </c>
      <c r="I190" s="22">
        <v>-1.43036E-2</v>
      </c>
      <c r="J190" s="22">
        <v>180</v>
      </c>
      <c r="K190" s="22">
        <v>0.95275900000000002</v>
      </c>
      <c r="L190">
        <f t="shared" si="24"/>
        <v>17.658765432098765</v>
      </c>
      <c r="M190">
        <f t="shared" si="25"/>
        <v>16.840705464691357</v>
      </c>
      <c r="N190" s="9"/>
      <c r="O190" s="22">
        <v>0.806427</v>
      </c>
      <c r="P190" s="22">
        <v>10.7461</v>
      </c>
      <c r="Q190" s="22">
        <v>-1.43585E-2</v>
      </c>
      <c r="R190" s="22">
        <v>180</v>
      </c>
      <c r="S190" s="22">
        <v>0.80566400000000005</v>
      </c>
      <c r="T190">
        <f t="shared" si="26"/>
        <v>17.726543209876542</v>
      </c>
      <c r="U190">
        <f t="shared" si="27"/>
        <v>14.295163061111111</v>
      </c>
      <c r="X190" s="9"/>
      <c r="Y190" s="22">
        <v>0.95367400000000002</v>
      </c>
      <c r="Z190" s="22">
        <v>16.3843</v>
      </c>
      <c r="AA190" s="22">
        <v>-1.4340200000000001E-2</v>
      </c>
      <c r="AB190" s="22">
        <v>180</v>
      </c>
      <c r="AC190" s="22">
        <v>0.95245400000000002</v>
      </c>
      <c r="AD190">
        <f t="shared" si="28"/>
        <v>17.703950617283951</v>
      </c>
      <c r="AE190">
        <f t="shared" si="29"/>
        <v>16.883797400987653</v>
      </c>
      <c r="AF190" s="9"/>
      <c r="AG190" s="22">
        <v>0.806427</v>
      </c>
      <c r="AH190" s="22">
        <v>20.324400000000001</v>
      </c>
      <c r="AI190" s="22">
        <v>-1.44867E-2</v>
      </c>
      <c r="AJ190" s="22">
        <v>180</v>
      </c>
      <c r="AK190" s="22">
        <v>0.80505400000000005</v>
      </c>
      <c r="AL190">
        <f t="shared" si="30"/>
        <v>17.884814814814817</v>
      </c>
      <c r="AM190">
        <f t="shared" si="31"/>
        <v>14.422797556666669</v>
      </c>
      <c r="AP190" s="9"/>
      <c r="AQ190" s="22">
        <v>0.95367400000000002</v>
      </c>
      <c r="AR190" s="22">
        <v>25.957599999999999</v>
      </c>
      <c r="AS190" s="22">
        <v>-1.4508099999999999E-2</v>
      </c>
      <c r="AT190" s="22">
        <v>180</v>
      </c>
      <c r="AU190" s="22">
        <v>0.95275900000000002</v>
      </c>
      <c r="AV190">
        <f t="shared" si="32"/>
        <v>17.911234567901232</v>
      </c>
      <c r="AW190">
        <f t="shared" si="33"/>
        <v>17.081478715308641</v>
      </c>
      <c r="AX190" s="9"/>
      <c r="AY190" s="22">
        <v>0.806427</v>
      </c>
      <c r="AZ190" s="22">
        <v>29.897600000000001</v>
      </c>
      <c r="BA190" s="22">
        <v>-1.4654500000000001E-2</v>
      </c>
      <c r="BB190" s="22">
        <v>180</v>
      </c>
      <c r="BC190" s="22">
        <v>0.80566400000000005</v>
      </c>
      <c r="BD190">
        <f t="shared" si="34"/>
        <v>18.091975308641977</v>
      </c>
      <c r="BE190">
        <f t="shared" si="35"/>
        <v>14.589857372222225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0.94863900000000001</v>
      </c>
      <c r="H191" s="22">
        <v>6.8161699999999996</v>
      </c>
      <c r="I191" s="22">
        <v>-1.43097E-2</v>
      </c>
      <c r="J191" s="22">
        <v>181</v>
      </c>
      <c r="K191" s="22">
        <v>0.94696000000000002</v>
      </c>
      <c r="L191">
        <f t="shared" si="24"/>
        <v>17.666296296296295</v>
      </c>
      <c r="M191">
        <f t="shared" si="25"/>
        <v>16.758937652222222</v>
      </c>
      <c r="N191" s="9"/>
      <c r="O191" s="22">
        <v>0.81146200000000002</v>
      </c>
      <c r="P191" s="22">
        <v>10.7562</v>
      </c>
      <c r="Q191" s="22">
        <v>-1.43585E-2</v>
      </c>
      <c r="R191" s="22">
        <v>181</v>
      </c>
      <c r="S191" s="22">
        <v>0.81024200000000002</v>
      </c>
      <c r="T191">
        <f t="shared" si="26"/>
        <v>17.726543209876542</v>
      </c>
      <c r="U191">
        <f t="shared" si="27"/>
        <v>14.384416206172839</v>
      </c>
      <c r="X191" s="9"/>
      <c r="Y191" s="22">
        <v>0.94863900000000001</v>
      </c>
      <c r="Z191" s="22">
        <v>16.394400000000001</v>
      </c>
      <c r="AA191" s="22">
        <v>-1.4346299999999999E-2</v>
      </c>
      <c r="AB191" s="22">
        <v>181</v>
      </c>
      <c r="AC191" s="22">
        <v>0.94787600000000005</v>
      </c>
      <c r="AD191">
        <f t="shared" si="28"/>
        <v>17.711481481481481</v>
      </c>
      <c r="AE191">
        <f t="shared" si="29"/>
        <v>16.801802081111113</v>
      </c>
      <c r="AF191" s="9"/>
      <c r="AG191" s="22">
        <v>0.81146200000000002</v>
      </c>
      <c r="AH191" s="22">
        <v>20.334399999999999</v>
      </c>
      <c r="AI191" s="22">
        <v>-1.44806E-2</v>
      </c>
      <c r="AJ191" s="22">
        <v>181</v>
      </c>
      <c r="AK191" s="22">
        <v>0.81024200000000002</v>
      </c>
      <c r="AL191">
        <f t="shared" si="30"/>
        <v>17.877283950617283</v>
      </c>
      <c r="AM191">
        <f t="shared" si="31"/>
        <v>14.506736589135802</v>
      </c>
      <c r="AP191" s="9"/>
      <c r="AQ191" s="22">
        <v>0.94863900000000001</v>
      </c>
      <c r="AR191" s="22">
        <v>25.967600000000001</v>
      </c>
      <c r="AS191" s="22">
        <v>-1.4511100000000001E-2</v>
      </c>
      <c r="AT191" s="22">
        <v>181</v>
      </c>
      <c r="AU191" s="22">
        <v>0.94726600000000005</v>
      </c>
      <c r="AV191">
        <f t="shared" si="32"/>
        <v>17.914938271604939</v>
      </c>
      <c r="AW191">
        <f t="shared" si="33"/>
        <v>16.994809127037037</v>
      </c>
      <c r="AX191" s="9"/>
      <c r="AY191" s="22">
        <v>0.81146200000000002</v>
      </c>
      <c r="AZ191" s="22">
        <v>29.907699999999998</v>
      </c>
      <c r="BA191" s="22">
        <v>-1.4648400000000001E-2</v>
      </c>
      <c r="BB191" s="22">
        <v>181</v>
      </c>
      <c r="BC191" s="22">
        <v>0.81054700000000002</v>
      </c>
      <c r="BD191">
        <f t="shared" si="34"/>
        <v>18.084444444444443</v>
      </c>
      <c r="BE191">
        <f t="shared" si="35"/>
        <v>14.674839457777777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0.943604</v>
      </c>
      <c r="H192" s="22">
        <v>6.8262400000000003</v>
      </c>
      <c r="I192" s="22">
        <v>-1.43158E-2</v>
      </c>
      <c r="J192" s="22">
        <v>182</v>
      </c>
      <c r="K192" s="22">
        <v>0.94238299999999997</v>
      </c>
      <c r="L192">
        <f t="shared" si="24"/>
        <v>17.673827160493826</v>
      </c>
      <c r="M192">
        <f t="shared" si="25"/>
        <v>16.677094003950614</v>
      </c>
      <c r="N192" s="9"/>
      <c r="O192" s="22">
        <v>0.81649799999999995</v>
      </c>
      <c r="P192" s="22">
        <v>10.766299999999999</v>
      </c>
      <c r="Q192" s="22">
        <v>-1.43524E-2</v>
      </c>
      <c r="R192" s="22">
        <v>182</v>
      </c>
      <c r="S192" s="22">
        <v>0.81603999999999999</v>
      </c>
      <c r="T192">
        <f t="shared" si="26"/>
        <v>17.719012345679008</v>
      </c>
      <c r="U192">
        <f t="shared" si="27"/>
        <v>14.467538142222217</v>
      </c>
      <c r="X192" s="9"/>
      <c r="Y192" s="22">
        <v>0.943604</v>
      </c>
      <c r="Z192" s="22">
        <v>16.404499999999999</v>
      </c>
      <c r="AA192" s="22">
        <v>-1.43555E-2</v>
      </c>
      <c r="AB192" s="22">
        <v>182</v>
      </c>
      <c r="AC192" s="22">
        <v>0.94238299999999997</v>
      </c>
      <c r="AD192">
        <f t="shared" si="28"/>
        <v>17.722839506172836</v>
      </c>
      <c r="AE192">
        <f t="shared" si="29"/>
        <v>16.723342249382711</v>
      </c>
      <c r="AF192" s="9"/>
      <c r="AG192" s="22">
        <v>0.81649799999999995</v>
      </c>
      <c r="AH192" s="22">
        <v>20.3445</v>
      </c>
      <c r="AI192" s="22">
        <v>-1.4477500000000001E-2</v>
      </c>
      <c r="AJ192" s="22">
        <v>182</v>
      </c>
      <c r="AK192" s="22">
        <v>0.81542999999999999</v>
      </c>
      <c r="AL192">
        <f t="shared" si="30"/>
        <v>17.873456790123456</v>
      </c>
      <c r="AM192">
        <f t="shared" si="31"/>
        <v>14.59364172222222</v>
      </c>
      <c r="AP192" s="9"/>
      <c r="AQ192" s="22">
        <v>0.943604</v>
      </c>
      <c r="AR192" s="22">
        <v>25.977699999999999</v>
      </c>
      <c r="AS192" s="22">
        <v>-1.4517199999999999E-2</v>
      </c>
      <c r="AT192" s="22">
        <v>182</v>
      </c>
      <c r="AU192" s="22">
        <v>0.94207799999999997</v>
      </c>
      <c r="AV192">
        <f t="shared" si="32"/>
        <v>17.922469135802466</v>
      </c>
      <c r="AW192">
        <f t="shared" si="33"/>
        <v>16.911713566419749</v>
      </c>
      <c r="AX192" s="9"/>
      <c r="AY192" s="22">
        <v>0.81649799999999995</v>
      </c>
      <c r="AZ192" s="22">
        <v>29.9177</v>
      </c>
      <c r="BA192" s="22">
        <v>-1.46423E-2</v>
      </c>
      <c r="BB192" s="22">
        <v>182</v>
      </c>
      <c r="BC192" s="22">
        <v>0.81512499999999999</v>
      </c>
      <c r="BD192">
        <f t="shared" si="34"/>
        <v>18.076913580246913</v>
      </c>
      <c r="BE192">
        <f t="shared" si="35"/>
        <v>14.759763784444443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0.93856799999999996</v>
      </c>
      <c r="H193" s="22">
        <v>6.8363199999999997</v>
      </c>
      <c r="I193" s="22">
        <v>-1.4324999999999999E-2</v>
      </c>
      <c r="J193" s="22">
        <v>183</v>
      </c>
      <c r="K193" s="22">
        <v>0.937805</v>
      </c>
      <c r="L193">
        <f t="shared" si="24"/>
        <v>17.685185185185183</v>
      </c>
      <c r="M193">
        <f t="shared" si="25"/>
        <v>16.598748888888885</v>
      </c>
      <c r="N193" s="9"/>
      <c r="O193" s="22">
        <v>0.82153299999999996</v>
      </c>
      <c r="P193" s="22">
        <v>10.776400000000001</v>
      </c>
      <c r="Q193" s="22">
        <v>-1.4346299999999999E-2</v>
      </c>
      <c r="R193" s="22">
        <v>183</v>
      </c>
      <c r="S193" s="22">
        <v>0.82031299999999996</v>
      </c>
      <c r="T193">
        <f t="shared" si="26"/>
        <v>17.711481481481481</v>
      </c>
      <c r="U193">
        <f t="shared" si="27"/>
        <v>14.550566515925926</v>
      </c>
      <c r="X193" s="9"/>
      <c r="Y193" s="22">
        <v>0.93856799999999996</v>
      </c>
      <c r="Z193" s="22">
        <v>16.4145</v>
      </c>
      <c r="AA193" s="22">
        <v>-1.43616E-2</v>
      </c>
      <c r="AB193" s="22">
        <v>183</v>
      </c>
      <c r="AC193" s="22">
        <v>0.9375</v>
      </c>
      <c r="AD193">
        <f t="shared" si="28"/>
        <v>17.73037037037037</v>
      </c>
      <c r="AE193">
        <f t="shared" si="29"/>
        <v>16.641158257777775</v>
      </c>
      <c r="AF193" s="9"/>
      <c r="AG193" s="22">
        <v>0.82153299999999996</v>
      </c>
      <c r="AH193" s="22">
        <v>20.354600000000001</v>
      </c>
      <c r="AI193" s="22">
        <v>-1.4471400000000001E-2</v>
      </c>
      <c r="AJ193" s="22">
        <v>183</v>
      </c>
      <c r="AK193" s="22">
        <v>0.82061799999999996</v>
      </c>
      <c r="AL193">
        <f t="shared" si="30"/>
        <v>17.865925925925925</v>
      </c>
      <c r="AM193">
        <f t="shared" si="31"/>
        <v>14.677447723703702</v>
      </c>
      <c r="AP193" s="9"/>
      <c r="AQ193" s="22">
        <v>0.93856799999999996</v>
      </c>
      <c r="AR193" s="22">
        <v>25.9878</v>
      </c>
      <c r="AS193" s="22">
        <v>-1.4517199999999999E-2</v>
      </c>
      <c r="AT193" s="22">
        <v>183</v>
      </c>
      <c r="AU193" s="22">
        <v>0.937195</v>
      </c>
      <c r="AV193">
        <f t="shared" si="32"/>
        <v>17.922469135802466</v>
      </c>
      <c r="AW193">
        <f t="shared" si="33"/>
        <v>16.821456011851847</v>
      </c>
      <c r="AX193" s="9"/>
      <c r="AY193" s="22">
        <v>0.82153299999999996</v>
      </c>
      <c r="AZ193" s="22">
        <v>29.927800000000001</v>
      </c>
      <c r="BA193" s="22">
        <v>-1.46362E-2</v>
      </c>
      <c r="BB193" s="22">
        <v>183</v>
      </c>
      <c r="BC193" s="22">
        <v>0.82061799999999996</v>
      </c>
      <c r="BD193">
        <f t="shared" si="34"/>
        <v>18.069382716049383</v>
      </c>
      <c r="BE193">
        <f t="shared" si="35"/>
        <v>14.844594190864196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0.93353299999999995</v>
      </c>
      <c r="H194" s="22">
        <v>6.8463900000000004</v>
      </c>
      <c r="I194" s="22">
        <v>-1.4331099999999999E-2</v>
      </c>
      <c r="J194" s="22">
        <v>184</v>
      </c>
      <c r="K194" s="22">
        <v>0.93231200000000003</v>
      </c>
      <c r="L194">
        <f t="shared" si="24"/>
        <v>17.692716049382714</v>
      </c>
      <c r="M194">
        <f t="shared" si="25"/>
        <v>16.51673429172839</v>
      </c>
      <c r="N194" s="9"/>
      <c r="O194" s="22">
        <v>0.826569</v>
      </c>
      <c r="P194" s="22">
        <v>10.7864</v>
      </c>
      <c r="Q194" s="22">
        <v>-1.43433E-2</v>
      </c>
      <c r="R194" s="22">
        <v>184</v>
      </c>
      <c r="S194" s="22">
        <v>0.82580600000000004</v>
      </c>
      <c r="T194">
        <f t="shared" si="26"/>
        <v>17.707777777777778</v>
      </c>
      <c r="U194">
        <f t="shared" si="27"/>
        <v>14.636700170000001</v>
      </c>
      <c r="X194" s="9"/>
      <c r="Y194" s="22">
        <v>0.93353299999999995</v>
      </c>
      <c r="Z194" s="22">
        <v>16.424600000000002</v>
      </c>
      <c r="AA194" s="22">
        <v>-1.43707E-2</v>
      </c>
      <c r="AB194" s="22">
        <v>184</v>
      </c>
      <c r="AC194" s="22">
        <v>0.93200700000000003</v>
      </c>
      <c r="AD194">
        <f t="shared" si="28"/>
        <v>17.741604938271603</v>
      </c>
      <c r="AE194">
        <f t="shared" si="29"/>
        <v>16.562373682839503</v>
      </c>
      <c r="AF194" s="9"/>
      <c r="AG194" s="22">
        <v>0.826569</v>
      </c>
      <c r="AH194" s="22">
        <v>20.364599999999999</v>
      </c>
      <c r="AI194" s="22">
        <v>-1.4462300000000001E-2</v>
      </c>
      <c r="AJ194" s="22">
        <v>184</v>
      </c>
      <c r="AK194" s="22">
        <v>0.82550000000000001</v>
      </c>
      <c r="AL194">
        <f t="shared" si="30"/>
        <v>17.854691358024692</v>
      </c>
      <c r="AM194">
        <f t="shared" si="31"/>
        <v>14.758134381111111</v>
      </c>
      <c r="AP194" s="9"/>
      <c r="AQ194" s="22">
        <v>0.93353299999999995</v>
      </c>
      <c r="AR194" s="22">
        <v>25.997800000000002</v>
      </c>
      <c r="AS194" s="22">
        <v>-1.4523299999999999E-2</v>
      </c>
      <c r="AT194" s="22">
        <v>184</v>
      </c>
      <c r="AU194" s="22">
        <v>0.93292200000000003</v>
      </c>
      <c r="AV194">
        <f t="shared" si="32"/>
        <v>17.93</v>
      </c>
      <c r="AW194">
        <f t="shared" si="33"/>
        <v>16.73824669</v>
      </c>
      <c r="AX194" s="9"/>
      <c r="AY194" s="22">
        <v>0.826569</v>
      </c>
      <c r="AZ194" s="22">
        <v>29.937899999999999</v>
      </c>
      <c r="BA194" s="22">
        <v>-1.46301E-2</v>
      </c>
      <c r="BB194" s="22">
        <v>184</v>
      </c>
      <c r="BC194" s="22">
        <v>0.82580600000000004</v>
      </c>
      <c r="BD194">
        <f t="shared" si="34"/>
        <v>18.061851851851848</v>
      </c>
      <c r="BE194">
        <f t="shared" si="35"/>
        <v>14.92936682333333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0.92849700000000002</v>
      </c>
      <c r="H195" s="22">
        <v>6.8564600000000002</v>
      </c>
      <c r="I195" s="22">
        <v>-1.43372E-2</v>
      </c>
      <c r="J195" s="22">
        <v>185</v>
      </c>
      <c r="K195" s="22">
        <v>0.92681899999999995</v>
      </c>
      <c r="L195">
        <f t="shared" si="24"/>
        <v>17.700246913580244</v>
      </c>
      <c r="M195">
        <f t="shared" si="25"/>
        <v>16.434626158518515</v>
      </c>
      <c r="N195" s="9"/>
      <c r="O195" s="22">
        <v>0.83160400000000001</v>
      </c>
      <c r="P195" s="22">
        <v>10.7965</v>
      </c>
      <c r="Q195" s="22">
        <v>-1.4340200000000001E-2</v>
      </c>
      <c r="R195" s="22">
        <v>185</v>
      </c>
      <c r="S195" s="22">
        <v>0.83038299999999998</v>
      </c>
      <c r="T195">
        <f t="shared" si="26"/>
        <v>17.703950617283951</v>
      </c>
      <c r="U195">
        <f t="shared" si="27"/>
        <v>14.722676149135802</v>
      </c>
      <c r="X195" s="9"/>
      <c r="Y195" s="22">
        <v>0.92849700000000002</v>
      </c>
      <c r="Z195" s="22">
        <v>16.434699999999999</v>
      </c>
      <c r="AA195" s="22">
        <v>-1.4373800000000001E-2</v>
      </c>
      <c r="AB195" s="22">
        <v>185</v>
      </c>
      <c r="AC195" s="22">
        <v>0.92773399999999995</v>
      </c>
      <c r="AD195">
        <f t="shared" si="28"/>
        <v>17.745432098765431</v>
      </c>
      <c r="AE195">
        <f t="shared" si="29"/>
        <v>16.476580467407405</v>
      </c>
      <c r="AF195" s="9"/>
      <c r="AG195" s="22">
        <v>0.83160400000000001</v>
      </c>
      <c r="AH195" s="22">
        <v>20.374700000000001</v>
      </c>
      <c r="AI195" s="22">
        <v>-1.4456200000000001E-2</v>
      </c>
      <c r="AJ195" s="22">
        <v>185</v>
      </c>
      <c r="AK195" s="22">
        <v>0.83007799999999998</v>
      </c>
      <c r="AL195">
        <f t="shared" si="30"/>
        <v>17.847160493827161</v>
      </c>
      <c r="AM195">
        <f t="shared" si="31"/>
        <v>14.841770055308643</v>
      </c>
      <c r="AP195" s="9"/>
      <c r="AQ195" s="22">
        <v>0.92849700000000002</v>
      </c>
      <c r="AR195" s="22">
        <v>26.007899999999999</v>
      </c>
      <c r="AS195" s="22">
        <v>-1.45294E-2</v>
      </c>
      <c r="AT195" s="22">
        <v>185</v>
      </c>
      <c r="AU195" s="22">
        <v>0.92773399999999995</v>
      </c>
      <c r="AV195">
        <f t="shared" si="32"/>
        <v>17.93753086419753</v>
      </c>
      <c r="AW195">
        <f t="shared" si="33"/>
        <v>16.654943594814814</v>
      </c>
      <c r="AX195" s="9"/>
      <c r="AY195" s="22">
        <v>0.83160400000000001</v>
      </c>
      <c r="AZ195" s="22">
        <v>29.948</v>
      </c>
      <c r="BA195" s="22">
        <v>-1.4627100000000001E-2</v>
      </c>
      <c r="BB195" s="22">
        <v>185</v>
      </c>
      <c r="BC195" s="22">
        <v>0.83068799999999998</v>
      </c>
      <c r="BD195">
        <f t="shared" si="34"/>
        <v>18.058148148148145</v>
      </c>
      <c r="BE195">
        <f t="shared" si="35"/>
        <v>15.01722823259259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0.92346200000000001</v>
      </c>
      <c r="H196" s="22">
        <v>6.86653</v>
      </c>
      <c r="I196" s="22">
        <v>-1.43433E-2</v>
      </c>
      <c r="J196" s="22">
        <v>186</v>
      </c>
      <c r="K196" s="22">
        <v>0.92224099999999998</v>
      </c>
      <c r="L196">
        <f t="shared" si="24"/>
        <v>17.707777777777778</v>
      </c>
      <c r="M196">
        <f t="shared" si="25"/>
        <v>16.352459882222224</v>
      </c>
      <c r="N196" s="9"/>
      <c r="O196" s="22">
        <v>0.83663900000000002</v>
      </c>
      <c r="P196" s="22">
        <v>10.8066</v>
      </c>
      <c r="Q196" s="22">
        <v>-1.43372E-2</v>
      </c>
      <c r="R196" s="22">
        <v>186</v>
      </c>
      <c r="S196" s="22">
        <v>0.83587599999999995</v>
      </c>
      <c r="T196">
        <f t="shared" si="26"/>
        <v>17.700246913580244</v>
      </c>
      <c r="U196">
        <f t="shared" si="27"/>
        <v>14.808716877530863</v>
      </c>
      <c r="X196" s="9"/>
      <c r="Y196" s="22">
        <v>0.92346200000000001</v>
      </c>
      <c r="Z196" s="22">
        <v>16.444700000000001</v>
      </c>
      <c r="AA196" s="22">
        <v>-1.4379899999999999E-2</v>
      </c>
      <c r="AB196" s="22">
        <v>186</v>
      </c>
      <c r="AC196" s="22">
        <v>0.92224099999999998</v>
      </c>
      <c r="AD196">
        <f t="shared" si="28"/>
        <v>17.752962962962961</v>
      </c>
      <c r="AE196">
        <f t="shared" si="29"/>
        <v>16.394186683703701</v>
      </c>
      <c r="AF196" s="9"/>
      <c r="AG196" s="22">
        <v>0.83663900000000002</v>
      </c>
      <c r="AH196" s="22">
        <v>20.384799999999998</v>
      </c>
      <c r="AI196" s="22">
        <v>-1.44501E-2</v>
      </c>
      <c r="AJ196" s="22">
        <v>186</v>
      </c>
      <c r="AK196" s="22">
        <v>0.83618199999999998</v>
      </c>
      <c r="AL196">
        <f t="shared" si="30"/>
        <v>17.839629629629631</v>
      </c>
      <c r="AM196">
        <f t="shared" si="31"/>
        <v>14.925329893703704</v>
      </c>
      <c r="AP196" s="9"/>
      <c r="AQ196" s="22">
        <v>0.92346200000000001</v>
      </c>
      <c r="AR196" s="22">
        <v>26.018000000000001</v>
      </c>
      <c r="AS196" s="22">
        <v>-1.45325E-2</v>
      </c>
      <c r="AT196" s="22">
        <v>186</v>
      </c>
      <c r="AU196" s="22">
        <v>0.92254599999999998</v>
      </c>
      <c r="AV196">
        <f t="shared" si="32"/>
        <v>17.941358024691358</v>
      </c>
      <c r="AW196">
        <f t="shared" si="33"/>
        <v>16.56816236419753</v>
      </c>
      <c r="AX196" s="9"/>
      <c r="AY196" s="22">
        <v>0.83663900000000002</v>
      </c>
      <c r="AZ196" s="22">
        <v>29.957999999999998</v>
      </c>
      <c r="BA196" s="22">
        <v>-1.46179E-2</v>
      </c>
      <c r="BB196" s="22">
        <v>186</v>
      </c>
      <c r="BC196" s="22">
        <v>0.83618199999999998</v>
      </c>
      <c r="BD196">
        <f t="shared" si="34"/>
        <v>18.046790123456791</v>
      </c>
      <c r="BE196">
        <f t="shared" si="35"/>
        <v>15.098648442098767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0.91842699999999999</v>
      </c>
      <c r="H197" s="22">
        <v>6.8765999999999998</v>
      </c>
      <c r="I197" s="22">
        <v>-1.43433E-2</v>
      </c>
      <c r="J197" s="22">
        <v>187</v>
      </c>
      <c r="K197" s="22">
        <v>0.91735800000000001</v>
      </c>
      <c r="L197">
        <f t="shared" si="24"/>
        <v>17.707777777777778</v>
      </c>
      <c r="M197">
        <f t="shared" si="25"/>
        <v>16.26330122111111</v>
      </c>
      <c r="N197" s="9"/>
      <c r="O197" s="22">
        <v>0.84167499999999995</v>
      </c>
      <c r="P197" s="22">
        <v>10.816599999999999</v>
      </c>
      <c r="Q197" s="22">
        <v>-1.4334100000000001E-2</v>
      </c>
      <c r="R197" s="22">
        <v>187</v>
      </c>
      <c r="S197" s="22">
        <v>0.84075900000000003</v>
      </c>
      <c r="T197">
        <f t="shared" si="26"/>
        <v>17.69641975308642</v>
      </c>
      <c r="U197">
        <f t="shared" si="27"/>
        <v>14.894634095679011</v>
      </c>
      <c r="X197" s="9"/>
      <c r="Y197" s="22">
        <v>0.91842699999999999</v>
      </c>
      <c r="Z197" s="22">
        <v>16.454799999999999</v>
      </c>
      <c r="AA197" s="22">
        <v>-1.4385999999999999E-2</v>
      </c>
      <c r="AB197" s="22">
        <v>187</v>
      </c>
      <c r="AC197" s="22">
        <v>0.91735800000000001</v>
      </c>
      <c r="AD197">
        <f t="shared" si="28"/>
        <v>17.760493827160492</v>
      </c>
      <c r="AE197">
        <f t="shared" si="29"/>
        <v>16.311717064197527</v>
      </c>
      <c r="AF197" s="9"/>
      <c r="AG197" s="22">
        <v>0.84167499999999995</v>
      </c>
      <c r="AH197" s="22">
        <v>20.3949</v>
      </c>
      <c r="AI197" s="22">
        <v>-1.4444E-2</v>
      </c>
      <c r="AJ197" s="22">
        <v>187</v>
      </c>
      <c r="AK197" s="22">
        <v>0.84136999999999995</v>
      </c>
      <c r="AL197">
        <f t="shared" si="30"/>
        <v>17.832098765432097</v>
      </c>
      <c r="AM197">
        <f t="shared" si="31"/>
        <v>15.008831728395059</v>
      </c>
      <c r="AP197" s="9"/>
      <c r="AQ197" s="22">
        <v>0.91842699999999999</v>
      </c>
      <c r="AR197" s="22">
        <v>26.028099999999998</v>
      </c>
      <c r="AS197" s="22">
        <v>-1.45386E-2</v>
      </c>
      <c r="AT197" s="22">
        <v>187</v>
      </c>
      <c r="AU197" s="22">
        <v>0.91766400000000004</v>
      </c>
      <c r="AV197">
        <f t="shared" si="32"/>
        <v>17.948888888888888</v>
      </c>
      <c r="AW197">
        <f t="shared" si="33"/>
        <v>16.484744175555555</v>
      </c>
      <c r="AX197" s="9"/>
      <c r="AY197" s="22">
        <v>0.84167499999999995</v>
      </c>
      <c r="AZ197" s="22">
        <v>29.9681</v>
      </c>
      <c r="BA197" s="22">
        <v>-1.46149E-2</v>
      </c>
      <c r="BB197" s="22">
        <v>187</v>
      </c>
      <c r="BC197" s="22">
        <v>0.84045400000000003</v>
      </c>
      <c r="BD197">
        <f t="shared" si="34"/>
        <v>18.043086419753088</v>
      </c>
      <c r="BE197">
        <f t="shared" si="35"/>
        <v>15.186414762345679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0.91339099999999995</v>
      </c>
      <c r="H198" s="22">
        <v>6.8866699999999996</v>
      </c>
      <c r="I198" s="22">
        <v>-1.43494E-2</v>
      </c>
      <c r="J198" s="22">
        <v>188</v>
      </c>
      <c r="K198" s="22">
        <v>0.91217000000000004</v>
      </c>
      <c r="L198">
        <f t="shared" si="24"/>
        <v>17.715308641975309</v>
      </c>
      <c r="M198">
        <f t="shared" si="25"/>
        <v>16.18100347580247</v>
      </c>
      <c r="N198" s="9"/>
      <c r="O198" s="22">
        <v>0.84670999999999996</v>
      </c>
      <c r="P198" s="22">
        <v>10.826700000000001</v>
      </c>
      <c r="Q198" s="22">
        <v>-1.4331099999999999E-2</v>
      </c>
      <c r="R198" s="22">
        <v>188</v>
      </c>
      <c r="S198" s="22">
        <v>0.845642</v>
      </c>
      <c r="T198">
        <f t="shared" si="26"/>
        <v>17.692716049382714</v>
      </c>
      <c r="U198">
        <f t="shared" si="27"/>
        <v>14.980599606172836</v>
      </c>
      <c r="X198" s="9"/>
      <c r="Y198" s="22">
        <v>0.91339099999999995</v>
      </c>
      <c r="Z198" s="22">
        <v>16.4649</v>
      </c>
      <c r="AA198" s="22">
        <v>-1.4389000000000001E-2</v>
      </c>
      <c r="AB198" s="22">
        <v>188</v>
      </c>
      <c r="AC198" s="22">
        <v>0.91217000000000004</v>
      </c>
      <c r="AD198">
        <f t="shared" si="28"/>
        <v>17.764197530864198</v>
      </c>
      <c r="AE198">
        <f t="shared" si="29"/>
        <v>16.225658146913581</v>
      </c>
      <c r="AF198" s="9"/>
      <c r="AG198" s="22">
        <v>0.84670999999999996</v>
      </c>
      <c r="AH198" s="22">
        <v>20.404900000000001</v>
      </c>
      <c r="AI198" s="22">
        <v>-1.44379E-2</v>
      </c>
      <c r="AJ198" s="22">
        <v>188</v>
      </c>
      <c r="AK198" s="22">
        <v>0.845642</v>
      </c>
      <c r="AL198">
        <f t="shared" si="30"/>
        <v>17.824567901234566</v>
      </c>
      <c r="AM198">
        <f t="shared" si="31"/>
        <v>15.092239887654319</v>
      </c>
      <c r="AP198" s="9"/>
      <c r="AQ198" s="22">
        <v>0.91339099999999995</v>
      </c>
      <c r="AR198" s="22">
        <v>26.0381</v>
      </c>
      <c r="AS198" s="22">
        <v>-1.4544700000000001E-2</v>
      </c>
      <c r="AT198" s="22">
        <v>188</v>
      </c>
      <c r="AU198" s="22">
        <v>0.91308599999999995</v>
      </c>
      <c r="AV198">
        <f t="shared" si="32"/>
        <v>17.956419753086422</v>
      </c>
      <c r="AW198">
        <f t="shared" si="33"/>
        <v>16.40123219469136</v>
      </c>
      <c r="AX198" s="9"/>
      <c r="AY198" s="22">
        <v>0.84670999999999996</v>
      </c>
      <c r="AZ198" s="22">
        <v>29.978200000000001</v>
      </c>
      <c r="BA198" s="22">
        <v>-1.4611799999999999E-2</v>
      </c>
      <c r="BB198" s="22">
        <v>188</v>
      </c>
      <c r="BC198" s="22">
        <v>0.845642</v>
      </c>
      <c r="BD198">
        <f t="shared" si="34"/>
        <v>18.039259259259257</v>
      </c>
      <c r="BE198">
        <f t="shared" si="35"/>
        <v>15.274021207407404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0.90835600000000005</v>
      </c>
      <c r="H199" s="22">
        <v>6.8967400000000003</v>
      </c>
      <c r="I199" s="22">
        <v>-1.43524E-2</v>
      </c>
      <c r="J199" s="22">
        <v>189</v>
      </c>
      <c r="K199" s="22">
        <v>0.90789799999999998</v>
      </c>
      <c r="L199">
        <f t="shared" si="24"/>
        <v>17.719012345679008</v>
      </c>
      <c r="M199">
        <f t="shared" si="25"/>
        <v>16.095171178271602</v>
      </c>
      <c r="N199" s="9"/>
      <c r="O199" s="22">
        <v>0.851746</v>
      </c>
      <c r="P199" s="22">
        <v>10.8368</v>
      </c>
      <c r="Q199" s="22">
        <v>-1.4328E-2</v>
      </c>
      <c r="R199" s="22">
        <v>189</v>
      </c>
      <c r="S199" s="22">
        <v>0.85052499999999998</v>
      </c>
      <c r="T199">
        <f t="shared" si="26"/>
        <v>17.68888888888889</v>
      </c>
      <c r="U199">
        <f t="shared" si="27"/>
        <v>15.066440355555557</v>
      </c>
      <c r="X199" s="9"/>
      <c r="Y199" s="22">
        <v>0.90835600000000005</v>
      </c>
      <c r="Z199" s="22">
        <v>16.475000000000001</v>
      </c>
      <c r="AA199" s="22">
        <v>-1.4395099999999999E-2</v>
      </c>
      <c r="AB199" s="22">
        <v>189</v>
      </c>
      <c r="AC199" s="22">
        <v>0.90759299999999998</v>
      </c>
      <c r="AD199">
        <f t="shared" si="28"/>
        <v>17.771728395061729</v>
      </c>
      <c r="AE199">
        <f t="shared" si="29"/>
        <v>16.143056118024692</v>
      </c>
      <c r="AF199" s="9"/>
      <c r="AG199" s="22">
        <v>0.851746</v>
      </c>
      <c r="AH199" s="22">
        <v>20.414999999999999</v>
      </c>
      <c r="AI199" s="22">
        <v>-1.4434799999999999E-2</v>
      </c>
      <c r="AJ199" s="22">
        <v>189</v>
      </c>
      <c r="AK199" s="22">
        <v>0.85052499999999998</v>
      </c>
      <c r="AL199">
        <f t="shared" si="30"/>
        <v>17.820740740740739</v>
      </c>
      <c r="AM199">
        <f t="shared" si="31"/>
        <v>15.178744642962961</v>
      </c>
      <c r="AP199" s="9"/>
      <c r="AQ199" s="22">
        <v>0.90835600000000005</v>
      </c>
      <c r="AR199" s="22">
        <v>26.048200000000001</v>
      </c>
      <c r="AS199" s="22">
        <v>-1.4550799999999999E-2</v>
      </c>
      <c r="AT199" s="22">
        <v>189</v>
      </c>
      <c r="AU199" s="22">
        <v>0.90728799999999998</v>
      </c>
      <c r="AV199">
        <f t="shared" si="32"/>
        <v>17.963950617283949</v>
      </c>
      <c r="AW199">
        <f t="shared" si="33"/>
        <v>16.317662326913581</v>
      </c>
      <c r="AX199" s="9"/>
      <c r="AY199" s="22">
        <v>0.851746</v>
      </c>
      <c r="AZ199" s="22">
        <v>29.988199999999999</v>
      </c>
      <c r="BA199" s="22">
        <v>-1.4605699999999999E-2</v>
      </c>
      <c r="BB199" s="22">
        <v>189</v>
      </c>
      <c r="BC199" s="22">
        <v>0.85082999999999998</v>
      </c>
      <c r="BD199">
        <f t="shared" si="34"/>
        <v>18.031728395061727</v>
      </c>
      <c r="BE199">
        <f t="shared" si="35"/>
        <v>15.358452533580245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0.90332000000000001</v>
      </c>
      <c r="H200" s="22">
        <v>6.9068100000000001</v>
      </c>
      <c r="I200" s="22">
        <v>-1.43585E-2</v>
      </c>
      <c r="J200" s="22">
        <v>190</v>
      </c>
      <c r="K200" s="22">
        <v>0.90210000000000001</v>
      </c>
      <c r="L200">
        <f t="shared" si="24"/>
        <v>17.726543209876542</v>
      </c>
      <c r="M200">
        <f t="shared" si="25"/>
        <v>16.012741012345678</v>
      </c>
      <c r="N200" s="9"/>
      <c r="O200" s="22">
        <v>0.85678100000000001</v>
      </c>
      <c r="P200" s="22">
        <v>10.8469</v>
      </c>
      <c r="Q200" s="22">
        <v>-1.4324999999999999E-2</v>
      </c>
      <c r="R200" s="22">
        <v>190</v>
      </c>
      <c r="S200" s="22">
        <v>0.85540799999999995</v>
      </c>
      <c r="T200">
        <f t="shared" si="26"/>
        <v>17.685185185185183</v>
      </c>
      <c r="U200">
        <f t="shared" si="27"/>
        <v>15.152330648148148</v>
      </c>
      <c r="X200" s="9"/>
      <c r="Y200" s="22">
        <v>0.90332000000000001</v>
      </c>
      <c r="Z200" s="22">
        <v>16.484999999999999</v>
      </c>
      <c r="AA200" s="22">
        <v>-1.4401199999999999E-2</v>
      </c>
      <c r="AB200" s="22">
        <v>190</v>
      </c>
      <c r="AC200" s="22">
        <v>0.90210000000000001</v>
      </c>
      <c r="AD200">
        <f t="shared" si="28"/>
        <v>17.779259259259259</v>
      </c>
      <c r="AE200">
        <f t="shared" si="29"/>
        <v>16.060360474074074</v>
      </c>
      <c r="AF200" s="9"/>
      <c r="AG200" s="22">
        <v>0.85678100000000001</v>
      </c>
      <c r="AH200" s="22">
        <v>20.4251</v>
      </c>
      <c r="AI200" s="22">
        <v>-1.4428699999999999E-2</v>
      </c>
      <c r="AJ200" s="22">
        <v>190</v>
      </c>
      <c r="AK200" s="22">
        <v>0.85571299999999995</v>
      </c>
      <c r="AL200">
        <f t="shared" si="30"/>
        <v>17.813209876543205</v>
      </c>
      <c r="AM200">
        <f t="shared" si="31"/>
        <v>15.262019771234565</v>
      </c>
      <c r="AP200" s="9"/>
      <c r="AQ200" s="22">
        <v>0.90332000000000001</v>
      </c>
      <c r="AR200" s="22">
        <v>26.058299999999999</v>
      </c>
      <c r="AS200" s="22">
        <v>-1.45538E-2</v>
      </c>
      <c r="AT200" s="22">
        <v>190</v>
      </c>
      <c r="AU200" s="22">
        <v>0.90240500000000001</v>
      </c>
      <c r="AV200">
        <f t="shared" si="32"/>
        <v>17.967654320987652</v>
      </c>
      <c r="AW200">
        <f t="shared" si="33"/>
        <v>16.230541501234566</v>
      </c>
      <c r="AX200" s="9"/>
      <c r="AY200" s="22">
        <v>0.85678100000000001</v>
      </c>
      <c r="AZ200" s="22">
        <v>29.9983</v>
      </c>
      <c r="BA200" s="22">
        <v>-1.4599600000000001E-2</v>
      </c>
      <c r="BB200" s="22">
        <v>190</v>
      </c>
      <c r="BC200" s="22">
        <v>0.85540799999999995</v>
      </c>
      <c r="BD200">
        <f t="shared" si="34"/>
        <v>18.0241975308642</v>
      </c>
      <c r="BE200">
        <f t="shared" si="35"/>
        <v>15.442789984691361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0.898285</v>
      </c>
      <c r="H201" s="22">
        <v>6.9168799999999999</v>
      </c>
      <c r="I201" s="22">
        <v>-1.43616E-2</v>
      </c>
      <c r="J201" s="22">
        <v>191</v>
      </c>
      <c r="K201" s="22">
        <v>0.89691200000000004</v>
      </c>
      <c r="L201">
        <f t="shared" si="24"/>
        <v>17.73037037037037</v>
      </c>
      <c r="M201">
        <f t="shared" si="25"/>
        <v>15.926925748148147</v>
      </c>
      <c r="N201" s="9"/>
      <c r="O201" s="22">
        <v>0.86181600000000003</v>
      </c>
      <c r="P201" s="22">
        <v>10.8569</v>
      </c>
      <c r="Q201" s="22">
        <v>-1.43219E-2</v>
      </c>
      <c r="R201" s="22">
        <v>191</v>
      </c>
      <c r="S201" s="22">
        <v>0.86120600000000003</v>
      </c>
      <c r="T201">
        <f t="shared" si="26"/>
        <v>17.68135802469136</v>
      </c>
      <c r="U201">
        <f t="shared" si="27"/>
        <v>15.238077247407409</v>
      </c>
      <c r="X201" s="9"/>
      <c r="Y201" s="22">
        <v>0.898285</v>
      </c>
      <c r="Z201" s="22">
        <v>16.495100000000001</v>
      </c>
      <c r="AA201" s="22">
        <v>-1.44104E-2</v>
      </c>
      <c r="AB201" s="22">
        <v>191</v>
      </c>
      <c r="AC201" s="22">
        <v>0.89752200000000004</v>
      </c>
      <c r="AD201">
        <f t="shared" si="28"/>
        <v>17.790617283950617</v>
      </c>
      <c r="AE201">
        <f t="shared" si="29"/>
        <v>15.981044646913579</v>
      </c>
      <c r="AF201" s="9"/>
      <c r="AG201" s="22">
        <v>0.86181600000000003</v>
      </c>
      <c r="AH201" s="22">
        <v>20.435099999999998</v>
      </c>
      <c r="AI201" s="22">
        <v>-1.4422600000000001E-2</v>
      </c>
      <c r="AJ201" s="22">
        <v>191</v>
      </c>
      <c r="AK201" s="22">
        <v>0.86090100000000003</v>
      </c>
      <c r="AL201">
        <f t="shared" si="30"/>
        <v>17.805679012345678</v>
      </c>
      <c r="AM201">
        <f t="shared" si="31"/>
        <v>15.345219063703704</v>
      </c>
      <c r="AP201" s="9"/>
      <c r="AQ201" s="22">
        <v>0.898285</v>
      </c>
      <c r="AR201" s="22">
        <v>26.068300000000001</v>
      </c>
      <c r="AS201" s="22">
        <v>-1.4556899999999999E-2</v>
      </c>
      <c r="AT201" s="22">
        <v>191</v>
      </c>
      <c r="AU201" s="22">
        <v>0.89782700000000004</v>
      </c>
      <c r="AV201">
        <f t="shared" si="32"/>
        <v>17.971481481481479</v>
      </c>
      <c r="AW201">
        <f t="shared" si="33"/>
        <v>16.143512242592589</v>
      </c>
      <c r="AX201" s="9"/>
      <c r="AY201" s="22">
        <v>0.86181600000000003</v>
      </c>
      <c r="AZ201" s="22">
        <v>30.008400000000002</v>
      </c>
      <c r="BA201" s="22">
        <v>-1.4593500000000001E-2</v>
      </c>
      <c r="BB201" s="22">
        <v>191</v>
      </c>
      <c r="BC201" s="22">
        <v>0.86120600000000003</v>
      </c>
      <c r="BD201">
        <f t="shared" si="34"/>
        <v>18.016666666666666</v>
      </c>
      <c r="BE201">
        <f t="shared" si="35"/>
        <v>15.5270516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0.89324999999999999</v>
      </c>
      <c r="H202" s="22">
        <v>6.9269499999999997</v>
      </c>
      <c r="I202" s="22">
        <v>-1.43646E-2</v>
      </c>
      <c r="J202" s="22">
        <v>192</v>
      </c>
      <c r="K202" s="22">
        <v>0.89294399999999996</v>
      </c>
      <c r="L202">
        <f t="shared" si="24"/>
        <v>17.734074074074073</v>
      </c>
      <c r="M202">
        <f t="shared" si="25"/>
        <v>15.840961666666665</v>
      </c>
      <c r="N202" s="9"/>
      <c r="O202" s="22">
        <v>0.86685199999999996</v>
      </c>
      <c r="P202" s="22">
        <v>10.867000000000001</v>
      </c>
      <c r="Q202" s="22">
        <v>-1.43188E-2</v>
      </c>
      <c r="R202" s="22">
        <v>192</v>
      </c>
      <c r="S202" s="22">
        <v>0.865784</v>
      </c>
      <c r="T202">
        <f t="shared" si="26"/>
        <v>17.677530864197529</v>
      </c>
      <c r="U202">
        <f t="shared" si="27"/>
        <v>15.323802984691355</v>
      </c>
      <c r="X202" s="9"/>
      <c r="Y202" s="22">
        <v>0.89324999999999999</v>
      </c>
      <c r="Z202" s="22">
        <v>16.505199999999999</v>
      </c>
      <c r="AA202" s="22">
        <v>-1.4413499999999999E-2</v>
      </c>
      <c r="AB202" s="22">
        <v>192</v>
      </c>
      <c r="AC202" s="22">
        <v>0.89202899999999996</v>
      </c>
      <c r="AD202">
        <f t="shared" si="28"/>
        <v>17.794444444444444</v>
      </c>
      <c r="AE202">
        <f t="shared" si="29"/>
        <v>15.894887499999999</v>
      </c>
      <c r="AF202" s="9"/>
      <c r="AG202" s="22">
        <v>0.86685199999999996</v>
      </c>
      <c r="AH202" s="22">
        <v>20.4452</v>
      </c>
      <c r="AI202" s="22">
        <v>-1.44165E-2</v>
      </c>
      <c r="AJ202" s="22">
        <v>192</v>
      </c>
      <c r="AK202" s="22">
        <v>0.865784</v>
      </c>
      <c r="AL202">
        <f t="shared" si="30"/>
        <v>17.798148148148147</v>
      </c>
      <c r="AM202">
        <f t="shared" si="31"/>
        <v>15.428360318518518</v>
      </c>
      <c r="AP202" s="9"/>
      <c r="AQ202" s="22">
        <v>0.89324999999999999</v>
      </c>
      <c r="AR202" s="22">
        <v>26.078399999999998</v>
      </c>
      <c r="AS202" s="22">
        <v>-1.4563E-2</v>
      </c>
      <c r="AT202" s="22">
        <v>192</v>
      </c>
      <c r="AU202" s="22">
        <v>0.89263899999999996</v>
      </c>
      <c r="AV202">
        <f t="shared" si="32"/>
        <v>17.979012345679013</v>
      </c>
      <c r="AW202">
        <f t="shared" si="33"/>
        <v>16.059752777777778</v>
      </c>
      <c r="AX202" s="9"/>
      <c r="AY202" s="22">
        <v>0.86685199999999996</v>
      </c>
      <c r="AZ202" s="22">
        <v>30.0185</v>
      </c>
      <c r="BA202" s="22">
        <v>-1.45874E-2</v>
      </c>
      <c r="BB202" s="22">
        <v>192</v>
      </c>
      <c r="BC202" s="22">
        <v>0.866089</v>
      </c>
      <c r="BD202">
        <f t="shared" si="34"/>
        <v>18.009135802469135</v>
      </c>
      <c r="BE202">
        <f t="shared" si="35"/>
        <v>15.611255388641974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0.88821399999999995</v>
      </c>
      <c r="H203" s="22">
        <v>6.93703</v>
      </c>
      <c r="I203" s="22">
        <v>-1.4367700000000001E-2</v>
      </c>
      <c r="J203" s="22">
        <v>193</v>
      </c>
      <c r="K203" s="22">
        <v>0.88714599999999999</v>
      </c>
      <c r="L203">
        <f t="shared" si="24"/>
        <v>17.7379012345679</v>
      </c>
      <c r="M203">
        <f t="shared" si="25"/>
        <v>15.755052207160492</v>
      </c>
      <c r="N203" s="9"/>
      <c r="O203" s="22">
        <v>0.87188699999999997</v>
      </c>
      <c r="P203" s="22">
        <v>10.8771</v>
      </c>
      <c r="Q203" s="22">
        <v>-1.43158E-2</v>
      </c>
      <c r="R203" s="22">
        <v>193</v>
      </c>
      <c r="S203" s="22">
        <v>0.87097199999999997</v>
      </c>
      <c r="T203">
        <f t="shared" si="26"/>
        <v>17.673827160493826</v>
      </c>
      <c r="U203">
        <f t="shared" si="27"/>
        <v>15.409580141481479</v>
      </c>
      <c r="X203" s="9"/>
      <c r="Y203" s="22">
        <v>0.88821399999999995</v>
      </c>
      <c r="Z203" s="22">
        <v>16.5152</v>
      </c>
      <c r="AA203" s="22">
        <v>-1.44165E-2</v>
      </c>
      <c r="AB203" s="22">
        <v>193</v>
      </c>
      <c r="AC203" s="22">
        <v>0.88714599999999999</v>
      </c>
      <c r="AD203">
        <f t="shared" si="28"/>
        <v>17.798148148148147</v>
      </c>
      <c r="AE203">
        <f t="shared" si="29"/>
        <v>15.808564359259258</v>
      </c>
      <c r="AF203" s="9"/>
      <c r="AG203" s="22">
        <v>0.87188699999999997</v>
      </c>
      <c r="AH203" s="22">
        <v>20.455300000000001</v>
      </c>
      <c r="AI203" s="22">
        <v>-1.4413499999999999E-2</v>
      </c>
      <c r="AJ203" s="22">
        <v>193</v>
      </c>
      <c r="AK203" s="22">
        <v>0.87127699999999997</v>
      </c>
      <c r="AL203">
        <f t="shared" si="30"/>
        <v>17.794444444444444</v>
      </c>
      <c r="AM203">
        <f t="shared" si="31"/>
        <v>15.514744783333333</v>
      </c>
      <c r="AP203" s="9"/>
      <c r="AQ203" s="22">
        <v>0.88821399999999995</v>
      </c>
      <c r="AR203" s="22">
        <v>26.0885</v>
      </c>
      <c r="AS203" s="22">
        <v>-1.45691E-2</v>
      </c>
      <c r="AT203" s="22">
        <v>193</v>
      </c>
      <c r="AU203" s="22">
        <v>0.88714599999999999</v>
      </c>
      <c r="AV203">
        <f t="shared" si="32"/>
        <v>17.98654320987654</v>
      </c>
      <c r="AW203">
        <f t="shared" si="33"/>
        <v>15.97589949061728</v>
      </c>
      <c r="AX203" s="9"/>
      <c r="AY203" s="22">
        <v>0.87188699999999997</v>
      </c>
      <c r="AZ203" s="22">
        <v>30.028500000000001</v>
      </c>
      <c r="BA203" s="22">
        <v>-1.45813E-2</v>
      </c>
      <c r="BB203" s="22">
        <v>193</v>
      </c>
      <c r="BC203" s="22">
        <v>0.87097199999999997</v>
      </c>
      <c r="BD203">
        <f t="shared" si="34"/>
        <v>18.001604938271605</v>
      </c>
      <c r="BE203">
        <f t="shared" si="35"/>
        <v>15.695365324814814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0.88317900000000005</v>
      </c>
      <c r="H204" s="22">
        <v>6.9470999999999998</v>
      </c>
      <c r="I204" s="22">
        <v>-1.43768E-2</v>
      </c>
      <c r="J204" s="22">
        <v>194</v>
      </c>
      <c r="K204" s="22">
        <v>0.88226300000000002</v>
      </c>
      <c r="L204">
        <f t="shared" ref="L204:L267" si="36">-I204/$F$2*1000</f>
        <v>17.749135802469137</v>
      </c>
      <c r="M204">
        <f t="shared" ref="M204:M267" si="37">L204*G204</f>
        <v>15.675664008888891</v>
      </c>
      <c r="N204" s="9"/>
      <c r="O204" s="22">
        <v>0.87692300000000001</v>
      </c>
      <c r="P204" s="22">
        <v>10.8871</v>
      </c>
      <c r="Q204" s="22">
        <v>-1.4312699999999999E-2</v>
      </c>
      <c r="R204" s="22">
        <v>194</v>
      </c>
      <c r="S204" s="22">
        <v>0.87585400000000002</v>
      </c>
      <c r="T204">
        <f t="shared" ref="T204:T267" si="38">-Q204/$F$2*1000</f>
        <v>17.669999999999998</v>
      </c>
      <c r="U204">
        <f t="shared" ref="U204:U267" si="39">T204*O204</f>
        <v>15.495229409999999</v>
      </c>
      <c r="X204" s="9"/>
      <c r="Y204" s="22">
        <v>0.88317900000000005</v>
      </c>
      <c r="Z204" s="22">
        <v>16.525300000000001</v>
      </c>
      <c r="AA204" s="22">
        <v>-1.4419599999999999E-2</v>
      </c>
      <c r="AB204" s="22">
        <v>194</v>
      </c>
      <c r="AC204" s="22">
        <v>0.88195800000000002</v>
      </c>
      <c r="AD204">
        <f t="shared" ref="AD204:AD267" si="40">-AA204/$F$2*1000</f>
        <v>17.801975308641975</v>
      </c>
      <c r="AE204">
        <f t="shared" ref="AE204:AE267" si="41">AD204*Y204</f>
        <v>15.722330751111112</v>
      </c>
      <c r="AF204" s="9"/>
      <c r="AG204" s="22">
        <v>0.87692300000000001</v>
      </c>
      <c r="AH204" s="22">
        <v>20.465399999999999</v>
      </c>
      <c r="AI204" s="22">
        <v>-1.44073E-2</v>
      </c>
      <c r="AJ204" s="22">
        <v>194</v>
      </c>
      <c r="AK204" s="22">
        <v>0.87616000000000005</v>
      </c>
      <c r="AL204">
        <f t="shared" ref="AL204:AL267" si="42">-AI204/$F$2*1000</f>
        <v>17.78679012345679</v>
      </c>
      <c r="AM204">
        <f t="shared" ref="AM204:AM267" si="43">AL204*AG204</f>
        <v>15.597645355432098</v>
      </c>
      <c r="AP204" s="9"/>
      <c r="AQ204" s="22">
        <v>0.88317900000000005</v>
      </c>
      <c r="AR204" s="22">
        <v>26.098600000000001</v>
      </c>
      <c r="AS204" s="22">
        <v>-1.4578199999999999E-2</v>
      </c>
      <c r="AT204" s="22">
        <v>194</v>
      </c>
      <c r="AU204" s="22">
        <v>0.88226300000000002</v>
      </c>
      <c r="AV204">
        <f t="shared" ref="AV204:AV267" si="44">-AS204/$F$2*1000</f>
        <v>17.997777777777777</v>
      </c>
      <c r="AW204">
        <f t="shared" ref="AW204:AW267" si="45">AV204*AQ204</f>
        <v>15.895259380000001</v>
      </c>
      <c r="AX204" s="9"/>
      <c r="AY204" s="22">
        <v>0.87692300000000001</v>
      </c>
      <c r="AZ204" s="22">
        <v>30.038599999999999</v>
      </c>
      <c r="BA204" s="22">
        <v>-1.45752E-2</v>
      </c>
      <c r="BB204" s="22">
        <v>194</v>
      </c>
      <c r="BC204" s="22">
        <v>0.87585400000000002</v>
      </c>
      <c r="BD204">
        <f t="shared" ref="BD204:BD267" si="46">-BA204/$F$2*1000</f>
        <v>17.994074074074071</v>
      </c>
      <c r="BE204">
        <f t="shared" ref="BE204:BE267" si="47">BD204*AY204</f>
        <v>15.779417419259257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0.87814300000000001</v>
      </c>
      <c r="H205" s="22">
        <v>6.9571699999999996</v>
      </c>
      <c r="I205" s="22">
        <v>-1.4382900000000001E-2</v>
      </c>
      <c r="J205" s="22">
        <v>195</v>
      </c>
      <c r="K205" s="22">
        <v>0.87677000000000005</v>
      </c>
      <c r="L205">
        <f t="shared" si="36"/>
        <v>17.756666666666668</v>
      </c>
      <c r="M205">
        <f t="shared" si="37"/>
        <v>15.592892536666668</v>
      </c>
      <c r="N205" s="9"/>
      <c r="O205" s="22">
        <v>0.88195800000000002</v>
      </c>
      <c r="P205" s="22">
        <v>10.8972</v>
      </c>
      <c r="Q205" s="22">
        <v>-1.4306599999999999E-2</v>
      </c>
      <c r="R205" s="22">
        <v>195</v>
      </c>
      <c r="S205" s="22">
        <v>0.88073699999999999</v>
      </c>
      <c r="T205">
        <f t="shared" si="38"/>
        <v>17.662469135802468</v>
      </c>
      <c r="U205">
        <f t="shared" si="39"/>
        <v>15.577555954074073</v>
      </c>
      <c r="X205" s="9"/>
      <c r="Y205" s="22">
        <v>0.87814300000000001</v>
      </c>
      <c r="Z205" s="22">
        <v>16.535399999999999</v>
      </c>
      <c r="AA205" s="22">
        <v>-1.4419599999999999E-2</v>
      </c>
      <c r="AB205" s="22">
        <v>195</v>
      </c>
      <c r="AC205" s="22">
        <v>0.87707500000000005</v>
      </c>
      <c r="AD205">
        <f t="shared" si="40"/>
        <v>17.801975308641975</v>
      </c>
      <c r="AE205">
        <f t="shared" si="41"/>
        <v>15.632680003456789</v>
      </c>
      <c r="AF205" s="9"/>
      <c r="AG205" s="22">
        <v>0.88195800000000002</v>
      </c>
      <c r="AH205" s="22">
        <v>20.4754</v>
      </c>
      <c r="AI205" s="22">
        <v>-1.44043E-2</v>
      </c>
      <c r="AJ205" s="22">
        <v>195</v>
      </c>
      <c r="AK205" s="22">
        <v>0.88165300000000002</v>
      </c>
      <c r="AL205">
        <f t="shared" si="42"/>
        <v>17.783086419753086</v>
      </c>
      <c r="AM205">
        <f t="shared" si="43"/>
        <v>15.683935332592593</v>
      </c>
      <c r="AP205" s="9"/>
      <c r="AQ205" s="22">
        <v>0.87814300000000001</v>
      </c>
      <c r="AR205" s="22">
        <v>26.108599999999999</v>
      </c>
      <c r="AS205" s="22">
        <v>-1.45813E-2</v>
      </c>
      <c r="AT205" s="22">
        <v>195</v>
      </c>
      <c r="AU205" s="22">
        <v>0.87677000000000005</v>
      </c>
      <c r="AV205">
        <f t="shared" si="44"/>
        <v>18.001604938271605</v>
      </c>
      <c r="AW205">
        <f t="shared" si="45"/>
        <v>15.807983365308642</v>
      </c>
      <c r="AX205" s="9"/>
      <c r="AY205" s="22">
        <v>0.88195800000000002</v>
      </c>
      <c r="AZ205" s="22">
        <v>30.0487</v>
      </c>
      <c r="BA205" s="22">
        <v>-1.45691E-2</v>
      </c>
      <c r="BB205" s="22">
        <v>195</v>
      </c>
      <c r="BC205" s="22">
        <v>0.88104199999999999</v>
      </c>
      <c r="BD205">
        <f t="shared" si="46"/>
        <v>17.98654320987654</v>
      </c>
      <c r="BE205">
        <f t="shared" si="47"/>
        <v>15.863375676296295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0.873108</v>
      </c>
      <c r="H206" s="22">
        <v>6.9672400000000003</v>
      </c>
      <c r="I206" s="22">
        <v>-1.4385999999999999E-2</v>
      </c>
      <c r="J206" s="22">
        <v>196</v>
      </c>
      <c r="K206" s="22">
        <v>0.872803</v>
      </c>
      <c r="L206">
        <f t="shared" si="36"/>
        <v>17.760493827160492</v>
      </c>
      <c r="M206">
        <f t="shared" si="37"/>
        <v>15.506829244444443</v>
      </c>
      <c r="N206" s="9"/>
      <c r="O206" s="22">
        <v>0.88699300000000003</v>
      </c>
      <c r="P206" s="22">
        <v>10.907299999999999</v>
      </c>
      <c r="Q206" s="22">
        <v>-1.43036E-2</v>
      </c>
      <c r="R206" s="22">
        <v>196</v>
      </c>
      <c r="S206" s="22">
        <v>0.88653599999999999</v>
      </c>
      <c r="T206">
        <f t="shared" si="38"/>
        <v>17.658765432098765</v>
      </c>
      <c r="U206">
        <f t="shared" si="39"/>
        <v>15.66320132691358</v>
      </c>
      <c r="X206" s="9"/>
      <c r="Y206" s="22">
        <v>0.873108</v>
      </c>
      <c r="Z206" s="22">
        <v>16.545500000000001</v>
      </c>
      <c r="AA206" s="22">
        <v>-1.4422600000000001E-2</v>
      </c>
      <c r="AB206" s="22">
        <v>196</v>
      </c>
      <c r="AC206" s="22">
        <v>0.87219199999999997</v>
      </c>
      <c r="AD206">
        <f t="shared" si="40"/>
        <v>17.805679012345678</v>
      </c>
      <c r="AE206">
        <f t="shared" si="41"/>
        <v>15.54628079111111</v>
      </c>
      <c r="AF206" s="9"/>
      <c r="AG206" s="22">
        <v>0.88699300000000003</v>
      </c>
      <c r="AH206" s="22">
        <v>20.485499999999998</v>
      </c>
      <c r="AI206" s="22">
        <v>-1.44043E-2</v>
      </c>
      <c r="AJ206" s="22">
        <v>196</v>
      </c>
      <c r="AK206" s="22">
        <v>0.88561999999999996</v>
      </c>
      <c r="AL206">
        <f t="shared" si="42"/>
        <v>17.783086419753086</v>
      </c>
      <c r="AM206">
        <f t="shared" si="43"/>
        <v>15.77347317271605</v>
      </c>
      <c r="AP206" s="9"/>
      <c r="AQ206" s="22">
        <v>0.873108</v>
      </c>
      <c r="AR206" s="22">
        <v>26.1187</v>
      </c>
      <c r="AS206" s="22">
        <v>-1.4584400000000001E-2</v>
      </c>
      <c r="AT206" s="22">
        <v>196</v>
      </c>
      <c r="AU206" s="22">
        <v>0.87158199999999997</v>
      </c>
      <c r="AV206">
        <f t="shared" si="44"/>
        <v>18.005432098765432</v>
      </c>
      <c r="AW206">
        <f t="shared" si="45"/>
        <v>15.720686808888889</v>
      </c>
      <c r="AX206" s="9"/>
      <c r="AY206" s="22">
        <v>0.88699300000000003</v>
      </c>
      <c r="AZ206" s="22">
        <v>30.058700000000002</v>
      </c>
      <c r="BA206" s="22">
        <v>-1.4566000000000001E-2</v>
      </c>
      <c r="BB206" s="22">
        <v>196</v>
      </c>
      <c r="BC206" s="22">
        <v>0.88592499999999996</v>
      </c>
      <c r="BD206">
        <f t="shared" si="46"/>
        <v>17.982716049382717</v>
      </c>
      <c r="BE206">
        <f t="shared" si="47"/>
        <v>15.950543256790125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0.86807299999999998</v>
      </c>
      <c r="H207" s="22">
        <v>6.9773100000000001</v>
      </c>
      <c r="I207" s="22">
        <v>-1.43921E-2</v>
      </c>
      <c r="J207" s="22">
        <v>197</v>
      </c>
      <c r="K207" s="22">
        <v>0.86731000000000003</v>
      </c>
      <c r="L207">
        <f t="shared" si="36"/>
        <v>17.768024691358022</v>
      </c>
      <c r="M207">
        <f t="shared" si="37"/>
        <v>15.423942497901232</v>
      </c>
      <c r="N207" s="9"/>
      <c r="O207" s="22">
        <v>0.89202899999999996</v>
      </c>
      <c r="P207" s="22">
        <v>10.917400000000001</v>
      </c>
      <c r="Q207" s="22">
        <v>-1.4297499999999999E-2</v>
      </c>
      <c r="R207" s="22">
        <v>197</v>
      </c>
      <c r="S207" s="22">
        <v>0.89080800000000004</v>
      </c>
      <c r="T207">
        <f t="shared" si="38"/>
        <v>17.651234567901231</v>
      </c>
      <c r="U207">
        <f t="shared" si="39"/>
        <v>15.745413120370365</v>
      </c>
      <c r="X207" s="9"/>
      <c r="Y207" s="22">
        <v>0.86807299999999998</v>
      </c>
      <c r="Z207" s="22">
        <v>16.555499999999999</v>
      </c>
      <c r="AA207" s="22">
        <v>-1.4428699999999999E-2</v>
      </c>
      <c r="AB207" s="22">
        <v>197</v>
      </c>
      <c r="AC207" s="22">
        <v>0.866699</v>
      </c>
      <c r="AD207">
        <f t="shared" si="40"/>
        <v>17.813209876543205</v>
      </c>
      <c r="AE207">
        <f t="shared" si="41"/>
        <v>15.46316653716049</v>
      </c>
      <c r="AF207" s="9"/>
      <c r="AG207" s="22">
        <v>0.89202899999999996</v>
      </c>
      <c r="AH207" s="22">
        <v>20.4956</v>
      </c>
      <c r="AI207" s="22">
        <v>-1.43982E-2</v>
      </c>
      <c r="AJ207" s="22">
        <v>197</v>
      </c>
      <c r="AK207" s="22">
        <v>0.89111300000000004</v>
      </c>
      <c r="AL207">
        <f t="shared" si="42"/>
        <v>17.775555555555556</v>
      </c>
      <c r="AM207">
        <f t="shared" si="43"/>
        <v>15.856311046666667</v>
      </c>
      <c r="AP207" s="9"/>
      <c r="AQ207" s="22">
        <v>0.86807299999999998</v>
      </c>
      <c r="AR207" s="22">
        <v>26.128799999999998</v>
      </c>
      <c r="AS207" s="22">
        <v>-1.4590499999999999E-2</v>
      </c>
      <c r="AT207" s="22">
        <v>197</v>
      </c>
      <c r="AU207" s="22">
        <v>0.866699</v>
      </c>
      <c r="AV207">
        <f t="shared" si="44"/>
        <v>18.012962962962959</v>
      </c>
      <c r="AW207">
        <f t="shared" si="45"/>
        <v>15.636566798148145</v>
      </c>
      <c r="AX207" s="9"/>
      <c r="AY207" s="22">
        <v>0.89202899999999996</v>
      </c>
      <c r="AZ207" s="22">
        <v>30.0688</v>
      </c>
      <c r="BA207" s="22">
        <v>-1.4559900000000001E-2</v>
      </c>
      <c r="BB207" s="22">
        <v>197</v>
      </c>
      <c r="BC207" s="22">
        <v>0.89111300000000004</v>
      </c>
      <c r="BD207">
        <f t="shared" si="46"/>
        <v>17.975185185185186</v>
      </c>
      <c r="BE207">
        <f t="shared" si="47"/>
        <v>16.034386465555556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0.86303700000000005</v>
      </c>
      <c r="H208" s="22">
        <v>6.9873799999999999</v>
      </c>
      <c r="I208" s="22">
        <v>-1.43982E-2</v>
      </c>
      <c r="J208" s="22">
        <v>198</v>
      </c>
      <c r="K208" s="22">
        <v>0.86181600000000003</v>
      </c>
      <c r="L208">
        <f t="shared" si="36"/>
        <v>17.775555555555556</v>
      </c>
      <c r="M208">
        <f t="shared" si="37"/>
        <v>15.340962140000002</v>
      </c>
      <c r="N208" s="9"/>
      <c r="O208" s="22">
        <v>0.89706399999999997</v>
      </c>
      <c r="P208" s="22">
        <v>10.9274</v>
      </c>
      <c r="Q208" s="22">
        <v>-1.4297499999999999E-2</v>
      </c>
      <c r="R208" s="22">
        <v>198</v>
      </c>
      <c r="S208" s="22">
        <v>0.89630100000000001</v>
      </c>
      <c r="T208">
        <f t="shared" si="38"/>
        <v>17.651234567901231</v>
      </c>
      <c r="U208">
        <f t="shared" si="39"/>
        <v>15.834287086419749</v>
      </c>
      <c r="X208" s="9"/>
      <c r="Y208" s="22">
        <v>0.86303700000000005</v>
      </c>
      <c r="Z208" s="22">
        <v>16.5656</v>
      </c>
      <c r="AA208" s="22">
        <v>-1.4434799999999999E-2</v>
      </c>
      <c r="AB208" s="22">
        <v>198</v>
      </c>
      <c r="AC208" s="22">
        <v>0.86242700000000005</v>
      </c>
      <c r="AD208">
        <f t="shared" si="40"/>
        <v>17.820740740740739</v>
      </c>
      <c r="AE208">
        <f t="shared" si="41"/>
        <v>15.379958626666665</v>
      </c>
      <c r="AF208" s="9"/>
      <c r="AG208" s="22">
        <v>0.89706399999999997</v>
      </c>
      <c r="AH208" s="22">
        <v>20.505600000000001</v>
      </c>
      <c r="AI208" s="22">
        <v>-1.4395099999999999E-2</v>
      </c>
      <c r="AJ208" s="22">
        <v>198</v>
      </c>
      <c r="AK208" s="22">
        <v>0.89599600000000001</v>
      </c>
      <c r="AL208">
        <f t="shared" si="42"/>
        <v>17.771728395061729</v>
      </c>
      <c r="AM208">
        <f t="shared" si="43"/>
        <v>15.942377760987654</v>
      </c>
      <c r="AP208" s="9"/>
      <c r="AQ208" s="22">
        <v>0.86303700000000005</v>
      </c>
      <c r="AR208" s="22">
        <v>26.1388</v>
      </c>
      <c r="AS208" s="22">
        <v>-1.45966E-2</v>
      </c>
      <c r="AT208" s="22">
        <v>198</v>
      </c>
      <c r="AU208" s="22">
        <v>0.86212200000000005</v>
      </c>
      <c r="AV208">
        <f t="shared" si="44"/>
        <v>18.020493827160493</v>
      </c>
      <c r="AW208">
        <f t="shared" si="45"/>
        <v>15.552352931111111</v>
      </c>
      <c r="AX208" s="9"/>
      <c r="AY208" s="22">
        <v>0.89706399999999997</v>
      </c>
      <c r="AZ208" s="22">
        <v>30.078900000000001</v>
      </c>
      <c r="BA208" s="22">
        <v>-1.45538E-2</v>
      </c>
      <c r="BB208" s="22">
        <v>198</v>
      </c>
      <c r="BC208" s="22">
        <v>0.89660600000000001</v>
      </c>
      <c r="BD208">
        <f t="shared" si="46"/>
        <v>17.967654320987652</v>
      </c>
      <c r="BE208">
        <f t="shared" si="47"/>
        <v>16.118135855802468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0.85800200000000004</v>
      </c>
      <c r="H209" s="22">
        <v>6.9974499999999997</v>
      </c>
      <c r="I209" s="22">
        <v>-1.44043E-2</v>
      </c>
      <c r="J209" s="22">
        <v>199</v>
      </c>
      <c r="K209" s="22">
        <v>0.85754399999999997</v>
      </c>
      <c r="L209">
        <f t="shared" si="36"/>
        <v>17.783086419753086</v>
      </c>
      <c r="M209">
        <f t="shared" si="37"/>
        <v>15.257923714320988</v>
      </c>
      <c r="N209" s="9"/>
      <c r="O209" s="22">
        <v>0.90210000000000001</v>
      </c>
      <c r="P209" s="22">
        <v>10.9375</v>
      </c>
      <c r="Q209" s="22">
        <v>-1.4294400000000001E-2</v>
      </c>
      <c r="R209" s="22">
        <v>199</v>
      </c>
      <c r="S209" s="22">
        <v>0.90118399999999999</v>
      </c>
      <c r="T209">
        <f t="shared" si="38"/>
        <v>17.647407407407407</v>
      </c>
      <c r="U209">
        <f t="shared" si="39"/>
        <v>15.919726222222222</v>
      </c>
      <c r="X209" s="9"/>
      <c r="Y209" s="22">
        <v>0.85800200000000004</v>
      </c>
      <c r="Z209" s="22">
        <v>16.575700000000001</v>
      </c>
      <c r="AA209" s="22">
        <v>-1.44409E-2</v>
      </c>
      <c r="AB209" s="22">
        <v>199</v>
      </c>
      <c r="AC209" s="22">
        <v>0.85693399999999997</v>
      </c>
      <c r="AD209">
        <f t="shared" si="40"/>
        <v>17.828271604938269</v>
      </c>
      <c r="AE209">
        <f t="shared" si="41"/>
        <v>15.296692693580246</v>
      </c>
      <c r="AF209" s="9"/>
      <c r="AG209" s="22">
        <v>0.90210000000000001</v>
      </c>
      <c r="AH209" s="22">
        <v>20.515699999999999</v>
      </c>
      <c r="AI209" s="22">
        <v>-1.4395099999999999E-2</v>
      </c>
      <c r="AJ209" s="22">
        <v>199</v>
      </c>
      <c r="AK209" s="22">
        <v>0.90118399999999999</v>
      </c>
      <c r="AL209">
        <f t="shared" si="42"/>
        <v>17.771728395061729</v>
      </c>
      <c r="AM209">
        <f t="shared" si="43"/>
        <v>16.031876185185187</v>
      </c>
      <c r="AP209" s="9"/>
      <c r="AQ209" s="22">
        <v>0.85800200000000004</v>
      </c>
      <c r="AR209" s="22">
        <v>26.148900000000001</v>
      </c>
      <c r="AS209" s="22">
        <v>-1.4599600000000001E-2</v>
      </c>
      <c r="AT209" s="22">
        <v>199</v>
      </c>
      <c r="AU209" s="22">
        <v>0.85723899999999997</v>
      </c>
      <c r="AV209">
        <f t="shared" si="44"/>
        <v>18.0241975308642</v>
      </c>
      <c r="AW209">
        <f t="shared" si="45"/>
        <v>15.464797529876545</v>
      </c>
      <c r="AX209" s="9"/>
      <c r="AY209" s="22">
        <v>0.90210000000000001</v>
      </c>
      <c r="AZ209" s="22">
        <v>30.088899999999999</v>
      </c>
      <c r="BA209" s="22">
        <v>-1.4550799999999999E-2</v>
      </c>
      <c r="BB209" s="22">
        <v>199</v>
      </c>
      <c r="BC209" s="22">
        <v>0.90118399999999999</v>
      </c>
      <c r="BD209">
        <f t="shared" si="46"/>
        <v>17.963950617283949</v>
      </c>
      <c r="BE209">
        <f t="shared" si="47"/>
        <v>16.205279851851852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0.852966</v>
      </c>
      <c r="H210" s="22">
        <v>7.0075200000000004</v>
      </c>
      <c r="I210" s="22">
        <v>-1.44104E-2</v>
      </c>
      <c r="J210" s="22">
        <v>200</v>
      </c>
      <c r="K210" s="22">
        <v>0.852356</v>
      </c>
      <c r="L210">
        <f t="shared" si="36"/>
        <v>17.790617283950617</v>
      </c>
      <c r="M210">
        <f t="shared" si="37"/>
        <v>15.174791662222223</v>
      </c>
      <c r="N210" s="9"/>
      <c r="O210" s="22">
        <v>0.90713500000000002</v>
      </c>
      <c r="P210" s="22">
        <v>10.9476</v>
      </c>
      <c r="Q210" s="22">
        <v>-1.42883E-2</v>
      </c>
      <c r="R210" s="22">
        <v>200</v>
      </c>
      <c r="S210" s="22">
        <v>0.90606699999999996</v>
      </c>
      <c r="T210">
        <f t="shared" si="38"/>
        <v>17.639876543209876</v>
      </c>
      <c r="U210">
        <f t="shared" si="39"/>
        <v>16.00174940802469</v>
      </c>
      <c r="X210" s="9"/>
      <c r="Y210" s="22">
        <v>0.852966</v>
      </c>
      <c r="Z210" s="22">
        <v>16.585699999999999</v>
      </c>
      <c r="AA210" s="22">
        <v>-1.4447E-2</v>
      </c>
      <c r="AB210" s="22">
        <v>200</v>
      </c>
      <c r="AC210" s="22">
        <v>0.852356</v>
      </c>
      <c r="AD210">
        <f t="shared" si="40"/>
        <v>17.8358024691358</v>
      </c>
      <c r="AE210">
        <f t="shared" si="41"/>
        <v>15.213333088888886</v>
      </c>
      <c r="AF210" s="9"/>
      <c r="AG210" s="22">
        <v>0.90713500000000002</v>
      </c>
      <c r="AH210" s="22">
        <v>20.5258</v>
      </c>
      <c r="AI210" s="22">
        <v>-1.4389000000000001E-2</v>
      </c>
      <c r="AJ210" s="22">
        <v>200</v>
      </c>
      <c r="AK210" s="22">
        <v>0.90637199999999996</v>
      </c>
      <c r="AL210">
        <f t="shared" si="42"/>
        <v>17.764197530864198</v>
      </c>
      <c r="AM210">
        <f t="shared" si="43"/>
        <v>16.114525327160496</v>
      </c>
      <c r="AP210" s="9"/>
      <c r="AQ210" s="22">
        <v>0.852966</v>
      </c>
      <c r="AR210" s="22">
        <v>26.158999999999999</v>
      </c>
      <c r="AS210" s="22">
        <v>-1.4605699999999999E-2</v>
      </c>
      <c r="AT210" s="22">
        <v>200</v>
      </c>
      <c r="AU210" s="22">
        <v>0.852356</v>
      </c>
      <c r="AV210">
        <f t="shared" si="44"/>
        <v>18.031728395061727</v>
      </c>
      <c r="AW210">
        <f t="shared" si="45"/>
        <v>15.38045124222222</v>
      </c>
      <c r="AX210" s="9"/>
      <c r="AY210" s="22">
        <v>0.90713500000000002</v>
      </c>
      <c r="AZ210" s="22">
        <v>30.099</v>
      </c>
      <c r="BA210" s="22">
        <v>-1.4544700000000001E-2</v>
      </c>
      <c r="BB210" s="22">
        <v>200</v>
      </c>
      <c r="BC210" s="22">
        <v>0.90545699999999996</v>
      </c>
      <c r="BD210">
        <f t="shared" si="46"/>
        <v>17.956419753086422</v>
      </c>
      <c r="BE210">
        <f t="shared" si="47"/>
        <v>16.288896832716052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0.84793099999999999</v>
      </c>
      <c r="H211" s="22">
        <v>7.0175900000000002</v>
      </c>
      <c r="I211" s="22">
        <v>-1.44165E-2</v>
      </c>
      <c r="J211" s="22">
        <v>201</v>
      </c>
      <c r="K211" s="22">
        <v>0.84686300000000003</v>
      </c>
      <c r="L211">
        <f t="shared" si="36"/>
        <v>17.798148148148147</v>
      </c>
      <c r="M211">
        <f t="shared" si="37"/>
        <v>15.091601557407406</v>
      </c>
      <c r="N211" s="9"/>
      <c r="O211" s="22">
        <v>0.91217000000000004</v>
      </c>
      <c r="P211" s="22">
        <v>10.957599999999999</v>
      </c>
      <c r="Q211" s="22">
        <v>-1.4279200000000001E-2</v>
      </c>
      <c r="R211" s="22">
        <v>201</v>
      </c>
      <c r="S211" s="22">
        <v>0.91217000000000004</v>
      </c>
      <c r="T211">
        <f t="shared" si="38"/>
        <v>17.628641975308639</v>
      </c>
      <c r="U211">
        <f t="shared" si="39"/>
        <v>16.080318350617283</v>
      </c>
      <c r="X211" s="9"/>
      <c r="Y211" s="22">
        <v>0.84793099999999999</v>
      </c>
      <c r="Z211" s="22">
        <v>16.595800000000001</v>
      </c>
      <c r="AA211" s="22">
        <v>-1.44531E-2</v>
      </c>
      <c r="AB211" s="22">
        <v>201</v>
      </c>
      <c r="AC211" s="22">
        <v>0.84686300000000003</v>
      </c>
      <c r="AD211">
        <f t="shared" si="40"/>
        <v>17.843333333333334</v>
      </c>
      <c r="AE211">
        <f t="shared" si="41"/>
        <v>15.129915476666667</v>
      </c>
      <c r="AF211" s="9"/>
      <c r="AG211" s="22">
        <v>0.91217000000000004</v>
      </c>
      <c r="AH211" s="22">
        <v>20.535900000000002</v>
      </c>
      <c r="AI211" s="22">
        <v>-1.4385999999999999E-2</v>
      </c>
      <c r="AJ211" s="22">
        <v>201</v>
      </c>
      <c r="AK211" s="22">
        <v>0.91095000000000004</v>
      </c>
      <c r="AL211">
        <f t="shared" si="42"/>
        <v>17.760493827160492</v>
      </c>
      <c r="AM211">
        <f t="shared" si="43"/>
        <v>16.200589654320986</v>
      </c>
      <c r="AP211" s="9"/>
      <c r="AQ211" s="22">
        <v>0.84793099999999999</v>
      </c>
      <c r="AR211" s="22">
        <v>26.1691</v>
      </c>
      <c r="AS211" s="22">
        <v>-1.4611799999999999E-2</v>
      </c>
      <c r="AT211" s="22">
        <v>201</v>
      </c>
      <c r="AU211" s="22">
        <v>0.84747300000000003</v>
      </c>
      <c r="AV211">
        <f t="shared" si="44"/>
        <v>18.039259259259257</v>
      </c>
      <c r="AW211">
        <f t="shared" si="45"/>
        <v>15.29604714296296</v>
      </c>
      <c r="AX211" s="9"/>
      <c r="AY211" s="22">
        <v>0.91217000000000004</v>
      </c>
      <c r="AZ211" s="22">
        <v>30.109100000000002</v>
      </c>
      <c r="BA211" s="22">
        <v>-1.45416E-2</v>
      </c>
      <c r="BB211" s="22">
        <v>201</v>
      </c>
      <c r="BC211" s="22">
        <v>0.91156000000000004</v>
      </c>
      <c r="BD211">
        <f t="shared" si="46"/>
        <v>17.952592592592595</v>
      </c>
      <c r="BE211">
        <f t="shared" si="47"/>
        <v>16.375816385185189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0.84289599999999998</v>
      </c>
      <c r="H212" s="22">
        <v>7.02766</v>
      </c>
      <c r="I212" s="22">
        <v>-1.4419599999999999E-2</v>
      </c>
      <c r="J212" s="22">
        <v>202</v>
      </c>
      <c r="K212" s="22">
        <v>0.84197999999999995</v>
      </c>
      <c r="L212">
        <f t="shared" si="36"/>
        <v>17.801975308641975</v>
      </c>
      <c r="M212">
        <f t="shared" si="37"/>
        <v>15.005213779753085</v>
      </c>
      <c r="N212" s="9"/>
      <c r="O212" s="22">
        <v>0.91720599999999997</v>
      </c>
      <c r="P212" s="22">
        <v>10.967700000000001</v>
      </c>
      <c r="Q212" s="22">
        <v>-1.42731E-2</v>
      </c>
      <c r="R212" s="22">
        <v>202</v>
      </c>
      <c r="S212" s="22">
        <v>0.91644300000000001</v>
      </c>
      <c r="T212">
        <f t="shared" si="38"/>
        <v>17.621111111111112</v>
      </c>
      <c r="U212">
        <f t="shared" si="39"/>
        <v>16.162188837777776</v>
      </c>
      <c r="X212" s="9"/>
      <c r="Y212" s="22">
        <v>0.84289599999999998</v>
      </c>
      <c r="Z212" s="22">
        <v>16.605899999999998</v>
      </c>
      <c r="AA212" s="22">
        <v>-1.44592E-2</v>
      </c>
      <c r="AB212" s="22">
        <v>202</v>
      </c>
      <c r="AC212" s="22">
        <v>0.84197999999999995</v>
      </c>
      <c r="AD212">
        <f t="shared" si="40"/>
        <v>17.850864197530864</v>
      </c>
      <c r="AE212">
        <f t="shared" si="41"/>
        <v>15.046422028641976</v>
      </c>
      <c r="AF212" s="9"/>
      <c r="AG212" s="22">
        <v>0.91720599999999997</v>
      </c>
      <c r="AH212" s="22">
        <v>20.5459</v>
      </c>
      <c r="AI212" s="22">
        <v>-1.43768E-2</v>
      </c>
      <c r="AJ212" s="22">
        <v>202</v>
      </c>
      <c r="AK212" s="22">
        <v>0.91613800000000001</v>
      </c>
      <c r="AL212">
        <f t="shared" si="42"/>
        <v>17.749135802469137</v>
      </c>
      <c r="AM212">
        <f t="shared" si="43"/>
        <v>16.279613852839507</v>
      </c>
      <c r="AP212" s="9"/>
      <c r="AQ212" s="22">
        <v>0.84289599999999998</v>
      </c>
      <c r="AR212" s="22">
        <v>26.179099999999998</v>
      </c>
      <c r="AS212" s="22">
        <v>-1.46179E-2</v>
      </c>
      <c r="AT212" s="22">
        <v>202</v>
      </c>
      <c r="AU212" s="22">
        <v>0.84197999999999995</v>
      </c>
      <c r="AV212">
        <f t="shared" si="44"/>
        <v>18.046790123456791</v>
      </c>
      <c r="AW212">
        <f t="shared" si="45"/>
        <v>15.211567207901235</v>
      </c>
      <c r="AX212" s="9"/>
      <c r="AY212" s="22">
        <v>0.91720599999999997</v>
      </c>
      <c r="AZ212" s="22">
        <v>30.119199999999999</v>
      </c>
      <c r="BA212" s="22">
        <v>-1.45355E-2</v>
      </c>
      <c r="BB212" s="22">
        <v>202</v>
      </c>
      <c r="BC212" s="22">
        <v>0.91674800000000001</v>
      </c>
      <c r="BD212">
        <f t="shared" si="46"/>
        <v>17.945061728395061</v>
      </c>
      <c r="BE212">
        <f t="shared" si="47"/>
        <v>16.45931828765432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0.83786000000000005</v>
      </c>
      <c r="H213" s="22">
        <v>7.0377400000000003</v>
      </c>
      <c r="I213" s="22">
        <v>-1.44257E-2</v>
      </c>
      <c r="J213" s="22">
        <v>203</v>
      </c>
      <c r="K213" s="22">
        <v>0.83679199999999998</v>
      </c>
      <c r="L213">
        <f t="shared" si="36"/>
        <v>17.809506172839505</v>
      </c>
      <c r="M213">
        <f t="shared" si="37"/>
        <v>14.921872841975309</v>
      </c>
      <c r="N213" s="9"/>
      <c r="O213" s="22">
        <v>0.92224099999999998</v>
      </c>
      <c r="P213" s="22">
        <v>10.9778</v>
      </c>
      <c r="Q213" s="22">
        <v>-1.427E-2</v>
      </c>
      <c r="R213" s="22">
        <v>203</v>
      </c>
      <c r="S213" s="22">
        <v>0.92071499999999995</v>
      </c>
      <c r="T213">
        <f t="shared" si="38"/>
        <v>17.617283950617285</v>
      </c>
      <c r="U213">
        <f t="shared" si="39"/>
        <v>16.247381567901236</v>
      </c>
      <c r="X213" s="9"/>
      <c r="Y213" s="22">
        <v>0.83786000000000005</v>
      </c>
      <c r="Z213" s="22">
        <v>16.616</v>
      </c>
      <c r="AA213" s="22">
        <v>-1.4468399999999999E-2</v>
      </c>
      <c r="AB213" s="22">
        <v>203</v>
      </c>
      <c r="AC213" s="22">
        <v>0.83740199999999998</v>
      </c>
      <c r="AD213">
        <f t="shared" si="40"/>
        <v>17.862222222222222</v>
      </c>
      <c r="AE213">
        <f t="shared" si="41"/>
        <v>14.966041511111111</v>
      </c>
      <c r="AF213" s="9"/>
      <c r="AG213" s="22">
        <v>0.92224099999999998</v>
      </c>
      <c r="AH213" s="22">
        <v>20.556000000000001</v>
      </c>
      <c r="AI213" s="22">
        <v>-1.43707E-2</v>
      </c>
      <c r="AJ213" s="22">
        <v>203</v>
      </c>
      <c r="AK213" s="22">
        <v>0.92163099999999998</v>
      </c>
      <c r="AL213">
        <f t="shared" si="42"/>
        <v>17.741604938271603</v>
      </c>
      <c r="AM213">
        <f t="shared" si="43"/>
        <v>16.362035479876543</v>
      </c>
      <c r="AP213" s="9"/>
      <c r="AQ213" s="22">
        <v>0.83786000000000005</v>
      </c>
      <c r="AR213" s="22">
        <v>26.1892</v>
      </c>
      <c r="AS213" s="22">
        <v>-1.4624E-2</v>
      </c>
      <c r="AT213" s="22">
        <v>203</v>
      </c>
      <c r="AU213" s="22">
        <v>0.83709699999999998</v>
      </c>
      <c r="AV213">
        <f t="shared" si="44"/>
        <v>18.054320987654318</v>
      </c>
      <c r="AW213">
        <f t="shared" si="45"/>
        <v>15.126993382716048</v>
      </c>
      <c r="AX213" s="9"/>
      <c r="AY213" s="22">
        <v>0.92224099999999998</v>
      </c>
      <c r="AZ213" s="22">
        <v>30.129200000000001</v>
      </c>
      <c r="BA213" s="22">
        <v>-1.45294E-2</v>
      </c>
      <c r="BB213" s="22">
        <v>203</v>
      </c>
      <c r="BC213" s="22">
        <v>0.92102099999999998</v>
      </c>
      <c r="BD213">
        <f t="shared" si="46"/>
        <v>17.93753086419753</v>
      </c>
      <c r="BE213">
        <f t="shared" si="47"/>
        <v>16.542726401728395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0.83282500000000004</v>
      </c>
      <c r="H214" s="22">
        <v>7.0478100000000001</v>
      </c>
      <c r="I214" s="22">
        <v>-1.44318E-2</v>
      </c>
      <c r="J214" s="22">
        <v>204</v>
      </c>
      <c r="K214" s="22">
        <v>0.83221400000000001</v>
      </c>
      <c r="L214">
        <f t="shared" si="36"/>
        <v>17.817037037037036</v>
      </c>
      <c r="M214">
        <f t="shared" si="37"/>
        <v>14.83847387037037</v>
      </c>
      <c r="N214" s="9"/>
      <c r="O214" s="22">
        <v>0.92727700000000002</v>
      </c>
      <c r="P214" s="22">
        <v>10.9878</v>
      </c>
      <c r="Q214" s="22">
        <v>-1.4263899999999999E-2</v>
      </c>
      <c r="R214" s="22">
        <v>204</v>
      </c>
      <c r="S214" s="22">
        <v>0.92620800000000003</v>
      </c>
      <c r="T214">
        <f t="shared" si="38"/>
        <v>17.609753086419751</v>
      </c>
      <c r="U214">
        <f t="shared" si="39"/>
        <v>16.329119012716049</v>
      </c>
      <c r="X214" s="9"/>
      <c r="Y214" s="22">
        <v>0.83282500000000004</v>
      </c>
      <c r="Z214" s="22">
        <v>16.626000000000001</v>
      </c>
      <c r="AA214" s="22">
        <v>-1.4477500000000001E-2</v>
      </c>
      <c r="AB214" s="22">
        <v>204</v>
      </c>
      <c r="AC214" s="22">
        <v>0.83190900000000001</v>
      </c>
      <c r="AD214">
        <f t="shared" si="40"/>
        <v>17.873456790123456</v>
      </c>
      <c r="AE214">
        <f t="shared" si="41"/>
        <v>14.885461651234568</v>
      </c>
      <c r="AF214" s="9"/>
      <c r="AG214" s="22">
        <v>0.92727700000000002</v>
      </c>
      <c r="AH214" s="22">
        <v>20.566099999999999</v>
      </c>
      <c r="AI214" s="22">
        <v>-1.4367700000000001E-2</v>
      </c>
      <c r="AJ214" s="22">
        <v>204</v>
      </c>
      <c r="AK214" s="22">
        <v>0.92712399999999995</v>
      </c>
      <c r="AL214">
        <f t="shared" si="42"/>
        <v>17.7379012345679</v>
      </c>
      <c r="AM214">
        <f t="shared" si="43"/>
        <v>16.447947843086418</v>
      </c>
      <c r="AP214" s="9"/>
      <c r="AQ214" s="22">
        <v>0.83282500000000004</v>
      </c>
      <c r="AR214" s="22">
        <v>26.199300000000001</v>
      </c>
      <c r="AS214" s="22">
        <v>-1.46301E-2</v>
      </c>
      <c r="AT214" s="22">
        <v>204</v>
      </c>
      <c r="AU214" s="22">
        <v>0.83190900000000001</v>
      </c>
      <c r="AV214">
        <f t="shared" si="44"/>
        <v>18.061851851851848</v>
      </c>
      <c r="AW214">
        <f t="shared" si="45"/>
        <v>15.042361768518516</v>
      </c>
      <c r="AX214" s="9"/>
      <c r="AY214" s="22">
        <v>0.92727700000000002</v>
      </c>
      <c r="AZ214" s="22">
        <v>30.139299999999999</v>
      </c>
      <c r="BA214" s="22">
        <v>-1.4523299999999999E-2</v>
      </c>
      <c r="BB214" s="22">
        <v>204</v>
      </c>
      <c r="BC214" s="22">
        <v>0.92559800000000003</v>
      </c>
      <c r="BD214">
        <f t="shared" si="46"/>
        <v>17.93</v>
      </c>
      <c r="BE214">
        <f t="shared" si="47"/>
        <v>16.626076609999998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0.827789</v>
      </c>
      <c r="H215" s="22">
        <v>7.0578799999999999</v>
      </c>
      <c r="I215" s="22">
        <v>-1.44379E-2</v>
      </c>
      <c r="J215" s="22">
        <v>205</v>
      </c>
      <c r="K215" s="22">
        <v>0.82672100000000004</v>
      </c>
      <c r="L215">
        <f t="shared" si="36"/>
        <v>17.824567901234566</v>
      </c>
      <c r="M215">
        <f t="shared" si="37"/>
        <v>14.754981238395061</v>
      </c>
      <c r="N215" s="9"/>
      <c r="O215" s="22">
        <v>0.93231200000000003</v>
      </c>
      <c r="P215" s="22">
        <v>10.9979</v>
      </c>
      <c r="Q215" s="22">
        <v>-1.42609E-2</v>
      </c>
      <c r="R215" s="22">
        <v>205</v>
      </c>
      <c r="S215" s="22">
        <v>0.93170200000000003</v>
      </c>
      <c r="T215">
        <f t="shared" si="38"/>
        <v>17.606049382716048</v>
      </c>
      <c r="U215">
        <f t="shared" si="39"/>
        <v>16.414331112098765</v>
      </c>
      <c r="X215" s="9"/>
      <c r="Y215" s="22">
        <v>0.827789</v>
      </c>
      <c r="Z215" s="22">
        <v>16.636099999999999</v>
      </c>
      <c r="AA215" s="22">
        <v>-1.44806E-2</v>
      </c>
      <c r="AB215" s="22">
        <v>205</v>
      </c>
      <c r="AC215" s="22">
        <v>0.82611100000000004</v>
      </c>
      <c r="AD215">
        <f t="shared" si="40"/>
        <v>17.877283950617283</v>
      </c>
      <c r="AE215">
        <f t="shared" si="41"/>
        <v>14.79861900419753</v>
      </c>
      <c r="AF215" s="9"/>
      <c r="AG215" s="22">
        <v>0.93231200000000003</v>
      </c>
      <c r="AH215" s="22">
        <v>20.5761</v>
      </c>
      <c r="AI215" s="22">
        <v>-1.43616E-2</v>
      </c>
      <c r="AJ215" s="22">
        <v>205</v>
      </c>
      <c r="AK215" s="22">
        <v>0.93170200000000003</v>
      </c>
      <c r="AL215">
        <f t="shared" si="42"/>
        <v>17.73037037037037</v>
      </c>
      <c r="AM215">
        <f t="shared" si="43"/>
        <v>16.530237060740742</v>
      </c>
      <c r="AP215" s="9"/>
      <c r="AQ215" s="22">
        <v>0.827789</v>
      </c>
      <c r="AR215" s="22">
        <v>26.209299999999999</v>
      </c>
      <c r="AS215" s="22">
        <v>-1.4633200000000001E-2</v>
      </c>
      <c r="AT215" s="22">
        <v>205</v>
      </c>
      <c r="AU215" s="22">
        <v>0.82733199999999996</v>
      </c>
      <c r="AV215">
        <f t="shared" si="44"/>
        <v>18.065679012345679</v>
      </c>
      <c r="AW215">
        <f t="shared" si="45"/>
        <v>14.954570363950618</v>
      </c>
      <c r="AX215" s="9"/>
      <c r="AY215" s="22">
        <v>0.93231200000000003</v>
      </c>
      <c r="AZ215" s="22">
        <v>30.1494</v>
      </c>
      <c r="BA215" s="22">
        <v>-1.4517199999999999E-2</v>
      </c>
      <c r="BB215" s="22">
        <v>205</v>
      </c>
      <c r="BC215" s="22">
        <v>0.931396</v>
      </c>
      <c r="BD215">
        <f t="shared" si="46"/>
        <v>17.922469135802466</v>
      </c>
      <c r="BE215">
        <f t="shared" si="47"/>
        <v>16.709333044938269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0.82275399999999999</v>
      </c>
      <c r="H216" s="22">
        <v>7.0679499999999997</v>
      </c>
      <c r="I216" s="22">
        <v>-1.44379E-2</v>
      </c>
      <c r="J216" s="22">
        <v>206</v>
      </c>
      <c r="K216" s="22">
        <v>0.82183799999999996</v>
      </c>
      <c r="L216">
        <f t="shared" si="36"/>
        <v>17.824567901234566</v>
      </c>
      <c r="M216">
        <f t="shared" si="37"/>
        <v>14.665234539012344</v>
      </c>
      <c r="N216" s="9"/>
      <c r="O216" s="22">
        <v>0.93734700000000004</v>
      </c>
      <c r="P216" s="22">
        <v>11.007999999999999</v>
      </c>
      <c r="Q216" s="22">
        <v>-1.42548E-2</v>
      </c>
      <c r="R216" s="22">
        <v>206</v>
      </c>
      <c r="S216" s="22">
        <v>0.93627899999999997</v>
      </c>
      <c r="T216">
        <f t="shared" si="38"/>
        <v>17.598518518518517</v>
      </c>
      <c r="U216">
        <f t="shared" si="39"/>
        <v>16.495918537777776</v>
      </c>
      <c r="X216" s="9"/>
      <c r="Y216" s="22">
        <v>0.82275399999999999</v>
      </c>
      <c r="Z216" s="22">
        <v>16.6462</v>
      </c>
      <c r="AA216" s="22">
        <v>-1.4483599999999999E-2</v>
      </c>
      <c r="AB216" s="22">
        <v>206</v>
      </c>
      <c r="AC216" s="22">
        <v>0.82275399999999999</v>
      </c>
      <c r="AD216">
        <f t="shared" si="40"/>
        <v>17.880987654320986</v>
      </c>
      <c r="AE216">
        <f t="shared" si="41"/>
        <v>14.711654116543208</v>
      </c>
      <c r="AF216" s="9"/>
      <c r="AG216" s="22">
        <v>0.93734700000000004</v>
      </c>
      <c r="AH216" s="22">
        <v>20.586200000000002</v>
      </c>
      <c r="AI216" s="22">
        <v>-1.43555E-2</v>
      </c>
      <c r="AJ216" s="22">
        <v>206</v>
      </c>
      <c r="AK216" s="22">
        <v>0.93627899999999997</v>
      </c>
      <c r="AL216">
        <f t="shared" si="42"/>
        <v>17.722839506172836</v>
      </c>
      <c r="AM216">
        <f t="shared" si="43"/>
        <v>16.612450442592589</v>
      </c>
      <c r="AP216" s="9"/>
      <c r="AQ216" s="22">
        <v>0.82275399999999999</v>
      </c>
      <c r="AR216" s="22">
        <v>26.2194</v>
      </c>
      <c r="AS216" s="22">
        <v>-1.46362E-2</v>
      </c>
      <c r="AT216" s="22">
        <v>206</v>
      </c>
      <c r="AU216" s="22">
        <v>0.82183799999999996</v>
      </c>
      <c r="AV216">
        <f t="shared" si="44"/>
        <v>18.069382716049383</v>
      </c>
      <c r="AW216">
        <f t="shared" si="45"/>
        <v>14.866656907160493</v>
      </c>
      <c r="AX216" s="9"/>
      <c r="AY216" s="22">
        <v>0.93734700000000004</v>
      </c>
      <c r="AZ216" s="22">
        <v>30.159400000000002</v>
      </c>
      <c r="BA216" s="22">
        <v>-1.4511100000000001E-2</v>
      </c>
      <c r="BB216" s="22">
        <v>206</v>
      </c>
      <c r="BC216" s="22">
        <v>0.93658399999999997</v>
      </c>
      <c r="BD216">
        <f t="shared" si="46"/>
        <v>17.914938271604939</v>
      </c>
      <c r="BE216">
        <f t="shared" si="47"/>
        <v>16.792513644074074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0.81771899999999997</v>
      </c>
      <c r="H217" s="22">
        <v>7.0780200000000004</v>
      </c>
      <c r="I217" s="22">
        <v>-1.4444E-2</v>
      </c>
      <c r="J217" s="22">
        <v>207</v>
      </c>
      <c r="K217" s="22">
        <v>0.81695600000000002</v>
      </c>
      <c r="L217">
        <f t="shared" si="36"/>
        <v>17.832098765432097</v>
      </c>
      <c r="M217">
        <f t="shared" si="37"/>
        <v>14.581645970370369</v>
      </c>
      <c r="N217" s="9"/>
      <c r="O217" s="22">
        <v>0.94238299999999997</v>
      </c>
      <c r="P217" s="22">
        <v>11.0181</v>
      </c>
      <c r="Q217" s="22">
        <v>-1.42487E-2</v>
      </c>
      <c r="R217" s="22">
        <v>207</v>
      </c>
      <c r="S217" s="22">
        <v>0.94085700000000005</v>
      </c>
      <c r="T217">
        <f t="shared" si="38"/>
        <v>17.590987654320987</v>
      </c>
      <c r="U217">
        <f t="shared" si="39"/>
        <v>16.577447718641974</v>
      </c>
      <c r="X217" s="9"/>
      <c r="Y217" s="22">
        <v>0.81771899999999997</v>
      </c>
      <c r="Z217" s="22">
        <v>16.656199999999998</v>
      </c>
      <c r="AA217" s="22">
        <v>-1.4489699999999999E-2</v>
      </c>
      <c r="AB217" s="22">
        <v>207</v>
      </c>
      <c r="AC217" s="22">
        <v>0.81726100000000002</v>
      </c>
      <c r="AD217">
        <f t="shared" si="40"/>
        <v>17.888518518518516</v>
      </c>
      <c r="AE217">
        <f t="shared" si="41"/>
        <v>14.627781474444442</v>
      </c>
      <c r="AF217" s="9"/>
      <c r="AG217" s="22">
        <v>0.94238299999999997</v>
      </c>
      <c r="AH217" s="22">
        <v>20.596299999999999</v>
      </c>
      <c r="AI217" s="22">
        <v>-1.43494E-2</v>
      </c>
      <c r="AJ217" s="22">
        <v>207</v>
      </c>
      <c r="AK217" s="22">
        <v>0.94146700000000005</v>
      </c>
      <c r="AL217">
        <f t="shared" si="42"/>
        <v>17.715308641975309</v>
      </c>
      <c r="AM217">
        <f t="shared" si="43"/>
        <v>16.694605703950618</v>
      </c>
      <c r="AP217" s="9"/>
      <c r="AQ217" s="22">
        <v>0.81771899999999997</v>
      </c>
      <c r="AR217" s="22">
        <v>26.229500000000002</v>
      </c>
      <c r="AS217" s="22">
        <v>-1.46423E-2</v>
      </c>
      <c r="AT217" s="22">
        <v>207</v>
      </c>
      <c r="AU217" s="22">
        <v>0.81634499999999999</v>
      </c>
      <c r="AV217">
        <f t="shared" si="44"/>
        <v>18.076913580246913</v>
      </c>
      <c r="AW217">
        <f t="shared" si="45"/>
        <v>14.781835695925926</v>
      </c>
      <c r="AX217" s="9"/>
      <c r="AY217" s="22">
        <v>0.94238299999999997</v>
      </c>
      <c r="AZ217" s="22">
        <v>30.169499999999999</v>
      </c>
      <c r="BA217" s="22">
        <v>-1.4505000000000001E-2</v>
      </c>
      <c r="BB217" s="22">
        <v>207</v>
      </c>
      <c r="BC217" s="22">
        <v>0.94116200000000005</v>
      </c>
      <c r="BD217">
        <f t="shared" si="46"/>
        <v>17.907407407407408</v>
      </c>
      <c r="BE217">
        <f t="shared" si="47"/>
        <v>16.875636314814816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0.81268300000000004</v>
      </c>
      <c r="H218" s="22">
        <v>7.0880900000000002</v>
      </c>
      <c r="I218" s="22">
        <v>-1.4447E-2</v>
      </c>
      <c r="J218" s="22">
        <v>208</v>
      </c>
      <c r="K218" s="22">
        <v>0.81176800000000005</v>
      </c>
      <c r="L218">
        <f t="shared" si="36"/>
        <v>17.8358024691358</v>
      </c>
      <c r="M218">
        <f t="shared" si="37"/>
        <v>14.494853458024689</v>
      </c>
      <c r="N218" s="9"/>
      <c r="O218" s="22">
        <v>0.94741799999999998</v>
      </c>
      <c r="P218" s="22">
        <v>11.0281</v>
      </c>
      <c r="Q218" s="22">
        <v>-1.4242599999999999E-2</v>
      </c>
      <c r="R218" s="22">
        <v>208</v>
      </c>
      <c r="S218" s="22">
        <v>0.94574000000000003</v>
      </c>
      <c r="T218">
        <f t="shared" si="38"/>
        <v>17.583456790123453</v>
      </c>
      <c r="U218">
        <f t="shared" si="39"/>
        <v>16.65888346518518</v>
      </c>
      <c r="X218" s="9"/>
      <c r="Y218" s="22">
        <v>0.81268300000000004</v>
      </c>
      <c r="Z218" s="22">
        <v>16.6663</v>
      </c>
      <c r="AA218" s="22">
        <v>-1.44958E-2</v>
      </c>
      <c r="AB218" s="22">
        <v>208</v>
      </c>
      <c r="AC218" s="22">
        <v>0.81176800000000005</v>
      </c>
      <c r="AD218">
        <f t="shared" si="40"/>
        <v>17.896049382716047</v>
      </c>
      <c r="AE218">
        <f t="shared" si="41"/>
        <v>14.543815100493825</v>
      </c>
      <c r="AF218" s="9"/>
      <c r="AG218" s="22">
        <v>0.94741799999999998</v>
      </c>
      <c r="AH218" s="22">
        <v>20.606400000000001</v>
      </c>
      <c r="AI218" s="22">
        <v>-1.43433E-2</v>
      </c>
      <c r="AJ218" s="22">
        <v>208</v>
      </c>
      <c r="AK218" s="22">
        <v>0.94665500000000002</v>
      </c>
      <c r="AL218">
        <f t="shared" si="42"/>
        <v>17.707777777777778</v>
      </c>
      <c r="AM218">
        <f t="shared" si="43"/>
        <v>16.776667406666668</v>
      </c>
      <c r="AP218" s="9"/>
      <c r="AQ218" s="22">
        <v>0.81268300000000004</v>
      </c>
      <c r="AR218" s="22">
        <v>26.2395</v>
      </c>
      <c r="AS218" s="22">
        <v>-1.4648400000000001E-2</v>
      </c>
      <c r="AT218" s="22">
        <v>208</v>
      </c>
      <c r="AU218" s="22">
        <v>0.81146200000000002</v>
      </c>
      <c r="AV218">
        <f t="shared" si="44"/>
        <v>18.084444444444443</v>
      </c>
      <c r="AW218">
        <f t="shared" si="45"/>
        <v>14.696920564444444</v>
      </c>
      <c r="AX218" s="9"/>
      <c r="AY218" s="22">
        <v>0.94741799999999998</v>
      </c>
      <c r="AZ218" s="22">
        <v>30.179600000000001</v>
      </c>
      <c r="BA218" s="22">
        <v>-1.4501999999999999E-2</v>
      </c>
      <c r="BB218" s="22">
        <v>208</v>
      </c>
      <c r="BC218" s="22">
        <v>0.94604500000000002</v>
      </c>
      <c r="BD218">
        <f t="shared" si="46"/>
        <v>17.903703703703702</v>
      </c>
      <c r="BE218">
        <f t="shared" si="47"/>
        <v>16.962291155555555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0.80764800000000003</v>
      </c>
      <c r="H219" s="22">
        <v>7.09816</v>
      </c>
      <c r="I219" s="22">
        <v>-1.4456200000000001E-2</v>
      </c>
      <c r="J219" s="22">
        <v>209</v>
      </c>
      <c r="K219" s="22">
        <v>0.80688499999999996</v>
      </c>
      <c r="L219">
        <f t="shared" si="36"/>
        <v>17.847160493827161</v>
      </c>
      <c r="M219">
        <f t="shared" si="37"/>
        <v>14.414223478518519</v>
      </c>
      <c r="N219" s="9"/>
      <c r="O219" s="22">
        <v>0.95245400000000002</v>
      </c>
      <c r="P219" s="22">
        <v>11.0382</v>
      </c>
      <c r="Q219" s="22">
        <v>-1.42395E-2</v>
      </c>
      <c r="R219" s="22">
        <v>209</v>
      </c>
      <c r="S219" s="22">
        <v>0.951233</v>
      </c>
      <c r="T219">
        <f t="shared" si="38"/>
        <v>17.579629629629629</v>
      </c>
      <c r="U219">
        <f t="shared" si="39"/>
        <v>16.743788559259258</v>
      </c>
      <c r="X219" s="9"/>
      <c r="Y219" s="22">
        <v>0.80764800000000003</v>
      </c>
      <c r="Z219" s="22">
        <v>16.676400000000001</v>
      </c>
      <c r="AA219" s="22">
        <v>-1.44989E-2</v>
      </c>
      <c r="AB219" s="22">
        <v>209</v>
      </c>
      <c r="AC219" s="22">
        <v>0.80657999999999996</v>
      </c>
      <c r="AD219">
        <f t="shared" si="40"/>
        <v>17.899876543209874</v>
      </c>
      <c r="AE219">
        <f t="shared" si="41"/>
        <v>14.456799490370368</v>
      </c>
      <c r="AF219" s="9"/>
      <c r="AG219" s="22">
        <v>0.95245400000000002</v>
      </c>
      <c r="AH219" s="22">
        <v>20.616399999999999</v>
      </c>
      <c r="AI219" s="22">
        <v>-1.4340200000000001E-2</v>
      </c>
      <c r="AJ219" s="22">
        <v>209</v>
      </c>
      <c r="AK219" s="22">
        <v>0.951233</v>
      </c>
      <c r="AL219">
        <f t="shared" si="42"/>
        <v>17.703950617283951</v>
      </c>
      <c r="AM219">
        <f t="shared" si="43"/>
        <v>16.862198581234569</v>
      </c>
      <c r="AP219" s="9"/>
      <c r="AQ219" s="22">
        <v>0.80764800000000003</v>
      </c>
      <c r="AR219" s="22">
        <v>26.249600000000001</v>
      </c>
      <c r="AS219" s="22">
        <v>-1.4654500000000001E-2</v>
      </c>
      <c r="AT219" s="22">
        <v>209</v>
      </c>
      <c r="AU219" s="22">
        <v>0.80657999999999996</v>
      </c>
      <c r="AV219">
        <f t="shared" si="44"/>
        <v>18.091975308641977</v>
      </c>
      <c r="AW219">
        <f t="shared" si="45"/>
        <v>14.611947674074077</v>
      </c>
      <c r="AX219" s="9"/>
      <c r="AY219" s="22">
        <v>0.95245400000000002</v>
      </c>
      <c r="AZ219" s="22">
        <v>30.189699999999998</v>
      </c>
      <c r="BA219" s="22">
        <v>-1.44989E-2</v>
      </c>
      <c r="BB219" s="22">
        <v>209</v>
      </c>
      <c r="BC219" s="22">
        <v>0.95153799999999999</v>
      </c>
      <c r="BD219">
        <f t="shared" si="46"/>
        <v>17.899876543209874</v>
      </c>
      <c r="BE219">
        <f t="shared" si="47"/>
        <v>17.048809013086419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0.80261199999999999</v>
      </c>
      <c r="H220" s="22">
        <v>7.1082299999999998</v>
      </c>
      <c r="I220" s="22">
        <v>-1.4462300000000001E-2</v>
      </c>
      <c r="J220" s="22">
        <v>210</v>
      </c>
      <c r="K220" s="22">
        <v>0.80169699999999999</v>
      </c>
      <c r="L220">
        <f t="shared" si="36"/>
        <v>17.854691358024692</v>
      </c>
      <c r="M220">
        <f t="shared" si="37"/>
        <v>14.330389540246914</v>
      </c>
      <c r="N220" s="9"/>
      <c r="O220" s="22">
        <v>0.95748900000000003</v>
      </c>
      <c r="P220" s="22">
        <v>11.048299999999999</v>
      </c>
      <c r="Q220" s="22">
        <v>-1.42303E-2</v>
      </c>
      <c r="R220" s="22">
        <v>210</v>
      </c>
      <c r="S220" s="22">
        <v>0.95642099999999997</v>
      </c>
      <c r="T220">
        <f t="shared" si="38"/>
        <v>17.568271604938271</v>
      </c>
      <c r="U220">
        <f t="shared" si="39"/>
        <v>16.821426810740743</v>
      </c>
      <c r="X220" s="9"/>
      <c r="Y220" s="22">
        <v>0.80261199999999999</v>
      </c>
      <c r="Z220" s="22">
        <v>16.686499999999999</v>
      </c>
      <c r="AA220" s="22">
        <v>-1.4505000000000001E-2</v>
      </c>
      <c r="AB220" s="22">
        <v>210</v>
      </c>
      <c r="AC220" s="22">
        <v>0.80169699999999999</v>
      </c>
      <c r="AD220">
        <f t="shared" si="40"/>
        <v>17.907407407407408</v>
      </c>
      <c r="AE220">
        <f t="shared" si="41"/>
        <v>14.372700074074075</v>
      </c>
      <c r="AF220" s="9"/>
      <c r="AG220" s="22">
        <v>0.95748900000000003</v>
      </c>
      <c r="AH220" s="22">
        <v>20.6265</v>
      </c>
      <c r="AI220" s="22">
        <v>-1.43372E-2</v>
      </c>
      <c r="AJ220" s="22">
        <v>210</v>
      </c>
      <c r="AK220" s="22">
        <v>0.95611599999999997</v>
      </c>
      <c r="AL220">
        <f t="shared" si="42"/>
        <v>17.700246913580244</v>
      </c>
      <c r="AM220">
        <f t="shared" si="43"/>
        <v>16.947791717037035</v>
      </c>
      <c r="AP220" s="9"/>
      <c r="AQ220" s="22">
        <v>0.80261199999999999</v>
      </c>
      <c r="AR220" s="22">
        <v>26.259699999999999</v>
      </c>
      <c r="AS220" s="22">
        <v>-1.4660599999999999E-2</v>
      </c>
      <c r="AT220" s="22">
        <v>210</v>
      </c>
      <c r="AU220" s="22">
        <v>0.80169699999999999</v>
      </c>
      <c r="AV220">
        <f t="shared" si="44"/>
        <v>18.099506172839504</v>
      </c>
      <c r="AW220">
        <f t="shared" si="45"/>
        <v>14.526880848395059</v>
      </c>
      <c r="AX220" s="9"/>
      <c r="AY220" s="22">
        <v>0.95748900000000003</v>
      </c>
      <c r="AZ220" s="22">
        <v>30.1997</v>
      </c>
      <c r="BA220" s="22">
        <v>-1.44928E-2</v>
      </c>
      <c r="BB220" s="22">
        <v>210</v>
      </c>
      <c r="BC220" s="22">
        <v>0.95642099999999997</v>
      </c>
      <c r="BD220">
        <f t="shared" si="46"/>
        <v>17.892345679012344</v>
      </c>
      <c r="BE220">
        <f t="shared" si="47"/>
        <v>17.13172417185185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0.79757699999999998</v>
      </c>
      <c r="H221" s="22">
        <v>7.1182999999999996</v>
      </c>
      <c r="I221" s="22">
        <v>-1.4468399999999999E-2</v>
      </c>
      <c r="J221" s="22">
        <v>211</v>
      </c>
      <c r="K221" s="22">
        <v>0.79681400000000002</v>
      </c>
      <c r="L221">
        <f t="shared" si="36"/>
        <v>17.862222222222222</v>
      </c>
      <c r="M221">
        <f t="shared" si="37"/>
        <v>14.246497613333332</v>
      </c>
      <c r="N221" s="9"/>
      <c r="O221" s="22">
        <v>0.96252400000000005</v>
      </c>
      <c r="P221" s="22">
        <v>11.058299999999999</v>
      </c>
      <c r="Q221" s="22">
        <v>-1.42273E-2</v>
      </c>
      <c r="R221" s="22">
        <v>211</v>
      </c>
      <c r="S221" s="22">
        <v>0.96191400000000005</v>
      </c>
      <c r="T221">
        <f t="shared" si="38"/>
        <v>17.564567901234565</v>
      </c>
      <c r="U221">
        <f t="shared" si="39"/>
        <v>16.906318154567899</v>
      </c>
      <c r="X221" s="9"/>
      <c r="Y221" s="22">
        <v>0.79757699999999998</v>
      </c>
      <c r="Z221" s="22">
        <v>16.6965</v>
      </c>
      <c r="AA221" s="22">
        <v>-1.4511100000000001E-2</v>
      </c>
      <c r="AB221" s="22">
        <v>211</v>
      </c>
      <c r="AC221" s="22">
        <v>0.79681400000000002</v>
      </c>
      <c r="AD221">
        <f t="shared" si="40"/>
        <v>17.914938271604939</v>
      </c>
      <c r="AE221">
        <f t="shared" si="41"/>
        <v>14.288542721851853</v>
      </c>
      <c r="AF221" s="9"/>
      <c r="AG221" s="22">
        <v>0.96252400000000005</v>
      </c>
      <c r="AH221" s="22">
        <v>20.636600000000001</v>
      </c>
      <c r="AI221" s="22">
        <v>-1.4331099999999999E-2</v>
      </c>
      <c r="AJ221" s="22">
        <v>211</v>
      </c>
      <c r="AK221" s="22">
        <v>0.96130400000000005</v>
      </c>
      <c r="AL221">
        <f t="shared" si="42"/>
        <v>17.692716049382714</v>
      </c>
      <c r="AM221">
        <f t="shared" si="43"/>
        <v>17.029663822716049</v>
      </c>
      <c r="AP221" s="9"/>
      <c r="AQ221" s="22">
        <v>0.79757699999999998</v>
      </c>
      <c r="AR221" s="22">
        <v>26.2698</v>
      </c>
      <c r="AS221" s="22">
        <v>-1.46667E-2</v>
      </c>
      <c r="AT221" s="22">
        <v>211</v>
      </c>
      <c r="AU221" s="22">
        <v>0.79681400000000002</v>
      </c>
      <c r="AV221">
        <f t="shared" si="44"/>
        <v>18.107037037037035</v>
      </c>
      <c r="AW221">
        <f t="shared" si="45"/>
        <v>14.441756278888887</v>
      </c>
      <c r="AX221" s="9"/>
      <c r="AY221" s="22">
        <v>0.96252400000000005</v>
      </c>
      <c r="AZ221" s="22">
        <v>30.209800000000001</v>
      </c>
      <c r="BA221" s="22">
        <v>-1.4489699999999999E-2</v>
      </c>
      <c r="BB221" s="22">
        <v>211</v>
      </c>
      <c r="BC221" s="22">
        <v>0.96130400000000005</v>
      </c>
      <c r="BD221">
        <f t="shared" si="46"/>
        <v>17.888518518518516</v>
      </c>
      <c r="BE221">
        <f t="shared" si="47"/>
        <v>17.218128398518516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0.79254199999999997</v>
      </c>
      <c r="H222" s="22">
        <v>7.1283700000000003</v>
      </c>
      <c r="I222" s="22">
        <v>-1.44745E-2</v>
      </c>
      <c r="J222" s="22">
        <v>212</v>
      </c>
      <c r="K222" s="22">
        <v>0.79132100000000005</v>
      </c>
      <c r="L222">
        <f t="shared" si="36"/>
        <v>17.869753086419752</v>
      </c>
      <c r="M222">
        <f t="shared" si="37"/>
        <v>14.162529850617283</v>
      </c>
      <c r="N222" s="9"/>
      <c r="O222" s="22">
        <v>0.96755999999999998</v>
      </c>
      <c r="P222" s="22">
        <v>11.0684</v>
      </c>
      <c r="Q222" s="22">
        <v>-1.4224199999999999E-2</v>
      </c>
      <c r="R222" s="22">
        <v>212</v>
      </c>
      <c r="S222" s="22">
        <v>0.96649200000000002</v>
      </c>
      <c r="T222">
        <f t="shared" si="38"/>
        <v>17.560740740740737</v>
      </c>
      <c r="U222">
        <f t="shared" si="39"/>
        <v>16.991070311111109</v>
      </c>
      <c r="X222" s="9"/>
      <c r="Y222" s="22">
        <v>0.79254199999999997</v>
      </c>
      <c r="Z222" s="22">
        <v>16.706600000000002</v>
      </c>
      <c r="AA222" s="22">
        <v>-1.45142E-2</v>
      </c>
      <c r="AB222" s="22">
        <v>212</v>
      </c>
      <c r="AC222" s="22">
        <v>0.79162600000000005</v>
      </c>
      <c r="AD222">
        <f t="shared" si="40"/>
        <v>17.918765432098763</v>
      </c>
      <c r="AE222">
        <f t="shared" si="41"/>
        <v>14.201374193086417</v>
      </c>
      <c r="AF222" s="9"/>
      <c r="AG222" s="22">
        <v>0.96755999999999998</v>
      </c>
      <c r="AH222" s="22">
        <v>20.646599999999999</v>
      </c>
      <c r="AI222" s="22">
        <v>-1.43188E-2</v>
      </c>
      <c r="AJ222" s="22">
        <v>212</v>
      </c>
      <c r="AK222" s="22">
        <v>0.96649200000000002</v>
      </c>
      <c r="AL222">
        <f t="shared" si="42"/>
        <v>17.677530864197529</v>
      </c>
      <c r="AM222">
        <f t="shared" si="43"/>
        <v>17.10407176296296</v>
      </c>
      <c r="AP222" s="9"/>
      <c r="AQ222" s="22">
        <v>0.79254199999999997</v>
      </c>
      <c r="AR222" s="22">
        <v>26.279800000000002</v>
      </c>
      <c r="AS222" s="22">
        <v>-1.46698E-2</v>
      </c>
      <c r="AT222" s="22">
        <v>212</v>
      </c>
      <c r="AU222" s="22">
        <v>0.79132100000000005</v>
      </c>
      <c r="AV222">
        <f t="shared" si="44"/>
        <v>18.110864197530866</v>
      </c>
      <c r="AW222">
        <f t="shared" si="45"/>
        <v>14.353620532839507</v>
      </c>
      <c r="AX222" s="9"/>
      <c r="AY222" s="22">
        <v>0.96755999999999998</v>
      </c>
      <c r="AZ222" s="22">
        <v>30.219899999999999</v>
      </c>
      <c r="BA222" s="22">
        <v>-1.44806E-2</v>
      </c>
      <c r="BB222" s="22">
        <v>212</v>
      </c>
      <c r="BC222" s="22">
        <v>0.96618700000000002</v>
      </c>
      <c r="BD222">
        <f t="shared" si="46"/>
        <v>17.877283950617283</v>
      </c>
      <c r="BE222">
        <f t="shared" si="47"/>
        <v>17.297344859259258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0.78750600000000004</v>
      </c>
      <c r="H223" s="22">
        <v>7.1384499999999997</v>
      </c>
      <c r="I223" s="22">
        <v>-1.4477500000000001E-2</v>
      </c>
      <c r="J223" s="22">
        <v>213</v>
      </c>
      <c r="K223" s="22">
        <v>0.78643799999999997</v>
      </c>
      <c r="L223">
        <f t="shared" si="36"/>
        <v>17.873456790123456</v>
      </c>
      <c r="M223">
        <f t="shared" si="37"/>
        <v>14.075454462962963</v>
      </c>
      <c r="N223" s="9"/>
      <c r="O223" s="22">
        <v>0.97259499999999999</v>
      </c>
      <c r="P223" s="22">
        <v>11.0785</v>
      </c>
      <c r="Q223" s="22">
        <v>-1.4218099999999999E-2</v>
      </c>
      <c r="R223" s="22">
        <v>213</v>
      </c>
      <c r="S223" s="22">
        <v>0.97167999999999999</v>
      </c>
      <c r="T223">
        <f t="shared" si="38"/>
        <v>17.553209876543207</v>
      </c>
      <c r="U223">
        <f t="shared" si="39"/>
        <v>17.072164159876539</v>
      </c>
      <c r="X223" s="9"/>
      <c r="Y223" s="22">
        <v>0.78750600000000004</v>
      </c>
      <c r="Z223" s="22">
        <v>16.716699999999999</v>
      </c>
      <c r="AA223" s="22">
        <v>-1.4517199999999999E-2</v>
      </c>
      <c r="AB223" s="22">
        <v>213</v>
      </c>
      <c r="AC223" s="22">
        <v>0.78674299999999997</v>
      </c>
      <c r="AD223">
        <f t="shared" si="40"/>
        <v>17.922469135802466</v>
      </c>
      <c r="AE223">
        <f t="shared" si="41"/>
        <v>14.114051979259257</v>
      </c>
      <c r="AF223" s="9"/>
      <c r="AG223" s="22">
        <v>0.97259499999999999</v>
      </c>
      <c r="AH223" s="22">
        <v>20.656700000000001</v>
      </c>
      <c r="AI223" s="22">
        <v>-1.4312699999999999E-2</v>
      </c>
      <c r="AJ223" s="22">
        <v>213</v>
      </c>
      <c r="AK223" s="22">
        <v>0.97167999999999999</v>
      </c>
      <c r="AL223">
        <f t="shared" si="42"/>
        <v>17.669999999999998</v>
      </c>
      <c r="AM223">
        <f t="shared" si="43"/>
        <v>17.185753649999999</v>
      </c>
      <c r="AP223" s="9"/>
      <c r="AQ223" s="22">
        <v>0.78750600000000004</v>
      </c>
      <c r="AR223" s="22">
        <v>26.289899999999999</v>
      </c>
      <c r="AS223" s="22">
        <v>-1.46759E-2</v>
      </c>
      <c r="AT223" s="22">
        <v>213</v>
      </c>
      <c r="AU223" s="22">
        <v>0.78674299999999997</v>
      </c>
      <c r="AV223">
        <f t="shared" si="44"/>
        <v>18.118395061728396</v>
      </c>
      <c r="AW223">
        <f t="shared" si="45"/>
        <v>14.268344821481483</v>
      </c>
      <c r="AX223" s="9"/>
      <c r="AY223" s="22">
        <v>0.97259499999999999</v>
      </c>
      <c r="AZ223" s="22">
        <v>30.229900000000001</v>
      </c>
      <c r="BA223" s="22">
        <v>-1.44745E-2</v>
      </c>
      <c r="BB223" s="22">
        <v>213</v>
      </c>
      <c r="BC223" s="22">
        <v>0.97137499999999999</v>
      </c>
      <c r="BD223">
        <f t="shared" si="46"/>
        <v>17.869753086419752</v>
      </c>
      <c r="BE223">
        <f t="shared" si="47"/>
        <v>17.380032503086419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0.78247100000000003</v>
      </c>
      <c r="H224" s="22">
        <v>7.1485200000000004</v>
      </c>
      <c r="I224" s="22">
        <v>-1.4483599999999999E-2</v>
      </c>
      <c r="J224" s="22">
        <v>214</v>
      </c>
      <c r="K224" s="22">
        <v>0.78125</v>
      </c>
      <c r="L224">
        <f t="shared" si="36"/>
        <v>17.880987654320986</v>
      </c>
      <c r="M224">
        <f t="shared" si="37"/>
        <v>13.991354290864196</v>
      </c>
      <c r="N224" s="9"/>
      <c r="O224" s="22">
        <v>0.97763100000000003</v>
      </c>
      <c r="P224" s="22">
        <v>11.0886</v>
      </c>
      <c r="Q224" s="22">
        <v>-1.42151E-2</v>
      </c>
      <c r="R224" s="22">
        <v>214</v>
      </c>
      <c r="S224" s="22">
        <v>0.97625700000000004</v>
      </c>
      <c r="T224">
        <f t="shared" si="38"/>
        <v>17.549506172839507</v>
      </c>
      <c r="U224">
        <f t="shared" si="39"/>
        <v>17.15694126925926</v>
      </c>
      <c r="X224" s="9"/>
      <c r="Y224" s="22">
        <v>0.78247100000000003</v>
      </c>
      <c r="Z224" s="22">
        <v>16.726700000000001</v>
      </c>
      <c r="AA224" s="22">
        <v>-1.4523299999999999E-2</v>
      </c>
      <c r="AB224" s="22">
        <v>214</v>
      </c>
      <c r="AC224" s="22">
        <v>0.78216600000000003</v>
      </c>
      <c r="AD224">
        <f t="shared" si="40"/>
        <v>17.93</v>
      </c>
      <c r="AE224">
        <f t="shared" si="41"/>
        <v>14.029705030000001</v>
      </c>
      <c r="AF224" s="9"/>
      <c r="AG224" s="22">
        <v>0.97763100000000003</v>
      </c>
      <c r="AH224" s="22">
        <v>20.666799999999999</v>
      </c>
      <c r="AI224" s="22">
        <v>-1.43036E-2</v>
      </c>
      <c r="AJ224" s="22">
        <v>214</v>
      </c>
      <c r="AK224" s="22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2">
        <v>0.78247100000000003</v>
      </c>
      <c r="AR224" s="22">
        <v>26.3</v>
      </c>
      <c r="AS224" s="22">
        <v>-1.4682000000000001E-2</v>
      </c>
      <c r="AT224" s="22">
        <v>214</v>
      </c>
      <c r="AU224" s="22">
        <v>0.781555</v>
      </c>
      <c r="AV224">
        <f t="shared" si="44"/>
        <v>18.125925925925923</v>
      </c>
      <c r="AW224">
        <f t="shared" si="45"/>
        <v>14.183011385185184</v>
      </c>
      <c r="AX224" s="9"/>
      <c r="AY224" s="22">
        <v>0.97763100000000003</v>
      </c>
      <c r="AZ224" s="22">
        <v>30.24</v>
      </c>
      <c r="BA224" s="22">
        <v>-1.4468399999999999E-2</v>
      </c>
      <c r="BB224" s="22">
        <v>214</v>
      </c>
      <c r="BC224" s="22">
        <v>0.97625700000000004</v>
      </c>
      <c r="BD224">
        <f t="shared" si="46"/>
        <v>17.862222222222222</v>
      </c>
      <c r="BE224">
        <f t="shared" si="47"/>
        <v>17.462662173333335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0.77743499999999999</v>
      </c>
      <c r="H225" s="22">
        <v>7.1585900000000002</v>
      </c>
      <c r="I225" s="22">
        <v>-1.44867E-2</v>
      </c>
      <c r="J225" s="22">
        <v>215</v>
      </c>
      <c r="K225" s="22">
        <v>0.77667200000000003</v>
      </c>
      <c r="L225">
        <f t="shared" si="36"/>
        <v>17.884814814814817</v>
      </c>
      <c r="M225">
        <f t="shared" si="37"/>
        <v>13.904281005555557</v>
      </c>
      <c r="N225" s="9"/>
      <c r="O225" s="22">
        <v>0.98266600000000004</v>
      </c>
      <c r="P225" s="22">
        <v>11.098599999999999</v>
      </c>
      <c r="Q225" s="22">
        <v>-1.4212000000000001E-2</v>
      </c>
      <c r="R225" s="22">
        <v>215</v>
      </c>
      <c r="S225" s="22">
        <v>0.98144500000000001</v>
      </c>
      <c r="T225">
        <f t="shared" si="38"/>
        <v>17.54567901234568</v>
      </c>
      <c r="U225">
        <f t="shared" si="39"/>
        <v>17.241542212345681</v>
      </c>
      <c r="X225" s="9"/>
      <c r="Y225" s="22">
        <v>0.77743499999999999</v>
      </c>
      <c r="Z225" s="22">
        <v>16.736799999999999</v>
      </c>
      <c r="AA225" s="22">
        <v>-1.45294E-2</v>
      </c>
      <c r="AB225" s="22">
        <v>215</v>
      </c>
      <c r="AC225" s="22">
        <v>0.77636700000000003</v>
      </c>
      <c r="AD225">
        <f t="shared" si="40"/>
        <v>17.93753086419753</v>
      </c>
      <c r="AE225">
        <f t="shared" si="41"/>
        <v>13.945264307407406</v>
      </c>
      <c r="AF225" s="9"/>
      <c r="AG225" s="22">
        <v>0.98266600000000004</v>
      </c>
      <c r="AH225" s="22">
        <v>20.6768</v>
      </c>
      <c r="AI225" s="22">
        <v>-1.4297499999999999E-2</v>
      </c>
      <c r="AJ225" s="22">
        <v>215</v>
      </c>
      <c r="AK225" s="22">
        <v>0.98175000000000001</v>
      </c>
      <c r="AL225">
        <f t="shared" si="42"/>
        <v>17.651234567901231</v>
      </c>
      <c r="AM225">
        <f t="shared" si="43"/>
        <v>17.34526806790123</v>
      </c>
      <c r="AP225" s="9"/>
      <c r="AQ225" s="22">
        <v>0.77743499999999999</v>
      </c>
      <c r="AR225" s="22">
        <v>26.31</v>
      </c>
      <c r="AS225" s="22">
        <v>-1.4688100000000001E-2</v>
      </c>
      <c r="AT225" s="22">
        <v>215</v>
      </c>
      <c r="AU225" s="22">
        <v>0.77667200000000003</v>
      </c>
      <c r="AV225">
        <f t="shared" si="44"/>
        <v>18.133456790123457</v>
      </c>
      <c r="AW225">
        <f t="shared" si="45"/>
        <v>14.097583979629629</v>
      </c>
      <c r="AX225" s="9"/>
      <c r="AY225" s="22">
        <v>0.98266600000000004</v>
      </c>
      <c r="AZ225" s="22">
        <v>30.2501</v>
      </c>
      <c r="BA225" s="22">
        <v>-1.4468399999999999E-2</v>
      </c>
      <c r="BB225" s="22">
        <v>215</v>
      </c>
      <c r="BC225" s="22">
        <v>0.98144500000000001</v>
      </c>
      <c r="BD225">
        <f t="shared" si="46"/>
        <v>17.862222222222222</v>
      </c>
      <c r="BE225">
        <f t="shared" si="47"/>
        <v>17.552598462222221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0.77239999999999998</v>
      </c>
      <c r="H226" s="22">
        <v>7.16866</v>
      </c>
      <c r="I226" s="22">
        <v>-1.4489699999999999E-2</v>
      </c>
      <c r="J226" s="22">
        <v>216</v>
      </c>
      <c r="K226" s="22">
        <v>0.77178999999999998</v>
      </c>
      <c r="L226">
        <f t="shared" si="36"/>
        <v>17.888518518518516</v>
      </c>
      <c r="M226">
        <f t="shared" si="37"/>
        <v>13.817091703703701</v>
      </c>
      <c r="N226" s="9"/>
      <c r="O226" s="22">
        <v>0.98770100000000005</v>
      </c>
      <c r="P226" s="22">
        <v>11.108700000000001</v>
      </c>
      <c r="Q226" s="22">
        <v>-1.42059E-2</v>
      </c>
      <c r="R226" s="22">
        <v>216</v>
      </c>
      <c r="S226" s="22">
        <v>0.98663299999999998</v>
      </c>
      <c r="T226">
        <f t="shared" si="38"/>
        <v>17.538148148148146</v>
      </c>
      <c r="U226">
        <f t="shared" si="39"/>
        <v>17.322446464074073</v>
      </c>
      <c r="X226" s="9"/>
      <c r="Y226" s="22">
        <v>0.77239999999999998</v>
      </c>
      <c r="Z226" s="22">
        <v>16.7469</v>
      </c>
      <c r="AA226" s="22">
        <v>-1.45355E-2</v>
      </c>
      <c r="AB226" s="22">
        <v>216</v>
      </c>
      <c r="AC226" s="22">
        <v>0.77148399999999995</v>
      </c>
      <c r="AD226">
        <f t="shared" si="40"/>
        <v>17.945061728395061</v>
      </c>
      <c r="AE226">
        <f t="shared" si="41"/>
        <v>13.860765679012344</v>
      </c>
      <c r="AF226" s="9"/>
      <c r="AG226" s="22">
        <v>0.98770100000000005</v>
      </c>
      <c r="AH226" s="22">
        <v>20.686900000000001</v>
      </c>
      <c r="AI226" s="22">
        <v>-1.4291399999999999E-2</v>
      </c>
      <c r="AJ226" s="22">
        <v>216</v>
      </c>
      <c r="AK226" s="22">
        <v>0.98632799999999998</v>
      </c>
      <c r="AL226">
        <f t="shared" si="42"/>
        <v>17.643703703703704</v>
      </c>
      <c r="AM226">
        <f t="shared" si="43"/>
        <v>17.426703791851853</v>
      </c>
      <c r="AP226" s="9"/>
      <c r="AQ226" s="22">
        <v>0.77239999999999998</v>
      </c>
      <c r="AR226" s="22">
        <v>26.3201</v>
      </c>
      <c r="AS226" s="22">
        <v>-1.4694199999999999E-2</v>
      </c>
      <c r="AT226" s="22">
        <v>216</v>
      </c>
      <c r="AU226" s="22">
        <v>0.77117899999999995</v>
      </c>
      <c r="AV226">
        <f t="shared" si="44"/>
        <v>18.140987654320988</v>
      </c>
      <c r="AW226">
        <f t="shared" si="45"/>
        <v>14.012098864197529</v>
      </c>
      <c r="AX226" s="9"/>
      <c r="AY226" s="22">
        <v>0.98770100000000005</v>
      </c>
      <c r="AZ226" s="22">
        <v>30.260200000000001</v>
      </c>
      <c r="BA226" s="22">
        <v>-1.44592E-2</v>
      </c>
      <c r="BB226" s="22">
        <v>216</v>
      </c>
      <c r="BC226" s="22">
        <v>0.98632799999999998</v>
      </c>
      <c r="BD226">
        <f t="shared" si="46"/>
        <v>17.850864197530864</v>
      </c>
      <c r="BE226">
        <f t="shared" si="47"/>
        <v>17.631316418765433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0.76736499999999996</v>
      </c>
      <c r="H227" s="22">
        <v>7.1787299999999998</v>
      </c>
      <c r="I227" s="22">
        <v>-1.44958E-2</v>
      </c>
      <c r="J227" s="22">
        <v>217</v>
      </c>
      <c r="K227" s="22">
        <v>0.76690700000000001</v>
      </c>
      <c r="L227">
        <f t="shared" si="36"/>
        <v>17.896049382716047</v>
      </c>
      <c r="M227">
        <f t="shared" si="37"/>
        <v>13.732801934567899</v>
      </c>
      <c r="N227" s="9"/>
      <c r="O227" s="22">
        <v>0.99273699999999998</v>
      </c>
      <c r="P227" s="22">
        <v>11.1188</v>
      </c>
      <c r="Q227" s="22">
        <v>-1.4202899999999999E-2</v>
      </c>
      <c r="R227" s="22">
        <v>217</v>
      </c>
      <c r="S227" s="22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2">
        <v>0.76736499999999996</v>
      </c>
      <c r="Z227" s="22">
        <v>16.757000000000001</v>
      </c>
      <c r="AA227" s="22">
        <v>-1.4544700000000001E-2</v>
      </c>
      <c r="AB227" s="22">
        <v>217</v>
      </c>
      <c r="AC227" s="22">
        <v>0.76690700000000001</v>
      </c>
      <c r="AD227">
        <f t="shared" si="40"/>
        <v>17.956419753086422</v>
      </c>
      <c r="AE227">
        <f t="shared" si="41"/>
        <v>13.779128043827162</v>
      </c>
      <c r="AF227" s="9"/>
      <c r="AG227" s="22">
        <v>0.99273699999999998</v>
      </c>
      <c r="AH227" s="22">
        <v>20.696999999999999</v>
      </c>
      <c r="AI227" s="22">
        <v>-1.42883E-2</v>
      </c>
      <c r="AJ227" s="22">
        <v>217</v>
      </c>
      <c r="AK227" s="22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2">
        <v>0.76736499999999996</v>
      </c>
      <c r="AR227" s="22">
        <v>26.330200000000001</v>
      </c>
      <c r="AS227" s="22">
        <v>-1.4700299999999999E-2</v>
      </c>
      <c r="AT227" s="22">
        <v>217</v>
      </c>
      <c r="AU227" s="22">
        <v>0.76660200000000001</v>
      </c>
      <c r="AV227">
        <f t="shared" si="44"/>
        <v>18.148518518518514</v>
      </c>
      <c r="AW227">
        <f t="shared" si="45"/>
        <v>13.92653791296296</v>
      </c>
      <c r="AX227" s="9"/>
      <c r="AY227" s="22">
        <v>0.99273699999999998</v>
      </c>
      <c r="AZ227" s="22">
        <v>30.270199999999999</v>
      </c>
      <c r="BA227" s="22">
        <v>-1.44531E-2</v>
      </c>
      <c r="BB227" s="22">
        <v>217</v>
      </c>
      <c r="BC227" s="22">
        <v>0.99121099999999995</v>
      </c>
      <c r="BD227">
        <f t="shared" si="46"/>
        <v>17.843333333333334</v>
      </c>
      <c r="BE227">
        <f t="shared" si="47"/>
        <v>17.713737203333334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0.76232900000000003</v>
      </c>
      <c r="H228" s="22">
        <v>7.1887999999999996</v>
      </c>
      <c r="I228" s="22">
        <v>-1.4501999999999999E-2</v>
      </c>
      <c r="J228" s="22">
        <v>218</v>
      </c>
      <c r="K228" s="22">
        <v>0.76171900000000003</v>
      </c>
      <c r="L228">
        <f t="shared" si="36"/>
        <v>17.903703703703702</v>
      </c>
      <c r="M228">
        <f t="shared" si="37"/>
        <v>13.648512540740739</v>
      </c>
      <c r="N228" s="9"/>
      <c r="O228" s="22">
        <v>0.99777199999999999</v>
      </c>
      <c r="P228" s="22">
        <v>11.1288</v>
      </c>
      <c r="Q228" s="22">
        <v>-1.4196800000000001E-2</v>
      </c>
      <c r="R228" s="22">
        <v>218</v>
      </c>
      <c r="S228" s="22">
        <v>0.99639900000000003</v>
      </c>
      <c r="T228">
        <f t="shared" si="38"/>
        <v>17.526913580246916</v>
      </c>
      <c r="U228">
        <f t="shared" si="39"/>
        <v>17.487863616790126</v>
      </c>
      <c r="X228" s="9"/>
      <c r="Y228" s="22">
        <v>0.76232900000000003</v>
      </c>
      <c r="Z228" s="22">
        <v>16.766999999999999</v>
      </c>
      <c r="AA228" s="22">
        <v>-1.45477E-2</v>
      </c>
      <c r="AB228" s="22">
        <v>218</v>
      </c>
      <c r="AC228" s="22">
        <v>0.76110800000000001</v>
      </c>
      <c r="AD228">
        <f t="shared" si="40"/>
        <v>17.960123456790122</v>
      </c>
      <c r="AE228">
        <f t="shared" si="41"/>
        <v>13.691522954691358</v>
      </c>
      <c r="AF228" s="9"/>
      <c r="AG228" s="22">
        <v>0.99777199999999999</v>
      </c>
      <c r="AH228" s="22">
        <v>20.707100000000001</v>
      </c>
      <c r="AI228" s="22">
        <v>-1.4285300000000001E-2</v>
      </c>
      <c r="AJ228" s="22">
        <v>218</v>
      </c>
      <c r="AK228" s="22">
        <v>0.99700900000000003</v>
      </c>
      <c r="AL228">
        <f t="shared" si="42"/>
        <v>17.636172839506173</v>
      </c>
      <c r="AM228">
        <f t="shared" si="43"/>
        <v>17.596879446419752</v>
      </c>
      <c r="AP228" s="9"/>
      <c r="AQ228" s="22">
        <v>0.76232900000000003</v>
      </c>
      <c r="AR228" s="22">
        <v>26.340299999999999</v>
      </c>
      <c r="AS228" s="22">
        <v>-1.47064E-2</v>
      </c>
      <c r="AT228" s="22">
        <v>218</v>
      </c>
      <c r="AU228" s="22">
        <v>0.76110800000000001</v>
      </c>
      <c r="AV228">
        <f t="shared" si="44"/>
        <v>18.156049382716049</v>
      </c>
      <c r="AW228">
        <f t="shared" si="45"/>
        <v>13.840882969876542</v>
      </c>
      <c r="AX228" s="9"/>
      <c r="AY228" s="22">
        <v>0.99777199999999999</v>
      </c>
      <c r="AZ228" s="22">
        <v>30.2803</v>
      </c>
      <c r="BA228" s="22">
        <v>-1.44501E-2</v>
      </c>
      <c r="BB228" s="22">
        <v>218</v>
      </c>
      <c r="BC228" s="22">
        <v>0.99670400000000003</v>
      </c>
      <c r="BD228">
        <f t="shared" si="46"/>
        <v>17.839629629629631</v>
      </c>
      <c r="BE228">
        <f t="shared" si="47"/>
        <v>17.799882934814814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0.75729400000000002</v>
      </c>
      <c r="H229" s="22">
        <v>7.1988700000000003</v>
      </c>
      <c r="I229" s="22">
        <v>-1.4511100000000001E-2</v>
      </c>
      <c r="J229" s="22">
        <v>219</v>
      </c>
      <c r="K229" s="22">
        <v>0.75561500000000004</v>
      </c>
      <c r="L229">
        <f t="shared" si="36"/>
        <v>17.914938271604939</v>
      </c>
      <c r="M229">
        <f t="shared" si="37"/>
        <v>13.56687526345679</v>
      </c>
      <c r="N229" s="9"/>
      <c r="O229" s="22">
        <v>1.00281</v>
      </c>
      <c r="P229" s="22">
        <v>11.1389</v>
      </c>
      <c r="Q229" s="22">
        <v>-1.4190700000000001E-2</v>
      </c>
      <c r="R229" s="22">
        <v>219</v>
      </c>
      <c r="S229" s="22">
        <v>1.00159</v>
      </c>
      <c r="T229">
        <f t="shared" si="38"/>
        <v>17.519382716049382</v>
      </c>
      <c r="U229">
        <f t="shared" si="39"/>
        <v>17.56861218148148</v>
      </c>
      <c r="X229" s="9"/>
      <c r="Y229" s="22">
        <v>0.75729400000000002</v>
      </c>
      <c r="Z229" s="22">
        <v>16.777100000000001</v>
      </c>
      <c r="AA229" s="22">
        <v>-1.4550799999999999E-2</v>
      </c>
      <c r="AB229" s="22">
        <v>219</v>
      </c>
      <c r="AC229" s="22">
        <v>0.75622599999999995</v>
      </c>
      <c r="AD229">
        <f t="shared" si="40"/>
        <v>17.963950617283949</v>
      </c>
      <c r="AE229">
        <f t="shared" si="41"/>
        <v>13.603992018765432</v>
      </c>
      <c r="AF229" s="9"/>
      <c r="AG229" s="22">
        <v>1.00281</v>
      </c>
      <c r="AH229" s="22">
        <v>20.717099999999999</v>
      </c>
      <c r="AI229" s="22">
        <v>-1.42822E-2</v>
      </c>
      <c r="AJ229" s="22">
        <v>219</v>
      </c>
      <c r="AK229" s="22">
        <v>1.00159</v>
      </c>
      <c r="AL229">
        <f t="shared" si="42"/>
        <v>17.632345679012342</v>
      </c>
      <c r="AM229">
        <f t="shared" si="43"/>
        <v>17.681892570370366</v>
      </c>
      <c r="AP229" s="9"/>
      <c r="AQ229" s="22">
        <v>0.75729400000000002</v>
      </c>
      <c r="AR229" s="22">
        <v>26.350300000000001</v>
      </c>
      <c r="AS229" s="22">
        <v>-1.47125E-2</v>
      </c>
      <c r="AT229" s="22">
        <v>219</v>
      </c>
      <c r="AU229" s="22">
        <v>0.75653099999999995</v>
      </c>
      <c r="AV229">
        <f t="shared" si="44"/>
        <v>18.163580246913579</v>
      </c>
      <c r="AW229">
        <f t="shared" si="45"/>
        <v>13.755170339506172</v>
      </c>
      <c r="AX229" s="9"/>
      <c r="AY229" s="22">
        <v>1.00281</v>
      </c>
      <c r="AZ229" s="22">
        <v>30.290400000000002</v>
      </c>
      <c r="BA229" s="22">
        <v>-1.4444E-2</v>
      </c>
      <c r="BB229" s="22">
        <v>219</v>
      </c>
      <c r="BC229" s="22">
        <v>1.00159</v>
      </c>
      <c r="BD229">
        <f t="shared" si="46"/>
        <v>17.832098765432097</v>
      </c>
      <c r="BE229">
        <f t="shared" si="47"/>
        <v>17.882206962962961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0.75225799999999998</v>
      </c>
      <c r="H230" s="22">
        <v>7.2089400000000001</v>
      </c>
      <c r="I230" s="22">
        <v>-1.45142E-2</v>
      </c>
      <c r="J230" s="22">
        <v>220</v>
      </c>
      <c r="K230" s="22">
        <v>0.75103799999999998</v>
      </c>
      <c r="L230">
        <f t="shared" si="36"/>
        <v>17.918765432098763</v>
      </c>
      <c r="M230">
        <f t="shared" si="37"/>
        <v>13.479534646419751</v>
      </c>
      <c r="N230" s="9"/>
      <c r="O230" s="22">
        <v>1.0078400000000001</v>
      </c>
      <c r="P230" s="22">
        <v>11.148999999999999</v>
      </c>
      <c r="Q230" s="22">
        <v>-1.41876E-2</v>
      </c>
      <c r="R230" s="22">
        <v>220</v>
      </c>
      <c r="S230" s="22">
        <v>1.00739</v>
      </c>
      <c r="T230">
        <f t="shared" si="38"/>
        <v>17.515555555555554</v>
      </c>
      <c r="U230">
        <f t="shared" si="39"/>
        <v>17.652877511111111</v>
      </c>
      <c r="X230" s="9"/>
      <c r="Y230" s="22">
        <v>0.75225799999999998</v>
      </c>
      <c r="Z230" s="22">
        <v>16.787199999999999</v>
      </c>
      <c r="AA230" s="22">
        <v>-1.45538E-2</v>
      </c>
      <c r="AB230" s="22">
        <v>220</v>
      </c>
      <c r="AC230" s="22">
        <v>0.75103799999999998</v>
      </c>
      <c r="AD230">
        <f t="shared" si="40"/>
        <v>17.967654320987652</v>
      </c>
      <c r="AE230">
        <f t="shared" si="41"/>
        <v>13.516311704197529</v>
      </c>
      <c r="AF230" s="9"/>
      <c r="AG230" s="22">
        <v>1.0078400000000001</v>
      </c>
      <c r="AH230" s="22">
        <v>20.7272</v>
      </c>
      <c r="AI230" s="22">
        <v>-1.42731E-2</v>
      </c>
      <c r="AJ230" s="22">
        <v>220</v>
      </c>
      <c r="AK230" s="22">
        <v>1.0067699999999999</v>
      </c>
      <c r="AL230">
        <f t="shared" si="42"/>
        <v>17.621111111111112</v>
      </c>
      <c r="AM230">
        <f t="shared" si="43"/>
        <v>17.759260622222225</v>
      </c>
      <c r="AP230" s="9"/>
      <c r="AQ230" s="22">
        <v>0.75225799999999998</v>
      </c>
      <c r="AR230" s="22">
        <v>26.360399999999998</v>
      </c>
      <c r="AS230" s="22">
        <v>-1.4721700000000001E-2</v>
      </c>
      <c r="AT230" s="22">
        <v>220</v>
      </c>
      <c r="AU230" s="22">
        <v>0.75164799999999998</v>
      </c>
      <c r="AV230">
        <f t="shared" si="44"/>
        <v>18.174938271604937</v>
      </c>
      <c r="AW230">
        <f t="shared" si="45"/>
        <v>13.672242714320987</v>
      </c>
      <c r="AX230" s="9"/>
      <c r="AY230" s="22">
        <v>1.0078400000000001</v>
      </c>
      <c r="AZ230" s="22">
        <v>30.3004</v>
      </c>
      <c r="BA230" s="22">
        <v>-1.4434799999999999E-2</v>
      </c>
      <c r="BB230" s="22">
        <v>220</v>
      </c>
      <c r="BC230" s="22">
        <v>1.0067699999999999</v>
      </c>
      <c r="BD230">
        <f t="shared" si="46"/>
        <v>17.820740740740739</v>
      </c>
      <c r="BE230">
        <f t="shared" si="47"/>
        <v>17.960455348148148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0.74722299999999997</v>
      </c>
      <c r="H231" s="22">
        <v>7.2190099999999999</v>
      </c>
      <c r="I231" s="22">
        <v>-1.4517199999999999E-2</v>
      </c>
      <c r="J231" s="22">
        <v>221</v>
      </c>
      <c r="K231" s="22">
        <v>0.74646000000000001</v>
      </c>
      <c r="L231">
        <f t="shared" si="36"/>
        <v>17.922469135802466</v>
      </c>
      <c r="M231">
        <f t="shared" si="37"/>
        <v>13.392081155061724</v>
      </c>
      <c r="N231" s="9"/>
      <c r="O231" s="22">
        <v>1.01288</v>
      </c>
      <c r="P231" s="22">
        <v>11.1591</v>
      </c>
      <c r="Q231" s="22">
        <v>-1.41846E-2</v>
      </c>
      <c r="R231" s="22">
        <v>221</v>
      </c>
      <c r="S231" s="22">
        <v>1.01227</v>
      </c>
      <c r="T231">
        <f t="shared" si="38"/>
        <v>17.511851851851851</v>
      </c>
      <c r="U231">
        <f t="shared" si="39"/>
        <v>17.737404503703704</v>
      </c>
      <c r="X231" s="9"/>
      <c r="Y231" s="22">
        <v>0.74722299999999997</v>
      </c>
      <c r="Z231" s="22">
        <v>16.7972</v>
      </c>
      <c r="AA231" s="22">
        <v>-1.4559900000000001E-2</v>
      </c>
      <c r="AB231" s="22">
        <v>221</v>
      </c>
      <c r="AC231" s="22">
        <v>0.74633799999999995</v>
      </c>
      <c r="AD231">
        <f t="shared" si="40"/>
        <v>17.975185185185186</v>
      </c>
      <c r="AE231">
        <f t="shared" si="41"/>
        <v>13.43147179962963</v>
      </c>
      <c r="AF231" s="9"/>
      <c r="AG231" s="22">
        <v>1.01288</v>
      </c>
      <c r="AH231" s="22">
        <v>20.737300000000001</v>
      </c>
      <c r="AI231" s="22">
        <v>-1.4267E-2</v>
      </c>
      <c r="AJ231" s="22">
        <v>221</v>
      </c>
      <c r="AK231" s="22">
        <v>1.01288</v>
      </c>
      <c r="AL231">
        <f t="shared" si="42"/>
        <v>17.613580246913582</v>
      </c>
      <c r="AM231">
        <f t="shared" si="43"/>
        <v>17.84044316049383</v>
      </c>
      <c r="AP231" s="9"/>
      <c r="AQ231" s="22">
        <v>0.74722299999999997</v>
      </c>
      <c r="AR231" s="22">
        <v>26.3705</v>
      </c>
      <c r="AS231" s="22">
        <v>-1.47247E-2</v>
      </c>
      <c r="AT231" s="22">
        <v>221</v>
      </c>
      <c r="AU231" s="22">
        <v>0.74655199999999999</v>
      </c>
      <c r="AV231">
        <f t="shared" si="44"/>
        <v>18.178641975308643</v>
      </c>
      <c r="AW231">
        <f t="shared" si="45"/>
        <v>13.58349939271605</v>
      </c>
      <c r="AX231" s="9"/>
      <c r="AY231" s="22">
        <v>1.01288</v>
      </c>
      <c r="AZ231" s="22">
        <v>30.310500000000001</v>
      </c>
      <c r="BA231" s="22">
        <v>-1.4428699999999999E-2</v>
      </c>
      <c r="BB231" s="22">
        <v>221</v>
      </c>
      <c r="BC231" s="22">
        <v>1.01257</v>
      </c>
      <c r="BD231">
        <f t="shared" si="46"/>
        <v>17.813209876543205</v>
      </c>
      <c r="BE231">
        <f t="shared" si="47"/>
        <v>18.04264401975308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0.74218799999999996</v>
      </c>
      <c r="H232" s="22">
        <v>7.2290799999999997</v>
      </c>
      <c r="I232" s="22">
        <v>-1.4523299999999999E-2</v>
      </c>
      <c r="J232" s="22">
        <v>222</v>
      </c>
      <c r="K232" s="22">
        <v>0.74215699999999996</v>
      </c>
      <c r="L232">
        <f t="shared" si="36"/>
        <v>17.93</v>
      </c>
      <c r="M232">
        <f t="shared" si="37"/>
        <v>13.307430839999999</v>
      </c>
      <c r="N232" s="9"/>
      <c r="O232" s="22">
        <v>1.0179100000000001</v>
      </c>
      <c r="P232" s="22">
        <v>11.1691</v>
      </c>
      <c r="Q232" s="22">
        <v>-1.41785E-2</v>
      </c>
      <c r="R232" s="22">
        <v>222</v>
      </c>
      <c r="S232" s="22">
        <v>1.01654</v>
      </c>
      <c r="T232">
        <f t="shared" si="38"/>
        <v>17.504320987654321</v>
      </c>
      <c r="U232">
        <f t="shared" si="39"/>
        <v>17.81782337654321</v>
      </c>
      <c r="X232" s="9"/>
      <c r="Y232" s="22">
        <v>0.74218799999999996</v>
      </c>
      <c r="Z232" s="22">
        <v>16.807300000000001</v>
      </c>
      <c r="AA232" s="22">
        <v>-1.4563E-2</v>
      </c>
      <c r="AB232" s="22">
        <v>222</v>
      </c>
      <c r="AC232" s="22">
        <v>0.74136400000000002</v>
      </c>
      <c r="AD232">
        <f t="shared" si="40"/>
        <v>17.979012345679013</v>
      </c>
      <c r="AE232">
        <f t="shared" si="41"/>
        <v>13.343807214814815</v>
      </c>
      <c r="AF232" s="9"/>
      <c r="AG232" s="22">
        <v>1.0179100000000001</v>
      </c>
      <c r="AH232" s="22">
        <v>20.747299999999999</v>
      </c>
      <c r="AI232" s="22">
        <v>-1.4257799999999999E-2</v>
      </c>
      <c r="AJ232" s="22">
        <v>222</v>
      </c>
      <c r="AK232" s="22">
        <v>1.01685</v>
      </c>
      <c r="AL232">
        <f t="shared" si="42"/>
        <v>17.60222222222222</v>
      </c>
      <c r="AM232">
        <f t="shared" si="43"/>
        <v>17.917478022222223</v>
      </c>
      <c r="AP232" s="9"/>
      <c r="AQ232" s="22">
        <v>0.74218799999999996</v>
      </c>
      <c r="AR232" s="22">
        <v>26.380500000000001</v>
      </c>
      <c r="AS232" s="22">
        <v>-1.47308E-2</v>
      </c>
      <c r="AT232" s="22">
        <v>222</v>
      </c>
      <c r="AU232" s="22">
        <v>0.74154699999999996</v>
      </c>
      <c r="AV232">
        <f t="shared" si="44"/>
        <v>18.186172839506174</v>
      </c>
      <c r="AW232">
        <f t="shared" si="45"/>
        <v>13.497559247407407</v>
      </c>
      <c r="AX232" s="9"/>
      <c r="AY232" s="22">
        <v>1.0179100000000001</v>
      </c>
      <c r="AZ232" s="22">
        <v>30.320599999999999</v>
      </c>
      <c r="BA232" s="22">
        <v>-1.44257E-2</v>
      </c>
      <c r="BB232" s="22">
        <v>222</v>
      </c>
      <c r="BC232" s="22">
        <v>1.01654</v>
      </c>
      <c r="BD232">
        <f t="shared" si="46"/>
        <v>17.809506172839505</v>
      </c>
      <c r="BE232">
        <f t="shared" si="47"/>
        <v>18.128474428395062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0.73715200000000003</v>
      </c>
      <c r="H233" s="22">
        <v>7.23916</v>
      </c>
      <c r="I233" s="22">
        <v>-1.45294E-2</v>
      </c>
      <c r="J233" s="22">
        <v>223</v>
      </c>
      <c r="K233" s="22">
        <v>0.736572</v>
      </c>
      <c r="L233">
        <f t="shared" si="36"/>
        <v>17.93753086419753</v>
      </c>
      <c r="M233">
        <f t="shared" si="37"/>
        <v>13.222686751604938</v>
      </c>
      <c r="N233" s="9"/>
      <c r="O233" s="22">
        <v>1.02295</v>
      </c>
      <c r="P233" s="22">
        <v>11.1792</v>
      </c>
      <c r="Q233" s="22">
        <v>-1.41724E-2</v>
      </c>
      <c r="R233" s="22">
        <v>223</v>
      </c>
      <c r="S233" s="22">
        <v>1.02234</v>
      </c>
      <c r="T233">
        <f t="shared" si="38"/>
        <v>17.496790123456787</v>
      </c>
      <c r="U233">
        <f t="shared" si="39"/>
        <v>17.898341456790121</v>
      </c>
      <c r="X233" s="9"/>
      <c r="Y233" s="22">
        <v>0.73715200000000003</v>
      </c>
      <c r="Z233" s="22">
        <v>16.817399999999999</v>
      </c>
      <c r="AA233" s="22">
        <v>-1.4566000000000001E-2</v>
      </c>
      <c r="AB233" s="22">
        <v>223</v>
      </c>
      <c r="AC233" s="22">
        <v>0.73648100000000005</v>
      </c>
      <c r="AD233">
        <f t="shared" si="40"/>
        <v>17.982716049382717</v>
      </c>
      <c r="AE233">
        <f t="shared" si="41"/>
        <v>13.25599510123457</v>
      </c>
      <c r="AF233" s="9"/>
      <c r="AG233" s="22">
        <v>1.02295</v>
      </c>
      <c r="AH233" s="22">
        <v>20.757400000000001</v>
      </c>
      <c r="AI233" s="22">
        <v>-1.42548E-2</v>
      </c>
      <c r="AJ233" s="22">
        <v>223</v>
      </c>
      <c r="AK233" s="22">
        <v>1.02173</v>
      </c>
      <c r="AL233">
        <f t="shared" si="42"/>
        <v>17.598518518518517</v>
      </c>
      <c r="AM233">
        <f t="shared" si="43"/>
        <v>18.002404518518517</v>
      </c>
      <c r="AP233" s="9"/>
      <c r="AQ233" s="22">
        <v>0.73715200000000003</v>
      </c>
      <c r="AR233" s="22">
        <v>26.390599999999999</v>
      </c>
      <c r="AS233" s="22">
        <v>-1.4733899999999999E-2</v>
      </c>
      <c r="AT233" s="22">
        <v>223</v>
      </c>
      <c r="AU233" s="22">
        <v>0.736572</v>
      </c>
      <c r="AV233">
        <f t="shared" si="44"/>
        <v>18.189999999999998</v>
      </c>
      <c r="AW233">
        <f t="shared" si="45"/>
        <v>13.408794879999999</v>
      </c>
      <c r="AX233" s="9"/>
      <c r="AY233" s="22">
        <v>1.02295</v>
      </c>
      <c r="AZ233" s="22">
        <v>30.3307</v>
      </c>
      <c r="BA233" s="22">
        <v>-1.4419599999999999E-2</v>
      </c>
      <c r="BB233" s="22">
        <v>223</v>
      </c>
      <c r="BC233" s="22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0.73211700000000002</v>
      </c>
      <c r="H234" s="22">
        <v>7.2492299999999998</v>
      </c>
      <c r="I234" s="22">
        <v>-1.45355E-2</v>
      </c>
      <c r="J234" s="22">
        <v>224</v>
      </c>
      <c r="K234" s="22">
        <v>0.73162799999999995</v>
      </c>
      <c r="L234">
        <f t="shared" si="36"/>
        <v>17.945061728395061</v>
      </c>
      <c r="M234">
        <f t="shared" si="37"/>
        <v>13.137884757407408</v>
      </c>
      <c r="N234" s="9"/>
      <c r="O234" s="22">
        <v>1.0279799999999999</v>
      </c>
      <c r="P234" s="22">
        <v>11.189299999999999</v>
      </c>
      <c r="Q234" s="22">
        <v>-1.4163200000000001E-2</v>
      </c>
      <c r="R234" s="22">
        <v>224</v>
      </c>
      <c r="S234" s="22">
        <v>1.0269200000000001</v>
      </c>
      <c r="T234">
        <f t="shared" si="38"/>
        <v>17.485432098765433</v>
      </c>
      <c r="U234">
        <f t="shared" si="39"/>
        <v>17.974674488888887</v>
      </c>
      <c r="X234" s="9"/>
      <c r="Y234" s="22">
        <v>0.73211700000000002</v>
      </c>
      <c r="Z234" s="22">
        <v>16.827400000000001</v>
      </c>
      <c r="AA234" s="22">
        <v>-1.4572099999999999E-2</v>
      </c>
      <c r="AB234" s="22">
        <v>224</v>
      </c>
      <c r="AC234" s="22">
        <v>0.73147600000000002</v>
      </c>
      <c r="AD234">
        <f t="shared" si="40"/>
        <v>17.990246913580243</v>
      </c>
      <c r="AE234">
        <f t="shared" si="41"/>
        <v>13.170965599629627</v>
      </c>
      <c r="AF234" s="9"/>
      <c r="AG234" s="22">
        <v>1.0279799999999999</v>
      </c>
      <c r="AH234" s="22">
        <v>20.767499999999998</v>
      </c>
      <c r="AI234" s="22">
        <v>-1.42487E-2</v>
      </c>
      <c r="AJ234" s="22">
        <v>224</v>
      </c>
      <c r="AK234" s="22">
        <v>1.0263100000000001</v>
      </c>
      <c r="AL234">
        <f t="shared" si="42"/>
        <v>17.590987654320987</v>
      </c>
      <c r="AM234">
        <f t="shared" si="43"/>
        <v>18.083183488888885</v>
      </c>
      <c r="AP234" s="9"/>
      <c r="AQ234" s="22">
        <v>0.73211700000000002</v>
      </c>
      <c r="AR234" s="22">
        <v>26.400700000000001</v>
      </c>
      <c r="AS234" s="22">
        <v>-1.4736900000000001E-2</v>
      </c>
      <c r="AT234" s="22">
        <v>224</v>
      </c>
      <c r="AU234" s="22">
        <v>0.73129299999999997</v>
      </c>
      <c r="AV234">
        <f t="shared" si="44"/>
        <v>18.193703703703704</v>
      </c>
      <c r="AW234">
        <f t="shared" si="45"/>
        <v>13.319919774444445</v>
      </c>
      <c r="AX234" s="9"/>
      <c r="AY234" s="22">
        <v>1.0279799999999999</v>
      </c>
      <c r="AZ234" s="22">
        <v>30.340699999999998</v>
      </c>
      <c r="BA234" s="22">
        <v>-1.4413499999999999E-2</v>
      </c>
      <c r="BB234" s="22">
        <v>224</v>
      </c>
      <c r="BC234" s="22">
        <v>1.0269200000000001</v>
      </c>
      <c r="BD234">
        <f t="shared" si="46"/>
        <v>17.794444444444444</v>
      </c>
      <c r="BE234">
        <f t="shared" si="47"/>
        <v>18.292332999999999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0.72708099999999998</v>
      </c>
      <c r="H235" s="22">
        <v>7.2592999999999996</v>
      </c>
      <c r="I235" s="22">
        <v>-1.45355E-2</v>
      </c>
      <c r="J235" s="22">
        <v>225</v>
      </c>
      <c r="K235" s="22">
        <v>0.72616599999999998</v>
      </c>
      <c r="L235">
        <f t="shared" si="36"/>
        <v>17.945061728395061</v>
      </c>
      <c r="M235">
        <f t="shared" si="37"/>
        <v>13.047513426543208</v>
      </c>
      <c r="N235" s="9"/>
      <c r="O235" s="22">
        <v>1.03302</v>
      </c>
      <c r="P235" s="22">
        <v>11.199299999999999</v>
      </c>
      <c r="Q235" s="22">
        <v>-1.4157100000000001E-2</v>
      </c>
      <c r="R235" s="22">
        <v>225</v>
      </c>
      <c r="S235" s="22">
        <v>1.03149</v>
      </c>
      <c r="T235">
        <f t="shared" si="38"/>
        <v>17.477901234567902</v>
      </c>
      <c r="U235">
        <f t="shared" si="39"/>
        <v>18.055021533333335</v>
      </c>
      <c r="X235" s="9"/>
      <c r="Y235" s="22">
        <v>0.72708099999999998</v>
      </c>
      <c r="Z235" s="22">
        <v>16.837499999999999</v>
      </c>
      <c r="AA235" s="22">
        <v>-1.45752E-2</v>
      </c>
      <c r="AB235" s="22">
        <v>225</v>
      </c>
      <c r="AC235" s="22">
        <v>0.72643999999999997</v>
      </c>
      <c r="AD235">
        <f t="shared" si="40"/>
        <v>17.994074074074071</v>
      </c>
      <c r="AE235">
        <f t="shared" si="41"/>
        <v>13.083149371851849</v>
      </c>
      <c r="AF235" s="9"/>
      <c r="AG235" s="22">
        <v>1.03302</v>
      </c>
      <c r="AH235" s="22">
        <v>20.7776</v>
      </c>
      <c r="AI235" s="22">
        <v>-1.4242599999999999E-2</v>
      </c>
      <c r="AJ235" s="22">
        <v>225</v>
      </c>
      <c r="AK235" s="22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2">
        <v>0.72708099999999998</v>
      </c>
      <c r="AR235" s="22">
        <v>26.410799999999998</v>
      </c>
      <c r="AS235" s="22">
        <v>-1.47461E-2</v>
      </c>
      <c r="AT235" s="22">
        <v>225</v>
      </c>
      <c r="AU235" s="22">
        <v>0.72628800000000004</v>
      </c>
      <c r="AV235">
        <f t="shared" si="44"/>
        <v>18.205061728395062</v>
      </c>
      <c r="AW235">
        <f t="shared" si="45"/>
        <v>13.236554486543209</v>
      </c>
      <c r="AX235" s="9"/>
      <c r="AY235" s="22">
        <v>1.03302</v>
      </c>
      <c r="AZ235" s="22">
        <v>30.3508</v>
      </c>
      <c r="BA235" s="22">
        <v>-1.44073E-2</v>
      </c>
      <c r="BB235" s="22">
        <v>225</v>
      </c>
      <c r="BC235" s="22">
        <v>1.0321</v>
      </c>
      <c r="BD235">
        <f t="shared" si="46"/>
        <v>17.78679012345679</v>
      </c>
      <c r="BE235">
        <f t="shared" si="47"/>
        <v>18.374109933333333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0.72204599999999997</v>
      </c>
      <c r="H236" s="22">
        <v>7.2693700000000003</v>
      </c>
      <c r="I236" s="22">
        <v>-1.45416E-2</v>
      </c>
      <c r="J236" s="22">
        <v>226</v>
      </c>
      <c r="K236" s="22">
        <v>0.72143599999999997</v>
      </c>
      <c r="L236">
        <f t="shared" si="36"/>
        <v>17.952592592592595</v>
      </c>
      <c r="M236">
        <f t="shared" si="37"/>
        <v>12.962597671111112</v>
      </c>
      <c r="N236" s="9"/>
      <c r="O236" s="22">
        <v>1.03806</v>
      </c>
      <c r="P236" s="22">
        <v>11.2094</v>
      </c>
      <c r="Q236" s="22">
        <v>-1.41479E-2</v>
      </c>
      <c r="R236" s="22">
        <v>226</v>
      </c>
      <c r="S236" s="22">
        <v>1.0369900000000001</v>
      </c>
      <c r="T236">
        <f t="shared" si="38"/>
        <v>17.466543209876541</v>
      </c>
      <c r="U236">
        <f t="shared" si="39"/>
        <v>18.131319844444441</v>
      </c>
      <c r="X236" s="9"/>
      <c r="Y236" s="22">
        <v>0.72204599999999997</v>
      </c>
      <c r="Z236" s="22">
        <v>16.8476</v>
      </c>
      <c r="AA236" s="22">
        <v>-1.4584400000000001E-2</v>
      </c>
      <c r="AB236" s="22">
        <v>226</v>
      </c>
      <c r="AC236" s="22">
        <v>0.72140499999999996</v>
      </c>
      <c r="AD236">
        <f t="shared" si="40"/>
        <v>18.005432098765432</v>
      </c>
      <c r="AE236">
        <f t="shared" si="41"/>
        <v>13.000750225185184</v>
      </c>
      <c r="AF236" s="9"/>
      <c r="AG236" s="22">
        <v>1.03806</v>
      </c>
      <c r="AH236" s="22">
        <v>20.787600000000001</v>
      </c>
      <c r="AI236" s="22">
        <v>-1.4236499999999999E-2</v>
      </c>
      <c r="AJ236" s="22">
        <v>226</v>
      </c>
      <c r="AK236" s="22">
        <v>1.0369900000000001</v>
      </c>
      <c r="AL236">
        <f t="shared" si="42"/>
        <v>17.575925925925926</v>
      </c>
      <c r="AM236">
        <f t="shared" si="43"/>
        <v>18.244865666666666</v>
      </c>
      <c r="AP236" s="9"/>
      <c r="AQ236" s="22">
        <v>0.72204599999999997</v>
      </c>
      <c r="AR236" s="22">
        <v>26.4208</v>
      </c>
      <c r="AS236" s="22">
        <v>-1.4749099999999999E-2</v>
      </c>
      <c r="AT236" s="22">
        <v>226</v>
      </c>
      <c r="AU236" s="22">
        <v>0.72131299999999998</v>
      </c>
      <c r="AV236">
        <f t="shared" si="44"/>
        <v>18.208765432098765</v>
      </c>
      <c r="AW236">
        <f t="shared" si="45"/>
        <v>13.147566245185185</v>
      </c>
      <c r="AX236" s="9"/>
      <c r="AY236" s="22">
        <v>1.03806</v>
      </c>
      <c r="AZ236" s="22">
        <v>30.360900000000001</v>
      </c>
      <c r="BA236" s="22">
        <v>-1.44043E-2</v>
      </c>
      <c r="BB236" s="22">
        <v>226</v>
      </c>
      <c r="BC236" s="22">
        <v>1.0369900000000001</v>
      </c>
      <c r="BD236">
        <f t="shared" si="46"/>
        <v>17.783086419753086</v>
      </c>
      <c r="BE236">
        <f t="shared" si="47"/>
        <v>18.45991068888889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0.71701000000000004</v>
      </c>
      <c r="H237" s="22">
        <v>7.2794400000000001</v>
      </c>
      <c r="I237" s="22">
        <v>-1.45477E-2</v>
      </c>
      <c r="J237" s="22">
        <v>227</v>
      </c>
      <c r="K237" s="22">
        <v>0.71600299999999995</v>
      </c>
      <c r="L237">
        <f t="shared" si="36"/>
        <v>17.960123456790122</v>
      </c>
      <c r="M237">
        <f t="shared" si="37"/>
        <v>12.877588119753085</v>
      </c>
      <c r="N237" s="9"/>
      <c r="O237" s="22">
        <v>1.0430900000000001</v>
      </c>
      <c r="P237" s="22">
        <v>11.2195</v>
      </c>
      <c r="Q237" s="22">
        <v>-1.41449E-2</v>
      </c>
      <c r="R237" s="22">
        <v>227</v>
      </c>
      <c r="S237" s="22">
        <v>1.0418700000000001</v>
      </c>
      <c r="T237">
        <f t="shared" si="38"/>
        <v>17.462839506172838</v>
      </c>
      <c r="U237">
        <f t="shared" si="39"/>
        <v>18.215313260493826</v>
      </c>
      <c r="X237" s="9"/>
      <c r="Y237" s="22">
        <v>0.71701000000000004</v>
      </c>
      <c r="Z237" s="22">
        <v>16.857700000000001</v>
      </c>
      <c r="AA237" s="22">
        <v>-1.4590499999999999E-2</v>
      </c>
      <c r="AB237" s="22">
        <v>227</v>
      </c>
      <c r="AC237" s="22">
        <v>0.71636999999999995</v>
      </c>
      <c r="AD237">
        <f t="shared" si="40"/>
        <v>18.012962962962959</v>
      </c>
      <c r="AE237">
        <f t="shared" si="41"/>
        <v>12.915474574074072</v>
      </c>
      <c r="AF237" s="9"/>
      <c r="AG237" s="22">
        <v>1.0430900000000001</v>
      </c>
      <c r="AH237" s="22">
        <v>20.797699999999999</v>
      </c>
      <c r="AI237" s="22">
        <v>-1.42334E-2</v>
      </c>
      <c r="AJ237" s="22">
        <v>227</v>
      </c>
      <c r="AK237" s="22">
        <v>1.0424800000000001</v>
      </c>
      <c r="AL237">
        <f t="shared" si="42"/>
        <v>17.572098765432099</v>
      </c>
      <c r="AM237">
        <f t="shared" si="43"/>
        <v>18.329280501234567</v>
      </c>
      <c r="AP237" s="9"/>
      <c r="AQ237" s="22">
        <v>0.71701000000000004</v>
      </c>
      <c r="AR237" s="22">
        <v>26.430900000000001</v>
      </c>
      <c r="AS237" s="22">
        <v>-1.47552E-2</v>
      </c>
      <c r="AT237" s="22">
        <v>227</v>
      </c>
      <c r="AU237" s="22">
        <v>0.71652199999999999</v>
      </c>
      <c r="AV237">
        <f t="shared" si="44"/>
        <v>18.216296296296292</v>
      </c>
      <c r="AW237">
        <f t="shared" si="45"/>
        <v>13.061266607407406</v>
      </c>
      <c r="AX237" s="9"/>
      <c r="AY237" s="22">
        <v>1.0430900000000001</v>
      </c>
      <c r="AZ237" s="22">
        <v>30.370899999999999</v>
      </c>
      <c r="BA237" s="22">
        <v>-1.4401199999999999E-2</v>
      </c>
      <c r="BB237" s="22">
        <v>227</v>
      </c>
      <c r="BC237" s="22">
        <v>1.0424800000000001</v>
      </c>
      <c r="BD237">
        <f t="shared" si="46"/>
        <v>17.779259259259259</v>
      </c>
      <c r="BE237">
        <f t="shared" si="47"/>
        <v>18.545367540740742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0.71197500000000002</v>
      </c>
      <c r="H238" s="22">
        <v>7.2895099999999999</v>
      </c>
      <c r="I238" s="22">
        <v>-1.45538E-2</v>
      </c>
      <c r="J238" s="22">
        <v>228</v>
      </c>
      <c r="K238" s="22">
        <v>0.71096800000000004</v>
      </c>
      <c r="L238">
        <f t="shared" si="36"/>
        <v>17.967654320987652</v>
      </c>
      <c r="M238">
        <f t="shared" si="37"/>
        <v>12.792520685185185</v>
      </c>
      <c r="N238" s="9"/>
      <c r="O238" s="22">
        <v>1.04813</v>
      </c>
      <c r="P238" s="22">
        <v>11.2296</v>
      </c>
      <c r="Q238" s="22">
        <v>-1.41418E-2</v>
      </c>
      <c r="R238" s="22">
        <v>228</v>
      </c>
      <c r="S238" s="22">
        <v>1.0470600000000001</v>
      </c>
      <c r="T238">
        <f t="shared" si="38"/>
        <v>17.45901234567901</v>
      </c>
      <c r="U238">
        <f t="shared" si="39"/>
        <v>18.299314609876543</v>
      </c>
      <c r="X238" s="9"/>
      <c r="Y238" s="22">
        <v>0.71197500000000002</v>
      </c>
      <c r="Z238" s="22">
        <v>16.867699999999999</v>
      </c>
      <c r="AA238" s="22">
        <v>-1.4593500000000001E-2</v>
      </c>
      <c r="AB238" s="22">
        <v>228</v>
      </c>
      <c r="AC238" s="22">
        <v>0.71127300000000004</v>
      </c>
      <c r="AD238">
        <f t="shared" si="40"/>
        <v>18.016666666666666</v>
      </c>
      <c r="AE238">
        <f t="shared" si="41"/>
        <v>12.827416250000001</v>
      </c>
      <c r="AF238" s="9"/>
      <c r="AG238" s="22">
        <v>1.04813</v>
      </c>
      <c r="AH238" s="22">
        <v>20.8078</v>
      </c>
      <c r="AI238" s="22">
        <v>-1.42303E-2</v>
      </c>
      <c r="AJ238" s="22">
        <v>228</v>
      </c>
      <c r="AK238" s="22">
        <v>1.0470600000000001</v>
      </c>
      <c r="AL238">
        <f t="shared" si="42"/>
        <v>17.568271604938271</v>
      </c>
      <c r="AM238">
        <f t="shared" si="43"/>
        <v>18.41383251728395</v>
      </c>
      <c r="AP238" s="9"/>
      <c r="AQ238" s="22">
        <v>0.71197500000000002</v>
      </c>
      <c r="AR238" s="22">
        <v>26.440999999999999</v>
      </c>
      <c r="AS238" s="22">
        <v>-1.4761399999999999E-2</v>
      </c>
      <c r="AT238" s="22">
        <v>228</v>
      </c>
      <c r="AU238" s="22">
        <v>0.71130400000000005</v>
      </c>
      <c r="AV238">
        <f t="shared" si="44"/>
        <v>18.22395061728395</v>
      </c>
      <c r="AW238">
        <f t="shared" si="45"/>
        <v>12.974997240740741</v>
      </c>
      <c r="AX238" s="9"/>
      <c r="AY238" s="22">
        <v>1.04813</v>
      </c>
      <c r="AZ238" s="22">
        <v>30.381</v>
      </c>
      <c r="BA238" s="22">
        <v>-1.43921E-2</v>
      </c>
      <c r="BB238" s="22">
        <v>228</v>
      </c>
      <c r="BC238" s="22">
        <v>1.0473600000000001</v>
      </c>
      <c r="BD238">
        <f t="shared" si="46"/>
        <v>17.768024691358022</v>
      </c>
      <c r="BE238">
        <f t="shared" si="47"/>
        <v>18.623199719753085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0.70694000000000001</v>
      </c>
      <c r="H239" s="22">
        <v>7.2995799999999997</v>
      </c>
      <c r="I239" s="22">
        <v>-1.4559900000000001E-2</v>
      </c>
      <c r="J239" s="22">
        <v>229</v>
      </c>
      <c r="K239" s="22">
        <v>0.70642099999999997</v>
      </c>
      <c r="L239">
        <f t="shared" si="36"/>
        <v>17.975185185185186</v>
      </c>
      <c r="M239">
        <f t="shared" si="37"/>
        <v>12.707377414814816</v>
      </c>
      <c r="N239" s="9"/>
      <c r="O239" s="22">
        <v>1.0531600000000001</v>
      </c>
      <c r="P239" s="22">
        <v>11.239599999999999</v>
      </c>
      <c r="Q239" s="22">
        <v>-1.4135699999999999E-2</v>
      </c>
      <c r="R239" s="22">
        <v>229</v>
      </c>
      <c r="S239" s="22">
        <v>1.0525500000000001</v>
      </c>
      <c r="T239">
        <f t="shared" si="38"/>
        <v>17.45148148148148</v>
      </c>
      <c r="U239">
        <f t="shared" si="39"/>
        <v>18.379202237037038</v>
      </c>
      <c r="X239" s="9"/>
      <c r="Y239" s="22">
        <v>0.70694000000000001</v>
      </c>
      <c r="Z239" s="22">
        <v>16.877800000000001</v>
      </c>
      <c r="AA239" s="22">
        <v>-1.45966E-2</v>
      </c>
      <c r="AB239" s="22">
        <v>229</v>
      </c>
      <c r="AC239" s="22">
        <v>0.70632899999999998</v>
      </c>
      <c r="AD239">
        <f t="shared" si="40"/>
        <v>18.020493827160493</v>
      </c>
      <c r="AE239">
        <f t="shared" si="41"/>
        <v>12.73940790617284</v>
      </c>
      <c r="AF239" s="9"/>
      <c r="AG239" s="22">
        <v>1.0531600000000001</v>
      </c>
      <c r="AH239" s="22">
        <v>20.817799999999998</v>
      </c>
      <c r="AI239" s="22">
        <v>-1.42273E-2</v>
      </c>
      <c r="AJ239" s="22">
        <v>229</v>
      </c>
      <c r="AK239" s="22">
        <v>1.0519400000000001</v>
      </c>
      <c r="AL239">
        <f t="shared" si="42"/>
        <v>17.564567901234565</v>
      </c>
      <c r="AM239">
        <f t="shared" si="43"/>
        <v>18.498300330864197</v>
      </c>
      <c r="AP239" s="9"/>
      <c r="AQ239" s="22">
        <v>0.70694000000000001</v>
      </c>
      <c r="AR239" s="22">
        <v>26.451000000000001</v>
      </c>
      <c r="AS239" s="22">
        <v>-1.47644E-2</v>
      </c>
      <c r="AT239" s="22">
        <v>229</v>
      </c>
      <c r="AU239" s="22">
        <v>0.70623800000000003</v>
      </c>
      <c r="AV239">
        <f t="shared" si="44"/>
        <v>18.227654320987654</v>
      </c>
      <c r="AW239">
        <f t="shared" si="45"/>
        <v>12.885857945679012</v>
      </c>
      <c r="AX239" s="9"/>
      <c r="AY239" s="22">
        <v>1.0531600000000001</v>
      </c>
      <c r="AZ239" s="22">
        <v>30.391100000000002</v>
      </c>
      <c r="BA239" s="22">
        <v>-1.4385999999999999E-2</v>
      </c>
      <c r="BB239" s="22">
        <v>229</v>
      </c>
      <c r="BC239" s="22">
        <v>1.0522499999999999</v>
      </c>
      <c r="BD239">
        <f t="shared" si="46"/>
        <v>17.760493827160492</v>
      </c>
      <c r="BE239">
        <f t="shared" si="47"/>
        <v>18.704641679012344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0.70190399999999997</v>
      </c>
      <c r="H240" s="22">
        <v>7.3096500000000004</v>
      </c>
      <c r="I240" s="22">
        <v>-1.4559900000000001E-2</v>
      </c>
      <c r="J240" s="22">
        <v>230</v>
      </c>
      <c r="K240" s="22">
        <v>0.70114100000000001</v>
      </c>
      <c r="L240">
        <f t="shared" si="36"/>
        <v>17.975185185185186</v>
      </c>
      <c r="M240">
        <f t="shared" si="37"/>
        <v>12.616854382222222</v>
      </c>
      <c r="N240" s="9"/>
      <c r="O240" s="22">
        <v>1.0582</v>
      </c>
      <c r="P240" s="22">
        <v>11.249700000000001</v>
      </c>
      <c r="Q240" s="22">
        <v>-1.4129600000000001E-2</v>
      </c>
      <c r="R240" s="22">
        <v>230</v>
      </c>
      <c r="S240" s="22">
        <v>1.0571299999999999</v>
      </c>
      <c r="T240">
        <f t="shared" si="38"/>
        <v>17.443950617283949</v>
      </c>
      <c r="U240">
        <f t="shared" si="39"/>
        <v>18.459188543209876</v>
      </c>
      <c r="X240" s="9"/>
      <c r="Y240" s="22">
        <v>0.70190399999999997</v>
      </c>
      <c r="Z240" s="22">
        <v>16.887899999999998</v>
      </c>
      <c r="AA240" s="22">
        <v>-1.4599600000000001E-2</v>
      </c>
      <c r="AB240" s="22">
        <v>230</v>
      </c>
      <c r="AC240" s="22">
        <v>0.70114100000000001</v>
      </c>
      <c r="AD240">
        <f t="shared" si="40"/>
        <v>18.0241975308642</v>
      </c>
      <c r="AE240">
        <f t="shared" si="41"/>
        <v>12.651256343703706</v>
      </c>
      <c r="AF240" s="9"/>
      <c r="AG240" s="22">
        <v>1.0582</v>
      </c>
      <c r="AH240" s="22">
        <v>20.8279</v>
      </c>
      <c r="AI240" s="22">
        <v>-1.4224199999999999E-2</v>
      </c>
      <c r="AJ240" s="22">
        <v>230</v>
      </c>
      <c r="AK240" s="22">
        <v>1.0568200000000001</v>
      </c>
      <c r="AL240">
        <f t="shared" si="42"/>
        <v>17.560740740740737</v>
      </c>
      <c r="AM240">
        <f t="shared" si="43"/>
        <v>18.582775851851849</v>
      </c>
      <c r="AP240" s="9"/>
      <c r="AQ240" s="22">
        <v>0.70190399999999997</v>
      </c>
      <c r="AR240" s="22">
        <v>26.461099999999998</v>
      </c>
      <c r="AS240" s="22">
        <v>-1.4770500000000001E-2</v>
      </c>
      <c r="AT240" s="22">
        <v>230</v>
      </c>
      <c r="AU240" s="22">
        <v>0.70117200000000002</v>
      </c>
      <c r="AV240">
        <f t="shared" si="44"/>
        <v>18.235185185185184</v>
      </c>
      <c r="AW240">
        <f t="shared" si="45"/>
        <v>12.799349422222221</v>
      </c>
      <c r="AX240" s="9"/>
      <c r="AY240" s="22">
        <v>1.0582</v>
      </c>
      <c r="AZ240" s="22">
        <v>30.4011</v>
      </c>
      <c r="BA240" s="22">
        <v>-1.4379899999999999E-2</v>
      </c>
      <c r="BB240" s="22">
        <v>230</v>
      </c>
      <c r="BC240" s="22">
        <v>1.0574300000000001</v>
      </c>
      <c r="BD240">
        <f t="shared" si="46"/>
        <v>17.752962962962961</v>
      </c>
      <c r="BE240">
        <f t="shared" si="47"/>
        <v>18.786185407407405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0.69686899999999996</v>
      </c>
      <c r="H241" s="22">
        <v>7.3197200000000002</v>
      </c>
      <c r="I241" s="22">
        <v>-1.45691E-2</v>
      </c>
      <c r="J241" s="22">
        <v>231</v>
      </c>
      <c r="K241" s="22">
        <v>0.69628900000000005</v>
      </c>
      <c r="L241">
        <f t="shared" si="36"/>
        <v>17.98654320987654</v>
      </c>
      <c r="M241">
        <f t="shared" si="37"/>
        <v>12.534264380123455</v>
      </c>
      <c r="N241" s="9"/>
      <c r="O241" s="22">
        <v>1.0632299999999999</v>
      </c>
      <c r="P241" s="22">
        <v>11.2598</v>
      </c>
      <c r="Q241" s="22">
        <v>-1.4120499999999999E-2</v>
      </c>
      <c r="R241" s="22">
        <v>231</v>
      </c>
      <c r="S241" s="22">
        <v>1.0623199999999999</v>
      </c>
      <c r="T241">
        <f t="shared" si="38"/>
        <v>17.432716049382716</v>
      </c>
      <c r="U241">
        <f t="shared" si="39"/>
        <v>18.534986685185181</v>
      </c>
      <c r="X241" s="9"/>
      <c r="Y241" s="22">
        <v>0.69686899999999996</v>
      </c>
      <c r="Z241" s="22">
        <v>16.8979</v>
      </c>
      <c r="AA241" s="22">
        <v>-1.4605699999999999E-2</v>
      </c>
      <c r="AB241" s="22">
        <v>231</v>
      </c>
      <c r="AC241" s="22">
        <v>0.69616699999999998</v>
      </c>
      <c r="AD241">
        <f t="shared" si="40"/>
        <v>18.031728395061727</v>
      </c>
      <c r="AE241">
        <f t="shared" si="41"/>
        <v>12.565752534938269</v>
      </c>
      <c r="AF241" s="9"/>
      <c r="AG241" s="22">
        <v>1.0632299999999999</v>
      </c>
      <c r="AH241" s="22">
        <v>20.838000000000001</v>
      </c>
      <c r="AI241" s="22">
        <v>-1.42212E-2</v>
      </c>
      <c r="AJ241" s="22">
        <v>231</v>
      </c>
      <c r="AK241" s="22">
        <v>1.0620099999999999</v>
      </c>
      <c r="AL241">
        <f t="shared" si="42"/>
        <v>17.557037037037034</v>
      </c>
      <c r="AM241">
        <f t="shared" si="43"/>
        <v>18.667168488888883</v>
      </c>
      <c r="AP241" s="9"/>
      <c r="AQ241" s="22">
        <v>0.69686899999999996</v>
      </c>
      <c r="AR241" s="22">
        <v>26.4712</v>
      </c>
      <c r="AS241" s="22">
        <v>-1.4776600000000001E-2</v>
      </c>
      <c r="AT241" s="22">
        <v>231</v>
      </c>
      <c r="AU241" s="22">
        <v>0.696106</v>
      </c>
      <c r="AV241">
        <f t="shared" si="44"/>
        <v>18.242716049382715</v>
      </c>
      <c r="AW241">
        <f t="shared" si="45"/>
        <v>12.712783290617281</v>
      </c>
      <c r="AX241" s="9"/>
      <c r="AY241" s="22">
        <v>1.0632299999999999</v>
      </c>
      <c r="AZ241" s="22">
        <v>30.411200000000001</v>
      </c>
      <c r="BA241" s="22">
        <v>-1.4373800000000001E-2</v>
      </c>
      <c r="BB241" s="22">
        <v>231</v>
      </c>
      <c r="BC241" s="22">
        <v>1.0626199999999999</v>
      </c>
      <c r="BD241">
        <f t="shared" si="46"/>
        <v>17.745432098765431</v>
      </c>
      <c r="BE241">
        <f t="shared" si="47"/>
        <v>18.867475770370365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0.69183300000000003</v>
      </c>
      <c r="H242" s="22">
        <v>7.32979</v>
      </c>
      <c r="I242" s="22">
        <v>-1.45691E-2</v>
      </c>
      <c r="J242" s="22">
        <v>232</v>
      </c>
      <c r="K242" s="22">
        <v>0.69085700000000005</v>
      </c>
      <c r="L242">
        <f t="shared" si="36"/>
        <v>17.98654320987654</v>
      </c>
      <c r="M242">
        <f t="shared" si="37"/>
        <v>12.443684148518518</v>
      </c>
      <c r="N242" s="9"/>
      <c r="O242" s="22">
        <v>1.0682700000000001</v>
      </c>
      <c r="P242" s="22">
        <v>11.2698</v>
      </c>
      <c r="Q242" s="22">
        <v>-1.4120499999999999E-2</v>
      </c>
      <c r="R242" s="22">
        <v>232</v>
      </c>
      <c r="S242" s="22">
        <v>1.0674999999999999</v>
      </c>
      <c r="T242">
        <f t="shared" si="38"/>
        <v>17.432716049382716</v>
      </c>
      <c r="U242">
        <f t="shared" si="39"/>
        <v>18.622847574074076</v>
      </c>
      <c r="X242" s="9"/>
      <c r="Y242" s="22">
        <v>0.69183300000000003</v>
      </c>
      <c r="Z242" s="22">
        <v>16.908000000000001</v>
      </c>
      <c r="AA242" s="22">
        <v>-1.46088E-2</v>
      </c>
      <c r="AB242" s="22">
        <v>232</v>
      </c>
      <c r="AC242" s="22">
        <v>0.69128400000000001</v>
      </c>
      <c r="AD242">
        <f t="shared" si="40"/>
        <v>18.035555555555554</v>
      </c>
      <c r="AE242">
        <f t="shared" si="41"/>
        <v>12.477592506666666</v>
      </c>
      <c r="AF242" s="9"/>
      <c r="AG242" s="22">
        <v>1.0682700000000001</v>
      </c>
      <c r="AH242" s="22">
        <v>20.848099999999999</v>
      </c>
      <c r="AI242" s="22">
        <v>-1.4218099999999999E-2</v>
      </c>
      <c r="AJ242" s="22">
        <v>232</v>
      </c>
      <c r="AK242" s="22">
        <v>1.0671999999999999</v>
      </c>
      <c r="AL242">
        <f t="shared" si="42"/>
        <v>17.553209876543207</v>
      </c>
      <c r="AM242">
        <f t="shared" si="43"/>
        <v>18.751567514814813</v>
      </c>
      <c r="AP242" s="9"/>
      <c r="AQ242" s="22">
        <v>0.69183300000000003</v>
      </c>
      <c r="AR242" s="22">
        <v>26.481300000000001</v>
      </c>
      <c r="AS242" s="22">
        <v>-1.4782699999999999E-2</v>
      </c>
      <c r="AT242" s="22">
        <v>232</v>
      </c>
      <c r="AU242" s="22">
        <v>0.69113199999999997</v>
      </c>
      <c r="AV242">
        <f t="shared" si="44"/>
        <v>18.250246913580245</v>
      </c>
      <c r="AW242">
        <f t="shared" si="45"/>
        <v>12.626123072962962</v>
      </c>
      <c r="AX242" s="9"/>
      <c r="AY242" s="22">
        <v>1.0682700000000001</v>
      </c>
      <c r="AZ242" s="22">
        <v>30.421299999999999</v>
      </c>
      <c r="BA242" s="22">
        <v>-1.4367700000000001E-2</v>
      </c>
      <c r="BB242" s="22">
        <v>232</v>
      </c>
      <c r="BC242" s="22">
        <v>1.0668899999999999</v>
      </c>
      <c r="BD242">
        <f t="shared" si="46"/>
        <v>17.7379012345679</v>
      </c>
      <c r="BE242">
        <f t="shared" si="47"/>
        <v>18.94886775185185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0.68679800000000002</v>
      </c>
      <c r="H243" s="22">
        <v>7.3398700000000003</v>
      </c>
      <c r="I243" s="22">
        <v>-1.4572099999999999E-2</v>
      </c>
      <c r="J243" s="22">
        <v>233</v>
      </c>
      <c r="K243" s="22">
        <v>0.68621799999999999</v>
      </c>
      <c r="L243">
        <f t="shared" si="36"/>
        <v>17.990246913580243</v>
      </c>
      <c r="M243">
        <f t="shared" si="37"/>
        <v>12.355665599753085</v>
      </c>
      <c r="N243" s="9"/>
      <c r="O243" s="22">
        <v>1.0732999999999999</v>
      </c>
      <c r="P243" s="22">
        <v>11.2799</v>
      </c>
      <c r="Q243" s="22">
        <v>-1.4114399999999999E-2</v>
      </c>
      <c r="R243" s="22">
        <v>233</v>
      </c>
      <c r="S243" s="22">
        <v>1.0726899999999999</v>
      </c>
      <c r="T243">
        <f t="shared" si="38"/>
        <v>17.425185185185182</v>
      </c>
      <c r="U243">
        <f t="shared" si="39"/>
        <v>18.702451259259256</v>
      </c>
      <c r="X243" s="9"/>
      <c r="Y243" s="22">
        <v>0.68679800000000002</v>
      </c>
      <c r="Z243" s="22">
        <v>16.918099999999999</v>
      </c>
      <c r="AA243" s="22">
        <v>-1.4611799999999999E-2</v>
      </c>
      <c r="AB243" s="22">
        <v>233</v>
      </c>
      <c r="AC243" s="22">
        <v>0.68612700000000004</v>
      </c>
      <c r="AD243">
        <f t="shared" si="40"/>
        <v>18.039259259259257</v>
      </c>
      <c r="AE243">
        <f t="shared" si="41"/>
        <v>12.389327180740739</v>
      </c>
      <c r="AF243" s="9"/>
      <c r="AG243" s="22">
        <v>1.0732999999999999</v>
      </c>
      <c r="AH243" s="22">
        <v>20.8581</v>
      </c>
      <c r="AI243" s="22">
        <v>-1.4212000000000001E-2</v>
      </c>
      <c r="AJ243" s="22">
        <v>233</v>
      </c>
      <c r="AK243" s="22">
        <v>1.0720799999999999</v>
      </c>
      <c r="AL243">
        <f t="shared" si="42"/>
        <v>17.54567901234568</v>
      </c>
      <c r="AM243">
        <f t="shared" si="43"/>
        <v>18.831777283950618</v>
      </c>
      <c r="AP243" s="9"/>
      <c r="AQ243" s="22">
        <v>0.68679800000000002</v>
      </c>
      <c r="AR243" s="22">
        <v>26.491299999999999</v>
      </c>
      <c r="AS243" s="22">
        <v>-1.47888E-2</v>
      </c>
      <c r="AT243" s="22">
        <v>233</v>
      </c>
      <c r="AU243" s="22">
        <v>0.68618800000000002</v>
      </c>
      <c r="AV243">
        <f t="shared" si="44"/>
        <v>18.257777777777775</v>
      </c>
      <c r="AW243">
        <f t="shared" si="45"/>
        <v>12.539405262222221</v>
      </c>
      <c r="AX243" s="9"/>
      <c r="AY243" s="22">
        <v>1.0732999999999999</v>
      </c>
      <c r="AZ243" s="22">
        <v>30.4314</v>
      </c>
      <c r="BA243" s="22">
        <v>-1.43616E-2</v>
      </c>
      <c r="BB243" s="22">
        <v>233</v>
      </c>
      <c r="BC243" s="22">
        <v>1.0720799999999999</v>
      </c>
      <c r="BD243">
        <f t="shared" si="46"/>
        <v>17.73037037037037</v>
      </c>
      <c r="BE243">
        <f t="shared" si="47"/>
        <v>19.030006518518515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0.68176300000000001</v>
      </c>
      <c r="H244" s="22">
        <v>7.3499400000000001</v>
      </c>
      <c r="I244" s="22">
        <v>-1.4578199999999999E-2</v>
      </c>
      <c r="J244" s="22">
        <v>234</v>
      </c>
      <c r="K244" s="22">
        <v>0.68115199999999998</v>
      </c>
      <c r="L244">
        <f t="shared" si="36"/>
        <v>17.997777777777777</v>
      </c>
      <c r="M244">
        <f t="shared" si="37"/>
        <v>12.270218971111111</v>
      </c>
      <c r="N244" s="9"/>
      <c r="O244" s="22">
        <v>1.0783400000000001</v>
      </c>
      <c r="P244" s="22">
        <v>11.29</v>
      </c>
      <c r="Q244" s="22">
        <v>-1.4114399999999999E-2</v>
      </c>
      <c r="R244" s="22">
        <v>234</v>
      </c>
      <c r="S244" s="22">
        <v>1.07758</v>
      </c>
      <c r="T244">
        <f t="shared" si="38"/>
        <v>17.425185185185182</v>
      </c>
      <c r="U244">
        <f t="shared" si="39"/>
        <v>18.790274192592591</v>
      </c>
      <c r="X244" s="9"/>
      <c r="Y244" s="22">
        <v>0.68176300000000001</v>
      </c>
      <c r="Z244" s="22">
        <v>16.9282</v>
      </c>
      <c r="AA244" s="22">
        <v>-1.4621E-2</v>
      </c>
      <c r="AB244" s="22">
        <v>234</v>
      </c>
      <c r="AC244" s="22">
        <v>0.68096900000000005</v>
      </c>
      <c r="AD244">
        <f t="shared" si="40"/>
        <v>18.050617283950618</v>
      </c>
      <c r="AE244">
        <f t="shared" si="41"/>
        <v>12.306242991358026</v>
      </c>
      <c r="AF244" s="9"/>
      <c r="AG244" s="22">
        <v>1.0783400000000001</v>
      </c>
      <c r="AH244" s="22">
        <v>20.868200000000002</v>
      </c>
      <c r="AI244" s="22">
        <v>-1.42059E-2</v>
      </c>
      <c r="AJ244" s="22">
        <v>234</v>
      </c>
      <c r="AK244" s="22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2">
        <v>0.68176300000000001</v>
      </c>
      <c r="AR244" s="22">
        <v>26.5014</v>
      </c>
      <c r="AS244" s="22">
        <v>-1.47949E-2</v>
      </c>
      <c r="AT244" s="22">
        <v>234</v>
      </c>
      <c r="AU244" s="22">
        <v>0.68106100000000003</v>
      </c>
      <c r="AV244">
        <f t="shared" si="44"/>
        <v>18.265308641975306</v>
      </c>
      <c r="AW244">
        <f t="shared" si="45"/>
        <v>12.452611615679011</v>
      </c>
      <c r="AX244" s="9"/>
      <c r="AY244" s="22">
        <v>1.0783400000000001</v>
      </c>
      <c r="AZ244" s="22">
        <v>30.441400000000002</v>
      </c>
      <c r="BA244" s="22">
        <v>-1.43524E-2</v>
      </c>
      <c r="BB244" s="22">
        <v>234</v>
      </c>
      <c r="BC244" s="22">
        <v>1.07697</v>
      </c>
      <c r="BD244">
        <f t="shared" si="46"/>
        <v>17.719012345679008</v>
      </c>
      <c r="BE244">
        <f t="shared" si="47"/>
        <v>19.107119772839503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0.67672699999999997</v>
      </c>
      <c r="H245" s="22">
        <v>7.3600099999999999</v>
      </c>
      <c r="I245" s="22">
        <v>-1.4584400000000001E-2</v>
      </c>
      <c r="J245" s="22">
        <v>235</v>
      </c>
      <c r="K245" s="22">
        <v>0.67651399999999995</v>
      </c>
      <c r="L245">
        <f t="shared" si="36"/>
        <v>18.005432098765432</v>
      </c>
      <c r="M245">
        <f t="shared" si="37"/>
        <v>12.184762047901234</v>
      </c>
      <c r="N245" s="9"/>
      <c r="O245" s="22">
        <v>1.0833699999999999</v>
      </c>
      <c r="P245" s="22">
        <v>11.3</v>
      </c>
      <c r="Q245" s="22">
        <v>-1.4108300000000001E-2</v>
      </c>
      <c r="R245" s="22">
        <v>235</v>
      </c>
      <c r="S245" s="22">
        <v>1.08246</v>
      </c>
      <c r="T245">
        <f t="shared" si="38"/>
        <v>17.417654320987655</v>
      </c>
      <c r="U245">
        <f t="shared" si="39"/>
        <v>18.869764161728394</v>
      </c>
      <c r="X245" s="9"/>
      <c r="Y245" s="22">
        <v>0.67672699999999997</v>
      </c>
      <c r="Z245" s="22">
        <v>16.938199999999998</v>
      </c>
      <c r="AA245" s="22">
        <v>-1.4627100000000001E-2</v>
      </c>
      <c r="AB245" s="22">
        <v>235</v>
      </c>
      <c r="AC245" s="22">
        <v>0.67611699999999997</v>
      </c>
      <c r="AD245">
        <f t="shared" si="40"/>
        <v>18.058148148148145</v>
      </c>
      <c r="AE245">
        <f t="shared" si="41"/>
        <v>12.220436421851849</v>
      </c>
      <c r="AF245" s="9"/>
      <c r="AG245" s="22">
        <v>1.0833699999999999</v>
      </c>
      <c r="AH245" s="22">
        <v>20.878299999999999</v>
      </c>
      <c r="AI245" s="22">
        <v>-1.4202899999999999E-2</v>
      </c>
      <c r="AJ245" s="22">
        <v>235</v>
      </c>
      <c r="AK245" s="22">
        <v>1.08246</v>
      </c>
      <c r="AL245">
        <f t="shared" si="42"/>
        <v>17.534444444444443</v>
      </c>
      <c r="AM245">
        <f t="shared" si="43"/>
        <v>18.996291077777776</v>
      </c>
      <c r="AP245" s="9"/>
      <c r="AQ245" s="22">
        <v>0.67672699999999997</v>
      </c>
      <c r="AR245" s="22">
        <v>26.511500000000002</v>
      </c>
      <c r="AS245" s="22">
        <v>-1.4801E-2</v>
      </c>
      <c r="AT245" s="22">
        <v>235</v>
      </c>
      <c r="AU245" s="22">
        <v>0.67611699999999997</v>
      </c>
      <c r="AV245">
        <f t="shared" si="44"/>
        <v>18.27283950617284</v>
      </c>
      <c r="AW245">
        <f t="shared" si="45"/>
        <v>12.365723860493826</v>
      </c>
      <c r="AX245" s="9"/>
      <c r="AY245" s="22">
        <v>1.0833699999999999</v>
      </c>
      <c r="AZ245" s="22">
        <v>30.451499999999999</v>
      </c>
      <c r="BA245" s="22">
        <v>-1.4346299999999999E-2</v>
      </c>
      <c r="BB245" s="22">
        <v>235</v>
      </c>
      <c r="BC245" s="22">
        <v>1.08246</v>
      </c>
      <c r="BD245">
        <f t="shared" si="46"/>
        <v>17.711481481481481</v>
      </c>
      <c r="BE245">
        <f t="shared" si="47"/>
        <v>19.188087692592593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0.67169199999999996</v>
      </c>
      <c r="H246" s="22">
        <v>7.3700799999999997</v>
      </c>
      <c r="I246" s="22">
        <v>-1.4593500000000001E-2</v>
      </c>
      <c r="J246" s="22">
        <v>236</v>
      </c>
      <c r="K246" s="22">
        <v>0.67089799999999999</v>
      </c>
      <c r="L246">
        <f t="shared" si="36"/>
        <v>18.016666666666666</v>
      </c>
      <c r="M246">
        <f t="shared" si="37"/>
        <v>12.101650866666665</v>
      </c>
      <c r="N246" s="9"/>
      <c r="O246" s="22">
        <v>1.0884100000000001</v>
      </c>
      <c r="P246" s="22">
        <v>11.3101</v>
      </c>
      <c r="Q246" s="22">
        <v>-1.41113E-2</v>
      </c>
      <c r="R246" s="22">
        <v>236</v>
      </c>
      <c r="S246" s="22">
        <v>1.08765</v>
      </c>
      <c r="T246">
        <f t="shared" si="38"/>
        <v>17.421358024691358</v>
      </c>
      <c r="U246">
        <f t="shared" si="39"/>
        <v>18.961580287654321</v>
      </c>
      <c r="X246" s="9"/>
      <c r="Y246" s="22">
        <v>0.67169199999999996</v>
      </c>
      <c r="Z246" s="22">
        <v>16.9483</v>
      </c>
      <c r="AA246" s="22">
        <v>-1.4633200000000001E-2</v>
      </c>
      <c r="AB246" s="22">
        <v>236</v>
      </c>
      <c r="AC246" s="22">
        <v>0.67083700000000002</v>
      </c>
      <c r="AD246">
        <f t="shared" si="40"/>
        <v>18.065679012345679</v>
      </c>
      <c r="AE246">
        <f t="shared" si="41"/>
        <v>12.134572067160493</v>
      </c>
      <c r="AF246" s="9"/>
      <c r="AG246" s="22">
        <v>1.0884100000000001</v>
      </c>
      <c r="AH246" s="22">
        <v>20.888300000000001</v>
      </c>
      <c r="AI246" s="22">
        <v>-1.41998E-2</v>
      </c>
      <c r="AJ246" s="22">
        <v>236</v>
      </c>
      <c r="AK246" s="22">
        <v>1.08765</v>
      </c>
      <c r="AL246">
        <f t="shared" si="42"/>
        <v>17.530617283950615</v>
      </c>
      <c r="AM246">
        <f t="shared" si="43"/>
        <v>19.08049915802469</v>
      </c>
      <c r="AP246" s="9"/>
      <c r="AQ246" s="22">
        <v>0.67169199999999996</v>
      </c>
      <c r="AR246" s="22">
        <v>26.5215</v>
      </c>
      <c r="AS246" s="22">
        <v>-1.48071E-2</v>
      </c>
      <c r="AT246" s="22">
        <v>236</v>
      </c>
      <c r="AU246" s="22">
        <v>0.67117300000000002</v>
      </c>
      <c r="AV246">
        <f t="shared" si="44"/>
        <v>18.28037037037037</v>
      </c>
      <c r="AW246">
        <f t="shared" si="45"/>
        <v>12.278778534814814</v>
      </c>
      <c r="AX246" s="9"/>
      <c r="AY246" s="22">
        <v>1.0884100000000001</v>
      </c>
      <c r="AZ246" s="22">
        <v>30.461600000000001</v>
      </c>
      <c r="BA246" s="22">
        <v>-1.4340200000000001E-2</v>
      </c>
      <c r="BB246" s="22">
        <v>236</v>
      </c>
      <c r="BC246" s="22">
        <v>1.08704</v>
      </c>
      <c r="BD246">
        <f t="shared" si="46"/>
        <v>17.703950617283951</v>
      </c>
      <c r="BE246">
        <f t="shared" si="47"/>
        <v>19.269156891358026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0.66665600000000003</v>
      </c>
      <c r="H247" s="22">
        <v>7.3801500000000004</v>
      </c>
      <c r="I247" s="22">
        <v>-1.45966E-2</v>
      </c>
      <c r="J247" s="22">
        <v>237</v>
      </c>
      <c r="K247" s="22">
        <v>0.66598500000000005</v>
      </c>
      <c r="L247">
        <f t="shared" si="36"/>
        <v>18.020493827160493</v>
      </c>
      <c r="M247">
        <f t="shared" si="37"/>
        <v>12.013470332839507</v>
      </c>
      <c r="N247" s="9"/>
      <c r="O247" s="22">
        <v>1.09344</v>
      </c>
      <c r="P247" s="22">
        <v>11.3202</v>
      </c>
      <c r="Q247" s="22">
        <v>-1.4108300000000001E-2</v>
      </c>
      <c r="R247" s="22">
        <v>237</v>
      </c>
      <c r="S247" s="22">
        <v>1.09222</v>
      </c>
      <c r="T247">
        <f t="shared" si="38"/>
        <v>17.417654320987655</v>
      </c>
      <c r="U247">
        <f t="shared" si="39"/>
        <v>19.045159940740742</v>
      </c>
      <c r="X247" s="9"/>
      <c r="Y247" s="22">
        <v>0.66665600000000003</v>
      </c>
      <c r="Z247" s="22">
        <v>16.958400000000001</v>
      </c>
      <c r="AA247" s="22">
        <v>-1.46362E-2</v>
      </c>
      <c r="AB247" s="22">
        <v>237</v>
      </c>
      <c r="AC247" s="22">
        <v>0.66607700000000003</v>
      </c>
      <c r="AD247">
        <f t="shared" si="40"/>
        <v>18.069382716049383</v>
      </c>
      <c r="AE247">
        <f t="shared" si="41"/>
        <v>12.046062403950618</v>
      </c>
      <c r="AF247" s="9"/>
      <c r="AG247" s="22">
        <v>1.09344</v>
      </c>
      <c r="AH247" s="22">
        <v>20.898399999999999</v>
      </c>
      <c r="AI247" s="22">
        <v>-1.41937E-2</v>
      </c>
      <c r="AJ247" s="22">
        <v>237</v>
      </c>
      <c r="AK247" s="22">
        <v>1.09283</v>
      </c>
      <c r="AL247">
        <f t="shared" si="42"/>
        <v>17.523086419753085</v>
      </c>
      <c r="AM247">
        <f t="shared" si="43"/>
        <v>19.160443614814813</v>
      </c>
      <c r="AP247" s="9"/>
      <c r="AQ247" s="22">
        <v>0.66665600000000003</v>
      </c>
      <c r="AR247" s="22">
        <v>26.531600000000001</v>
      </c>
      <c r="AS247" s="22">
        <v>-1.4810200000000001E-2</v>
      </c>
      <c r="AT247" s="22">
        <v>237</v>
      </c>
      <c r="AU247" s="22">
        <v>0.66595499999999996</v>
      </c>
      <c r="AV247">
        <f t="shared" si="44"/>
        <v>18.284197530864198</v>
      </c>
      <c r="AW247">
        <f t="shared" si="45"/>
        <v>12.189269989135804</v>
      </c>
      <c r="AX247" s="9"/>
      <c r="AY247" s="22">
        <v>1.09344</v>
      </c>
      <c r="AZ247" s="22">
        <v>30.471599999999999</v>
      </c>
      <c r="BA247" s="22">
        <v>-1.43372E-2</v>
      </c>
      <c r="BB247" s="22">
        <v>237</v>
      </c>
      <c r="BC247" s="22">
        <v>1.09283</v>
      </c>
      <c r="BD247">
        <f t="shared" si="46"/>
        <v>17.700246913580244</v>
      </c>
      <c r="BE247">
        <f t="shared" si="47"/>
        <v>19.354157985185182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0.66162100000000001</v>
      </c>
      <c r="H248" s="22">
        <v>7.3902200000000002</v>
      </c>
      <c r="I248" s="22">
        <v>-1.45966E-2</v>
      </c>
      <c r="J248" s="22">
        <v>238</v>
      </c>
      <c r="K248" s="22">
        <v>0.66088899999999995</v>
      </c>
      <c r="L248">
        <f t="shared" si="36"/>
        <v>18.020493827160493</v>
      </c>
      <c r="M248">
        <f t="shared" si="37"/>
        <v>11.922737146419752</v>
      </c>
      <c r="N248" s="9"/>
      <c r="O248" s="22">
        <v>1.0984799999999999</v>
      </c>
      <c r="P248" s="22">
        <v>11.330299999999999</v>
      </c>
      <c r="Q248" s="22">
        <v>-1.41052E-2</v>
      </c>
      <c r="R248" s="22">
        <v>238</v>
      </c>
      <c r="S248" s="22">
        <v>1.09772</v>
      </c>
      <c r="T248">
        <f t="shared" si="38"/>
        <v>17.413827160493828</v>
      </c>
      <c r="U248">
        <f t="shared" si="39"/>
        <v>19.128740859259256</v>
      </c>
      <c r="X248" s="9"/>
      <c r="Y248" s="22">
        <v>0.66162100000000001</v>
      </c>
      <c r="Z248" s="22">
        <v>16.968399999999999</v>
      </c>
      <c r="AA248" s="22">
        <v>-1.4639299999999999E-2</v>
      </c>
      <c r="AB248" s="22">
        <v>238</v>
      </c>
      <c r="AC248" s="22">
        <v>0.66095000000000004</v>
      </c>
      <c r="AD248">
        <f t="shared" si="40"/>
        <v>18.07320987654321</v>
      </c>
      <c r="AE248">
        <f t="shared" si="41"/>
        <v>11.957615191728395</v>
      </c>
      <c r="AF248" s="9"/>
      <c r="AG248" s="22">
        <v>1.0984799999999999</v>
      </c>
      <c r="AH248" s="22">
        <v>20.9085</v>
      </c>
      <c r="AI248" s="22">
        <v>-1.41876E-2</v>
      </c>
      <c r="AJ248" s="22">
        <v>238</v>
      </c>
      <c r="AK248" s="22">
        <v>1.09741</v>
      </c>
      <c r="AL248">
        <f t="shared" si="42"/>
        <v>17.515555555555554</v>
      </c>
      <c r="AM248">
        <f t="shared" si="43"/>
        <v>19.240487466666664</v>
      </c>
      <c r="AP248" s="9"/>
      <c r="AQ248" s="22">
        <v>0.66162100000000001</v>
      </c>
      <c r="AR248" s="22">
        <v>26.541699999999999</v>
      </c>
      <c r="AS248" s="22">
        <v>-1.4810200000000001E-2</v>
      </c>
      <c r="AT248" s="22">
        <v>238</v>
      </c>
      <c r="AU248" s="22">
        <v>0.66082799999999997</v>
      </c>
      <c r="AV248">
        <f t="shared" si="44"/>
        <v>18.284197530864198</v>
      </c>
      <c r="AW248">
        <f t="shared" si="45"/>
        <v>12.097209054567902</v>
      </c>
      <c r="AX248" s="9"/>
      <c r="AY248" s="22">
        <v>1.0984799999999999</v>
      </c>
      <c r="AZ248" s="22">
        <v>30.4817</v>
      </c>
      <c r="BA248" s="22">
        <v>-1.4331099999999999E-2</v>
      </c>
      <c r="BB248" s="22">
        <v>238</v>
      </c>
      <c r="BC248" s="22">
        <v>1.09772</v>
      </c>
      <c r="BD248">
        <f t="shared" si="46"/>
        <v>17.692716049382714</v>
      </c>
      <c r="BE248">
        <f t="shared" si="47"/>
        <v>19.435094725925921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0.656586</v>
      </c>
      <c r="H249" s="22">
        <v>7.40029</v>
      </c>
      <c r="I249" s="22">
        <v>-1.45966E-2</v>
      </c>
      <c r="J249" s="22">
        <v>239</v>
      </c>
      <c r="K249" s="22">
        <v>0.65609700000000004</v>
      </c>
      <c r="L249">
        <f t="shared" si="36"/>
        <v>18.020493827160493</v>
      </c>
      <c r="M249">
        <f t="shared" si="37"/>
        <v>11.83200396</v>
      </c>
      <c r="N249" s="9"/>
      <c r="O249" s="22">
        <v>1.1035200000000001</v>
      </c>
      <c r="P249" s="22">
        <v>11.340299999999999</v>
      </c>
      <c r="Q249" s="22">
        <v>-1.40991E-2</v>
      </c>
      <c r="R249" s="22">
        <v>239</v>
      </c>
      <c r="S249" s="22">
        <v>1.1026</v>
      </c>
      <c r="T249">
        <f t="shared" si="38"/>
        <v>17.406296296296293</v>
      </c>
      <c r="U249">
        <f t="shared" si="39"/>
        <v>19.208196088888887</v>
      </c>
      <c r="X249" s="9"/>
      <c r="Y249" s="22">
        <v>0.656586</v>
      </c>
      <c r="Z249" s="22">
        <v>16.9785</v>
      </c>
      <c r="AA249" s="22">
        <v>-1.46423E-2</v>
      </c>
      <c r="AB249" s="22">
        <v>239</v>
      </c>
      <c r="AC249" s="22">
        <v>0.65585300000000002</v>
      </c>
      <c r="AD249">
        <f t="shared" si="40"/>
        <v>18.076913580246913</v>
      </c>
      <c r="AE249">
        <f t="shared" si="41"/>
        <v>11.869048379999999</v>
      </c>
      <c r="AF249" s="9"/>
      <c r="AG249" s="22">
        <v>1.1035200000000001</v>
      </c>
      <c r="AH249" s="22">
        <v>20.918600000000001</v>
      </c>
      <c r="AI249" s="22">
        <v>-1.41815E-2</v>
      </c>
      <c r="AJ249" s="22">
        <v>239</v>
      </c>
      <c r="AK249" s="22">
        <v>1.10229</v>
      </c>
      <c r="AL249">
        <f t="shared" si="42"/>
        <v>17.508024691358024</v>
      </c>
      <c r="AM249">
        <f t="shared" si="43"/>
        <v>19.320455407407408</v>
      </c>
      <c r="AP249" s="9"/>
      <c r="AQ249" s="22">
        <v>0.656586</v>
      </c>
      <c r="AR249" s="22">
        <v>26.5517</v>
      </c>
      <c r="AS249" s="22">
        <v>-1.48132E-2</v>
      </c>
      <c r="AT249" s="22">
        <v>239</v>
      </c>
      <c r="AU249" s="22">
        <v>0.65588400000000002</v>
      </c>
      <c r="AV249">
        <f t="shared" si="44"/>
        <v>18.287901234567901</v>
      </c>
      <c r="AW249">
        <f t="shared" si="45"/>
        <v>12.00757992</v>
      </c>
      <c r="AX249" s="9"/>
      <c r="AY249" s="22">
        <v>1.1035200000000001</v>
      </c>
      <c r="AZ249" s="22">
        <v>30.491800000000001</v>
      </c>
      <c r="BA249" s="22">
        <v>-1.4324999999999999E-2</v>
      </c>
      <c r="BB249" s="22">
        <v>239</v>
      </c>
      <c r="BC249" s="22">
        <v>1.1026</v>
      </c>
      <c r="BD249">
        <f t="shared" si="46"/>
        <v>17.685185185185183</v>
      </c>
      <c r="BE249">
        <f t="shared" si="47"/>
        <v>19.515955555555554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0.65154999999999996</v>
      </c>
      <c r="H250" s="22">
        <v>7.4103599999999998</v>
      </c>
      <c r="I250" s="22">
        <v>-1.4599600000000001E-2</v>
      </c>
      <c r="J250" s="22">
        <v>240</v>
      </c>
      <c r="K250" s="22">
        <v>0.65087899999999999</v>
      </c>
      <c r="L250">
        <f t="shared" si="36"/>
        <v>18.0241975308642</v>
      </c>
      <c r="M250">
        <f t="shared" si="37"/>
        <v>11.743665901234568</v>
      </c>
      <c r="N250" s="9"/>
      <c r="O250" s="22">
        <v>1.1085499999999999</v>
      </c>
      <c r="P250" s="22">
        <v>11.3504</v>
      </c>
      <c r="Q250" s="22">
        <v>-1.409E-2</v>
      </c>
      <c r="R250" s="22">
        <v>240</v>
      </c>
      <c r="S250" s="22">
        <v>1.1077900000000001</v>
      </c>
      <c r="T250">
        <f t="shared" si="38"/>
        <v>17.39506172839506</v>
      </c>
      <c r="U250">
        <f t="shared" si="39"/>
        <v>19.283295679012344</v>
      </c>
      <c r="X250" s="9"/>
      <c r="Y250" s="22">
        <v>0.65154999999999996</v>
      </c>
      <c r="Z250" s="22">
        <v>16.988600000000002</v>
      </c>
      <c r="AA250" s="22">
        <v>-1.46423E-2</v>
      </c>
      <c r="AB250" s="22">
        <v>240</v>
      </c>
      <c r="AC250" s="22">
        <v>0.650787</v>
      </c>
      <c r="AD250">
        <f t="shared" si="40"/>
        <v>18.076913580246913</v>
      </c>
      <c r="AE250">
        <f t="shared" si="41"/>
        <v>11.778013043209876</v>
      </c>
      <c r="AF250" s="9"/>
      <c r="AG250" s="22">
        <v>1.1085499999999999</v>
      </c>
      <c r="AH250" s="22">
        <v>20.928599999999999</v>
      </c>
      <c r="AI250" s="22">
        <v>-1.4175399999999999E-2</v>
      </c>
      <c r="AJ250" s="22">
        <v>240</v>
      </c>
      <c r="AK250" s="22">
        <v>1.10748</v>
      </c>
      <c r="AL250">
        <f t="shared" si="42"/>
        <v>17.500493827160494</v>
      </c>
      <c r="AM250">
        <f t="shared" si="43"/>
        <v>19.400172432098763</v>
      </c>
      <c r="AP250" s="9"/>
      <c r="AQ250" s="22">
        <v>0.65154999999999996</v>
      </c>
      <c r="AR250" s="22">
        <v>26.561800000000002</v>
      </c>
      <c r="AS250" s="22">
        <v>-1.4819300000000001E-2</v>
      </c>
      <c r="AT250" s="22">
        <v>240</v>
      </c>
      <c r="AU250" s="22">
        <v>0.65109300000000003</v>
      </c>
      <c r="AV250">
        <f t="shared" si="44"/>
        <v>18.295432098765431</v>
      </c>
      <c r="AW250">
        <f t="shared" si="45"/>
        <v>11.920388783950616</v>
      </c>
      <c r="AX250" s="9"/>
      <c r="AY250" s="22">
        <v>1.1085499999999999</v>
      </c>
      <c r="AZ250" s="22">
        <v>30.501899999999999</v>
      </c>
      <c r="BA250" s="22">
        <v>-1.43188E-2</v>
      </c>
      <c r="BB250" s="22">
        <v>240</v>
      </c>
      <c r="BC250" s="22">
        <v>1.1077900000000001</v>
      </c>
      <c r="BD250">
        <f t="shared" si="46"/>
        <v>17.677530864197529</v>
      </c>
      <c r="BE250">
        <f t="shared" si="47"/>
        <v>19.596426839506169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0.64651499999999995</v>
      </c>
      <c r="H251" s="22">
        <v>7.4204299999999996</v>
      </c>
      <c r="I251" s="22">
        <v>-1.4599600000000001E-2</v>
      </c>
      <c r="J251" s="22">
        <v>241</v>
      </c>
      <c r="K251" s="22">
        <v>0.64578199999999997</v>
      </c>
      <c r="L251">
        <f t="shared" si="36"/>
        <v>18.0241975308642</v>
      </c>
      <c r="M251">
        <f t="shared" si="37"/>
        <v>11.652914066666668</v>
      </c>
      <c r="N251" s="9"/>
      <c r="O251" s="22">
        <v>1.1135900000000001</v>
      </c>
      <c r="P251" s="22">
        <v>11.3605</v>
      </c>
      <c r="Q251" s="22">
        <v>-1.40839E-2</v>
      </c>
      <c r="R251" s="22">
        <v>241</v>
      </c>
      <c r="S251" s="22">
        <v>1.1129800000000001</v>
      </c>
      <c r="T251">
        <f t="shared" si="38"/>
        <v>17.387530864197529</v>
      </c>
      <c r="U251">
        <f t="shared" si="39"/>
        <v>19.362580495061728</v>
      </c>
      <c r="X251" s="9"/>
      <c r="Y251" s="22">
        <v>0.64651499999999995</v>
      </c>
      <c r="Z251" s="22">
        <v>16.998699999999999</v>
      </c>
      <c r="AA251" s="22">
        <v>-1.4648400000000001E-2</v>
      </c>
      <c r="AB251" s="22">
        <v>241</v>
      </c>
      <c r="AC251" s="22">
        <v>0.64578199999999997</v>
      </c>
      <c r="AD251">
        <f t="shared" si="40"/>
        <v>18.084444444444443</v>
      </c>
      <c r="AE251">
        <f t="shared" si="41"/>
        <v>11.691864599999999</v>
      </c>
      <c r="AF251" s="9"/>
      <c r="AG251" s="22">
        <v>1.1135900000000001</v>
      </c>
      <c r="AH251" s="22">
        <v>20.938700000000001</v>
      </c>
      <c r="AI251" s="22">
        <v>-1.4169299999999999E-2</v>
      </c>
      <c r="AJ251" s="22">
        <v>241</v>
      </c>
      <c r="AK251" s="22">
        <v>1.1129800000000001</v>
      </c>
      <c r="AL251">
        <f t="shared" si="42"/>
        <v>17.492962962962959</v>
      </c>
      <c r="AM251">
        <f t="shared" si="43"/>
        <v>19.479988625925923</v>
      </c>
      <c r="AP251" s="9"/>
      <c r="AQ251" s="22">
        <v>0.64651499999999995</v>
      </c>
      <c r="AR251" s="22">
        <v>26.571899999999999</v>
      </c>
      <c r="AS251" s="22">
        <v>-1.4822399999999999E-2</v>
      </c>
      <c r="AT251" s="22">
        <v>241</v>
      </c>
      <c r="AU251" s="22">
        <v>0.64593500000000004</v>
      </c>
      <c r="AV251">
        <f t="shared" si="44"/>
        <v>18.299259259259259</v>
      </c>
      <c r="AW251">
        <f t="shared" si="45"/>
        <v>11.830745599999998</v>
      </c>
      <c r="AX251" s="9"/>
      <c r="AY251" s="22">
        <v>1.1135900000000001</v>
      </c>
      <c r="AZ251" s="22">
        <v>30.511900000000001</v>
      </c>
      <c r="BA251" s="22">
        <v>-1.43158E-2</v>
      </c>
      <c r="BB251" s="22">
        <v>241</v>
      </c>
      <c r="BC251" s="22">
        <v>1.11206</v>
      </c>
      <c r="BD251">
        <f t="shared" si="46"/>
        <v>17.673827160493826</v>
      </c>
      <c r="BE251">
        <f t="shared" si="47"/>
        <v>19.681397187654319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0.64147900000000002</v>
      </c>
      <c r="H252" s="22">
        <v>7.4305000000000003</v>
      </c>
      <c r="I252" s="22">
        <v>-1.4605699999999999E-2</v>
      </c>
      <c r="J252" s="22">
        <v>242</v>
      </c>
      <c r="K252" s="22">
        <v>0.64068599999999998</v>
      </c>
      <c r="L252">
        <f t="shared" si="36"/>
        <v>18.031728395061727</v>
      </c>
      <c r="M252">
        <f t="shared" si="37"/>
        <v>11.566975099135801</v>
      </c>
      <c r="N252" s="9"/>
      <c r="O252" s="22">
        <v>1.1186199999999999</v>
      </c>
      <c r="P252" s="22">
        <v>11.3705</v>
      </c>
      <c r="Q252" s="22">
        <v>-1.40778E-2</v>
      </c>
      <c r="R252" s="22">
        <v>242</v>
      </c>
      <c r="S252" s="22">
        <v>1.11755</v>
      </c>
      <c r="T252">
        <f t="shared" si="38"/>
        <v>17.38</v>
      </c>
      <c r="U252">
        <f t="shared" si="39"/>
        <v>19.441615599999999</v>
      </c>
      <c r="X252" s="9"/>
      <c r="Y252" s="22">
        <v>0.64147900000000002</v>
      </c>
      <c r="Z252" s="22">
        <v>17.008700000000001</v>
      </c>
      <c r="AA252" s="22">
        <v>-1.4654500000000001E-2</v>
      </c>
      <c r="AB252" s="22">
        <v>242</v>
      </c>
      <c r="AC252" s="22">
        <v>0.64077799999999996</v>
      </c>
      <c r="AD252">
        <f t="shared" si="40"/>
        <v>18.091975308641977</v>
      </c>
      <c r="AE252">
        <f t="shared" si="41"/>
        <v>11.605622229012347</v>
      </c>
      <c r="AF252" s="9"/>
      <c r="AG252" s="22">
        <v>1.1186199999999999</v>
      </c>
      <c r="AH252" s="22">
        <v>20.948799999999999</v>
      </c>
      <c r="AI252" s="22">
        <v>-1.41663E-2</v>
      </c>
      <c r="AJ252" s="22">
        <v>242</v>
      </c>
      <c r="AK252" s="22">
        <v>1.11755</v>
      </c>
      <c r="AL252">
        <f t="shared" si="42"/>
        <v>17.489259259259256</v>
      </c>
      <c r="AM252">
        <f t="shared" si="43"/>
        <v>19.563835192592588</v>
      </c>
      <c r="AP252" s="9"/>
      <c r="AQ252" s="22">
        <v>0.64147900000000002</v>
      </c>
      <c r="AR252" s="22">
        <v>26.582000000000001</v>
      </c>
      <c r="AS252" s="22">
        <v>-1.4831499999999999E-2</v>
      </c>
      <c r="AT252" s="22">
        <v>242</v>
      </c>
      <c r="AU252" s="22">
        <v>0.64071699999999998</v>
      </c>
      <c r="AV252">
        <f t="shared" si="44"/>
        <v>18.310493827160489</v>
      </c>
      <c r="AW252">
        <f t="shared" si="45"/>
        <v>11.745797269753083</v>
      </c>
      <c r="AX252" s="9"/>
      <c r="AY252" s="22">
        <v>1.1186199999999999</v>
      </c>
      <c r="AZ252" s="22">
        <v>30.521999999999998</v>
      </c>
      <c r="BA252" s="22">
        <v>-1.4312699999999999E-2</v>
      </c>
      <c r="BB252" s="22">
        <v>242</v>
      </c>
      <c r="BC252" s="22">
        <v>1.1178600000000001</v>
      </c>
      <c r="BD252">
        <f t="shared" si="46"/>
        <v>17.669999999999998</v>
      </c>
      <c r="BE252">
        <f t="shared" si="47"/>
        <v>19.766015399999997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0.63644400000000001</v>
      </c>
      <c r="H253" s="22">
        <v>7.4405799999999997</v>
      </c>
      <c r="I253" s="22">
        <v>-1.4611799999999999E-2</v>
      </c>
      <c r="J253" s="22">
        <v>243</v>
      </c>
      <c r="K253" s="22">
        <v>0.63546800000000003</v>
      </c>
      <c r="L253">
        <f t="shared" si="36"/>
        <v>18.039259259259257</v>
      </c>
      <c r="M253">
        <f t="shared" si="37"/>
        <v>11.480978319999998</v>
      </c>
      <c r="N253" s="9"/>
      <c r="O253" s="22">
        <v>1.1236600000000001</v>
      </c>
      <c r="P253" s="22">
        <v>11.380599999999999</v>
      </c>
      <c r="Q253" s="22">
        <v>-1.4074700000000001E-2</v>
      </c>
      <c r="R253" s="22">
        <v>243</v>
      </c>
      <c r="S253" s="22">
        <v>1.1224400000000001</v>
      </c>
      <c r="T253">
        <f t="shared" si="38"/>
        <v>17.376172839506172</v>
      </c>
      <c r="U253">
        <f t="shared" si="39"/>
        <v>19.524910372839507</v>
      </c>
      <c r="X253" s="9"/>
      <c r="Y253" s="22">
        <v>0.63644400000000001</v>
      </c>
      <c r="Z253" s="22">
        <v>17.018799999999999</v>
      </c>
      <c r="AA253" s="22">
        <v>-1.4660599999999999E-2</v>
      </c>
      <c r="AB253" s="22">
        <v>243</v>
      </c>
      <c r="AC253" s="22">
        <v>0.63580300000000001</v>
      </c>
      <c r="AD253">
        <f t="shared" si="40"/>
        <v>18.099506172839504</v>
      </c>
      <c r="AE253">
        <f t="shared" si="41"/>
        <v>11.519322106666666</v>
      </c>
      <c r="AF253" s="9"/>
      <c r="AG253" s="22">
        <v>1.1236600000000001</v>
      </c>
      <c r="AH253" s="22">
        <v>20.9588</v>
      </c>
      <c r="AI253" s="22">
        <v>-1.41602E-2</v>
      </c>
      <c r="AJ253" s="22">
        <v>243</v>
      </c>
      <c r="AK253" s="22">
        <v>1.1230500000000001</v>
      </c>
      <c r="AL253">
        <f t="shared" si="42"/>
        <v>17.481728395061729</v>
      </c>
      <c r="AM253">
        <f t="shared" si="43"/>
        <v>19.643518928395064</v>
      </c>
      <c r="AP253" s="9"/>
      <c r="AQ253" s="22">
        <v>0.63644400000000001</v>
      </c>
      <c r="AR253" s="22">
        <v>26.591999999999999</v>
      </c>
      <c r="AS253" s="22">
        <v>-1.4837599999999999E-2</v>
      </c>
      <c r="AT253" s="22">
        <v>243</v>
      </c>
      <c r="AU253" s="22">
        <v>0.63592499999999996</v>
      </c>
      <c r="AV253">
        <f t="shared" si="44"/>
        <v>18.318024691358023</v>
      </c>
      <c r="AW253">
        <f t="shared" si="45"/>
        <v>11.658396906666665</v>
      </c>
      <c r="AX253" s="9"/>
      <c r="AY253" s="22">
        <v>1.1236600000000001</v>
      </c>
      <c r="AZ253" s="22">
        <v>30.5321</v>
      </c>
      <c r="BA253" s="22">
        <v>-1.43097E-2</v>
      </c>
      <c r="BB253" s="22">
        <v>243</v>
      </c>
      <c r="BC253" s="22">
        <v>1.1218300000000001</v>
      </c>
      <c r="BD253">
        <f t="shared" si="46"/>
        <v>17.666296296296295</v>
      </c>
      <c r="BE253">
        <f t="shared" si="47"/>
        <v>19.850910496296297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0.631409</v>
      </c>
      <c r="H254" s="22">
        <v>7.4506500000000004</v>
      </c>
      <c r="I254" s="22">
        <v>-1.4621E-2</v>
      </c>
      <c r="J254" s="22">
        <v>244</v>
      </c>
      <c r="K254" s="22">
        <v>0.630463</v>
      </c>
      <c r="L254">
        <f t="shared" si="36"/>
        <v>18.050617283950618</v>
      </c>
      <c r="M254">
        <f t="shared" si="37"/>
        <v>11.397322208641976</v>
      </c>
      <c r="N254" s="9"/>
      <c r="O254" s="22">
        <v>1.12869</v>
      </c>
      <c r="P254" s="22">
        <v>11.390700000000001</v>
      </c>
      <c r="Q254" s="22">
        <v>-1.4068600000000001E-2</v>
      </c>
      <c r="R254" s="22">
        <v>244</v>
      </c>
      <c r="S254" s="22">
        <v>1.1276200000000001</v>
      </c>
      <c r="T254">
        <f t="shared" si="38"/>
        <v>17.368641975308641</v>
      </c>
      <c r="U254">
        <f t="shared" si="39"/>
        <v>19.603812511111109</v>
      </c>
      <c r="X254" s="9"/>
      <c r="Y254" s="22">
        <v>0.631409</v>
      </c>
      <c r="Z254" s="22">
        <v>17.0289</v>
      </c>
      <c r="AA254" s="22">
        <v>-1.46637E-2</v>
      </c>
      <c r="AB254" s="22">
        <v>244</v>
      </c>
      <c r="AC254" s="22">
        <v>0.63070700000000002</v>
      </c>
      <c r="AD254">
        <f t="shared" si="40"/>
        <v>18.103333333333332</v>
      </c>
      <c r="AE254">
        <f t="shared" si="41"/>
        <v>11.430607596666666</v>
      </c>
      <c r="AF254" s="9"/>
      <c r="AG254" s="22">
        <v>1.12869</v>
      </c>
      <c r="AH254" s="22">
        <v>20.968900000000001</v>
      </c>
      <c r="AI254" s="22">
        <v>-1.4157100000000001E-2</v>
      </c>
      <c r="AJ254" s="22">
        <v>244</v>
      </c>
      <c r="AK254" s="22">
        <v>1.1279300000000001</v>
      </c>
      <c r="AL254">
        <f t="shared" si="42"/>
        <v>17.477901234567902</v>
      </c>
      <c r="AM254">
        <f t="shared" si="43"/>
        <v>19.727132344444446</v>
      </c>
      <c r="AP254" s="9"/>
      <c r="AQ254" s="22">
        <v>0.631409</v>
      </c>
      <c r="AR254" s="22">
        <v>26.6021</v>
      </c>
      <c r="AS254" s="22">
        <v>-1.4843800000000001E-2</v>
      </c>
      <c r="AT254" s="22">
        <v>244</v>
      </c>
      <c r="AU254" s="22">
        <v>0.630768</v>
      </c>
      <c r="AV254">
        <f t="shared" si="44"/>
        <v>18.325679012345677</v>
      </c>
      <c r="AW254">
        <f t="shared" si="45"/>
        <v>11.570998659506172</v>
      </c>
      <c r="AX254" s="9"/>
      <c r="AY254" s="22">
        <v>1.12869</v>
      </c>
      <c r="AZ254" s="22">
        <v>30.542100000000001</v>
      </c>
      <c r="BA254" s="22">
        <v>-1.4306599999999999E-2</v>
      </c>
      <c r="BB254" s="22">
        <v>244</v>
      </c>
      <c r="BC254" s="22">
        <v>1.1273200000000001</v>
      </c>
      <c r="BD254">
        <f t="shared" si="46"/>
        <v>17.662469135802468</v>
      </c>
      <c r="BE254">
        <f t="shared" si="47"/>
        <v>19.935452288888886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0.62637299999999996</v>
      </c>
      <c r="H255" s="22">
        <v>7.4607200000000002</v>
      </c>
      <c r="I255" s="22">
        <v>-1.4627100000000001E-2</v>
      </c>
      <c r="J255" s="22">
        <v>245</v>
      </c>
      <c r="K255" s="22">
        <v>0.62551900000000005</v>
      </c>
      <c r="L255">
        <f t="shared" si="36"/>
        <v>18.058148148148145</v>
      </c>
      <c r="M255">
        <f t="shared" si="37"/>
        <v>11.311136429999998</v>
      </c>
      <c r="N255" s="9"/>
      <c r="O255" s="22">
        <v>1.1337299999999999</v>
      </c>
      <c r="P255" s="22">
        <v>11.4008</v>
      </c>
      <c r="Q255" s="22">
        <v>-1.4065599999999999E-2</v>
      </c>
      <c r="R255" s="22">
        <v>245</v>
      </c>
      <c r="S255" s="22">
        <v>1.1318999999999999</v>
      </c>
      <c r="T255">
        <f t="shared" si="38"/>
        <v>17.364938271604938</v>
      </c>
      <c r="U255">
        <f t="shared" si="39"/>
        <v>19.687151466666666</v>
      </c>
      <c r="X255" s="9"/>
      <c r="Y255" s="22">
        <v>0.62637299999999996</v>
      </c>
      <c r="Z255" s="22">
        <v>17.038900000000002</v>
      </c>
      <c r="AA255" s="22">
        <v>-1.46637E-2</v>
      </c>
      <c r="AB255" s="22">
        <v>245</v>
      </c>
      <c r="AC255" s="22">
        <v>0.62567099999999998</v>
      </c>
      <c r="AD255">
        <f t="shared" si="40"/>
        <v>18.103333333333332</v>
      </c>
      <c r="AE255">
        <f t="shared" si="41"/>
        <v>11.339439209999998</v>
      </c>
      <c r="AF255" s="9"/>
      <c r="AG255" s="22">
        <v>1.1337299999999999</v>
      </c>
      <c r="AH255" s="22">
        <v>20.978999999999999</v>
      </c>
      <c r="AI255" s="22">
        <v>-1.4154099999999999E-2</v>
      </c>
      <c r="AJ255" s="22">
        <v>245</v>
      </c>
      <c r="AK255" s="22">
        <v>1.1328100000000001</v>
      </c>
      <c r="AL255">
        <f t="shared" si="42"/>
        <v>17.474197530864195</v>
      </c>
      <c r="AM255">
        <f t="shared" si="43"/>
        <v>19.811021966666662</v>
      </c>
      <c r="AP255" s="9"/>
      <c r="AQ255" s="22">
        <v>0.62637299999999996</v>
      </c>
      <c r="AR255" s="22">
        <v>26.612200000000001</v>
      </c>
      <c r="AS255" s="22">
        <v>-1.48468E-2</v>
      </c>
      <c r="AT255" s="22">
        <v>245</v>
      </c>
      <c r="AU255" s="22">
        <v>0.62554900000000002</v>
      </c>
      <c r="AV255">
        <f t="shared" si="44"/>
        <v>18.329382716049381</v>
      </c>
      <c r="AW255">
        <f t="shared" si="45"/>
        <v>11.481030439999998</v>
      </c>
      <c r="AX255" s="9"/>
      <c r="AY255" s="22">
        <v>1.1337299999999999</v>
      </c>
      <c r="AZ255" s="22">
        <v>30.552199999999999</v>
      </c>
      <c r="BA255" s="22">
        <v>-1.4300500000000001E-2</v>
      </c>
      <c r="BB255" s="22">
        <v>245</v>
      </c>
      <c r="BC255" s="22">
        <v>1.1325099999999999</v>
      </c>
      <c r="BD255">
        <f t="shared" si="46"/>
        <v>17.654938271604937</v>
      </c>
      <c r="BE255">
        <f t="shared" si="47"/>
        <v>20.015933166666663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0.62133799999999995</v>
      </c>
      <c r="H256" s="22">
        <v>7.47079</v>
      </c>
      <c r="I256" s="22">
        <v>-1.46301E-2</v>
      </c>
      <c r="J256" s="22">
        <v>246</v>
      </c>
      <c r="K256" s="22">
        <v>0.62063599999999997</v>
      </c>
      <c r="L256">
        <f t="shared" si="36"/>
        <v>18.061851851851848</v>
      </c>
      <c r="M256">
        <f t="shared" si="37"/>
        <v>11.222514905925923</v>
      </c>
      <c r="N256" s="9"/>
      <c r="O256" s="22">
        <v>1.13876</v>
      </c>
      <c r="P256" s="22">
        <v>11.4108</v>
      </c>
      <c r="Q256" s="22">
        <v>-1.40594E-2</v>
      </c>
      <c r="R256" s="22">
        <v>246</v>
      </c>
      <c r="S256" s="22">
        <v>1.1376999999999999</v>
      </c>
      <c r="T256">
        <f t="shared" si="38"/>
        <v>17.357283950617283</v>
      </c>
      <c r="U256">
        <f t="shared" si="39"/>
        <v>19.765780671604936</v>
      </c>
      <c r="X256" s="9"/>
      <c r="Y256" s="22">
        <v>0.62133799999999995</v>
      </c>
      <c r="Z256" s="22">
        <v>17.048999999999999</v>
      </c>
      <c r="AA256" s="22">
        <v>-1.46667E-2</v>
      </c>
      <c r="AB256" s="22">
        <v>246</v>
      </c>
      <c r="AC256" s="22">
        <v>0.62072799999999995</v>
      </c>
      <c r="AD256">
        <f t="shared" si="40"/>
        <v>18.107037037037035</v>
      </c>
      <c r="AE256">
        <f t="shared" si="41"/>
        <v>11.250590178518516</v>
      </c>
      <c r="AF256" s="9"/>
      <c r="AG256" s="22">
        <v>1.13876</v>
      </c>
      <c r="AH256" s="22">
        <v>20.989100000000001</v>
      </c>
      <c r="AI256" s="22">
        <v>-1.41479E-2</v>
      </c>
      <c r="AJ256" s="22">
        <v>246</v>
      </c>
      <c r="AK256" s="22">
        <v>1.1376999999999999</v>
      </c>
      <c r="AL256">
        <f t="shared" si="42"/>
        <v>17.466543209876541</v>
      </c>
      <c r="AM256">
        <f t="shared" si="43"/>
        <v>19.89020074567901</v>
      </c>
      <c r="AP256" s="9"/>
      <c r="AQ256" s="22">
        <v>0.62133799999999995</v>
      </c>
      <c r="AR256" s="22">
        <v>26.622199999999999</v>
      </c>
      <c r="AS256" s="22">
        <v>-1.4849899999999999E-2</v>
      </c>
      <c r="AT256" s="22">
        <v>246</v>
      </c>
      <c r="AU256" s="22">
        <v>0.62072799999999995</v>
      </c>
      <c r="AV256">
        <f t="shared" si="44"/>
        <v>18.333209876543208</v>
      </c>
      <c r="AW256">
        <f t="shared" si="45"/>
        <v>11.391119958271602</v>
      </c>
      <c r="AX256" s="9"/>
      <c r="AY256" s="22">
        <v>1.13876</v>
      </c>
      <c r="AZ256" s="22">
        <v>30.5623</v>
      </c>
      <c r="BA256" s="22">
        <v>-1.4294400000000001E-2</v>
      </c>
      <c r="BB256" s="22">
        <v>246</v>
      </c>
      <c r="BC256" s="22">
        <v>1.1379999999999999</v>
      </c>
      <c r="BD256">
        <f t="shared" si="46"/>
        <v>17.647407407407407</v>
      </c>
      <c r="BE256">
        <f t="shared" si="47"/>
        <v>20.096161659259259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0.61630200000000002</v>
      </c>
      <c r="H257" s="22">
        <v>7.4808599999999998</v>
      </c>
      <c r="I257" s="22">
        <v>-1.46362E-2</v>
      </c>
      <c r="J257" s="22">
        <v>247</v>
      </c>
      <c r="K257" s="22">
        <v>0.61556999999999995</v>
      </c>
      <c r="L257">
        <f t="shared" si="36"/>
        <v>18.069382716049383</v>
      </c>
      <c r="M257">
        <f t="shared" si="37"/>
        <v>11.136196706666667</v>
      </c>
      <c r="N257" s="9"/>
      <c r="O257" s="22">
        <v>1.1437999999999999</v>
      </c>
      <c r="P257" s="22">
        <v>11.4209</v>
      </c>
      <c r="Q257" s="22">
        <v>-1.4053299999999999E-2</v>
      </c>
      <c r="R257" s="22">
        <v>247</v>
      </c>
      <c r="S257" s="22">
        <v>1.1428799999999999</v>
      </c>
      <c r="T257">
        <f t="shared" si="38"/>
        <v>17.349753086419753</v>
      </c>
      <c r="U257">
        <f t="shared" si="39"/>
        <v>19.844647580246914</v>
      </c>
      <c r="X257" s="9"/>
      <c r="Y257" s="22">
        <v>0.61630200000000002</v>
      </c>
      <c r="Z257" s="22">
        <v>17.059100000000001</v>
      </c>
      <c r="AA257" s="22">
        <v>-1.46698E-2</v>
      </c>
      <c r="AB257" s="22">
        <v>247</v>
      </c>
      <c r="AC257" s="22">
        <v>0.61566200000000004</v>
      </c>
      <c r="AD257">
        <f t="shared" si="40"/>
        <v>18.110864197530866</v>
      </c>
      <c r="AE257">
        <f t="shared" si="41"/>
        <v>11.161761826666668</v>
      </c>
      <c r="AF257" s="9"/>
      <c r="AG257" s="22">
        <v>1.1437999999999999</v>
      </c>
      <c r="AH257" s="22">
        <v>20.999099999999999</v>
      </c>
      <c r="AI257" s="22">
        <v>-1.41418E-2</v>
      </c>
      <c r="AJ257" s="22">
        <v>247</v>
      </c>
      <c r="AK257" s="22">
        <v>1.1431899999999999</v>
      </c>
      <c r="AL257">
        <f t="shared" si="42"/>
        <v>17.45901234567901</v>
      </c>
      <c r="AM257">
        <f t="shared" si="43"/>
        <v>19.969618320987649</v>
      </c>
      <c r="AP257" s="9"/>
      <c r="AQ257" s="22">
        <v>0.61630200000000002</v>
      </c>
      <c r="AR257" s="22">
        <v>26.632300000000001</v>
      </c>
      <c r="AS257" s="22">
        <v>-1.4855999999999999E-2</v>
      </c>
      <c r="AT257" s="22">
        <v>247</v>
      </c>
      <c r="AU257" s="22">
        <v>0.61566200000000004</v>
      </c>
      <c r="AV257">
        <f t="shared" si="44"/>
        <v>18.340740740740738</v>
      </c>
      <c r="AW257">
        <f t="shared" si="45"/>
        <v>11.303435199999999</v>
      </c>
      <c r="AX257" s="9"/>
      <c r="AY257" s="22">
        <v>1.1437999999999999</v>
      </c>
      <c r="AZ257" s="22">
        <v>30.572399999999998</v>
      </c>
      <c r="BA257" s="22">
        <v>-1.4291399999999999E-2</v>
      </c>
      <c r="BB257" s="22">
        <v>247</v>
      </c>
      <c r="BC257" s="22">
        <v>1.1428799999999999</v>
      </c>
      <c r="BD257">
        <f t="shared" si="46"/>
        <v>17.643703703703704</v>
      </c>
      <c r="BE257">
        <f t="shared" si="47"/>
        <v>20.180868296296296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0.611267</v>
      </c>
      <c r="H258" s="22">
        <v>7.4909299999999996</v>
      </c>
      <c r="I258" s="22">
        <v>-1.46423E-2</v>
      </c>
      <c r="J258" s="22">
        <v>248</v>
      </c>
      <c r="K258" s="22">
        <v>0.61074799999999996</v>
      </c>
      <c r="L258">
        <f t="shared" si="36"/>
        <v>18.076913580246913</v>
      </c>
      <c r="M258">
        <f t="shared" si="37"/>
        <v>11.049820733456789</v>
      </c>
      <c r="N258" s="9"/>
      <c r="O258" s="22">
        <v>1.14883</v>
      </c>
      <c r="P258" s="22">
        <v>11.430999999999999</v>
      </c>
      <c r="Q258" s="22">
        <v>-1.4047199999999999E-2</v>
      </c>
      <c r="R258" s="22">
        <v>248</v>
      </c>
      <c r="S258" s="22">
        <v>1.14777</v>
      </c>
      <c r="T258">
        <f t="shared" si="38"/>
        <v>17.342222222222222</v>
      </c>
      <c r="U258">
        <f t="shared" si="39"/>
        <v>19.923265155555555</v>
      </c>
      <c r="X258" s="9"/>
      <c r="Y258" s="22">
        <v>0.611267</v>
      </c>
      <c r="Z258" s="22">
        <v>17.069199999999999</v>
      </c>
      <c r="AA258" s="22">
        <v>-1.46759E-2</v>
      </c>
      <c r="AB258" s="22">
        <v>248</v>
      </c>
      <c r="AC258" s="22">
        <v>0.61041299999999998</v>
      </c>
      <c r="AD258">
        <f t="shared" si="40"/>
        <v>18.118395061728396</v>
      </c>
      <c r="AE258">
        <f t="shared" si="41"/>
        <v>11.075176994197532</v>
      </c>
      <c r="AF258" s="9"/>
      <c r="AG258" s="22">
        <v>1.14883</v>
      </c>
      <c r="AH258" s="22">
        <v>21.0092</v>
      </c>
      <c r="AI258" s="22">
        <v>-1.4135699999999999E-2</v>
      </c>
      <c r="AJ258" s="22">
        <v>248</v>
      </c>
      <c r="AK258" s="22">
        <v>1.14777</v>
      </c>
      <c r="AL258">
        <f t="shared" si="42"/>
        <v>17.45148148148148</v>
      </c>
      <c r="AM258">
        <f t="shared" si="43"/>
        <v>20.048785470370369</v>
      </c>
      <c r="AP258" s="9"/>
      <c r="AQ258" s="22">
        <v>0.611267</v>
      </c>
      <c r="AR258" s="22">
        <v>26.642399999999999</v>
      </c>
      <c r="AS258" s="22">
        <v>-1.4859000000000001E-2</v>
      </c>
      <c r="AT258" s="22">
        <v>248</v>
      </c>
      <c r="AU258" s="22">
        <v>0.61041299999999998</v>
      </c>
      <c r="AV258">
        <f t="shared" si="44"/>
        <v>18.344444444444445</v>
      </c>
      <c r="AW258">
        <f t="shared" si="45"/>
        <v>11.213353522222222</v>
      </c>
      <c r="AX258" s="9"/>
      <c r="AY258" s="22">
        <v>1.14883</v>
      </c>
      <c r="AZ258" s="22">
        <v>30.5824</v>
      </c>
      <c r="BA258" s="22">
        <v>-1.42822E-2</v>
      </c>
      <c r="BB258" s="22">
        <v>248</v>
      </c>
      <c r="BC258" s="22">
        <v>1.14777</v>
      </c>
      <c r="BD258">
        <f t="shared" si="46"/>
        <v>17.632345679012342</v>
      </c>
      <c r="BE258">
        <f t="shared" si="47"/>
        <v>20.25656768641975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0.60623199999999999</v>
      </c>
      <c r="H259" s="22">
        <v>7.5010000000000003</v>
      </c>
      <c r="I259" s="22">
        <v>-1.4648400000000001E-2</v>
      </c>
      <c r="J259" s="22">
        <v>249</v>
      </c>
      <c r="K259" s="22">
        <v>0.60528599999999999</v>
      </c>
      <c r="L259">
        <f t="shared" si="36"/>
        <v>18.084444444444443</v>
      </c>
      <c r="M259">
        <f t="shared" si="37"/>
        <v>10.963368924444444</v>
      </c>
      <c r="N259" s="9"/>
      <c r="O259" s="22">
        <v>1.15387</v>
      </c>
      <c r="P259" s="22">
        <v>11.441000000000001</v>
      </c>
      <c r="Q259" s="22">
        <v>-1.40442E-2</v>
      </c>
      <c r="R259" s="22">
        <v>249</v>
      </c>
      <c r="S259" s="22">
        <v>1.15265</v>
      </c>
      <c r="T259">
        <f t="shared" si="38"/>
        <v>17.338518518518516</v>
      </c>
      <c r="U259">
        <f t="shared" si="39"/>
        <v>20.00639636296296</v>
      </c>
      <c r="X259" s="9"/>
      <c r="Y259" s="22">
        <v>0.60623199999999999</v>
      </c>
      <c r="Z259" s="22">
        <v>17.0792</v>
      </c>
      <c r="AA259" s="22">
        <v>-1.4682000000000001E-2</v>
      </c>
      <c r="AB259" s="22">
        <v>249</v>
      </c>
      <c r="AC259" s="22">
        <v>0.60537700000000005</v>
      </c>
      <c r="AD259">
        <f t="shared" si="40"/>
        <v>18.125925925925923</v>
      </c>
      <c r="AE259">
        <f t="shared" si="41"/>
        <v>10.988516325925923</v>
      </c>
      <c r="AF259" s="9"/>
      <c r="AG259" s="22">
        <v>1.15387</v>
      </c>
      <c r="AH259" s="22">
        <v>21.019300000000001</v>
      </c>
      <c r="AI259" s="22">
        <v>-1.41327E-2</v>
      </c>
      <c r="AJ259" s="22">
        <v>249</v>
      </c>
      <c r="AK259" s="22">
        <v>1.1529499999999999</v>
      </c>
      <c r="AL259">
        <f t="shared" si="42"/>
        <v>17.447777777777777</v>
      </c>
      <c r="AM259">
        <f t="shared" si="43"/>
        <v>20.132467344444443</v>
      </c>
      <c r="AP259" s="9"/>
      <c r="AQ259" s="22">
        <v>0.60623199999999999</v>
      </c>
      <c r="AR259" s="22">
        <v>26.6525</v>
      </c>
      <c r="AS259" s="22">
        <v>-1.48621E-2</v>
      </c>
      <c r="AT259" s="22">
        <v>249</v>
      </c>
      <c r="AU259" s="22">
        <v>0.60562099999999996</v>
      </c>
      <c r="AV259">
        <f t="shared" si="44"/>
        <v>18.348271604938269</v>
      </c>
      <c r="AW259">
        <f t="shared" si="45"/>
        <v>11.123309391604936</v>
      </c>
      <c r="AX259" s="9"/>
      <c r="AY259" s="22">
        <v>1.15387</v>
      </c>
      <c r="AZ259" s="22">
        <v>30.592500000000001</v>
      </c>
      <c r="BA259" s="22">
        <v>-1.4279200000000001E-2</v>
      </c>
      <c r="BB259" s="22">
        <v>249</v>
      </c>
      <c r="BC259" s="22">
        <v>1.1529499999999999</v>
      </c>
      <c r="BD259">
        <f t="shared" si="46"/>
        <v>17.628641975308639</v>
      </c>
      <c r="BE259">
        <f t="shared" si="47"/>
        <v>20.341161116049378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0.60119599999999995</v>
      </c>
      <c r="H260" s="22">
        <v>7.5110700000000001</v>
      </c>
      <c r="I260" s="22">
        <v>-1.4654500000000001E-2</v>
      </c>
      <c r="J260" s="22">
        <v>250</v>
      </c>
      <c r="K260" s="22">
        <v>0.60000600000000004</v>
      </c>
      <c r="L260">
        <f t="shared" si="36"/>
        <v>18.091975308641977</v>
      </c>
      <c r="M260">
        <f t="shared" si="37"/>
        <v>10.876823187654322</v>
      </c>
      <c r="N260" s="9"/>
      <c r="O260" s="22">
        <v>1.1589100000000001</v>
      </c>
      <c r="P260" s="22">
        <v>11.4511</v>
      </c>
      <c r="Q260" s="22">
        <v>-1.40381E-2</v>
      </c>
      <c r="R260" s="22">
        <v>250</v>
      </c>
      <c r="S260" s="22">
        <v>1.15784</v>
      </c>
      <c r="T260">
        <f t="shared" si="38"/>
        <v>17.330987654320985</v>
      </c>
      <c r="U260">
        <f t="shared" si="39"/>
        <v>20.085054902469135</v>
      </c>
      <c r="X260" s="9"/>
      <c r="Y260" s="22">
        <v>0.60119599999999995</v>
      </c>
      <c r="Z260" s="22">
        <v>17.089300000000001</v>
      </c>
      <c r="AA260" s="22">
        <v>-1.4688100000000001E-2</v>
      </c>
      <c r="AB260" s="22">
        <v>250</v>
      </c>
      <c r="AC260" s="22">
        <v>0.60055499999999995</v>
      </c>
      <c r="AD260">
        <f t="shared" si="40"/>
        <v>18.133456790123457</v>
      </c>
      <c r="AE260">
        <f t="shared" si="41"/>
        <v>10.901761688395061</v>
      </c>
      <c r="AF260" s="9"/>
      <c r="AG260" s="22">
        <v>1.1589100000000001</v>
      </c>
      <c r="AH260" s="22">
        <v>21.029299999999999</v>
      </c>
      <c r="AI260" s="22">
        <v>-1.41266E-2</v>
      </c>
      <c r="AJ260" s="22">
        <v>250</v>
      </c>
      <c r="AK260" s="22">
        <v>1.1581399999999999</v>
      </c>
      <c r="AL260">
        <f t="shared" si="42"/>
        <v>17.440246913580246</v>
      </c>
      <c r="AM260">
        <f t="shared" si="43"/>
        <v>20.211676550617284</v>
      </c>
      <c r="AP260" s="9"/>
      <c r="AQ260" s="22">
        <v>0.60119599999999995</v>
      </c>
      <c r="AR260" s="22">
        <v>26.662500000000001</v>
      </c>
      <c r="AS260" s="22">
        <v>-1.4871199999999999E-2</v>
      </c>
      <c r="AT260" s="22">
        <v>250</v>
      </c>
      <c r="AU260" s="22">
        <v>0.60040300000000002</v>
      </c>
      <c r="AV260">
        <f t="shared" si="44"/>
        <v>18.359506172839506</v>
      </c>
      <c r="AW260">
        <f t="shared" si="45"/>
        <v>11.037661673086419</v>
      </c>
      <c r="AX260" s="9"/>
      <c r="AY260" s="22">
        <v>1.1589100000000001</v>
      </c>
      <c r="AZ260" s="22">
        <v>30.602599999999999</v>
      </c>
      <c r="BA260" s="22">
        <v>-1.42731E-2</v>
      </c>
      <c r="BB260" s="22">
        <v>250</v>
      </c>
      <c r="BC260" s="22">
        <v>1.15845</v>
      </c>
      <c r="BD260">
        <f t="shared" si="46"/>
        <v>17.621111111111112</v>
      </c>
      <c r="BE260">
        <f t="shared" si="47"/>
        <v>20.42128187777778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0.59616100000000005</v>
      </c>
      <c r="H261" s="22">
        <v>7.5211399999999999</v>
      </c>
      <c r="I261" s="22">
        <v>-1.4660599999999999E-2</v>
      </c>
      <c r="J261" s="22">
        <v>251</v>
      </c>
      <c r="K261" s="22">
        <v>0.59536699999999998</v>
      </c>
      <c r="L261">
        <f t="shared" si="36"/>
        <v>18.099506172839504</v>
      </c>
      <c r="M261">
        <f t="shared" si="37"/>
        <v>10.790219699506173</v>
      </c>
      <c r="N261" s="9"/>
      <c r="O261" s="22">
        <v>1.16394</v>
      </c>
      <c r="P261" s="22">
        <v>11.4612</v>
      </c>
      <c r="Q261" s="22">
        <v>-1.4035000000000001E-2</v>
      </c>
      <c r="R261" s="22">
        <v>251</v>
      </c>
      <c r="S261" s="22">
        <v>1.16272</v>
      </c>
      <c r="T261">
        <f t="shared" si="38"/>
        <v>17.327160493827162</v>
      </c>
      <c r="U261">
        <f t="shared" si="39"/>
        <v>20.167775185185185</v>
      </c>
      <c r="X261" s="9"/>
      <c r="Y261" s="22">
        <v>0.59616100000000005</v>
      </c>
      <c r="Z261" s="22">
        <v>17.099399999999999</v>
      </c>
      <c r="AA261" s="22">
        <v>-1.4694199999999999E-2</v>
      </c>
      <c r="AB261" s="22">
        <v>251</v>
      </c>
      <c r="AC261" s="22">
        <v>0.59558100000000003</v>
      </c>
      <c r="AD261">
        <f t="shared" si="40"/>
        <v>18.140987654320988</v>
      </c>
      <c r="AE261">
        <f t="shared" si="41"/>
        <v>10.814949340987654</v>
      </c>
      <c r="AF261" s="9"/>
      <c r="AG261" s="22">
        <v>1.16394</v>
      </c>
      <c r="AH261" s="22">
        <v>21.039400000000001</v>
      </c>
      <c r="AI261" s="22">
        <v>-1.4120499999999999E-2</v>
      </c>
      <c r="AJ261" s="22">
        <v>251</v>
      </c>
      <c r="AK261" s="22">
        <v>1.1630199999999999</v>
      </c>
      <c r="AL261">
        <f t="shared" si="42"/>
        <v>17.432716049382716</v>
      </c>
      <c r="AM261">
        <f t="shared" si="43"/>
        <v>20.290635518518517</v>
      </c>
      <c r="AP261" s="9"/>
      <c r="AQ261" s="22">
        <v>0.59616100000000005</v>
      </c>
      <c r="AR261" s="22">
        <v>26.672599999999999</v>
      </c>
      <c r="AS261" s="22">
        <v>-1.48773E-2</v>
      </c>
      <c r="AT261" s="22">
        <v>251</v>
      </c>
      <c r="AU261" s="22">
        <v>0.59561200000000003</v>
      </c>
      <c r="AV261">
        <f t="shared" si="44"/>
        <v>18.367037037037036</v>
      </c>
      <c r="AW261">
        <f t="shared" si="45"/>
        <v>10.949711167037037</v>
      </c>
      <c r="AX261" s="9"/>
      <c r="AY261" s="22">
        <v>1.16394</v>
      </c>
      <c r="AZ261" s="22">
        <v>30.6126</v>
      </c>
      <c r="BA261" s="22">
        <v>-1.4267E-2</v>
      </c>
      <c r="BB261" s="22">
        <v>251</v>
      </c>
      <c r="BC261" s="22">
        <v>1.16333</v>
      </c>
      <c r="BD261">
        <f t="shared" si="46"/>
        <v>17.613580246913582</v>
      </c>
      <c r="BE261">
        <f t="shared" si="47"/>
        <v>20.501150592592595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0.59112500000000001</v>
      </c>
      <c r="H262" s="22">
        <v>7.5312099999999997</v>
      </c>
      <c r="I262" s="22">
        <v>-1.46667E-2</v>
      </c>
      <c r="J262" s="22">
        <v>252</v>
      </c>
      <c r="K262" s="22">
        <v>0.59048500000000004</v>
      </c>
      <c r="L262">
        <f t="shared" si="36"/>
        <v>18.107037037037035</v>
      </c>
      <c r="M262">
        <f t="shared" si="37"/>
        <v>10.703522268518517</v>
      </c>
      <c r="N262" s="9"/>
      <c r="O262" s="22">
        <v>1.1689799999999999</v>
      </c>
      <c r="P262" s="22">
        <v>11.471299999999999</v>
      </c>
      <c r="Q262" s="22">
        <v>-1.40289E-2</v>
      </c>
      <c r="R262" s="22">
        <v>252</v>
      </c>
      <c r="S262" s="22">
        <v>1.16821</v>
      </c>
      <c r="T262">
        <f t="shared" si="38"/>
        <v>17.319629629629631</v>
      </c>
      <c r="U262">
        <f t="shared" si="39"/>
        <v>20.246300644444446</v>
      </c>
      <c r="X262" s="9"/>
      <c r="Y262" s="22">
        <v>0.59112500000000001</v>
      </c>
      <c r="Z262" s="22">
        <v>17.109400000000001</v>
      </c>
      <c r="AA262" s="22">
        <v>-1.4700299999999999E-2</v>
      </c>
      <c r="AB262" s="22">
        <v>252</v>
      </c>
      <c r="AC262" s="22">
        <v>0.59036299999999997</v>
      </c>
      <c r="AD262">
        <f t="shared" si="40"/>
        <v>18.148518518518514</v>
      </c>
      <c r="AE262">
        <f t="shared" si="41"/>
        <v>10.728043009259258</v>
      </c>
      <c r="AF262" s="9"/>
      <c r="AG262" s="22">
        <v>1.1689799999999999</v>
      </c>
      <c r="AH262" s="22">
        <v>21.049499999999998</v>
      </c>
      <c r="AI262" s="22">
        <v>-1.41174E-2</v>
      </c>
      <c r="AJ262" s="22">
        <v>252</v>
      </c>
      <c r="AK262" s="22">
        <v>1.16791</v>
      </c>
      <c r="AL262">
        <f t="shared" si="42"/>
        <v>17.428888888888888</v>
      </c>
      <c r="AM262">
        <f t="shared" si="43"/>
        <v>20.374022533333331</v>
      </c>
      <c r="AP262" s="9"/>
      <c r="AQ262" s="22">
        <v>0.59112500000000001</v>
      </c>
      <c r="AR262" s="22">
        <v>26.682700000000001</v>
      </c>
      <c r="AS262" s="22">
        <v>-1.48834E-2</v>
      </c>
      <c r="AT262" s="22">
        <v>252</v>
      </c>
      <c r="AU262" s="22">
        <v>0.59051500000000001</v>
      </c>
      <c r="AV262">
        <f t="shared" si="44"/>
        <v>18.374567901234567</v>
      </c>
      <c r="AW262">
        <f t="shared" si="45"/>
        <v>10.861666450617284</v>
      </c>
      <c r="AX262" s="9"/>
      <c r="AY262" s="22">
        <v>1.1689799999999999</v>
      </c>
      <c r="AZ262" s="22">
        <v>30.622699999999998</v>
      </c>
      <c r="BA262" s="22">
        <v>-1.42609E-2</v>
      </c>
      <c r="BB262" s="22">
        <v>252</v>
      </c>
      <c r="BC262" s="22">
        <v>1.1676</v>
      </c>
      <c r="BD262">
        <f t="shared" si="46"/>
        <v>17.606049382716048</v>
      </c>
      <c r="BE262">
        <f t="shared" si="47"/>
        <v>20.581119607407405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0.58609</v>
      </c>
      <c r="H263" s="22">
        <v>7.54129</v>
      </c>
      <c r="I263" s="22">
        <v>-1.46759E-2</v>
      </c>
      <c r="J263" s="22">
        <v>253</v>
      </c>
      <c r="K263" s="22">
        <v>0.58511400000000002</v>
      </c>
      <c r="L263">
        <f t="shared" si="36"/>
        <v>18.118395061728396</v>
      </c>
      <c r="M263">
        <f t="shared" si="37"/>
        <v>10.619010161728395</v>
      </c>
      <c r="N263" s="9"/>
      <c r="O263" s="22">
        <v>1.17401</v>
      </c>
      <c r="P263" s="22">
        <v>11.481299999999999</v>
      </c>
      <c r="Q263" s="22">
        <v>-1.4025900000000001E-2</v>
      </c>
      <c r="R263" s="22">
        <v>253</v>
      </c>
      <c r="S263" s="22">
        <v>1.17249</v>
      </c>
      <c r="T263">
        <f t="shared" si="38"/>
        <v>17.315925925925924</v>
      </c>
      <c r="U263">
        <f t="shared" si="39"/>
        <v>20.329070196296293</v>
      </c>
      <c r="X263" s="9"/>
      <c r="Y263" s="22">
        <v>0.58609</v>
      </c>
      <c r="Z263" s="22">
        <v>17.119499999999999</v>
      </c>
      <c r="AA263" s="22">
        <v>-1.47064E-2</v>
      </c>
      <c r="AB263" s="22">
        <v>253</v>
      </c>
      <c r="AC263" s="22">
        <v>0.58538800000000002</v>
      </c>
      <c r="AD263">
        <f t="shared" si="40"/>
        <v>18.156049382716049</v>
      </c>
      <c r="AE263">
        <f t="shared" si="41"/>
        <v>10.641078982716049</v>
      </c>
      <c r="AF263" s="9"/>
      <c r="AG263" s="22">
        <v>1.17401</v>
      </c>
      <c r="AH263" s="22">
        <v>21.0595</v>
      </c>
      <c r="AI263" s="22">
        <v>-1.41113E-2</v>
      </c>
      <c r="AJ263" s="22">
        <v>253</v>
      </c>
      <c r="AK263" s="22">
        <v>1.1734</v>
      </c>
      <c r="AL263">
        <f t="shared" si="42"/>
        <v>17.421358024691358</v>
      </c>
      <c r="AM263">
        <f t="shared" si="43"/>
        <v>20.452848534567902</v>
      </c>
      <c r="AP263" s="9"/>
      <c r="AQ263" s="22">
        <v>0.58609</v>
      </c>
      <c r="AR263" s="22">
        <v>26.692699999999999</v>
      </c>
      <c r="AS263" s="22">
        <v>-1.48865E-2</v>
      </c>
      <c r="AT263" s="22">
        <v>253</v>
      </c>
      <c r="AU263" s="22">
        <v>0.58554099999999998</v>
      </c>
      <c r="AV263">
        <f t="shared" si="44"/>
        <v>18.378395061728394</v>
      </c>
      <c r="AW263">
        <f t="shared" si="45"/>
        <v>10.771393561728395</v>
      </c>
      <c r="AX263" s="9"/>
      <c r="AY263" s="22">
        <v>1.17401</v>
      </c>
      <c r="AZ263" s="22">
        <v>30.6328</v>
      </c>
      <c r="BA263" s="22">
        <v>-1.4251700000000001E-2</v>
      </c>
      <c r="BB263" s="22">
        <v>253</v>
      </c>
      <c r="BC263" s="22">
        <v>1.1734</v>
      </c>
      <c r="BD263">
        <f t="shared" si="46"/>
        <v>17.594691358024694</v>
      </c>
      <c r="BE263">
        <f t="shared" si="47"/>
        <v>20.656343601234571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0.58105499999999999</v>
      </c>
      <c r="H264" s="22">
        <v>7.5513599999999999</v>
      </c>
      <c r="I264" s="22">
        <v>-1.4682000000000001E-2</v>
      </c>
      <c r="J264" s="22">
        <v>254</v>
      </c>
      <c r="K264" s="22">
        <v>0.58050500000000005</v>
      </c>
      <c r="L264">
        <f t="shared" si="36"/>
        <v>18.125925925925923</v>
      </c>
      <c r="M264">
        <f t="shared" si="37"/>
        <v>10.532159888888888</v>
      </c>
      <c r="N264" s="9"/>
      <c r="O264" s="22">
        <v>1.1790499999999999</v>
      </c>
      <c r="P264" s="22">
        <v>11.491400000000001</v>
      </c>
      <c r="Q264" s="22">
        <v>-1.40167E-2</v>
      </c>
      <c r="R264" s="22">
        <v>254</v>
      </c>
      <c r="S264" s="22">
        <v>1.17828</v>
      </c>
      <c r="T264">
        <f t="shared" si="38"/>
        <v>17.304567901234567</v>
      </c>
      <c r="U264">
        <f t="shared" si="39"/>
        <v>20.402950783950615</v>
      </c>
      <c r="X264" s="9"/>
      <c r="Y264" s="22">
        <v>0.58105499999999999</v>
      </c>
      <c r="Z264" s="22">
        <v>17.1296</v>
      </c>
      <c r="AA264" s="22">
        <v>-1.47095E-2</v>
      </c>
      <c r="AB264" s="22">
        <v>254</v>
      </c>
      <c r="AC264" s="22">
        <v>0.58026100000000003</v>
      </c>
      <c r="AD264">
        <f t="shared" si="40"/>
        <v>18.159876543209876</v>
      </c>
      <c r="AE264">
        <f t="shared" si="41"/>
        <v>10.551887064814814</v>
      </c>
      <c r="AF264" s="9"/>
      <c r="AG264" s="22">
        <v>1.1790499999999999</v>
      </c>
      <c r="AH264" s="22">
        <v>21.069600000000001</v>
      </c>
      <c r="AI264" s="22">
        <v>-1.4108300000000001E-2</v>
      </c>
      <c r="AJ264" s="22">
        <v>254</v>
      </c>
      <c r="AK264" s="22">
        <v>1.17798</v>
      </c>
      <c r="AL264">
        <f t="shared" si="42"/>
        <v>17.417654320987655</v>
      </c>
      <c r="AM264">
        <f t="shared" si="43"/>
        <v>20.536285327160492</v>
      </c>
      <c r="AP264" s="9"/>
      <c r="AQ264" s="22">
        <v>0.58105499999999999</v>
      </c>
      <c r="AR264" s="22">
        <v>26.7028</v>
      </c>
      <c r="AS264" s="22">
        <v>-1.4892600000000001E-2</v>
      </c>
      <c r="AT264" s="22">
        <v>254</v>
      </c>
      <c r="AU264" s="22">
        <v>0.58029200000000003</v>
      </c>
      <c r="AV264">
        <f t="shared" si="44"/>
        <v>18.385925925925928</v>
      </c>
      <c r="AW264">
        <f t="shared" si="45"/>
        <v>10.683234188888891</v>
      </c>
      <c r="AX264" s="9"/>
      <c r="AY264" s="22">
        <v>1.1790499999999999</v>
      </c>
      <c r="AZ264" s="22">
        <v>30.642900000000001</v>
      </c>
      <c r="BA264" s="22">
        <v>-1.4251700000000001E-2</v>
      </c>
      <c r="BB264" s="22">
        <v>254</v>
      </c>
      <c r="BC264" s="22">
        <v>1.17828</v>
      </c>
      <c r="BD264">
        <f t="shared" si="46"/>
        <v>17.594691358024694</v>
      </c>
      <c r="BE264">
        <f t="shared" si="47"/>
        <v>20.745020845679015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0.57601899999999995</v>
      </c>
      <c r="H265" s="22">
        <v>7.5614299999999997</v>
      </c>
      <c r="I265" s="22">
        <v>-1.4688100000000001E-2</v>
      </c>
      <c r="J265" s="22">
        <v>255</v>
      </c>
      <c r="K265" s="22">
        <v>0.57519500000000001</v>
      </c>
      <c r="L265">
        <f t="shared" si="36"/>
        <v>18.133456790123457</v>
      </c>
      <c r="M265">
        <f t="shared" si="37"/>
        <v>10.445215646790123</v>
      </c>
      <c r="N265" s="9"/>
      <c r="O265" s="22">
        <v>1.18408</v>
      </c>
      <c r="P265" s="22">
        <v>11.5015</v>
      </c>
      <c r="Q265" s="22">
        <v>-1.40076E-2</v>
      </c>
      <c r="R265" s="22">
        <v>255</v>
      </c>
      <c r="S265" s="22">
        <v>1.1831700000000001</v>
      </c>
      <c r="T265">
        <f t="shared" si="38"/>
        <v>17.293333333333333</v>
      </c>
      <c r="U265">
        <f t="shared" si="39"/>
        <v>20.476690133333332</v>
      </c>
      <c r="X265" s="9"/>
      <c r="Y265" s="22">
        <v>0.57601899999999995</v>
      </c>
      <c r="Z265" s="22">
        <v>17.139600000000002</v>
      </c>
      <c r="AA265" s="22">
        <v>-1.47125E-2</v>
      </c>
      <c r="AB265" s="22">
        <v>255</v>
      </c>
      <c r="AC265" s="22">
        <v>0.57528699999999999</v>
      </c>
      <c r="AD265">
        <f t="shared" si="40"/>
        <v>18.163580246913579</v>
      </c>
      <c r="AE265">
        <f t="shared" si="41"/>
        <v>10.462567330246912</v>
      </c>
      <c r="AF265" s="9"/>
      <c r="AG265" s="22">
        <v>1.18408</v>
      </c>
      <c r="AH265" s="22">
        <v>21.079699999999999</v>
      </c>
      <c r="AI265" s="22">
        <v>-1.41052E-2</v>
      </c>
      <c r="AJ265" s="22">
        <v>255</v>
      </c>
      <c r="AK265" s="22">
        <v>1.18347</v>
      </c>
      <c r="AL265">
        <f t="shared" si="42"/>
        <v>17.413827160493828</v>
      </c>
      <c r="AM265">
        <f t="shared" si="43"/>
        <v>20.619364464197531</v>
      </c>
      <c r="AP265" s="9"/>
      <c r="AQ265" s="22">
        <v>0.57601899999999995</v>
      </c>
      <c r="AR265" s="22">
        <v>26.712900000000001</v>
      </c>
      <c r="AS265" s="22">
        <v>-1.48956E-2</v>
      </c>
      <c r="AT265" s="22">
        <v>255</v>
      </c>
      <c r="AU265" s="22">
        <v>0.57504299999999997</v>
      </c>
      <c r="AV265">
        <f t="shared" si="44"/>
        <v>18.389629629629628</v>
      </c>
      <c r="AW265">
        <f t="shared" si="45"/>
        <v>10.592776069629627</v>
      </c>
      <c r="AX265" s="9"/>
      <c r="AY265" s="22">
        <v>1.18408</v>
      </c>
      <c r="AZ265" s="22">
        <v>30.652899999999999</v>
      </c>
      <c r="BA265" s="22">
        <v>-1.4245600000000001E-2</v>
      </c>
      <c r="BB265" s="22">
        <v>255</v>
      </c>
      <c r="BC265" s="22">
        <v>1.1831700000000001</v>
      </c>
      <c r="BD265">
        <f t="shared" si="46"/>
        <v>17.58716049382716</v>
      </c>
      <c r="BE265">
        <f t="shared" si="47"/>
        <v>20.824604997530862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0.57098400000000005</v>
      </c>
      <c r="H266" s="22">
        <v>7.5715000000000003</v>
      </c>
      <c r="I266" s="22">
        <v>-1.4688100000000001E-2</v>
      </c>
      <c r="J266" s="22">
        <v>256</v>
      </c>
      <c r="K266" s="22">
        <v>0.57022099999999998</v>
      </c>
      <c r="L266">
        <f t="shared" si="36"/>
        <v>18.133456790123457</v>
      </c>
      <c r="M266">
        <f t="shared" si="37"/>
        <v>10.353913691851853</v>
      </c>
      <c r="N266" s="9"/>
      <c r="O266" s="22">
        <v>1.18912</v>
      </c>
      <c r="P266" s="22">
        <v>11.5115</v>
      </c>
      <c r="Q266" s="22">
        <v>-1.40015E-2</v>
      </c>
      <c r="R266" s="22">
        <v>256</v>
      </c>
      <c r="S266" s="22">
        <v>1.1880500000000001</v>
      </c>
      <c r="T266">
        <f t="shared" si="38"/>
        <v>17.285802469135803</v>
      </c>
      <c r="U266">
        <f t="shared" si="39"/>
        <v>20.554893432098766</v>
      </c>
      <c r="X266" s="9"/>
      <c r="Y266" s="22">
        <v>0.57098400000000005</v>
      </c>
      <c r="Z266" s="22">
        <v>17.149699999999999</v>
      </c>
      <c r="AA266" s="22">
        <v>-1.4715600000000001E-2</v>
      </c>
      <c r="AB266" s="22">
        <v>256</v>
      </c>
      <c r="AC266" s="22">
        <v>0.570129</v>
      </c>
      <c r="AD266">
        <f t="shared" si="40"/>
        <v>18.167407407407406</v>
      </c>
      <c r="AE266">
        <f t="shared" si="41"/>
        <v>10.373298951111112</v>
      </c>
      <c r="AF266" s="9"/>
      <c r="AG266" s="22">
        <v>1.18912</v>
      </c>
      <c r="AH266" s="22">
        <v>21.0898</v>
      </c>
      <c r="AI266" s="22">
        <v>-1.40991E-2</v>
      </c>
      <c r="AJ266" s="22">
        <v>256</v>
      </c>
      <c r="AK266" s="22">
        <v>1.1880500000000001</v>
      </c>
      <c r="AL266">
        <f t="shared" si="42"/>
        <v>17.406296296296293</v>
      </c>
      <c r="AM266">
        <f t="shared" si="43"/>
        <v>20.698175051851848</v>
      </c>
      <c r="AP266" s="9"/>
      <c r="AQ266" s="22">
        <v>0.57098400000000005</v>
      </c>
      <c r="AR266" s="22">
        <v>26.722999999999999</v>
      </c>
      <c r="AS266" s="22">
        <v>-1.49017E-2</v>
      </c>
      <c r="AT266" s="22">
        <v>256</v>
      </c>
      <c r="AU266" s="22">
        <v>0.570496</v>
      </c>
      <c r="AV266">
        <f t="shared" si="44"/>
        <v>18.397160493827158</v>
      </c>
      <c r="AW266">
        <f t="shared" si="45"/>
        <v>10.504484287407408</v>
      </c>
      <c r="AX266" s="9"/>
      <c r="AY266" s="22">
        <v>1.18912</v>
      </c>
      <c r="AZ266" s="22">
        <v>30.663</v>
      </c>
      <c r="BA266" s="22">
        <v>-1.4236499999999999E-2</v>
      </c>
      <c r="BB266" s="22">
        <v>256</v>
      </c>
      <c r="BC266" s="22">
        <v>1.1880500000000001</v>
      </c>
      <c r="BD266">
        <f t="shared" si="46"/>
        <v>17.575925925925926</v>
      </c>
      <c r="BE266">
        <f t="shared" si="47"/>
        <v>20.899885037037038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0.56594800000000001</v>
      </c>
      <c r="H267" s="22">
        <v>7.5815700000000001</v>
      </c>
      <c r="I267" s="22">
        <v>-1.46912E-2</v>
      </c>
      <c r="J267" s="22">
        <v>257</v>
      </c>
      <c r="K267" s="22">
        <v>0.56512499999999999</v>
      </c>
      <c r="L267">
        <f t="shared" si="36"/>
        <v>18.137283950617284</v>
      </c>
      <c r="M267">
        <f t="shared" si="37"/>
        <v>10.26475957728395</v>
      </c>
      <c r="N267" s="9"/>
      <c r="O267" s="22">
        <v>1.19415</v>
      </c>
      <c r="P267" s="22">
        <v>11.521599999999999</v>
      </c>
      <c r="Q267" s="22">
        <v>-1.39954E-2</v>
      </c>
      <c r="R267" s="22">
        <v>257</v>
      </c>
      <c r="S267" s="22">
        <v>1.19293</v>
      </c>
      <c r="T267">
        <f t="shared" si="38"/>
        <v>17.278271604938272</v>
      </c>
      <c r="U267">
        <f t="shared" si="39"/>
        <v>20.632848037037039</v>
      </c>
      <c r="X267" s="9"/>
      <c r="Y267" s="22">
        <v>0.56594800000000001</v>
      </c>
      <c r="Z267" s="22">
        <v>17.159800000000001</v>
      </c>
      <c r="AA267" s="22">
        <v>-1.47247E-2</v>
      </c>
      <c r="AB267" s="22">
        <v>257</v>
      </c>
      <c r="AC267" s="22">
        <v>0.56518599999999997</v>
      </c>
      <c r="AD267">
        <f t="shared" si="40"/>
        <v>18.178641975308643</v>
      </c>
      <c r="AE267">
        <f t="shared" si="41"/>
        <v>10.288166068641976</v>
      </c>
      <c r="AF267" s="9"/>
      <c r="AG267" s="22">
        <v>1.19415</v>
      </c>
      <c r="AH267" s="22">
        <v>21.099799999999998</v>
      </c>
      <c r="AI267" s="22">
        <v>-1.4093E-2</v>
      </c>
      <c r="AJ267" s="22">
        <v>257</v>
      </c>
      <c r="AK267" s="22">
        <v>1.1932400000000001</v>
      </c>
      <c r="AL267">
        <f t="shared" si="42"/>
        <v>17.398765432098763</v>
      </c>
      <c r="AM267">
        <f t="shared" si="43"/>
        <v>20.77673574074074</v>
      </c>
      <c r="AP267" s="9"/>
      <c r="AQ267" s="22">
        <v>0.56594800000000001</v>
      </c>
      <c r="AR267" s="22">
        <v>26.733000000000001</v>
      </c>
      <c r="AS267" s="22">
        <v>-1.4907800000000001E-2</v>
      </c>
      <c r="AT267" s="22">
        <v>257</v>
      </c>
      <c r="AU267" s="22">
        <v>0.56527700000000003</v>
      </c>
      <c r="AV267">
        <f t="shared" si="44"/>
        <v>18.404691358024692</v>
      </c>
      <c r="AW267">
        <f t="shared" si="45"/>
        <v>10.416098264691358</v>
      </c>
      <c r="AX267" s="9"/>
      <c r="AY267" s="22">
        <v>1.19415</v>
      </c>
      <c r="AZ267" s="22">
        <v>30.673100000000002</v>
      </c>
      <c r="BA267" s="22">
        <v>-1.42334E-2</v>
      </c>
      <c r="BB267" s="22">
        <v>257</v>
      </c>
      <c r="BC267" s="22">
        <v>1.19293</v>
      </c>
      <c r="BD267">
        <f t="shared" si="46"/>
        <v>17.572098765432099</v>
      </c>
      <c r="BE267">
        <f t="shared" si="47"/>
        <v>20.983721740740741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0.56091299999999999</v>
      </c>
      <c r="H268" s="22">
        <v>7.5916399999999999</v>
      </c>
      <c r="I268" s="22">
        <v>-1.46973E-2</v>
      </c>
      <c r="J268" s="22">
        <v>258</v>
      </c>
      <c r="K268" s="22">
        <v>0.56021100000000001</v>
      </c>
      <c r="L268">
        <f t="shared" ref="L268:L331" si="48">-I268/$F$2*1000</f>
        <v>18.144814814814815</v>
      </c>
      <c r="M268">
        <f t="shared" ref="M268:M331" si="49">L268*G268</f>
        <v>10.177662512222222</v>
      </c>
      <c r="N268" s="9"/>
      <c r="O268" s="22">
        <v>1.19919</v>
      </c>
      <c r="P268" s="22">
        <v>11.531700000000001</v>
      </c>
      <c r="Q268" s="22">
        <v>-1.3992299999999999E-2</v>
      </c>
      <c r="R268" s="22">
        <v>258</v>
      </c>
      <c r="S268" s="22">
        <v>1.1981200000000001</v>
      </c>
      <c r="T268">
        <f t="shared" ref="T268:T331" si="50">-Q268/$F$2*1000</f>
        <v>17.274444444444445</v>
      </c>
      <c r="U268">
        <f t="shared" ref="U268:U331" si="51">T268*O268</f>
        <v>20.715341033333335</v>
      </c>
      <c r="X268" s="9"/>
      <c r="Y268" s="22">
        <v>0.56091299999999999</v>
      </c>
      <c r="Z268" s="22">
        <v>17.169899999999998</v>
      </c>
      <c r="AA268" s="22">
        <v>-1.47308E-2</v>
      </c>
      <c r="AB268" s="22">
        <v>258</v>
      </c>
      <c r="AC268" s="22">
        <v>0.56039399999999995</v>
      </c>
      <c r="AD268">
        <f t="shared" ref="AD268:AD331" si="52">-AA268/$F$2*1000</f>
        <v>18.186172839506174</v>
      </c>
      <c r="AE268">
        <f t="shared" ref="AE268:AE331" si="53">AD268*Y268</f>
        <v>10.200860765925926</v>
      </c>
      <c r="AF268" s="9"/>
      <c r="AG268" s="22">
        <v>1.19919</v>
      </c>
      <c r="AH268" s="22">
        <v>21.1099</v>
      </c>
      <c r="AI268" s="22">
        <v>-1.4086899999999999E-2</v>
      </c>
      <c r="AJ268" s="22">
        <v>258</v>
      </c>
      <c r="AK268" s="22">
        <v>1.1984300000000001</v>
      </c>
      <c r="AL268">
        <f t="shared" ref="AL268:AL331" si="54">-AI268/$F$2*1000</f>
        <v>17.391234567901233</v>
      </c>
      <c r="AM268">
        <f t="shared" ref="AM268:AM331" si="55">AL268*AG268</f>
        <v>20.85539458148148</v>
      </c>
      <c r="AP268" s="9"/>
      <c r="AQ268" s="22">
        <v>0.56091299999999999</v>
      </c>
      <c r="AR268" s="22">
        <v>26.743099999999998</v>
      </c>
      <c r="AS268" s="22">
        <v>-1.4913900000000001E-2</v>
      </c>
      <c r="AT268" s="22">
        <v>258</v>
      </c>
      <c r="AU268" s="22">
        <v>0.56027199999999999</v>
      </c>
      <c r="AV268">
        <f t="shared" ref="AV268:AV331" si="56">-AS268/$F$2*1000</f>
        <v>18.412222222222223</v>
      </c>
      <c r="AW268">
        <f t="shared" ref="AW268:AW331" si="57">AV268*AQ268</f>
        <v>10.327654803333333</v>
      </c>
      <c r="AX268" s="9"/>
      <c r="AY268" s="22">
        <v>1.19919</v>
      </c>
      <c r="AZ268" s="22">
        <v>30.6831</v>
      </c>
      <c r="BA268" s="22">
        <v>-1.4224199999999999E-2</v>
      </c>
      <c r="BB268" s="22">
        <v>258</v>
      </c>
      <c r="BC268" s="22">
        <v>1.1987300000000001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0.55587799999999998</v>
      </c>
      <c r="H269" s="22">
        <v>7.6017099999999997</v>
      </c>
      <c r="I269" s="22">
        <v>-1.46973E-2</v>
      </c>
      <c r="J269" s="22">
        <v>259</v>
      </c>
      <c r="K269" s="22">
        <v>0.55526699999999996</v>
      </c>
      <c r="L269">
        <f t="shared" si="48"/>
        <v>18.144814814814815</v>
      </c>
      <c r="M269">
        <f t="shared" si="49"/>
        <v>10.086303369629629</v>
      </c>
      <c r="N269" s="9"/>
      <c r="O269" s="22">
        <v>1.2042200000000001</v>
      </c>
      <c r="P269" s="22">
        <v>11.5418</v>
      </c>
      <c r="Q269" s="22">
        <v>-1.39893E-2</v>
      </c>
      <c r="R269" s="22">
        <v>259</v>
      </c>
      <c r="S269" s="22">
        <v>1.2030000000000001</v>
      </c>
      <c r="T269">
        <f t="shared" si="50"/>
        <v>17.270740740740738</v>
      </c>
      <c r="U269">
        <f t="shared" si="51"/>
        <v>20.797771414814815</v>
      </c>
      <c r="X269" s="9"/>
      <c r="Y269" s="22">
        <v>0.55587799999999998</v>
      </c>
      <c r="Z269" s="22">
        <v>17.1799</v>
      </c>
      <c r="AA269" s="22">
        <v>-1.4733899999999999E-2</v>
      </c>
      <c r="AB269" s="22">
        <v>259</v>
      </c>
      <c r="AC269" s="22">
        <v>0.55523699999999998</v>
      </c>
      <c r="AD269">
        <f t="shared" si="52"/>
        <v>18.189999999999998</v>
      </c>
      <c r="AE269">
        <f t="shared" si="53"/>
        <v>10.111420819999999</v>
      </c>
      <c r="AF269" s="9"/>
      <c r="AG269" s="22">
        <v>1.2042200000000001</v>
      </c>
      <c r="AH269" s="22">
        <v>21.12</v>
      </c>
      <c r="AI269" s="22">
        <v>-1.40839E-2</v>
      </c>
      <c r="AJ269" s="22">
        <v>259</v>
      </c>
      <c r="AK269" s="22">
        <v>1.2027000000000001</v>
      </c>
      <c r="AL269">
        <f t="shared" si="54"/>
        <v>17.387530864197529</v>
      </c>
      <c r="AM269">
        <f t="shared" si="55"/>
        <v>20.938412417283949</v>
      </c>
      <c r="AP269" s="9"/>
      <c r="AQ269" s="22">
        <v>0.55587799999999998</v>
      </c>
      <c r="AR269" s="22">
        <v>26.7532</v>
      </c>
      <c r="AS269" s="22">
        <v>-1.4919999999999999E-2</v>
      </c>
      <c r="AT269" s="22">
        <v>259</v>
      </c>
      <c r="AU269" s="22">
        <v>0.555176</v>
      </c>
      <c r="AV269">
        <f t="shared" si="56"/>
        <v>18.41975308641975</v>
      </c>
      <c r="AW269">
        <f t="shared" si="57"/>
        <v>10.239135506172838</v>
      </c>
      <c r="AX269" s="9"/>
      <c r="AY269" s="22">
        <v>1.2042200000000001</v>
      </c>
      <c r="AZ269" s="22">
        <v>30.693200000000001</v>
      </c>
      <c r="BA269" s="22">
        <v>-1.42212E-2</v>
      </c>
      <c r="BB269" s="22">
        <v>259</v>
      </c>
      <c r="BC269" s="22">
        <v>1.2033100000000001</v>
      </c>
      <c r="BD269">
        <f t="shared" si="58"/>
        <v>17.557037037037034</v>
      </c>
      <c r="BE269">
        <f t="shared" si="59"/>
        <v>21.142535140740737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0.55084200000000005</v>
      </c>
      <c r="H270" s="22">
        <v>7.6117800000000004</v>
      </c>
      <c r="I270" s="22">
        <v>-1.47064E-2</v>
      </c>
      <c r="J270" s="22">
        <v>260</v>
      </c>
      <c r="K270" s="22">
        <v>0.55007899999999998</v>
      </c>
      <c r="L270">
        <f t="shared" si="48"/>
        <v>18.156049382716049</v>
      </c>
      <c r="M270">
        <f t="shared" si="49"/>
        <v>10.001114554074075</v>
      </c>
      <c r="N270" s="9"/>
      <c r="O270" s="22">
        <v>1.20926</v>
      </c>
      <c r="P270" s="22">
        <v>11.5518</v>
      </c>
      <c r="Q270" s="22">
        <v>-1.3986200000000001E-2</v>
      </c>
      <c r="R270" s="22">
        <v>260</v>
      </c>
      <c r="S270" s="22">
        <v>1.2078899999999999</v>
      </c>
      <c r="T270">
        <f t="shared" si="50"/>
        <v>17.266913580246914</v>
      </c>
      <c r="U270">
        <f t="shared" si="51"/>
        <v>20.880187916049383</v>
      </c>
      <c r="X270" s="9"/>
      <c r="Y270" s="22">
        <v>0.55084200000000005</v>
      </c>
      <c r="Z270" s="22">
        <v>17.190000000000001</v>
      </c>
      <c r="AA270" s="22">
        <v>-1.4733899999999999E-2</v>
      </c>
      <c r="AB270" s="22">
        <v>260</v>
      </c>
      <c r="AC270" s="22">
        <v>0.55010999999999999</v>
      </c>
      <c r="AD270">
        <f t="shared" si="52"/>
        <v>18.189999999999998</v>
      </c>
      <c r="AE270">
        <f t="shared" si="53"/>
        <v>10.019815979999999</v>
      </c>
      <c r="AF270" s="9"/>
      <c r="AG270" s="22">
        <v>1.20926</v>
      </c>
      <c r="AH270" s="22">
        <v>21.13</v>
      </c>
      <c r="AI270" s="22">
        <v>-1.40778E-2</v>
      </c>
      <c r="AJ270" s="22">
        <v>260</v>
      </c>
      <c r="AK270" s="22">
        <v>1.2084999999999999</v>
      </c>
      <c r="AL270">
        <f t="shared" si="54"/>
        <v>17.38</v>
      </c>
      <c r="AM270">
        <f t="shared" si="55"/>
        <v>21.016938799999998</v>
      </c>
      <c r="AP270" s="9"/>
      <c r="AQ270" s="22">
        <v>0.55084200000000005</v>
      </c>
      <c r="AR270" s="22">
        <v>26.763200000000001</v>
      </c>
      <c r="AS270" s="22">
        <v>-1.4926099999999999E-2</v>
      </c>
      <c r="AT270" s="22">
        <v>260</v>
      </c>
      <c r="AU270" s="22">
        <v>0.55013999999999996</v>
      </c>
      <c r="AV270">
        <f t="shared" si="56"/>
        <v>18.427283950617284</v>
      </c>
      <c r="AW270">
        <f t="shared" si="57"/>
        <v>10.150521945925927</v>
      </c>
      <c r="AX270" s="9"/>
      <c r="AY270" s="22">
        <v>1.20926</v>
      </c>
      <c r="AZ270" s="22">
        <v>30.703299999999999</v>
      </c>
      <c r="BA270" s="22">
        <v>-1.4218099999999999E-2</v>
      </c>
      <c r="BB270" s="22">
        <v>260</v>
      </c>
      <c r="BC270" s="22">
        <v>1.2081900000000001</v>
      </c>
      <c r="BD270">
        <f t="shared" si="58"/>
        <v>17.553209876543207</v>
      </c>
      <c r="BE270">
        <f t="shared" si="59"/>
        <v>21.226394575308639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0.54580700000000004</v>
      </c>
      <c r="H271" s="22">
        <v>7.6218500000000002</v>
      </c>
      <c r="I271" s="22">
        <v>-1.47095E-2</v>
      </c>
      <c r="J271" s="22">
        <v>261</v>
      </c>
      <c r="K271" s="22">
        <v>0.54507399999999995</v>
      </c>
      <c r="L271">
        <f t="shared" si="48"/>
        <v>18.159876543209876</v>
      </c>
      <c r="M271">
        <f t="shared" si="49"/>
        <v>9.911787736419754</v>
      </c>
      <c r="N271" s="9"/>
      <c r="O271" s="22">
        <v>1.2142900000000001</v>
      </c>
      <c r="P271" s="22">
        <v>11.5619</v>
      </c>
      <c r="Q271" s="22">
        <v>-1.3983199999999999E-2</v>
      </c>
      <c r="R271" s="22">
        <v>261</v>
      </c>
      <c r="S271" s="22">
        <v>1.2130700000000001</v>
      </c>
      <c r="T271">
        <f t="shared" si="50"/>
        <v>17.263209876543208</v>
      </c>
      <c r="U271">
        <f t="shared" si="51"/>
        <v>20.962543120987654</v>
      </c>
      <c r="X271" s="9"/>
      <c r="Y271" s="22">
        <v>0.54580700000000004</v>
      </c>
      <c r="Z271" s="22">
        <v>17.200099999999999</v>
      </c>
      <c r="AA271" s="22">
        <v>-1.4736900000000001E-2</v>
      </c>
      <c r="AB271" s="22">
        <v>261</v>
      </c>
      <c r="AC271" s="22">
        <v>0.54525800000000002</v>
      </c>
      <c r="AD271">
        <f t="shared" si="52"/>
        <v>18.193703703703704</v>
      </c>
      <c r="AE271">
        <f t="shared" si="53"/>
        <v>9.9302508374074083</v>
      </c>
      <c r="AF271" s="9"/>
      <c r="AG271" s="22">
        <v>1.2142900000000001</v>
      </c>
      <c r="AH271" s="22">
        <v>21.1401</v>
      </c>
      <c r="AI271" s="22">
        <v>-1.4071699999999999E-2</v>
      </c>
      <c r="AJ271" s="22">
        <v>261</v>
      </c>
      <c r="AK271" s="22">
        <v>1.2130700000000001</v>
      </c>
      <c r="AL271">
        <f t="shared" si="54"/>
        <v>17.372469135802469</v>
      </c>
      <c r="AM271">
        <f t="shared" si="55"/>
        <v>21.095215546913582</v>
      </c>
      <c r="AP271" s="9"/>
      <c r="AQ271" s="22">
        <v>0.54580700000000004</v>
      </c>
      <c r="AR271" s="22">
        <v>26.773299999999999</v>
      </c>
      <c r="AS271" s="22">
        <v>-1.4932300000000001E-2</v>
      </c>
      <c r="AT271" s="22">
        <v>261</v>
      </c>
      <c r="AU271" s="22">
        <v>0.54522700000000002</v>
      </c>
      <c r="AV271">
        <f t="shared" si="56"/>
        <v>18.434938271604938</v>
      </c>
      <c r="AW271">
        <f t="shared" si="57"/>
        <v>10.061918353209878</v>
      </c>
      <c r="AX271" s="9"/>
      <c r="AY271" s="22">
        <v>1.2142900000000001</v>
      </c>
      <c r="AZ271" s="22">
        <v>30.7134</v>
      </c>
      <c r="BA271" s="22">
        <v>-1.4208999999999999E-2</v>
      </c>
      <c r="BB271" s="22">
        <v>261</v>
      </c>
      <c r="BC271" s="22">
        <v>1.2130700000000001</v>
      </c>
      <c r="BD271">
        <f t="shared" si="58"/>
        <v>17.541975308641973</v>
      </c>
      <c r="BE271">
        <f t="shared" si="59"/>
        <v>21.301045197530865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0.540771</v>
      </c>
      <c r="H272" s="22">
        <v>7.63192</v>
      </c>
      <c r="I272" s="22">
        <v>-1.4715600000000001E-2</v>
      </c>
      <c r="J272" s="22">
        <v>262</v>
      </c>
      <c r="K272" s="22">
        <v>0.53997799999999996</v>
      </c>
      <c r="L272">
        <f t="shared" si="48"/>
        <v>18.167407407407406</v>
      </c>
      <c r="M272">
        <f t="shared" si="49"/>
        <v>9.8244070711111107</v>
      </c>
      <c r="N272" s="9"/>
      <c r="O272" s="22">
        <v>1.21933</v>
      </c>
      <c r="P272" s="22">
        <v>11.571999999999999</v>
      </c>
      <c r="Q272" s="22">
        <v>-1.3977099999999999E-2</v>
      </c>
      <c r="R272" s="22">
        <v>262</v>
      </c>
      <c r="S272" s="22">
        <v>1.2179599999999999</v>
      </c>
      <c r="T272">
        <f t="shared" si="50"/>
        <v>17.255679012345677</v>
      </c>
      <c r="U272">
        <f t="shared" si="51"/>
        <v>21.040367090123453</v>
      </c>
      <c r="X272" s="9"/>
      <c r="Y272" s="22">
        <v>0.540771</v>
      </c>
      <c r="Z272" s="22">
        <v>17.210100000000001</v>
      </c>
      <c r="AA272" s="22">
        <v>-1.4742999999999999E-2</v>
      </c>
      <c r="AB272" s="22">
        <v>262</v>
      </c>
      <c r="AC272" s="22">
        <v>0.54025299999999998</v>
      </c>
      <c r="AD272">
        <f t="shared" si="52"/>
        <v>18.201234567901235</v>
      </c>
      <c r="AE272">
        <f t="shared" si="53"/>
        <v>9.8426998185185184</v>
      </c>
      <c r="AF272" s="9"/>
      <c r="AG272" s="22">
        <v>1.21933</v>
      </c>
      <c r="AH272" s="22">
        <v>21.150200000000002</v>
      </c>
      <c r="AI272" s="22">
        <v>-1.4068600000000001E-2</v>
      </c>
      <c r="AJ272" s="22">
        <v>262</v>
      </c>
      <c r="AK272" s="22">
        <v>1.2188699999999999</v>
      </c>
      <c r="AL272">
        <f t="shared" si="54"/>
        <v>17.368641975308641</v>
      </c>
      <c r="AM272">
        <f t="shared" si="55"/>
        <v>21.178106219753086</v>
      </c>
      <c r="AP272" s="9"/>
      <c r="AQ272" s="22">
        <v>0.540771</v>
      </c>
      <c r="AR272" s="22">
        <v>26.7834</v>
      </c>
      <c r="AS272" s="22">
        <v>-1.4932300000000001E-2</v>
      </c>
      <c r="AT272" s="22">
        <v>262</v>
      </c>
      <c r="AU272" s="22">
        <v>0.54019200000000001</v>
      </c>
      <c r="AV272">
        <f t="shared" si="56"/>
        <v>18.434938271604938</v>
      </c>
      <c r="AW272">
        <f t="shared" si="57"/>
        <v>9.9690800040740744</v>
      </c>
      <c r="AX272" s="9"/>
      <c r="AY272" s="22">
        <v>1.21933</v>
      </c>
      <c r="AZ272" s="22">
        <v>30.723400000000002</v>
      </c>
      <c r="BA272" s="22">
        <v>-1.4202899999999999E-2</v>
      </c>
      <c r="BB272" s="22">
        <v>262</v>
      </c>
      <c r="BC272" s="22">
        <v>1.2185699999999999</v>
      </c>
      <c r="BD272">
        <f t="shared" si="58"/>
        <v>17.534444444444443</v>
      </c>
      <c r="BE272">
        <f t="shared" si="59"/>
        <v>21.380274144444442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0.53573599999999999</v>
      </c>
      <c r="H273" s="22">
        <v>7.6420000000000003</v>
      </c>
      <c r="I273" s="22">
        <v>-1.47186E-2</v>
      </c>
      <c r="J273" s="22">
        <v>263</v>
      </c>
      <c r="K273" s="22">
        <v>0.53497300000000003</v>
      </c>
      <c r="L273">
        <f t="shared" si="48"/>
        <v>18.171111111111109</v>
      </c>
      <c r="M273">
        <f t="shared" si="49"/>
        <v>9.7349183822222205</v>
      </c>
      <c r="N273" s="9"/>
      <c r="O273" s="22">
        <v>1.22437</v>
      </c>
      <c r="P273" s="22">
        <v>11.582000000000001</v>
      </c>
      <c r="Q273" s="22">
        <v>-1.3977099999999999E-2</v>
      </c>
      <c r="R273" s="22">
        <v>263</v>
      </c>
      <c r="S273" s="22">
        <v>1.2240599999999999</v>
      </c>
      <c r="T273">
        <f t="shared" si="50"/>
        <v>17.255679012345677</v>
      </c>
      <c r="U273">
        <f t="shared" si="51"/>
        <v>21.127335712345676</v>
      </c>
      <c r="X273" s="9"/>
      <c r="Y273" s="22">
        <v>0.53573599999999999</v>
      </c>
      <c r="Z273" s="22">
        <v>17.220199999999998</v>
      </c>
      <c r="AA273" s="22">
        <v>-1.4749099999999999E-2</v>
      </c>
      <c r="AB273" s="22">
        <v>263</v>
      </c>
      <c r="AC273" s="22">
        <v>0.53497300000000003</v>
      </c>
      <c r="AD273">
        <f t="shared" si="52"/>
        <v>18.208765432098765</v>
      </c>
      <c r="AE273">
        <f t="shared" si="53"/>
        <v>9.7550911575308632</v>
      </c>
      <c r="AF273" s="9"/>
      <c r="AG273" s="22">
        <v>1.22437</v>
      </c>
      <c r="AH273" s="22">
        <v>21.160299999999999</v>
      </c>
      <c r="AI273" s="22">
        <v>-1.4065599999999999E-2</v>
      </c>
      <c r="AJ273" s="22">
        <v>263</v>
      </c>
      <c r="AK273" s="22">
        <v>1.2240599999999999</v>
      </c>
      <c r="AL273">
        <f t="shared" si="54"/>
        <v>17.364938271604938</v>
      </c>
      <c r="AM273">
        <f t="shared" si="55"/>
        <v>21.261109471604936</v>
      </c>
      <c r="AP273" s="9"/>
      <c r="AQ273" s="22">
        <v>0.53573599999999999</v>
      </c>
      <c r="AR273" s="22">
        <v>26.793500000000002</v>
      </c>
      <c r="AS273" s="22">
        <v>-1.4938399999999999E-2</v>
      </c>
      <c r="AT273" s="22">
        <v>263</v>
      </c>
      <c r="AU273" s="22">
        <v>0.53512599999999999</v>
      </c>
      <c r="AV273">
        <f t="shared" si="56"/>
        <v>18.442469135802465</v>
      </c>
      <c r="AW273">
        <f t="shared" si="57"/>
        <v>9.8802946449382691</v>
      </c>
      <c r="AX273" s="9"/>
      <c r="AY273" s="22">
        <v>1.22437</v>
      </c>
      <c r="AZ273" s="22">
        <v>30.733499999999999</v>
      </c>
      <c r="BA273" s="22">
        <v>-1.41998E-2</v>
      </c>
      <c r="BB273" s="22">
        <v>263</v>
      </c>
      <c r="BC273" s="22">
        <v>1.2237499999999999</v>
      </c>
      <c r="BD273">
        <f t="shared" si="58"/>
        <v>17.530617283950615</v>
      </c>
      <c r="BE273">
        <f t="shared" si="59"/>
        <v>21.463961883950613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0.53070099999999998</v>
      </c>
      <c r="H274" s="22">
        <v>7.6520700000000001</v>
      </c>
      <c r="I274" s="22">
        <v>-1.4721700000000001E-2</v>
      </c>
      <c r="J274" s="22">
        <v>264</v>
      </c>
      <c r="K274" s="22">
        <v>0.53002899999999997</v>
      </c>
      <c r="L274">
        <f t="shared" si="48"/>
        <v>18.174938271604937</v>
      </c>
      <c r="M274">
        <f t="shared" si="49"/>
        <v>9.6454579156790103</v>
      </c>
      <c r="N274" s="9"/>
      <c r="O274" s="22">
        <v>1.2294</v>
      </c>
      <c r="P274" s="22">
        <v>11.5921</v>
      </c>
      <c r="Q274" s="22">
        <v>-1.39709E-2</v>
      </c>
      <c r="R274" s="22">
        <v>264</v>
      </c>
      <c r="S274" s="22">
        <v>1.2283299999999999</v>
      </c>
      <c r="T274">
        <f t="shared" si="50"/>
        <v>17.248024691358022</v>
      </c>
      <c r="U274">
        <f t="shared" si="51"/>
        <v>21.204721555555555</v>
      </c>
      <c r="X274" s="9"/>
      <c r="Y274" s="22">
        <v>0.53070099999999998</v>
      </c>
      <c r="Z274" s="22">
        <v>17.2303</v>
      </c>
      <c r="AA274" s="22">
        <v>-1.47552E-2</v>
      </c>
      <c r="AB274" s="22">
        <v>264</v>
      </c>
      <c r="AC274" s="22">
        <v>0.529999</v>
      </c>
      <c r="AD274">
        <f t="shared" si="52"/>
        <v>18.216296296296292</v>
      </c>
      <c r="AE274">
        <f t="shared" si="53"/>
        <v>9.6674066607407383</v>
      </c>
      <c r="AF274" s="9"/>
      <c r="AG274" s="22">
        <v>1.2294</v>
      </c>
      <c r="AH274" s="22">
        <v>21.170300000000001</v>
      </c>
      <c r="AI274" s="22">
        <v>-1.40594E-2</v>
      </c>
      <c r="AJ274" s="22">
        <v>264</v>
      </c>
      <c r="AK274" s="22">
        <v>1.2283299999999999</v>
      </c>
      <c r="AL274">
        <f t="shared" si="54"/>
        <v>17.357283950617283</v>
      </c>
      <c r="AM274">
        <f t="shared" si="55"/>
        <v>21.339044888888889</v>
      </c>
      <c r="AP274" s="9"/>
      <c r="AQ274" s="22">
        <v>0.53070099999999998</v>
      </c>
      <c r="AR274" s="22">
        <v>26.8035</v>
      </c>
      <c r="AS274" s="22">
        <v>-1.4941400000000001E-2</v>
      </c>
      <c r="AT274" s="22">
        <v>264</v>
      </c>
      <c r="AU274" s="22">
        <v>0.53024300000000002</v>
      </c>
      <c r="AV274">
        <f t="shared" si="56"/>
        <v>18.446172839506172</v>
      </c>
      <c r="AW274">
        <f t="shared" si="57"/>
        <v>9.7894023720987651</v>
      </c>
      <c r="AX274" s="9"/>
      <c r="AY274" s="22">
        <v>1.2294</v>
      </c>
      <c r="AZ274" s="22">
        <v>30.743600000000001</v>
      </c>
      <c r="BA274" s="22">
        <v>-1.41937E-2</v>
      </c>
      <c r="BB274" s="22">
        <v>264</v>
      </c>
      <c r="BC274" s="22">
        <v>1.2283299999999999</v>
      </c>
      <c r="BD274">
        <f t="shared" si="58"/>
        <v>17.523086419753085</v>
      </c>
      <c r="BE274">
        <f t="shared" si="59"/>
        <v>21.542882444444444</v>
      </c>
    </row>
    <row r="275" spans="6:101">
      <c r="F275" s="9"/>
      <c r="G275" s="22">
        <v>0.52566500000000005</v>
      </c>
      <c r="H275" s="22">
        <v>7.66214</v>
      </c>
      <c r="I275" s="22">
        <v>-1.4727799999999999E-2</v>
      </c>
      <c r="J275" s="22">
        <v>265</v>
      </c>
      <c r="K275" s="22">
        <v>0.52502400000000005</v>
      </c>
      <c r="L275">
        <f t="shared" si="48"/>
        <v>18.182469135802467</v>
      </c>
      <c r="M275">
        <f t="shared" si="49"/>
        <v>9.5578876382716054</v>
      </c>
      <c r="N275" s="9"/>
      <c r="O275" s="22">
        <v>1.23444</v>
      </c>
      <c r="P275" s="22">
        <v>11.6022</v>
      </c>
      <c r="Q275" s="22">
        <v>-1.39679E-2</v>
      </c>
      <c r="R275" s="22">
        <v>265</v>
      </c>
      <c r="S275" s="22">
        <v>1.2335199999999999</v>
      </c>
      <c r="T275">
        <f t="shared" si="50"/>
        <v>17.244320987654319</v>
      </c>
      <c r="U275">
        <f t="shared" si="51"/>
        <v>21.287079599999998</v>
      </c>
      <c r="X275" s="9"/>
      <c r="Y275" s="22">
        <v>0.52566500000000005</v>
      </c>
      <c r="Z275" s="22">
        <v>17.240400000000001</v>
      </c>
      <c r="AA275" s="22">
        <v>-1.4761399999999999E-2</v>
      </c>
      <c r="AB275" s="22">
        <v>265</v>
      </c>
      <c r="AC275" s="22">
        <v>0.52499399999999996</v>
      </c>
      <c r="AD275">
        <f t="shared" si="52"/>
        <v>18.22395061728395</v>
      </c>
      <c r="AE275">
        <f t="shared" si="53"/>
        <v>9.5796930012345687</v>
      </c>
      <c r="AF275" s="9"/>
      <c r="AG275" s="22">
        <v>1.23444</v>
      </c>
      <c r="AH275" s="22">
        <v>21.180399999999999</v>
      </c>
      <c r="AI275" s="22">
        <v>-1.40503E-2</v>
      </c>
      <c r="AJ275" s="22">
        <v>265</v>
      </c>
      <c r="AK275" s="22">
        <v>1.23322</v>
      </c>
      <c r="AL275">
        <f t="shared" si="54"/>
        <v>17.34604938271605</v>
      </c>
      <c r="AM275">
        <f t="shared" si="55"/>
        <v>21.412657200000002</v>
      </c>
      <c r="AP275" s="9"/>
      <c r="AQ275" s="22">
        <v>0.52566500000000005</v>
      </c>
      <c r="AR275" s="22">
        <v>26.813600000000001</v>
      </c>
      <c r="AS275" s="22">
        <v>-1.4944499999999999E-2</v>
      </c>
      <c r="AT275" s="22">
        <v>265</v>
      </c>
      <c r="AU275" s="22">
        <v>0.52499399999999996</v>
      </c>
      <c r="AV275">
        <f t="shared" si="56"/>
        <v>18.45</v>
      </c>
      <c r="AW275">
        <f t="shared" si="57"/>
        <v>9.6985192500000004</v>
      </c>
      <c r="AX275" s="9"/>
      <c r="AY275" s="22">
        <v>1.23444</v>
      </c>
      <c r="AZ275" s="22">
        <v>30.753599999999999</v>
      </c>
      <c r="BA275" s="22">
        <v>-1.4190700000000001E-2</v>
      </c>
      <c r="BB275" s="22">
        <v>265</v>
      </c>
      <c r="BC275" s="22">
        <v>1.2341299999999999</v>
      </c>
      <c r="BD275">
        <f t="shared" si="58"/>
        <v>17.519382716049382</v>
      </c>
      <c r="BE275">
        <f t="shared" si="59"/>
        <v>21.626626799999997</v>
      </c>
    </row>
    <row r="276" spans="6:101">
      <c r="F276" s="9"/>
      <c r="G276" s="22">
        <v>0.52063000000000004</v>
      </c>
      <c r="H276" s="22">
        <v>7.6722099999999998</v>
      </c>
      <c r="I276" s="22">
        <v>-1.4733899999999999E-2</v>
      </c>
      <c r="J276" s="22">
        <v>266</v>
      </c>
      <c r="K276" s="22">
        <v>0.51995800000000003</v>
      </c>
      <c r="L276">
        <f t="shared" si="48"/>
        <v>18.189999999999998</v>
      </c>
      <c r="M276">
        <f t="shared" si="49"/>
        <v>9.4702596999999997</v>
      </c>
      <c r="N276" s="9"/>
      <c r="O276" s="22">
        <v>1.2394700000000001</v>
      </c>
      <c r="P276" s="22">
        <v>11.6122</v>
      </c>
      <c r="Q276" s="22">
        <v>-1.3958699999999999E-2</v>
      </c>
      <c r="R276" s="22">
        <v>266</v>
      </c>
      <c r="S276" s="22">
        <v>1.2381</v>
      </c>
      <c r="T276">
        <f t="shared" si="50"/>
        <v>17.232962962962961</v>
      </c>
      <c r="U276">
        <f t="shared" si="51"/>
        <v>21.359740603703703</v>
      </c>
      <c r="X276" s="9"/>
      <c r="Y276" s="22">
        <v>0.52063000000000004</v>
      </c>
      <c r="Z276" s="22">
        <v>17.250399999999999</v>
      </c>
      <c r="AA276" s="22">
        <v>-1.4770500000000001E-2</v>
      </c>
      <c r="AB276" s="22">
        <v>266</v>
      </c>
      <c r="AC276" s="22">
        <v>0.51983599999999996</v>
      </c>
      <c r="AD276">
        <f t="shared" si="52"/>
        <v>18.235185185185184</v>
      </c>
      <c r="AE276">
        <f t="shared" si="53"/>
        <v>9.4937844629629637</v>
      </c>
      <c r="AF276" s="9"/>
      <c r="AG276" s="22">
        <v>1.2394700000000001</v>
      </c>
      <c r="AH276" s="22">
        <v>21.1905</v>
      </c>
      <c r="AI276" s="22">
        <v>-1.40442E-2</v>
      </c>
      <c r="AJ276" s="22">
        <v>266</v>
      </c>
      <c r="AK276" s="22">
        <v>1.2381</v>
      </c>
      <c r="AL276">
        <f t="shared" si="54"/>
        <v>17.338518518518516</v>
      </c>
      <c r="AM276">
        <f t="shared" si="55"/>
        <v>21.490573548148145</v>
      </c>
      <c r="AP276" s="9"/>
      <c r="AQ276" s="22">
        <v>0.52063000000000004</v>
      </c>
      <c r="AR276" s="22">
        <v>26.823699999999999</v>
      </c>
      <c r="AS276" s="22">
        <v>-1.49506E-2</v>
      </c>
      <c r="AT276" s="22">
        <v>266</v>
      </c>
      <c r="AU276" s="22">
        <v>0.52005000000000001</v>
      </c>
      <c r="AV276">
        <f t="shared" si="56"/>
        <v>18.45753086419753</v>
      </c>
      <c r="AW276">
        <f t="shared" si="57"/>
        <v>9.6095442938271614</v>
      </c>
      <c r="AX276" s="9"/>
      <c r="AY276" s="22">
        <v>1.2394700000000001</v>
      </c>
      <c r="AZ276" s="22">
        <v>30.7637</v>
      </c>
      <c r="BA276" s="22">
        <v>-1.41876E-2</v>
      </c>
      <c r="BB276" s="22">
        <v>266</v>
      </c>
      <c r="BC276" s="22">
        <v>1.23871</v>
      </c>
      <c r="BD276">
        <f t="shared" si="58"/>
        <v>17.515555555555554</v>
      </c>
      <c r="BE276">
        <f t="shared" si="59"/>
        <v>21.710005644444443</v>
      </c>
    </row>
    <row r="277" spans="6:101">
      <c r="F277" s="9"/>
      <c r="G277" s="22">
        <v>0.515594</v>
      </c>
      <c r="H277" s="22">
        <v>7.6822800000000004</v>
      </c>
      <c r="I277" s="22">
        <v>-1.474E-2</v>
      </c>
      <c r="J277" s="22">
        <v>267</v>
      </c>
      <c r="K277" s="22">
        <v>0.51489300000000005</v>
      </c>
      <c r="L277">
        <f t="shared" si="48"/>
        <v>18.197530864197528</v>
      </c>
      <c r="M277">
        <f t="shared" si="49"/>
        <v>9.3825377283950608</v>
      </c>
      <c r="N277" s="9"/>
      <c r="O277" s="22">
        <v>1.24451</v>
      </c>
      <c r="P277" s="22">
        <v>11.622299999999999</v>
      </c>
      <c r="Q277" s="22">
        <v>-1.3952600000000001E-2</v>
      </c>
      <c r="R277" s="22">
        <v>267</v>
      </c>
      <c r="S277" s="22">
        <v>1.24329</v>
      </c>
      <c r="T277">
        <f t="shared" si="50"/>
        <v>17.225432098765431</v>
      </c>
      <c r="U277">
        <f t="shared" si="51"/>
        <v>21.437222501234565</v>
      </c>
      <c r="X277" s="9"/>
      <c r="Y277" s="22">
        <v>0.515594</v>
      </c>
      <c r="Z277" s="22">
        <v>17.2605</v>
      </c>
      <c r="AA277" s="22">
        <v>-1.47736E-2</v>
      </c>
      <c r="AB277" s="22">
        <v>267</v>
      </c>
      <c r="AC277" s="22">
        <v>0.51492300000000002</v>
      </c>
      <c r="AD277">
        <f t="shared" si="52"/>
        <v>18.239012345679011</v>
      </c>
      <c r="AE277">
        <f t="shared" si="53"/>
        <v>9.4039253313580247</v>
      </c>
      <c r="AF277" s="9"/>
      <c r="AG277" s="22">
        <v>1.24451</v>
      </c>
      <c r="AH277" s="22">
        <v>21.200500000000002</v>
      </c>
      <c r="AI277" s="22">
        <v>-1.4035000000000001E-2</v>
      </c>
      <c r="AJ277" s="22">
        <v>267</v>
      </c>
      <c r="AK277" s="22">
        <v>1.24359</v>
      </c>
      <c r="AL277">
        <f t="shared" si="54"/>
        <v>17.327160493827162</v>
      </c>
      <c r="AM277">
        <f t="shared" si="55"/>
        <v>21.563824506172839</v>
      </c>
      <c r="AP277" s="9"/>
      <c r="AQ277" s="22">
        <v>0.515594</v>
      </c>
      <c r="AR277" s="22">
        <v>26.8337</v>
      </c>
      <c r="AS277" s="22">
        <v>-1.49567E-2</v>
      </c>
      <c r="AT277" s="22">
        <v>267</v>
      </c>
      <c r="AU277" s="22">
        <v>0.51492300000000002</v>
      </c>
      <c r="AV277">
        <f t="shared" si="56"/>
        <v>18.46506172839506</v>
      </c>
      <c r="AW277">
        <f t="shared" si="57"/>
        <v>9.5204750367901223</v>
      </c>
      <c r="AX277" s="9"/>
      <c r="AY277" s="22">
        <v>1.24451</v>
      </c>
      <c r="AZ277" s="22">
        <v>30.773800000000001</v>
      </c>
      <c r="BA277" s="22">
        <v>-1.41815E-2</v>
      </c>
      <c r="BB277" s="22">
        <v>267</v>
      </c>
      <c r="BC277" s="22">
        <v>1.24329</v>
      </c>
      <c r="BD277">
        <f t="shared" si="58"/>
        <v>17.508024691358024</v>
      </c>
      <c r="BE277">
        <f t="shared" si="59"/>
        <v>21.788911808641974</v>
      </c>
    </row>
    <row r="278" spans="6:101">
      <c r="F278" s="9"/>
      <c r="G278" s="22">
        <v>0.51055899999999999</v>
      </c>
      <c r="H278" s="22">
        <v>7.6923500000000002</v>
      </c>
      <c r="I278" s="22">
        <v>-1.4749099999999999E-2</v>
      </c>
      <c r="J278" s="22">
        <v>268</v>
      </c>
      <c r="K278" s="22">
        <v>0.509857</v>
      </c>
      <c r="L278">
        <f t="shared" si="48"/>
        <v>18.208765432098765</v>
      </c>
      <c r="M278">
        <f t="shared" si="49"/>
        <v>9.2966490702469127</v>
      </c>
      <c r="N278" s="9"/>
      <c r="O278" s="22">
        <v>1.2495400000000001</v>
      </c>
      <c r="P278" s="22">
        <v>11.632400000000001</v>
      </c>
      <c r="Q278" s="22">
        <v>-1.3946500000000001E-2</v>
      </c>
      <c r="R278" s="22">
        <v>268</v>
      </c>
      <c r="S278" s="22">
        <v>1.24847</v>
      </c>
      <c r="T278">
        <f t="shared" si="50"/>
        <v>17.217901234567901</v>
      </c>
      <c r="U278">
        <f t="shared" si="51"/>
        <v>21.514456308641975</v>
      </c>
      <c r="X278" s="9"/>
      <c r="Y278" s="22">
        <v>0.51055899999999999</v>
      </c>
      <c r="Z278" s="22">
        <v>17.270600000000002</v>
      </c>
      <c r="AA278" s="22">
        <v>-1.47797E-2</v>
      </c>
      <c r="AB278" s="22">
        <v>268</v>
      </c>
      <c r="AC278" s="22">
        <v>0.50982700000000003</v>
      </c>
      <c r="AD278">
        <f t="shared" si="52"/>
        <v>18.246543209876542</v>
      </c>
      <c r="AE278">
        <f t="shared" si="53"/>
        <v>9.3159368546913566</v>
      </c>
      <c r="AF278" s="9"/>
      <c r="AG278" s="22">
        <v>1.2495400000000001</v>
      </c>
      <c r="AH278" s="22">
        <v>21.210599999999999</v>
      </c>
      <c r="AI278" s="22">
        <v>-1.40289E-2</v>
      </c>
      <c r="AJ278" s="22">
        <v>268</v>
      </c>
      <c r="AK278" s="22">
        <v>1.24847</v>
      </c>
      <c r="AL278">
        <f t="shared" si="54"/>
        <v>17.319629629629631</v>
      </c>
      <c r="AM278">
        <f t="shared" si="55"/>
        <v>21.64157000740741</v>
      </c>
      <c r="AP278" s="9"/>
      <c r="AQ278" s="22">
        <v>0.51055899999999999</v>
      </c>
      <c r="AR278" s="22">
        <v>26.843800000000002</v>
      </c>
      <c r="AS278" s="22">
        <v>-1.49628E-2</v>
      </c>
      <c r="AT278" s="22">
        <v>268</v>
      </c>
      <c r="AU278" s="22">
        <v>0.50979600000000003</v>
      </c>
      <c r="AV278">
        <f t="shared" si="56"/>
        <v>18.472592592592594</v>
      </c>
      <c r="AW278">
        <f t="shared" si="57"/>
        <v>9.4313484014814826</v>
      </c>
      <c r="AX278" s="9"/>
      <c r="AY278" s="22">
        <v>1.2495400000000001</v>
      </c>
      <c r="AZ278" s="22">
        <v>30.783799999999999</v>
      </c>
      <c r="BA278" s="22">
        <v>-1.41724E-2</v>
      </c>
      <c r="BB278" s="22">
        <v>268</v>
      </c>
      <c r="BC278" s="22">
        <v>1.24817</v>
      </c>
      <c r="BD278">
        <f t="shared" si="58"/>
        <v>17.496790123456787</v>
      </c>
      <c r="BE278">
        <f t="shared" si="59"/>
        <v>21.862939130864195</v>
      </c>
    </row>
    <row r="279" spans="6:101">
      <c r="F279" s="9"/>
      <c r="G279" s="22">
        <v>0.50552399999999997</v>
      </c>
      <c r="H279" s="22">
        <v>7.70242</v>
      </c>
      <c r="I279" s="22">
        <v>-1.47552E-2</v>
      </c>
      <c r="J279" s="22">
        <v>269</v>
      </c>
      <c r="K279" s="22">
        <v>0.50488299999999997</v>
      </c>
      <c r="L279">
        <f t="shared" si="48"/>
        <v>18.216296296296292</v>
      </c>
      <c r="M279">
        <f t="shared" si="49"/>
        <v>9.2087749688888856</v>
      </c>
      <c r="N279" s="9"/>
      <c r="O279" s="22">
        <v>1.25458</v>
      </c>
      <c r="P279" s="22">
        <v>11.6425</v>
      </c>
      <c r="Q279" s="22">
        <v>-1.39404E-2</v>
      </c>
      <c r="R279" s="22">
        <v>269</v>
      </c>
      <c r="S279" s="22">
        <v>1.25427</v>
      </c>
      <c r="T279">
        <f t="shared" si="50"/>
        <v>17.21037037037037</v>
      </c>
      <c r="U279">
        <f t="shared" si="51"/>
        <v>21.591786459259261</v>
      </c>
      <c r="X279" s="9"/>
      <c r="Y279" s="22">
        <v>0.50552399999999997</v>
      </c>
      <c r="Z279" s="22">
        <v>17.2806</v>
      </c>
      <c r="AA279" s="22">
        <v>-1.4782699999999999E-2</v>
      </c>
      <c r="AB279" s="22">
        <v>269</v>
      </c>
      <c r="AC279" s="22">
        <v>0.50476100000000002</v>
      </c>
      <c r="AD279">
        <f t="shared" si="52"/>
        <v>18.250246913580245</v>
      </c>
      <c r="AE279">
        <f t="shared" si="53"/>
        <v>9.2259378207407394</v>
      </c>
      <c r="AF279" s="9"/>
      <c r="AG279" s="22">
        <v>1.25458</v>
      </c>
      <c r="AH279" s="22">
        <v>21.220700000000001</v>
      </c>
      <c r="AI279" s="22">
        <v>-1.40228E-2</v>
      </c>
      <c r="AJ279" s="22">
        <v>269</v>
      </c>
      <c r="AK279" s="22">
        <v>1.25275</v>
      </c>
      <c r="AL279">
        <f t="shared" si="54"/>
        <v>17.312098765432097</v>
      </c>
      <c r="AM279">
        <f t="shared" si="55"/>
        <v>21.719412869135802</v>
      </c>
      <c r="AP279" s="9"/>
      <c r="AQ279" s="22">
        <v>0.50552399999999997</v>
      </c>
      <c r="AR279" s="22">
        <v>26.853899999999999</v>
      </c>
      <c r="AS279" s="22">
        <v>-1.49658E-2</v>
      </c>
      <c r="AT279" s="22">
        <v>269</v>
      </c>
      <c r="AU279" s="22">
        <v>0.50497400000000003</v>
      </c>
      <c r="AV279">
        <f t="shared" si="56"/>
        <v>18.476296296296297</v>
      </c>
      <c r="AW279">
        <f t="shared" si="57"/>
        <v>9.3402112088888885</v>
      </c>
      <c r="AX279" s="9"/>
      <c r="AY279" s="22">
        <v>1.25458</v>
      </c>
      <c r="AZ279" s="22">
        <v>30.793900000000001</v>
      </c>
      <c r="BA279" s="22">
        <v>-1.4163200000000001E-2</v>
      </c>
      <c r="BB279" s="22">
        <v>269</v>
      </c>
      <c r="BC279" s="22">
        <v>1.25366</v>
      </c>
      <c r="BD279">
        <f t="shared" si="58"/>
        <v>17.485432098765433</v>
      </c>
      <c r="BE279">
        <f t="shared" si="59"/>
        <v>21.936873402469136</v>
      </c>
    </row>
    <row r="280" spans="6:101">
      <c r="F280" s="9"/>
      <c r="G280" s="22">
        <v>0.50048800000000004</v>
      </c>
      <c r="H280" s="22">
        <v>7.7124899999999998</v>
      </c>
      <c r="I280" s="22">
        <v>-1.47583E-2</v>
      </c>
      <c r="J280" s="22">
        <v>270</v>
      </c>
      <c r="K280" s="22">
        <v>0.50015299999999996</v>
      </c>
      <c r="L280">
        <f t="shared" si="48"/>
        <v>18.22012345679012</v>
      </c>
      <c r="M280">
        <f t="shared" si="49"/>
        <v>9.1189531486419746</v>
      </c>
      <c r="N280" s="9"/>
      <c r="O280" s="22">
        <v>1.2596099999999999</v>
      </c>
      <c r="P280" s="22">
        <v>11.6525</v>
      </c>
      <c r="Q280" s="22">
        <v>-1.39343E-2</v>
      </c>
      <c r="R280" s="22">
        <v>270</v>
      </c>
      <c r="S280" s="22">
        <v>1.25946</v>
      </c>
      <c r="T280">
        <f t="shared" si="50"/>
        <v>17.202839506172836</v>
      </c>
      <c r="U280">
        <f t="shared" si="51"/>
        <v>21.668868670370365</v>
      </c>
      <c r="X280" s="9"/>
      <c r="Y280" s="22">
        <v>0.50048800000000004</v>
      </c>
      <c r="Z280" s="22">
        <v>17.290700000000001</v>
      </c>
      <c r="AA280" s="22">
        <v>-1.47919E-2</v>
      </c>
      <c r="AB280" s="22">
        <v>270</v>
      </c>
      <c r="AC280" s="22">
        <v>0.49981700000000001</v>
      </c>
      <c r="AD280">
        <f t="shared" si="52"/>
        <v>18.261604938271603</v>
      </c>
      <c r="AE280">
        <f t="shared" si="53"/>
        <v>9.139714132345679</v>
      </c>
      <c r="AF280" s="9"/>
      <c r="AG280" s="22">
        <v>1.2596099999999999</v>
      </c>
      <c r="AH280" s="22">
        <v>21.230799999999999</v>
      </c>
      <c r="AI280" s="22">
        <v>-1.40167E-2</v>
      </c>
      <c r="AJ280" s="22">
        <v>270</v>
      </c>
      <c r="AK280" s="22">
        <v>1.25854</v>
      </c>
      <c r="AL280">
        <f t="shared" si="54"/>
        <v>17.304567901234567</v>
      </c>
      <c r="AM280">
        <f t="shared" si="55"/>
        <v>21.79700677407407</v>
      </c>
      <c r="AP280" s="9"/>
      <c r="AQ280" s="22">
        <v>0.50048800000000004</v>
      </c>
      <c r="AR280" s="22">
        <v>26.863900000000001</v>
      </c>
      <c r="AS280" s="22">
        <v>-1.49719E-2</v>
      </c>
      <c r="AT280" s="22">
        <v>270</v>
      </c>
      <c r="AU280" s="22">
        <v>0.499695</v>
      </c>
      <c r="AV280">
        <f t="shared" si="56"/>
        <v>18.483827160493824</v>
      </c>
      <c r="AW280">
        <f t="shared" si="57"/>
        <v>9.2509336879012345</v>
      </c>
      <c r="AX280" s="9"/>
      <c r="AY280" s="22">
        <v>1.2596099999999999</v>
      </c>
      <c r="AZ280" s="22">
        <v>30.803999999999998</v>
      </c>
      <c r="BA280" s="22">
        <v>-1.4157100000000001E-2</v>
      </c>
      <c r="BB280" s="22">
        <v>270</v>
      </c>
      <c r="BC280" s="22">
        <v>1.2591600000000001</v>
      </c>
      <c r="BD280">
        <f t="shared" si="58"/>
        <v>17.477901234567902</v>
      </c>
      <c r="BE280">
        <f t="shared" si="59"/>
        <v>22.015339174074075</v>
      </c>
    </row>
    <row r="281" spans="6:101">
      <c r="F281" s="9"/>
      <c r="G281" s="22">
        <v>0.49545299999999998</v>
      </c>
      <c r="H281" s="22">
        <v>7.7225599999999996</v>
      </c>
      <c r="I281" s="22">
        <v>-1.47552E-2</v>
      </c>
      <c r="J281" s="22">
        <v>271</v>
      </c>
      <c r="K281" s="22">
        <v>0.49478100000000003</v>
      </c>
      <c r="L281">
        <f t="shared" si="48"/>
        <v>18.216296296296292</v>
      </c>
      <c r="M281">
        <f t="shared" si="49"/>
        <v>9.0253186488888861</v>
      </c>
      <c r="N281" s="9"/>
      <c r="O281" s="22">
        <v>1.2646500000000001</v>
      </c>
      <c r="P281" s="22">
        <v>11.662599999999999</v>
      </c>
      <c r="Q281" s="22">
        <v>-1.39282E-2</v>
      </c>
      <c r="R281" s="22">
        <v>271</v>
      </c>
      <c r="S281" s="22">
        <v>1.26373</v>
      </c>
      <c r="T281">
        <f t="shared" si="50"/>
        <v>17.195308641975309</v>
      </c>
      <c r="U281">
        <f t="shared" si="51"/>
        <v>21.746047074074074</v>
      </c>
      <c r="X281" s="9"/>
      <c r="Y281" s="22">
        <v>0.49545299999999998</v>
      </c>
      <c r="Z281" s="22">
        <v>17.300799999999999</v>
      </c>
      <c r="AA281" s="22">
        <v>-1.4801E-2</v>
      </c>
      <c r="AB281" s="22">
        <v>271</v>
      </c>
      <c r="AC281" s="22">
        <v>0.49487300000000001</v>
      </c>
      <c r="AD281">
        <f t="shared" si="52"/>
        <v>18.27283950617284</v>
      </c>
      <c r="AE281">
        <f t="shared" si="53"/>
        <v>9.0533331518518523</v>
      </c>
      <c r="AF281" s="9"/>
      <c r="AG281" s="22">
        <v>1.2646500000000001</v>
      </c>
      <c r="AH281" s="22">
        <v>21.2408</v>
      </c>
      <c r="AI281" s="22">
        <v>-1.40106E-2</v>
      </c>
      <c r="AJ281" s="22">
        <v>271</v>
      </c>
      <c r="AK281" s="22">
        <v>1.26373</v>
      </c>
      <c r="AL281">
        <f t="shared" si="54"/>
        <v>17.297037037037036</v>
      </c>
      <c r="AM281">
        <f t="shared" si="55"/>
        <v>21.874697888888889</v>
      </c>
      <c r="AP281" s="9"/>
      <c r="AQ281" s="22">
        <v>0.49545299999999998</v>
      </c>
      <c r="AR281" s="22">
        <v>26.873999999999999</v>
      </c>
      <c r="AS281" s="22">
        <v>-1.4975E-2</v>
      </c>
      <c r="AT281" s="22">
        <v>271</v>
      </c>
      <c r="AU281" s="22">
        <v>0.49478100000000003</v>
      </c>
      <c r="AV281">
        <f t="shared" si="56"/>
        <v>18.487654320987652</v>
      </c>
      <c r="AW281">
        <f t="shared" si="57"/>
        <v>9.1597637962962946</v>
      </c>
      <c r="AX281" s="9"/>
      <c r="AY281" s="22">
        <v>1.2646500000000001</v>
      </c>
      <c r="AZ281" s="22">
        <v>30.8141</v>
      </c>
      <c r="BA281" s="22">
        <v>-1.4154099999999999E-2</v>
      </c>
      <c r="BB281" s="22">
        <v>271</v>
      </c>
      <c r="BC281" s="22">
        <v>1.26434</v>
      </c>
      <c r="BD281">
        <f t="shared" si="58"/>
        <v>17.474197530864195</v>
      </c>
      <c r="BE281">
        <f t="shared" si="59"/>
        <v>22.098743907407407</v>
      </c>
    </row>
    <row r="282" spans="6:101">
      <c r="F282" s="9"/>
      <c r="G282" s="22">
        <v>0.49041699999999999</v>
      </c>
      <c r="H282" s="22">
        <v>7.7326300000000003</v>
      </c>
      <c r="I282" s="22">
        <v>-1.47583E-2</v>
      </c>
      <c r="J282" s="22">
        <v>272</v>
      </c>
      <c r="K282" s="22">
        <v>0.489838</v>
      </c>
      <c r="L282">
        <f t="shared" si="48"/>
        <v>18.22012345679012</v>
      </c>
      <c r="M282">
        <f t="shared" si="49"/>
        <v>8.9354582853086395</v>
      </c>
      <c r="N282" s="9"/>
      <c r="O282" s="22">
        <v>1.2696799999999999</v>
      </c>
      <c r="P282" s="22">
        <v>11.672700000000001</v>
      </c>
      <c r="Q282" s="22">
        <v>-1.39282E-2</v>
      </c>
      <c r="R282" s="22">
        <v>272</v>
      </c>
      <c r="S282" s="22">
        <v>1.2686200000000001</v>
      </c>
      <c r="T282">
        <f t="shared" si="50"/>
        <v>17.195308641975309</v>
      </c>
      <c r="U282">
        <f t="shared" si="51"/>
        <v>21.832539476543211</v>
      </c>
      <c r="X282" s="9"/>
      <c r="Y282" s="22">
        <v>0.49041699999999999</v>
      </c>
      <c r="Z282" s="22">
        <v>17.3109</v>
      </c>
      <c r="AA282" s="22">
        <v>-1.48071E-2</v>
      </c>
      <c r="AB282" s="22">
        <v>272</v>
      </c>
      <c r="AC282" s="22">
        <v>0.48986800000000003</v>
      </c>
      <c r="AD282">
        <f t="shared" si="52"/>
        <v>18.28037037037037</v>
      </c>
      <c r="AE282">
        <f t="shared" si="53"/>
        <v>8.9650043959259254</v>
      </c>
      <c r="AF282" s="9"/>
      <c r="AG282" s="22">
        <v>1.2696799999999999</v>
      </c>
      <c r="AH282" s="22">
        <v>21.250900000000001</v>
      </c>
      <c r="AI282" s="22">
        <v>-1.40045E-2</v>
      </c>
      <c r="AJ282" s="22">
        <v>272</v>
      </c>
      <c r="AK282" s="22">
        <v>1.26892</v>
      </c>
      <c r="AL282">
        <f t="shared" si="54"/>
        <v>17.289506172839506</v>
      </c>
      <c r="AM282">
        <f t="shared" si="55"/>
        <v>21.952140197530863</v>
      </c>
      <c r="AP282" s="9"/>
      <c r="AQ282" s="22">
        <v>0.49041699999999999</v>
      </c>
      <c r="AR282" s="22">
        <v>26.8841</v>
      </c>
      <c r="AS282" s="22">
        <v>-1.4981100000000001E-2</v>
      </c>
      <c r="AT282" s="22">
        <v>272</v>
      </c>
      <c r="AU282" s="22">
        <v>0.48971599999999998</v>
      </c>
      <c r="AV282">
        <f t="shared" si="56"/>
        <v>18.495185185185186</v>
      </c>
      <c r="AW282">
        <f t="shared" si="57"/>
        <v>9.0703532329629635</v>
      </c>
      <c r="AX282" s="9"/>
      <c r="AY282" s="22">
        <v>1.2696799999999999</v>
      </c>
      <c r="AZ282" s="22">
        <v>30.824100000000001</v>
      </c>
      <c r="BA282" s="22">
        <v>-1.41479E-2</v>
      </c>
      <c r="BB282" s="22">
        <v>272</v>
      </c>
      <c r="BC282" s="22">
        <v>1.26831</v>
      </c>
      <c r="BD282">
        <f t="shared" si="58"/>
        <v>17.466543209876541</v>
      </c>
      <c r="BE282">
        <f t="shared" si="59"/>
        <v>22.176920582716043</v>
      </c>
    </row>
    <row r="283" spans="6:101">
      <c r="F283" s="9"/>
      <c r="G283" s="22">
        <v>0.48538199999999998</v>
      </c>
      <c r="H283" s="22">
        <v>7.7427099999999998</v>
      </c>
      <c r="I283" s="22">
        <v>-1.47644E-2</v>
      </c>
      <c r="J283" s="22">
        <v>273</v>
      </c>
      <c r="K283" s="22">
        <v>0.48468</v>
      </c>
      <c r="L283">
        <f t="shared" si="48"/>
        <v>18.227654320987654</v>
      </c>
      <c r="M283">
        <f t="shared" si="49"/>
        <v>8.8473753096296281</v>
      </c>
      <c r="N283" s="9"/>
      <c r="O283" s="22">
        <v>1.2747200000000001</v>
      </c>
      <c r="P283" s="22">
        <v>11.682700000000001</v>
      </c>
      <c r="Q283" s="22">
        <v>-1.39221E-2</v>
      </c>
      <c r="R283" s="22">
        <v>273</v>
      </c>
      <c r="S283" s="22">
        <v>1.2741100000000001</v>
      </c>
      <c r="T283">
        <f t="shared" si="50"/>
        <v>17.187777777777779</v>
      </c>
      <c r="U283">
        <f t="shared" si="51"/>
        <v>21.909604088888891</v>
      </c>
      <c r="X283" s="9"/>
      <c r="Y283" s="22">
        <v>0.48538199999999998</v>
      </c>
      <c r="Z283" s="22">
        <v>17.320900000000002</v>
      </c>
      <c r="AA283" s="22">
        <v>-1.48132E-2</v>
      </c>
      <c r="AB283" s="22">
        <v>273</v>
      </c>
      <c r="AC283" s="22">
        <v>0.48458899999999999</v>
      </c>
      <c r="AD283">
        <f t="shared" si="52"/>
        <v>18.287901234567901</v>
      </c>
      <c r="AE283">
        <f t="shared" si="53"/>
        <v>8.8766180770370369</v>
      </c>
      <c r="AF283" s="9"/>
      <c r="AG283" s="22">
        <v>1.2747200000000001</v>
      </c>
      <c r="AH283" s="22">
        <v>21.260999999999999</v>
      </c>
      <c r="AI283" s="22">
        <v>-1.39954E-2</v>
      </c>
      <c r="AJ283" s="22">
        <v>273</v>
      </c>
      <c r="AK283" s="22">
        <v>1.2741100000000001</v>
      </c>
      <c r="AL283">
        <f t="shared" si="54"/>
        <v>17.278271604938272</v>
      </c>
      <c r="AM283">
        <f t="shared" si="55"/>
        <v>22.024958380246915</v>
      </c>
      <c r="AP283" s="9"/>
      <c r="AQ283" s="22">
        <v>0.48538199999999998</v>
      </c>
      <c r="AR283" s="22">
        <v>26.894200000000001</v>
      </c>
      <c r="AS283" s="22">
        <v>-1.49902E-2</v>
      </c>
      <c r="AT283" s="22">
        <v>273</v>
      </c>
      <c r="AU283" s="22">
        <v>0.48477199999999998</v>
      </c>
      <c r="AV283">
        <f t="shared" si="56"/>
        <v>18.506419753086419</v>
      </c>
      <c r="AW283">
        <f t="shared" si="57"/>
        <v>8.9826830325925915</v>
      </c>
      <c r="AX283" s="9"/>
      <c r="AY283" s="22">
        <v>1.2747200000000001</v>
      </c>
      <c r="AZ283" s="22">
        <v>30.834199999999999</v>
      </c>
      <c r="BA283" s="22">
        <v>-1.41449E-2</v>
      </c>
      <c r="BB283" s="22">
        <v>273</v>
      </c>
      <c r="BC283" s="22">
        <v>1.2738</v>
      </c>
      <c r="BD283">
        <f t="shared" si="58"/>
        <v>17.462839506172838</v>
      </c>
      <c r="BE283">
        <f t="shared" si="59"/>
        <v>22.260230775308642</v>
      </c>
    </row>
    <row r="284" spans="6:101">
      <c r="F284" s="9"/>
      <c r="G284" s="22">
        <v>0.48034700000000002</v>
      </c>
      <c r="H284" s="22">
        <v>7.7527799999999996</v>
      </c>
      <c r="I284" s="22">
        <v>-1.4770500000000001E-2</v>
      </c>
      <c r="J284" s="22">
        <v>274</v>
      </c>
      <c r="K284" s="22">
        <v>0.47955300000000001</v>
      </c>
      <c r="L284">
        <f t="shared" si="48"/>
        <v>18.235185185185184</v>
      </c>
      <c r="M284">
        <f t="shared" si="49"/>
        <v>8.7592164981481488</v>
      </c>
      <c r="N284" s="9"/>
      <c r="O284" s="22">
        <v>1.2797499999999999</v>
      </c>
      <c r="P284" s="22">
        <v>11.6928</v>
      </c>
      <c r="Q284" s="22">
        <v>-1.39191E-2</v>
      </c>
      <c r="R284" s="22">
        <v>274</v>
      </c>
      <c r="S284" s="22">
        <v>1.2783800000000001</v>
      </c>
      <c r="T284">
        <f t="shared" si="50"/>
        <v>17.184074074074076</v>
      </c>
      <c r="U284">
        <f t="shared" si="51"/>
        <v>21.991318796296298</v>
      </c>
      <c r="X284" s="9"/>
      <c r="Y284" s="22">
        <v>0.48034700000000002</v>
      </c>
      <c r="Z284" s="22">
        <v>17.331</v>
      </c>
      <c r="AA284" s="22">
        <v>-1.4822399999999999E-2</v>
      </c>
      <c r="AB284" s="22">
        <v>274</v>
      </c>
      <c r="AC284" s="22">
        <v>0.479736</v>
      </c>
      <c r="AD284">
        <f t="shared" si="52"/>
        <v>18.299259259259259</v>
      </c>
      <c r="AE284">
        <f t="shared" si="53"/>
        <v>8.7899942874074082</v>
      </c>
      <c r="AF284" s="9"/>
      <c r="AG284" s="22">
        <v>1.2797499999999999</v>
      </c>
      <c r="AH284" s="22">
        <v>21.271000000000001</v>
      </c>
      <c r="AI284" s="22">
        <v>-1.3992299999999999E-2</v>
      </c>
      <c r="AJ284" s="22">
        <v>274</v>
      </c>
      <c r="AK284" s="22">
        <v>1.2786900000000001</v>
      </c>
      <c r="AL284">
        <f t="shared" si="54"/>
        <v>17.274444444444445</v>
      </c>
      <c r="AM284">
        <f t="shared" si="55"/>
        <v>22.106970277777776</v>
      </c>
      <c r="AP284" s="9"/>
      <c r="AQ284" s="22">
        <v>0.48034700000000002</v>
      </c>
      <c r="AR284" s="22">
        <v>26.904199999999999</v>
      </c>
      <c r="AS284" s="22">
        <v>-1.4996300000000001E-2</v>
      </c>
      <c r="AT284" s="22">
        <v>274</v>
      </c>
      <c r="AU284" s="22">
        <v>0.479767</v>
      </c>
      <c r="AV284">
        <f t="shared" si="56"/>
        <v>18.51395061728395</v>
      </c>
      <c r="AW284">
        <f t="shared" si="57"/>
        <v>8.8931206371604929</v>
      </c>
      <c r="AX284" s="9"/>
      <c r="AY284" s="22">
        <v>1.2797499999999999</v>
      </c>
      <c r="AZ284" s="22">
        <v>30.8443</v>
      </c>
      <c r="BA284" s="22">
        <v>-1.41388E-2</v>
      </c>
      <c r="BB284" s="22">
        <v>274</v>
      </c>
      <c r="BC284" s="22">
        <v>1.2786900000000001</v>
      </c>
      <c r="BD284">
        <f t="shared" si="58"/>
        <v>17.455308641975307</v>
      </c>
      <c r="BE284">
        <f t="shared" si="59"/>
        <v>22.338431234567899</v>
      </c>
    </row>
    <row r="285" spans="6:101">
      <c r="F285" s="9"/>
      <c r="G285" s="22">
        <v>0.47531099999999998</v>
      </c>
      <c r="H285" s="22">
        <v>7.7628500000000003</v>
      </c>
      <c r="I285" s="22">
        <v>-1.4776600000000001E-2</v>
      </c>
      <c r="J285" s="22">
        <v>275</v>
      </c>
      <c r="K285" s="22">
        <v>0.474609</v>
      </c>
      <c r="L285">
        <f t="shared" si="48"/>
        <v>18.242716049382715</v>
      </c>
      <c r="M285">
        <f t="shared" si="49"/>
        <v>8.6709636081481474</v>
      </c>
      <c r="N285" s="9"/>
      <c r="O285" s="22">
        <v>1.2847900000000001</v>
      </c>
      <c r="P285" s="22">
        <v>11.7029</v>
      </c>
      <c r="Q285" s="22">
        <v>-1.3916E-2</v>
      </c>
      <c r="R285" s="22">
        <v>275</v>
      </c>
      <c r="S285" s="22">
        <v>1.2838700000000001</v>
      </c>
      <c r="T285">
        <f t="shared" si="50"/>
        <v>17.180246913580245</v>
      </c>
      <c r="U285">
        <f t="shared" si="51"/>
        <v>22.073009432098765</v>
      </c>
      <c r="X285" s="9"/>
      <c r="Y285" s="22">
        <v>0.47531099999999998</v>
      </c>
      <c r="Z285" s="22">
        <v>17.341100000000001</v>
      </c>
      <c r="AA285" s="22">
        <v>-1.4825400000000001E-2</v>
      </c>
      <c r="AB285" s="22">
        <v>275</v>
      </c>
      <c r="AC285" s="22">
        <v>0.47466999999999998</v>
      </c>
      <c r="AD285">
        <f t="shared" si="52"/>
        <v>18.302962962962962</v>
      </c>
      <c r="AE285">
        <f t="shared" si="53"/>
        <v>8.6995996288888886</v>
      </c>
      <c r="AF285" s="9"/>
      <c r="AG285" s="22">
        <v>1.2847900000000001</v>
      </c>
      <c r="AH285" s="22">
        <v>21.281099999999999</v>
      </c>
      <c r="AI285" s="22">
        <v>-1.39893E-2</v>
      </c>
      <c r="AJ285" s="22">
        <v>275</v>
      </c>
      <c r="AK285" s="22">
        <v>1.2838700000000001</v>
      </c>
      <c r="AL285">
        <f t="shared" si="54"/>
        <v>17.270740740740738</v>
      </c>
      <c r="AM285">
        <f t="shared" si="55"/>
        <v>22.189274996296295</v>
      </c>
      <c r="AP285" s="9"/>
      <c r="AQ285" s="22">
        <v>0.47531099999999998</v>
      </c>
      <c r="AR285" s="22">
        <v>26.914300000000001</v>
      </c>
      <c r="AS285" s="22">
        <v>-1.49994E-2</v>
      </c>
      <c r="AT285" s="22">
        <v>275</v>
      </c>
      <c r="AU285" s="22">
        <v>0.47479199999999999</v>
      </c>
      <c r="AV285">
        <f t="shared" si="56"/>
        <v>18.517777777777777</v>
      </c>
      <c r="AW285">
        <f t="shared" si="57"/>
        <v>8.8017034733333332</v>
      </c>
      <c r="AX285" s="9"/>
      <c r="AY285" s="22">
        <v>1.2847900000000001</v>
      </c>
      <c r="AZ285" s="22">
        <v>30.854299999999999</v>
      </c>
      <c r="BA285" s="22">
        <v>-1.41327E-2</v>
      </c>
      <c r="BB285" s="22">
        <v>275</v>
      </c>
      <c r="BC285" s="22">
        <v>1.2841800000000001</v>
      </c>
      <c r="BD285">
        <f t="shared" si="58"/>
        <v>17.447777777777777</v>
      </c>
      <c r="BE285">
        <f t="shared" si="59"/>
        <v>22.416730411111111</v>
      </c>
    </row>
    <row r="286" spans="6:101">
      <c r="F286" s="9"/>
      <c r="G286" s="22">
        <v>0.47027600000000003</v>
      </c>
      <c r="H286" s="22">
        <v>7.7729200000000001</v>
      </c>
      <c r="I286" s="22">
        <v>-1.4776600000000001E-2</v>
      </c>
      <c r="J286" s="22">
        <v>276</v>
      </c>
      <c r="K286" s="22">
        <v>0.46957399999999999</v>
      </c>
      <c r="L286">
        <f t="shared" si="48"/>
        <v>18.242716049382715</v>
      </c>
      <c r="M286">
        <f t="shared" si="49"/>
        <v>8.5791115328395051</v>
      </c>
      <c r="N286" s="9"/>
      <c r="O286" s="22">
        <v>1.28983</v>
      </c>
      <c r="P286" s="22">
        <v>11.712999999999999</v>
      </c>
      <c r="Q286" s="22">
        <v>-1.39069E-2</v>
      </c>
      <c r="R286" s="22">
        <v>276</v>
      </c>
      <c r="S286" s="22">
        <v>1.2890600000000001</v>
      </c>
      <c r="T286">
        <f t="shared" si="50"/>
        <v>17.169012345679011</v>
      </c>
      <c r="U286">
        <f t="shared" si="51"/>
        <v>22.145107193827158</v>
      </c>
      <c r="X286" s="9"/>
      <c r="Y286" s="22">
        <v>0.47027600000000003</v>
      </c>
      <c r="Z286" s="22">
        <v>17.351099999999999</v>
      </c>
      <c r="AA286" s="22">
        <v>-1.4831499999999999E-2</v>
      </c>
      <c r="AB286" s="22">
        <v>276</v>
      </c>
      <c r="AC286" s="22">
        <v>0.46957399999999999</v>
      </c>
      <c r="AD286">
        <f t="shared" si="52"/>
        <v>18.310493827160489</v>
      </c>
      <c r="AE286">
        <f t="shared" si="53"/>
        <v>8.6109857950617261</v>
      </c>
      <c r="AF286" s="9"/>
      <c r="AG286" s="22">
        <v>1.28983</v>
      </c>
      <c r="AH286" s="22">
        <v>21.2912</v>
      </c>
      <c r="AI286" s="22">
        <v>-1.3983199999999999E-2</v>
      </c>
      <c r="AJ286" s="22">
        <v>276</v>
      </c>
      <c r="AK286" s="22">
        <v>1.2893699999999999</v>
      </c>
      <c r="AL286">
        <f t="shared" si="54"/>
        <v>17.263209876543208</v>
      </c>
      <c r="AM286">
        <f t="shared" si="55"/>
        <v>22.266605995061727</v>
      </c>
      <c r="AP286" s="9"/>
      <c r="AQ286" s="22">
        <v>0.47027600000000003</v>
      </c>
      <c r="AR286" s="22">
        <v>26.924399999999999</v>
      </c>
      <c r="AS286" s="22">
        <v>-1.50055E-2</v>
      </c>
      <c r="AT286" s="22">
        <v>276</v>
      </c>
      <c r="AU286" s="22">
        <v>0.46972700000000001</v>
      </c>
      <c r="AV286">
        <f t="shared" si="56"/>
        <v>18.525308641975307</v>
      </c>
      <c r="AW286">
        <f t="shared" si="57"/>
        <v>8.7120080469135797</v>
      </c>
      <c r="AX286" s="9"/>
      <c r="AY286" s="22">
        <v>1.28983</v>
      </c>
      <c r="AZ286" s="22">
        <v>30.8644</v>
      </c>
      <c r="BA286" s="22">
        <v>-1.41266E-2</v>
      </c>
      <c r="BB286" s="22">
        <v>276</v>
      </c>
      <c r="BC286" s="22">
        <v>1.2887599999999999</v>
      </c>
      <c r="BD286">
        <f t="shared" si="58"/>
        <v>17.440246913580246</v>
      </c>
      <c r="BE286">
        <f t="shared" si="59"/>
        <v>22.494953676543208</v>
      </c>
    </row>
    <row r="287" spans="6:101">
      <c r="F287" s="9"/>
      <c r="G287" s="22">
        <v>0.46523999999999999</v>
      </c>
      <c r="H287" s="22">
        <v>7.7829899999999999</v>
      </c>
      <c r="I287" s="22">
        <v>-1.4782699999999999E-2</v>
      </c>
      <c r="J287" s="22">
        <v>277</v>
      </c>
      <c r="K287" s="22">
        <v>0.46453899999999998</v>
      </c>
      <c r="L287">
        <f t="shared" si="48"/>
        <v>18.250246913580245</v>
      </c>
      <c r="M287">
        <f t="shared" si="49"/>
        <v>8.490744874074073</v>
      </c>
      <c r="N287" s="9"/>
      <c r="O287" s="22">
        <v>1.2948599999999999</v>
      </c>
      <c r="P287" s="22">
        <v>11.723000000000001</v>
      </c>
      <c r="Q287" s="22">
        <v>-1.39008E-2</v>
      </c>
      <c r="R287" s="22">
        <v>277</v>
      </c>
      <c r="S287" s="22">
        <v>1.2945599999999999</v>
      </c>
      <c r="T287">
        <f t="shared" si="50"/>
        <v>17.161481481481481</v>
      </c>
      <c r="U287">
        <f t="shared" si="51"/>
        <v>22.221715911111108</v>
      </c>
      <c r="X287" s="9"/>
      <c r="Y287" s="22">
        <v>0.46523999999999999</v>
      </c>
      <c r="Z287" s="22">
        <v>17.3612</v>
      </c>
      <c r="AA287" s="22">
        <v>-1.48346E-2</v>
      </c>
      <c r="AB287" s="22">
        <v>277</v>
      </c>
      <c r="AC287" s="22">
        <v>0.46466099999999999</v>
      </c>
      <c r="AD287">
        <f t="shared" si="52"/>
        <v>18.31432098765432</v>
      </c>
      <c r="AE287">
        <f t="shared" si="53"/>
        <v>8.5205546962962959</v>
      </c>
      <c r="AF287" s="9"/>
      <c r="AG287" s="22">
        <v>1.2948599999999999</v>
      </c>
      <c r="AH287" s="22">
        <v>21.301300000000001</v>
      </c>
      <c r="AI287" s="22">
        <v>-1.3974E-2</v>
      </c>
      <c r="AJ287" s="22">
        <v>277</v>
      </c>
      <c r="AK287" s="22">
        <v>1.2939499999999999</v>
      </c>
      <c r="AL287">
        <f t="shared" si="54"/>
        <v>17.251851851851853</v>
      </c>
      <c r="AM287">
        <f t="shared" si="55"/>
        <v>22.338732888888888</v>
      </c>
      <c r="AP287" s="9"/>
      <c r="AQ287" s="22">
        <v>0.46523999999999999</v>
      </c>
      <c r="AR287" s="22">
        <v>26.9344</v>
      </c>
      <c r="AS287" s="22">
        <v>-1.5008499999999999E-2</v>
      </c>
      <c r="AT287" s="22">
        <v>277</v>
      </c>
      <c r="AU287" s="22">
        <v>0.46493499999999999</v>
      </c>
      <c r="AV287">
        <f t="shared" si="56"/>
        <v>18.529012345679011</v>
      </c>
      <c r="AW287">
        <f t="shared" si="57"/>
        <v>8.6204377037037023</v>
      </c>
      <c r="AX287" s="9"/>
      <c r="AY287" s="22">
        <v>1.2948599999999999</v>
      </c>
      <c r="AZ287" s="22">
        <v>30.874500000000001</v>
      </c>
      <c r="BA287" s="22">
        <v>-1.4120499999999999E-2</v>
      </c>
      <c r="BB287" s="22">
        <v>277</v>
      </c>
      <c r="BC287" s="22">
        <v>1.2939499999999999</v>
      </c>
      <c r="BD287">
        <f t="shared" si="58"/>
        <v>17.432716049382716</v>
      </c>
      <c r="BE287">
        <f t="shared" si="59"/>
        <v>22.5729267037037</v>
      </c>
    </row>
    <row r="288" spans="6:101">
      <c r="F288" s="9"/>
      <c r="G288" s="22">
        <v>0.46020499999999998</v>
      </c>
      <c r="H288" s="22">
        <v>7.7930599999999997</v>
      </c>
      <c r="I288" s="22">
        <v>-1.4782699999999999E-2</v>
      </c>
      <c r="J288" s="22">
        <v>278</v>
      </c>
      <c r="K288" s="22">
        <v>0.45956399999999997</v>
      </c>
      <c r="L288">
        <f t="shared" si="48"/>
        <v>18.250246913580245</v>
      </c>
      <c r="M288">
        <f t="shared" si="49"/>
        <v>8.3988548808641958</v>
      </c>
      <c r="N288" s="9"/>
      <c r="O288" s="22">
        <v>1.2999000000000001</v>
      </c>
      <c r="P288" s="22">
        <v>11.7331</v>
      </c>
      <c r="Q288" s="22">
        <v>-1.38916E-2</v>
      </c>
      <c r="R288" s="22">
        <v>278</v>
      </c>
      <c r="S288" s="22">
        <v>1.2991299999999999</v>
      </c>
      <c r="T288">
        <f t="shared" si="50"/>
        <v>17.150123456790123</v>
      </c>
      <c r="U288">
        <f t="shared" si="51"/>
        <v>22.293445481481481</v>
      </c>
      <c r="X288" s="9"/>
      <c r="Y288" s="22">
        <v>0.46020499999999998</v>
      </c>
      <c r="Z288" s="22">
        <v>17.371300000000002</v>
      </c>
      <c r="AA288" s="22">
        <v>-1.4837599999999999E-2</v>
      </c>
      <c r="AB288" s="22">
        <v>278</v>
      </c>
      <c r="AC288" s="22">
        <v>0.45965600000000001</v>
      </c>
      <c r="AD288">
        <f t="shared" si="52"/>
        <v>18.318024691358023</v>
      </c>
      <c r="AE288">
        <f t="shared" si="53"/>
        <v>8.4300465530864184</v>
      </c>
      <c r="AF288" s="9"/>
      <c r="AG288" s="22">
        <v>1.2999000000000001</v>
      </c>
      <c r="AH288" s="22">
        <v>21.311299999999999</v>
      </c>
      <c r="AI288" s="22">
        <v>-1.39709E-2</v>
      </c>
      <c r="AJ288" s="22">
        <v>278</v>
      </c>
      <c r="AK288" s="22">
        <v>1.2991299999999999</v>
      </c>
      <c r="AL288">
        <f t="shared" si="54"/>
        <v>17.248024691358022</v>
      </c>
      <c r="AM288">
        <f t="shared" si="55"/>
        <v>22.420707296296293</v>
      </c>
      <c r="AP288" s="9"/>
      <c r="AQ288" s="22">
        <v>0.46020499999999998</v>
      </c>
      <c r="AR288" s="22">
        <v>26.944500000000001</v>
      </c>
      <c r="AS288" s="22">
        <v>-1.5014599999999999E-2</v>
      </c>
      <c r="AT288" s="22">
        <v>278</v>
      </c>
      <c r="AU288" s="22">
        <v>0.45962500000000001</v>
      </c>
      <c r="AV288">
        <f t="shared" si="56"/>
        <v>18.536543209876541</v>
      </c>
      <c r="AW288">
        <f t="shared" si="57"/>
        <v>8.5306098679012337</v>
      </c>
      <c r="AX288" s="9"/>
      <c r="AY288" s="22">
        <v>1.2999000000000001</v>
      </c>
      <c r="AZ288" s="22">
        <v>30.884599999999999</v>
      </c>
      <c r="BA288" s="22">
        <v>-1.41174E-2</v>
      </c>
      <c r="BB288" s="22">
        <v>278</v>
      </c>
      <c r="BC288" s="22">
        <v>1.2988299999999999</v>
      </c>
      <c r="BD288">
        <f t="shared" si="58"/>
        <v>17.428888888888888</v>
      </c>
      <c r="BE288">
        <f t="shared" si="59"/>
        <v>22.655812666666666</v>
      </c>
    </row>
    <row r="289" spans="6:57">
      <c r="F289" s="9"/>
      <c r="G289" s="22">
        <v>0.45517000000000002</v>
      </c>
      <c r="H289" s="22">
        <v>7.8031300000000003</v>
      </c>
      <c r="I289" s="22">
        <v>-1.47888E-2</v>
      </c>
      <c r="J289" s="22">
        <v>279</v>
      </c>
      <c r="K289" s="22">
        <v>0.45431500000000002</v>
      </c>
      <c r="L289">
        <f t="shared" si="48"/>
        <v>18.257777777777775</v>
      </c>
      <c r="M289">
        <f t="shared" si="49"/>
        <v>8.3103927111111098</v>
      </c>
      <c r="N289" s="9"/>
      <c r="O289" s="22">
        <v>1.3049299999999999</v>
      </c>
      <c r="P289" s="22">
        <v>11.7432</v>
      </c>
      <c r="Q289" s="22">
        <v>-1.38855E-2</v>
      </c>
      <c r="R289" s="22">
        <v>279</v>
      </c>
      <c r="S289" s="22">
        <v>1.30463</v>
      </c>
      <c r="T289">
        <f t="shared" si="50"/>
        <v>17.142592592592592</v>
      </c>
      <c r="U289">
        <f t="shared" si="51"/>
        <v>22.369883351851851</v>
      </c>
      <c r="X289" s="9"/>
      <c r="Y289" s="22">
        <v>0.45517000000000002</v>
      </c>
      <c r="Z289" s="22">
        <v>17.381399999999999</v>
      </c>
      <c r="AA289" s="22">
        <v>-1.4837599999999999E-2</v>
      </c>
      <c r="AB289" s="22">
        <v>279</v>
      </c>
      <c r="AC289" s="22">
        <v>0.454681</v>
      </c>
      <c r="AD289">
        <f t="shared" si="52"/>
        <v>18.318024691358023</v>
      </c>
      <c r="AE289">
        <f t="shared" si="53"/>
        <v>8.337815298765431</v>
      </c>
      <c r="AF289" s="9"/>
      <c r="AG289" s="22">
        <v>1.3049299999999999</v>
      </c>
      <c r="AH289" s="22">
        <v>21.321400000000001</v>
      </c>
      <c r="AI289" s="22">
        <v>-1.39679E-2</v>
      </c>
      <c r="AJ289" s="22">
        <v>279</v>
      </c>
      <c r="AK289" s="22">
        <v>1.30341</v>
      </c>
      <c r="AL289">
        <f t="shared" si="54"/>
        <v>17.244320987654319</v>
      </c>
      <c r="AM289">
        <f t="shared" si="55"/>
        <v>22.502631786419748</v>
      </c>
      <c r="AP289" s="9"/>
      <c r="AQ289" s="22">
        <v>0.45517000000000002</v>
      </c>
      <c r="AR289" s="22">
        <v>26.954599999999999</v>
      </c>
      <c r="AS289" s="22">
        <v>-1.50177E-2</v>
      </c>
      <c r="AT289" s="22">
        <v>279</v>
      </c>
      <c r="AU289" s="22">
        <v>0.45452900000000002</v>
      </c>
      <c r="AV289">
        <f t="shared" si="56"/>
        <v>18.540370370370372</v>
      </c>
      <c r="AW289">
        <f t="shared" si="57"/>
        <v>8.4390203814814821</v>
      </c>
      <c r="AX289" s="9"/>
      <c r="AY289" s="22">
        <v>1.3049299999999999</v>
      </c>
      <c r="AZ289" s="22">
        <v>30.894600000000001</v>
      </c>
      <c r="BA289" s="22">
        <v>-1.41113E-2</v>
      </c>
      <c r="BB289" s="22">
        <v>279</v>
      </c>
      <c r="BC289" s="22">
        <v>1.3043199999999999</v>
      </c>
      <c r="BD289">
        <f t="shared" si="58"/>
        <v>17.421358024691358</v>
      </c>
      <c r="BE289">
        <f t="shared" si="59"/>
        <v>22.733652727160493</v>
      </c>
    </row>
    <row r="290" spans="6:57">
      <c r="F290" s="9"/>
      <c r="G290" s="22">
        <v>0.45013399999999998</v>
      </c>
      <c r="H290" s="22">
        <v>7.8132000000000001</v>
      </c>
      <c r="I290" s="22">
        <v>-1.47919E-2</v>
      </c>
      <c r="J290" s="22">
        <v>280</v>
      </c>
      <c r="K290" s="22">
        <v>0.44967699999999999</v>
      </c>
      <c r="L290">
        <f t="shared" si="48"/>
        <v>18.261604938271603</v>
      </c>
      <c r="M290">
        <f t="shared" si="49"/>
        <v>8.220169277283949</v>
      </c>
      <c r="N290" s="9"/>
      <c r="O290" s="22">
        <v>1.3099700000000001</v>
      </c>
      <c r="P290" s="22">
        <v>11.7532</v>
      </c>
      <c r="Q290" s="22">
        <v>-1.3876299999999999E-2</v>
      </c>
      <c r="R290" s="22">
        <v>280</v>
      </c>
      <c r="S290" s="22">
        <v>1.30951</v>
      </c>
      <c r="T290">
        <f t="shared" si="50"/>
        <v>17.131234567901231</v>
      </c>
      <c r="U290">
        <f t="shared" si="51"/>
        <v>22.441403346913578</v>
      </c>
      <c r="X290" s="9"/>
      <c r="Y290" s="22">
        <v>0.45013399999999998</v>
      </c>
      <c r="Z290" s="22">
        <v>17.391400000000001</v>
      </c>
      <c r="AA290" s="22">
        <v>-1.48407E-2</v>
      </c>
      <c r="AB290" s="22">
        <v>280</v>
      </c>
      <c r="AC290" s="22">
        <v>0.44952399999999998</v>
      </c>
      <c r="AD290">
        <f t="shared" si="52"/>
        <v>18.32185185185185</v>
      </c>
      <c r="AE290">
        <f t="shared" si="53"/>
        <v>8.2472884614814799</v>
      </c>
      <c r="AF290" s="9"/>
      <c r="AG290" s="22">
        <v>1.3099700000000001</v>
      </c>
      <c r="AH290" s="22">
        <v>21.331499999999998</v>
      </c>
      <c r="AI290" s="22">
        <v>-1.39618E-2</v>
      </c>
      <c r="AJ290" s="22">
        <v>280</v>
      </c>
      <c r="AK290" s="22">
        <v>1.3089</v>
      </c>
      <c r="AL290">
        <f t="shared" si="54"/>
        <v>17.236790123456789</v>
      </c>
      <c r="AM290">
        <f t="shared" si="55"/>
        <v>22.579677958024693</v>
      </c>
      <c r="AP290" s="9"/>
      <c r="AQ290" s="22">
        <v>0.45013399999999998</v>
      </c>
      <c r="AR290" s="22">
        <v>26.964700000000001</v>
      </c>
      <c r="AS290" s="22">
        <v>-1.50238E-2</v>
      </c>
      <c r="AT290" s="22">
        <v>280</v>
      </c>
      <c r="AU290" s="22">
        <v>0.44937100000000002</v>
      </c>
      <c r="AV290">
        <f t="shared" si="56"/>
        <v>18.547901234567902</v>
      </c>
      <c r="AW290">
        <f t="shared" si="57"/>
        <v>8.349040974320987</v>
      </c>
      <c r="AX290" s="9"/>
      <c r="AY290" s="22">
        <v>1.3099700000000001</v>
      </c>
      <c r="AZ290" s="22">
        <v>30.904699999999998</v>
      </c>
      <c r="BA290" s="22">
        <v>-1.4108300000000001E-2</v>
      </c>
      <c r="BB290" s="22">
        <v>280</v>
      </c>
      <c r="BC290" s="22">
        <v>1.3091999999999999</v>
      </c>
      <c r="BD290">
        <f t="shared" si="58"/>
        <v>17.417654320987655</v>
      </c>
      <c r="BE290">
        <f t="shared" si="59"/>
        <v>22.816604630864198</v>
      </c>
    </row>
    <row r="291" spans="6:57">
      <c r="F291" s="9"/>
      <c r="G291" s="22">
        <v>0.44509900000000002</v>
      </c>
      <c r="H291" s="22">
        <v>7.8232699999999999</v>
      </c>
      <c r="I291" s="22">
        <v>-1.4798E-2</v>
      </c>
      <c r="J291" s="22">
        <v>281</v>
      </c>
      <c r="K291" s="22">
        <v>0.44430500000000001</v>
      </c>
      <c r="L291">
        <f t="shared" si="48"/>
        <v>18.269135802469137</v>
      </c>
      <c r="M291">
        <f t="shared" si="49"/>
        <v>8.1315740765432114</v>
      </c>
      <c r="N291" s="9"/>
      <c r="O291" s="22">
        <v>1.3149999999999999</v>
      </c>
      <c r="P291" s="22">
        <v>11.763299999999999</v>
      </c>
      <c r="Q291" s="22">
        <v>-1.3870199999999999E-2</v>
      </c>
      <c r="R291" s="22">
        <v>281</v>
      </c>
      <c r="S291" s="22">
        <v>1.3143899999999999</v>
      </c>
      <c r="T291">
        <f t="shared" si="50"/>
        <v>17.123703703703701</v>
      </c>
      <c r="U291">
        <f t="shared" si="51"/>
        <v>22.517670370370364</v>
      </c>
      <c r="X291" s="9"/>
      <c r="Y291" s="22">
        <v>0.44509900000000002</v>
      </c>
      <c r="Z291" s="22">
        <v>17.401499999999999</v>
      </c>
      <c r="AA291" s="22">
        <v>-1.48468E-2</v>
      </c>
      <c r="AB291" s="22">
        <v>281</v>
      </c>
      <c r="AC291" s="22">
        <v>0.44427499999999998</v>
      </c>
      <c r="AD291">
        <f t="shared" si="52"/>
        <v>18.329382716049381</v>
      </c>
      <c r="AE291">
        <f t="shared" si="53"/>
        <v>8.1583899175308634</v>
      </c>
      <c r="AF291" s="9"/>
      <c r="AG291" s="22">
        <v>1.3149999999999999</v>
      </c>
      <c r="AH291" s="22">
        <v>21.3415</v>
      </c>
      <c r="AI291" s="22">
        <v>-1.3952600000000001E-2</v>
      </c>
      <c r="AJ291" s="22">
        <v>281</v>
      </c>
      <c r="AK291" s="22">
        <v>1.31409</v>
      </c>
      <c r="AL291">
        <f t="shared" si="54"/>
        <v>17.225432098765431</v>
      </c>
      <c r="AM291">
        <f t="shared" si="55"/>
        <v>22.65144320987654</v>
      </c>
      <c r="AP291" s="9"/>
      <c r="AQ291" s="22">
        <v>0.44509900000000002</v>
      </c>
      <c r="AR291" s="22">
        <v>26.974699999999999</v>
      </c>
      <c r="AS291" s="22">
        <v>-1.5026899999999999E-2</v>
      </c>
      <c r="AT291" s="22">
        <v>281</v>
      </c>
      <c r="AU291" s="22">
        <v>0.44436599999999998</v>
      </c>
      <c r="AV291">
        <f t="shared" si="56"/>
        <v>18.551728395061726</v>
      </c>
      <c r="AW291">
        <f t="shared" si="57"/>
        <v>8.2573557569135794</v>
      </c>
      <c r="AX291" s="9"/>
      <c r="AY291" s="22">
        <v>1.3149999999999999</v>
      </c>
      <c r="AZ291" s="22">
        <v>30.9148</v>
      </c>
      <c r="BA291" s="22">
        <v>-1.41022E-2</v>
      </c>
      <c r="BB291" s="22">
        <v>281</v>
      </c>
      <c r="BC291" s="22">
        <v>1.31409</v>
      </c>
      <c r="BD291">
        <f t="shared" si="58"/>
        <v>17.410123456790124</v>
      </c>
      <c r="BE291">
        <f t="shared" si="59"/>
        <v>22.894312345679012</v>
      </c>
    </row>
    <row r="292" spans="6:57">
      <c r="F292" s="9"/>
      <c r="G292" s="22">
        <v>0.44006299999999998</v>
      </c>
      <c r="H292" s="22">
        <v>7.8333399999999997</v>
      </c>
      <c r="I292" s="22">
        <v>-1.4801E-2</v>
      </c>
      <c r="J292" s="22">
        <v>282</v>
      </c>
      <c r="K292" s="22">
        <v>0.43936199999999997</v>
      </c>
      <c r="L292">
        <f t="shared" si="48"/>
        <v>18.27283950617284</v>
      </c>
      <c r="M292">
        <f t="shared" si="49"/>
        <v>8.0412005716049375</v>
      </c>
      <c r="N292" s="9"/>
      <c r="O292" s="22">
        <v>1.3200400000000001</v>
      </c>
      <c r="P292" s="22">
        <v>11.773400000000001</v>
      </c>
      <c r="Q292" s="22">
        <v>-1.3861099999999999E-2</v>
      </c>
      <c r="R292" s="22">
        <v>282</v>
      </c>
      <c r="S292" s="22">
        <v>1.3192699999999999</v>
      </c>
      <c r="T292">
        <f t="shared" si="50"/>
        <v>17.112469135802467</v>
      </c>
      <c r="U292">
        <f t="shared" si="51"/>
        <v>22.58914375802469</v>
      </c>
      <c r="X292" s="9"/>
      <c r="Y292" s="22">
        <v>0.44006299999999998</v>
      </c>
      <c r="Z292" s="22">
        <v>17.4116</v>
      </c>
      <c r="AA292" s="22">
        <v>-1.48529E-2</v>
      </c>
      <c r="AB292" s="22">
        <v>282</v>
      </c>
      <c r="AC292" s="22">
        <v>0.439301</v>
      </c>
      <c r="AD292">
        <f t="shared" si="52"/>
        <v>18.336913580246915</v>
      </c>
      <c r="AE292">
        <f t="shared" si="53"/>
        <v>8.0693972008641968</v>
      </c>
      <c r="AF292" s="9"/>
      <c r="AG292" s="22">
        <v>1.3200400000000001</v>
      </c>
      <c r="AH292" s="22">
        <v>21.351600000000001</v>
      </c>
      <c r="AI292" s="22">
        <v>-1.3946500000000001E-2</v>
      </c>
      <c r="AJ292" s="22">
        <v>282</v>
      </c>
      <c r="AK292" s="22">
        <v>1.3192699999999999</v>
      </c>
      <c r="AL292">
        <f t="shared" si="54"/>
        <v>17.217901234567901</v>
      </c>
      <c r="AM292">
        <f t="shared" si="55"/>
        <v>22.728318345679014</v>
      </c>
      <c r="AP292" s="9"/>
      <c r="AQ292" s="22">
        <v>0.44006299999999998</v>
      </c>
      <c r="AR292" s="22">
        <v>26.9848</v>
      </c>
      <c r="AS292" s="22">
        <v>-1.5036000000000001E-2</v>
      </c>
      <c r="AT292" s="22">
        <v>282</v>
      </c>
      <c r="AU292" s="22">
        <v>0.439392</v>
      </c>
      <c r="AV292">
        <f t="shared" si="56"/>
        <v>18.562962962962963</v>
      </c>
      <c r="AW292">
        <f t="shared" si="57"/>
        <v>8.1688731703703699</v>
      </c>
      <c r="AX292" s="9"/>
      <c r="AY292" s="22">
        <v>1.3200400000000001</v>
      </c>
      <c r="AZ292" s="22">
        <v>30.924800000000001</v>
      </c>
      <c r="BA292" s="22">
        <v>-1.4093E-2</v>
      </c>
      <c r="BB292" s="22">
        <v>282</v>
      </c>
      <c r="BC292" s="22">
        <v>1.3192699999999999</v>
      </c>
      <c r="BD292">
        <f t="shared" si="58"/>
        <v>17.398765432098763</v>
      </c>
      <c r="BE292">
        <f t="shared" si="59"/>
        <v>22.967066320987652</v>
      </c>
    </row>
    <row r="293" spans="6:57">
      <c r="F293" s="9"/>
      <c r="G293" s="22">
        <v>0.43502800000000003</v>
      </c>
      <c r="H293" s="22">
        <v>7.8434200000000001</v>
      </c>
      <c r="I293" s="22">
        <v>-1.4804100000000001E-2</v>
      </c>
      <c r="J293" s="22">
        <v>283</v>
      </c>
      <c r="K293" s="22">
        <v>0.43411300000000003</v>
      </c>
      <c r="L293">
        <f t="shared" si="48"/>
        <v>18.276666666666667</v>
      </c>
      <c r="M293">
        <f t="shared" si="49"/>
        <v>7.9508617466666678</v>
      </c>
      <c r="N293" s="9"/>
      <c r="O293" s="22">
        <v>1.32507</v>
      </c>
      <c r="P293" s="22">
        <v>11.7835</v>
      </c>
      <c r="Q293" s="22">
        <v>-1.3854999999999999E-2</v>
      </c>
      <c r="R293" s="22">
        <v>283</v>
      </c>
      <c r="S293" s="22">
        <v>1.32416</v>
      </c>
      <c r="T293">
        <f t="shared" si="50"/>
        <v>17.104938271604937</v>
      </c>
      <c r="U293">
        <f t="shared" si="51"/>
        <v>22.665240555555553</v>
      </c>
      <c r="X293" s="9"/>
      <c r="Y293" s="22">
        <v>0.43502800000000003</v>
      </c>
      <c r="Z293" s="22">
        <v>17.421600000000002</v>
      </c>
      <c r="AA293" s="22">
        <v>-1.4855999999999999E-2</v>
      </c>
      <c r="AB293" s="22">
        <v>283</v>
      </c>
      <c r="AC293" s="22">
        <v>0.43453999999999998</v>
      </c>
      <c r="AD293">
        <f t="shared" si="52"/>
        <v>18.340740740740738</v>
      </c>
      <c r="AE293">
        <f t="shared" si="53"/>
        <v>7.9787357629629625</v>
      </c>
      <c r="AF293" s="9"/>
      <c r="AG293" s="22">
        <v>1.32507</v>
      </c>
      <c r="AH293" s="22">
        <v>21.361699999999999</v>
      </c>
      <c r="AI293" s="22">
        <v>-1.39404E-2</v>
      </c>
      <c r="AJ293" s="22">
        <v>283</v>
      </c>
      <c r="AK293" s="22">
        <v>1.32477</v>
      </c>
      <c r="AL293">
        <f t="shared" si="54"/>
        <v>17.21037037037037</v>
      </c>
      <c r="AM293">
        <f t="shared" si="55"/>
        <v>22.804945466666666</v>
      </c>
      <c r="AP293" s="9"/>
      <c r="AQ293" s="22">
        <v>0.43502800000000003</v>
      </c>
      <c r="AR293" s="22">
        <v>26.994900000000001</v>
      </c>
      <c r="AS293" s="22">
        <v>-1.5042099999999999E-2</v>
      </c>
      <c r="AT293" s="22">
        <v>283</v>
      </c>
      <c r="AU293" s="22">
        <v>0.434448</v>
      </c>
      <c r="AV293">
        <f t="shared" si="56"/>
        <v>18.570493827160494</v>
      </c>
      <c r="AW293">
        <f t="shared" si="57"/>
        <v>8.0786847886419757</v>
      </c>
      <c r="AX293" s="9"/>
      <c r="AY293" s="22">
        <v>1.32507</v>
      </c>
      <c r="AZ293" s="22">
        <v>30.934899999999999</v>
      </c>
      <c r="BA293" s="22">
        <v>-1.4086899999999999E-2</v>
      </c>
      <c r="BB293" s="22">
        <v>283</v>
      </c>
      <c r="BC293" s="22">
        <v>1.32446</v>
      </c>
      <c r="BD293">
        <f t="shared" si="58"/>
        <v>17.391234567901233</v>
      </c>
      <c r="BE293">
        <f t="shared" si="59"/>
        <v>23.044603188888885</v>
      </c>
    </row>
    <row r="294" spans="6:57">
      <c r="F294" s="9"/>
      <c r="G294" s="22">
        <v>0.42999300000000001</v>
      </c>
      <c r="H294" s="22">
        <v>7.8534899999999999</v>
      </c>
      <c r="I294" s="22">
        <v>-1.4810200000000001E-2</v>
      </c>
      <c r="J294" s="22">
        <v>284</v>
      </c>
      <c r="K294" s="22">
        <v>0.42971799999999999</v>
      </c>
      <c r="L294">
        <f t="shared" si="48"/>
        <v>18.284197530864198</v>
      </c>
      <c r="M294">
        <f t="shared" si="49"/>
        <v>7.8620769488888893</v>
      </c>
      <c r="N294" s="9"/>
      <c r="O294" s="22">
        <v>1.3301099999999999</v>
      </c>
      <c r="P294" s="22">
        <v>11.7935</v>
      </c>
      <c r="Q294" s="22">
        <v>-1.38458E-2</v>
      </c>
      <c r="R294" s="22">
        <v>284</v>
      </c>
      <c r="S294" s="22">
        <v>1.32935</v>
      </c>
      <c r="T294">
        <f t="shared" si="50"/>
        <v>17.093580246913579</v>
      </c>
      <c r="U294">
        <f t="shared" si="51"/>
        <v>22.736342022222217</v>
      </c>
      <c r="X294" s="9"/>
      <c r="Y294" s="22">
        <v>0.42999300000000001</v>
      </c>
      <c r="Z294" s="22">
        <v>17.431699999999999</v>
      </c>
      <c r="AA294" s="22">
        <v>-1.48621E-2</v>
      </c>
      <c r="AB294" s="22">
        <v>284</v>
      </c>
      <c r="AC294" s="22">
        <v>0.42947400000000002</v>
      </c>
      <c r="AD294">
        <f t="shared" si="52"/>
        <v>18.348271604938269</v>
      </c>
      <c r="AE294">
        <f t="shared" si="53"/>
        <v>7.8896283522222213</v>
      </c>
      <c r="AF294" s="9"/>
      <c r="AG294" s="22">
        <v>1.3301099999999999</v>
      </c>
      <c r="AH294" s="22">
        <v>21.371700000000001</v>
      </c>
      <c r="AI294" s="22">
        <v>-1.39343E-2</v>
      </c>
      <c r="AJ294" s="22">
        <v>284</v>
      </c>
      <c r="AK294" s="22">
        <v>1.32904</v>
      </c>
      <c r="AL294">
        <f t="shared" si="54"/>
        <v>17.202839506172836</v>
      </c>
      <c r="AM294">
        <f t="shared" si="55"/>
        <v>22.881668855555549</v>
      </c>
      <c r="AP294" s="9"/>
      <c r="AQ294" s="22">
        <v>0.42999300000000001</v>
      </c>
      <c r="AR294" s="22">
        <v>27.004899999999999</v>
      </c>
      <c r="AS294" s="22">
        <v>-1.5048199999999999E-2</v>
      </c>
      <c r="AT294" s="22">
        <v>284</v>
      </c>
      <c r="AU294" s="22">
        <v>0.42935200000000001</v>
      </c>
      <c r="AV294">
        <f t="shared" si="56"/>
        <v>18.578024691358021</v>
      </c>
      <c r="AW294">
        <f t="shared" si="57"/>
        <v>7.98842057111111</v>
      </c>
      <c r="AX294" s="9"/>
      <c r="AY294" s="22">
        <v>1.3301099999999999</v>
      </c>
      <c r="AZ294" s="22">
        <v>30.945</v>
      </c>
      <c r="BA294" s="22">
        <v>-1.40778E-2</v>
      </c>
      <c r="BB294" s="22">
        <v>284</v>
      </c>
      <c r="BC294" s="22">
        <v>1.32935</v>
      </c>
      <c r="BD294">
        <f t="shared" si="58"/>
        <v>17.38</v>
      </c>
      <c r="BE294">
        <f t="shared" si="59"/>
        <v>23.117311799999996</v>
      </c>
    </row>
    <row r="295" spans="6:57">
      <c r="F295" s="9"/>
      <c r="G295" s="22">
        <v>0.42495699999999997</v>
      </c>
      <c r="H295" s="22">
        <v>7.8635599999999997</v>
      </c>
      <c r="I295" s="22">
        <v>-1.4816299999999999E-2</v>
      </c>
      <c r="J295" s="22">
        <v>285</v>
      </c>
      <c r="K295" s="22">
        <v>0.424622</v>
      </c>
      <c r="L295">
        <f t="shared" si="48"/>
        <v>18.291728395061728</v>
      </c>
      <c r="M295">
        <f t="shared" si="49"/>
        <v>7.773198023580246</v>
      </c>
      <c r="N295" s="9"/>
      <c r="O295" s="22">
        <v>1.33514</v>
      </c>
      <c r="P295" s="22">
        <v>11.803599999999999</v>
      </c>
      <c r="Q295" s="22">
        <v>-1.38367E-2</v>
      </c>
      <c r="R295" s="22">
        <v>285</v>
      </c>
      <c r="S295" s="22">
        <v>1.33392</v>
      </c>
      <c r="T295">
        <f t="shared" si="50"/>
        <v>17.082345679012345</v>
      </c>
      <c r="U295">
        <f t="shared" si="51"/>
        <v>22.807323009876541</v>
      </c>
      <c r="X295" s="9"/>
      <c r="Y295" s="22">
        <v>0.42495699999999997</v>
      </c>
      <c r="Z295" s="22">
        <v>17.441800000000001</v>
      </c>
      <c r="AA295" s="22">
        <v>-1.4865099999999999E-2</v>
      </c>
      <c r="AB295" s="22">
        <v>285</v>
      </c>
      <c r="AC295" s="22">
        <v>0.42440800000000001</v>
      </c>
      <c r="AD295">
        <f t="shared" si="52"/>
        <v>18.351975308641972</v>
      </c>
      <c r="AE295">
        <f t="shared" si="53"/>
        <v>7.7988003712345657</v>
      </c>
      <c r="AF295" s="9"/>
      <c r="AG295" s="22">
        <v>1.33514</v>
      </c>
      <c r="AH295" s="22">
        <v>21.381799999999998</v>
      </c>
      <c r="AI295" s="22">
        <v>-1.39282E-2</v>
      </c>
      <c r="AJ295" s="22">
        <v>285</v>
      </c>
      <c r="AK295" s="22">
        <v>1.33453</v>
      </c>
      <c r="AL295">
        <f t="shared" si="54"/>
        <v>17.195308641975309</v>
      </c>
      <c r="AM295">
        <f t="shared" si="55"/>
        <v>22.958144380246914</v>
      </c>
      <c r="AP295" s="9"/>
      <c r="AQ295" s="22">
        <v>0.42495699999999997</v>
      </c>
      <c r="AR295" s="22">
        <v>27.015000000000001</v>
      </c>
      <c r="AS295" s="22">
        <v>-1.50574E-2</v>
      </c>
      <c r="AT295" s="22">
        <v>285</v>
      </c>
      <c r="AU295" s="22">
        <v>0.424286</v>
      </c>
      <c r="AV295">
        <f t="shared" si="56"/>
        <v>18.589382716049382</v>
      </c>
      <c r="AW295">
        <f t="shared" si="57"/>
        <v>7.8996883108641969</v>
      </c>
      <c r="AX295" s="9"/>
      <c r="AY295" s="22">
        <v>1.33514</v>
      </c>
      <c r="AZ295" s="22">
        <v>30.955100000000002</v>
      </c>
      <c r="BA295" s="22">
        <v>-1.4068600000000001E-2</v>
      </c>
      <c r="BB295" s="22">
        <v>285</v>
      </c>
      <c r="BC295" s="22">
        <v>1.33362</v>
      </c>
      <c r="BD295">
        <f t="shared" si="58"/>
        <v>17.368641975308641</v>
      </c>
      <c r="BE295">
        <f t="shared" si="59"/>
        <v>23.189568646913578</v>
      </c>
    </row>
    <row r="296" spans="6:57">
      <c r="F296" s="9"/>
      <c r="G296" s="22">
        <v>0.41992200000000002</v>
      </c>
      <c r="H296" s="22">
        <v>7.8736300000000004</v>
      </c>
      <c r="I296" s="22">
        <v>-1.4822399999999999E-2</v>
      </c>
      <c r="J296" s="22">
        <v>286</v>
      </c>
      <c r="K296" s="22">
        <v>0.41918899999999998</v>
      </c>
      <c r="L296">
        <f t="shared" si="48"/>
        <v>18.299259259259259</v>
      </c>
      <c r="M296">
        <f t="shared" si="49"/>
        <v>7.6842615466666668</v>
      </c>
      <c r="N296" s="9"/>
      <c r="O296" s="22">
        <v>1.3401799999999999</v>
      </c>
      <c r="P296" s="22">
        <v>11.813700000000001</v>
      </c>
      <c r="Q296" s="22">
        <v>-1.38245E-2</v>
      </c>
      <c r="R296" s="22">
        <v>286</v>
      </c>
      <c r="S296" s="22">
        <v>1.3388100000000001</v>
      </c>
      <c r="T296">
        <f t="shared" si="50"/>
        <v>17.067283950617281</v>
      </c>
      <c r="U296">
        <f t="shared" si="51"/>
        <v>22.873232604938266</v>
      </c>
      <c r="X296" s="9"/>
      <c r="Y296" s="22">
        <v>0.41992200000000002</v>
      </c>
      <c r="Z296" s="22">
        <v>17.451799999999999</v>
      </c>
      <c r="AA296" s="22">
        <v>-1.4871199999999999E-2</v>
      </c>
      <c r="AB296" s="22">
        <v>286</v>
      </c>
      <c r="AC296" s="22">
        <v>0.41931200000000002</v>
      </c>
      <c r="AD296">
        <f t="shared" si="52"/>
        <v>18.359506172839506</v>
      </c>
      <c r="AE296">
        <f t="shared" si="53"/>
        <v>7.7095605511111112</v>
      </c>
      <c r="AF296" s="9"/>
      <c r="AG296" s="22">
        <v>1.3401799999999999</v>
      </c>
      <c r="AH296" s="22">
        <v>21.3919</v>
      </c>
      <c r="AI296" s="22">
        <v>-1.39191E-2</v>
      </c>
      <c r="AJ296" s="22">
        <v>286</v>
      </c>
      <c r="AK296" s="22">
        <v>1.3400300000000001</v>
      </c>
      <c r="AL296">
        <f t="shared" si="54"/>
        <v>17.184074074074076</v>
      </c>
      <c r="AM296">
        <f t="shared" si="55"/>
        <v>23.029752392592595</v>
      </c>
      <c r="AP296" s="9"/>
      <c r="AQ296" s="22">
        <v>0.41992200000000002</v>
      </c>
      <c r="AR296" s="22">
        <v>27.025099999999998</v>
      </c>
      <c r="AS296" s="22">
        <v>-1.5063500000000001E-2</v>
      </c>
      <c r="AT296" s="22">
        <v>286</v>
      </c>
      <c r="AU296" s="22">
        <v>0.41940300000000003</v>
      </c>
      <c r="AV296">
        <f t="shared" si="56"/>
        <v>18.596913580246913</v>
      </c>
      <c r="AW296">
        <f t="shared" si="57"/>
        <v>7.809253144444444</v>
      </c>
      <c r="AX296" s="9"/>
      <c r="AY296" s="22">
        <v>1.3401799999999999</v>
      </c>
      <c r="AZ296" s="22">
        <v>30.9651</v>
      </c>
      <c r="BA296" s="22">
        <v>-1.40625E-2</v>
      </c>
      <c r="BB296" s="22">
        <v>286</v>
      </c>
      <c r="BC296" s="22">
        <v>1.33972</v>
      </c>
      <c r="BD296">
        <f t="shared" si="58"/>
        <v>17.361111111111111</v>
      </c>
      <c r="BE296">
        <f t="shared" si="59"/>
        <v>23.267013888888886</v>
      </c>
    </row>
    <row r="297" spans="6:57">
      <c r="F297" s="9"/>
      <c r="G297" s="22">
        <v>0.41488599999999998</v>
      </c>
      <c r="H297" s="22">
        <v>7.8837000000000002</v>
      </c>
      <c r="I297" s="22">
        <v>-1.48285E-2</v>
      </c>
      <c r="J297" s="22">
        <v>287</v>
      </c>
      <c r="K297" s="22">
        <v>0.41433700000000001</v>
      </c>
      <c r="L297">
        <f t="shared" si="48"/>
        <v>18.306790123456789</v>
      </c>
      <c r="M297">
        <f t="shared" si="49"/>
        <v>7.5952309271604932</v>
      </c>
      <c r="N297" s="9"/>
      <c r="O297" s="22">
        <v>1.34521</v>
      </c>
      <c r="P297" s="22">
        <v>11.823700000000001</v>
      </c>
      <c r="Q297" s="22">
        <v>-1.3809200000000001E-2</v>
      </c>
      <c r="R297" s="22">
        <v>287</v>
      </c>
      <c r="S297" s="22">
        <v>1.3446</v>
      </c>
      <c r="T297">
        <f t="shared" si="50"/>
        <v>17.048395061728392</v>
      </c>
      <c r="U297">
        <f t="shared" si="51"/>
        <v>22.933671520987652</v>
      </c>
      <c r="X297" s="9"/>
      <c r="Y297" s="22">
        <v>0.41488599999999998</v>
      </c>
      <c r="Z297" s="22">
        <v>17.4619</v>
      </c>
      <c r="AA297" s="22">
        <v>-1.4871199999999999E-2</v>
      </c>
      <c r="AB297" s="22">
        <v>287</v>
      </c>
      <c r="AC297" s="22">
        <v>0.414246</v>
      </c>
      <c r="AD297">
        <f t="shared" si="52"/>
        <v>18.359506172839506</v>
      </c>
      <c r="AE297">
        <f t="shared" si="53"/>
        <v>7.6171020780246907</v>
      </c>
      <c r="AF297" s="9"/>
      <c r="AG297" s="22">
        <v>1.34521</v>
      </c>
      <c r="AH297" s="22">
        <v>21.402000000000001</v>
      </c>
      <c r="AI297" s="22">
        <v>-1.3909899999999999E-2</v>
      </c>
      <c r="AJ297" s="22">
        <v>287</v>
      </c>
      <c r="AK297" s="22">
        <v>1.3446</v>
      </c>
      <c r="AL297">
        <f t="shared" si="54"/>
        <v>17.172716049382714</v>
      </c>
      <c r="AM297">
        <f t="shared" si="55"/>
        <v>23.100909356790122</v>
      </c>
      <c r="AP297" s="9"/>
      <c r="AQ297" s="22">
        <v>0.41488599999999998</v>
      </c>
      <c r="AR297" s="22">
        <v>27.0352</v>
      </c>
      <c r="AS297" s="22">
        <v>-1.5069600000000001E-2</v>
      </c>
      <c r="AT297" s="22">
        <v>287</v>
      </c>
      <c r="AU297" s="22">
        <v>0.414215</v>
      </c>
      <c r="AV297">
        <f t="shared" si="56"/>
        <v>18.604444444444443</v>
      </c>
      <c r="AW297">
        <f t="shared" si="57"/>
        <v>7.7187235377777768</v>
      </c>
      <c r="AX297" s="9"/>
      <c r="AY297" s="22">
        <v>1.34521</v>
      </c>
      <c r="AZ297" s="22">
        <v>30.975200000000001</v>
      </c>
      <c r="BA297" s="22">
        <v>-1.4053299999999999E-2</v>
      </c>
      <c r="BB297" s="22">
        <v>287</v>
      </c>
      <c r="BC297" s="22">
        <v>1.3436900000000001</v>
      </c>
      <c r="BD297">
        <f t="shared" si="58"/>
        <v>17.349753086419753</v>
      </c>
      <c r="BE297">
        <f t="shared" si="59"/>
        <v>23.339061349382717</v>
      </c>
    </row>
    <row r="298" spans="6:57">
      <c r="F298" s="9"/>
      <c r="G298" s="22">
        <v>0.40985100000000002</v>
      </c>
      <c r="H298" s="22">
        <v>7.89377</v>
      </c>
      <c r="I298" s="22">
        <v>-1.48346E-2</v>
      </c>
      <c r="J298" s="22">
        <v>288</v>
      </c>
      <c r="K298" s="22">
        <v>0.40942400000000001</v>
      </c>
      <c r="L298">
        <f t="shared" si="48"/>
        <v>18.31432098765432</v>
      </c>
      <c r="M298">
        <f t="shared" si="49"/>
        <v>7.5061427711111106</v>
      </c>
      <c r="N298" s="9"/>
      <c r="O298" s="22">
        <v>1.35025</v>
      </c>
      <c r="P298" s="22">
        <v>11.8338</v>
      </c>
      <c r="Q298" s="22">
        <v>-1.37939E-2</v>
      </c>
      <c r="R298" s="22">
        <v>288</v>
      </c>
      <c r="S298" s="22">
        <v>1.34918</v>
      </c>
      <c r="T298">
        <f t="shared" si="50"/>
        <v>17.029506172839504</v>
      </c>
      <c r="U298">
        <f t="shared" si="51"/>
        <v>22.994090709876538</v>
      </c>
      <c r="X298" s="9"/>
      <c r="Y298" s="22">
        <v>0.40985100000000002</v>
      </c>
      <c r="Z298" s="22">
        <v>17.472000000000001</v>
      </c>
      <c r="AA298" s="22">
        <v>-1.4871199999999999E-2</v>
      </c>
      <c r="AB298" s="22">
        <v>288</v>
      </c>
      <c r="AC298" s="22">
        <v>0.40908800000000001</v>
      </c>
      <c r="AD298">
        <f t="shared" si="52"/>
        <v>18.359506172839506</v>
      </c>
      <c r="AE298">
        <f t="shared" si="53"/>
        <v>7.5246619644444444</v>
      </c>
      <c r="AF298" s="9"/>
      <c r="AG298" s="22">
        <v>1.35025</v>
      </c>
      <c r="AH298" s="22">
        <v>21.411999999999999</v>
      </c>
      <c r="AI298" s="22">
        <v>-1.3903799999999999E-2</v>
      </c>
      <c r="AJ298" s="22">
        <v>288</v>
      </c>
      <c r="AK298" s="22">
        <v>1.3494900000000001</v>
      </c>
      <c r="AL298">
        <f t="shared" si="54"/>
        <v>17.165185185185184</v>
      </c>
      <c r="AM298">
        <f t="shared" si="55"/>
        <v>23.177291296296293</v>
      </c>
      <c r="AP298" s="9"/>
      <c r="AQ298" s="22">
        <v>0.40985100000000002</v>
      </c>
      <c r="AR298" s="22">
        <v>27.045200000000001</v>
      </c>
      <c r="AS298" s="22">
        <v>-1.50726E-2</v>
      </c>
      <c r="AT298" s="22">
        <v>288</v>
      </c>
      <c r="AU298" s="22">
        <v>0.40924100000000002</v>
      </c>
      <c r="AV298">
        <f t="shared" si="56"/>
        <v>18.60814814814815</v>
      </c>
      <c r="AW298">
        <f t="shared" si="57"/>
        <v>7.6265681266666681</v>
      </c>
      <c r="AX298" s="9"/>
      <c r="AY298" s="22">
        <v>1.35025</v>
      </c>
      <c r="AZ298" s="22">
        <v>30.985299999999999</v>
      </c>
      <c r="BA298" s="22">
        <v>-1.4047199999999999E-2</v>
      </c>
      <c r="BB298" s="22">
        <v>288</v>
      </c>
      <c r="BC298" s="22">
        <v>1.3488800000000001</v>
      </c>
      <c r="BD298">
        <f t="shared" si="58"/>
        <v>17.342222222222222</v>
      </c>
      <c r="BE298">
        <f t="shared" si="59"/>
        <v>23.416335555555555</v>
      </c>
    </row>
    <row r="299" spans="6:57">
      <c r="F299" s="9"/>
      <c r="G299" s="22">
        <v>0.40481600000000001</v>
      </c>
      <c r="H299" s="22">
        <v>7.9038399999999998</v>
      </c>
      <c r="I299" s="22">
        <v>-1.4837599999999999E-2</v>
      </c>
      <c r="J299" s="22">
        <v>289</v>
      </c>
      <c r="K299" s="22">
        <v>0.40432699999999999</v>
      </c>
      <c r="L299">
        <f t="shared" si="48"/>
        <v>18.318024691358023</v>
      </c>
      <c r="M299">
        <f t="shared" si="49"/>
        <v>7.4154294834567898</v>
      </c>
      <c r="N299" s="9"/>
      <c r="O299" s="22">
        <v>1.3552900000000001</v>
      </c>
      <c r="P299" s="22">
        <v>11.8439</v>
      </c>
      <c r="Q299" s="22">
        <v>-1.37787E-2</v>
      </c>
      <c r="R299" s="22">
        <v>289</v>
      </c>
      <c r="S299" s="22">
        <v>1.3546800000000001</v>
      </c>
      <c r="T299">
        <f t="shared" si="50"/>
        <v>17.01074074074074</v>
      </c>
      <c r="U299">
        <f t="shared" si="51"/>
        <v>23.054486818518519</v>
      </c>
      <c r="X299" s="9"/>
      <c r="Y299" s="22">
        <v>0.40481600000000001</v>
      </c>
      <c r="Z299" s="22">
        <v>17.482099999999999</v>
      </c>
      <c r="AA299" s="22">
        <v>-1.48773E-2</v>
      </c>
      <c r="AB299" s="22">
        <v>289</v>
      </c>
      <c r="AC299" s="22">
        <v>0.40417500000000001</v>
      </c>
      <c r="AD299">
        <f t="shared" si="52"/>
        <v>18.367037037037036</v>
      </c>
      <c r="AE299">
        <f t="shared" si="53"/>
        <v>7.4352704651851855</v>
      </c>
      <c r="AF299" s="9"/>
      <c r="AG299" s="22">
        <v>1.3552900000000001</v>
      </c>
      <c r="AH299" s="22">
        <v>21.4221</v>
      </c>
      <c r="AI299" s="22">
        <v>-1.3897700000000001E-2</v>
      </c>
      <c r="AJ299" s="22">
        <v>289</v>
      </c>
      <c r="AK299" s="22">
        <v>1.3546800000000001</v>
      </c>
      <c r="AL299">
        <f t="shared" si="54"/>
        <v>17.157654320987653</v>
      </c>
      <c r="AM299">
        <f t="shared" si="55"/>
        <v>23.253597324691359</v>
      </c>
      <c r="AP299" s="9"/>
      <c r="AQ299" s="22">
        <v>0.40481600000000001</v>
      </c>
      <c r="AR299" s="22">
        <v>27.055299999999999</v>
      </c>
      <c r="AS299" s="22">
        <v>-1.5075699999999999E-2</v>
      </c>
      <c r="AT299" s="22">
        <v>289</v>
      </c>
      <c r="AU299" s="22">
        <v>0.404358</v>
      </c>
      <c r="AV299">
        <f t="shared" si="56"/>
        <v>18.611975308641973</v>
      </c>
      <c r="AW299">
        <f t="shared" si="57"/>
        <v>7.5344253965432095</v>
      </c>
      <c r="AX299" s="9"/>
      <c r="AY299" s="22">
        <v>1.3552900000000001</v>
      </c>
      <c r="AZ299" s="22">
        <v>30.9953</v>
      </c>
      <c r="BA299" s="22">
        <v>-1.4041100000000001E-2</v>
      </c>
      <c r="BB299" s="22">
        <v>289</v>
      </c>
      <c r="BC299" s="22">
        <v>1.3552900000000001</v>
      </c>
      <c r="BD299">
        <f t="shared" si="58"/>
        <v>17.334691358024692</v>
      </c>
      <c r="BE299">
        <f t="shared" si="59"/>
        <v>23.493533850617286</v>
      </c>
    </row>
    <row r="300" spans="6:57">
      <c r="F300" s="9"/>
      <c r="G300" s="22">
        <v>0.39978000000000002</v>
      </c>
      <c r="H300" s="22">
        <v>7.9139099999999996</v>
      </c>
      <c r="I300" s="22">
        <v>-1.48407E-2</v>
      </c>
      <c r="J300" s="22">
        <v>290</v>
      </c>
      <c r="K300" s="22">
        <v>0.39886500000000003</v>
      </c>
      <c r="L300">
        <f t="shared" si="48"/>
        <v>18.32185185185185</v>
      </c>
      <c r="M300">
        <f t="shared" si="49"/>
        <v>7.3247099333333328</v>
      </c>
      <c r="N300" s="9"/>
      <c r="O300" s="22">
        <v>1.36032</v>
      </c>
      <c r="P300" s="22">
        <v>11.853999999999999</v>
      </c>
      <c r="Q300" s="22">
        <v>-1.37695E-2</v>
      </c>
      <c r="R300" s="22">
        <v>290</v>
      </c>
      <c r="S300" s="22">
        <v>1.3589500000000001</v>
      </c>
      <c r="T300">
        <f t="shared" si="50"/>
        <v>16.999382716049382</v>
      </c>
      <c r="U300">
        <f t="shared" si="51"/>
        <v>23.124600296296297</v>
      </c>
      <c r="X300" s="9"/>
      <c r="Y300" s="22">
        <v>0.39978000000000002</v>
      </c>
      <c r="Z300" s="22">
        <v>17.492100000000001</v>
      </c>
      <c r="AA300" s="22">
        <v>-1.48834E-2</v>
      </c>
      <c r="AB300" s="22">
        <v>290</v>
      </c>
      <c r="AC300" s="22">
        <v>0.39929199999999998</v>
      </c>
      <c r="AD300">
        <f t="shared" si="52"/>
        <v>18.374567901234567</v>
      </c>
      <c r="AE300">
        <f t="shared" si="53"/>
        <v>7.345784755555556</v>
      </c>
      <c r="AF300" s="9"/>
      <c r="AG300" s="22">
        <v>1.36032</v>
      </c>
      <c r="AH300" s="22">
        <v>21.432200000000002</v>
      </c>
      <c r="AI300" s="22">
        <v>-1.38916E-2</v>
      </c>
      <c r="AJ300" s="22">
        <v>290</v>
      </c>
      <c r="AK300" s="22">
        <v>1.3592500000000001</v>
      </c>
      <c r="AL300">
        <f t="shared" si="54"/>
        <v>17.150123456790123</v>
      </c>
      <c r="AM300">
        <f t="shared" si="55"/>
        <v>23.329655940740739</v>
      </c>
      <c r="AP300" s="9"/>
      <c r="AQ300" s="22">
        <v>0.39978000000000002</v>
      </c>
      <c r="AR300" s="22">
        <v>27.0654</v>
      </c>
      <c r="AS300" s="22">
        <v>-1.5081799999999999E-2</v>
      </c>
      <c r="AT300" s="22">
        <v>290</v>
      </c>
      <c r="AU300" s="22">
        <v>0.39895599999999998</v>
      </c>
      <c r="AV300">
        <f t="shared" si="56"/>
        <v>18.619506172839504</v>
      </c>
      <c r="AW300">
        <f t="shared" si="57"/>
        <v>7.4437061777777771</v>
      </c>
      <c r="AX300" s="9"/>
      <c r="AY300" s="22">
        <v>1.36032</v>
      </c>
      <c r="AZ300" s="22">
        <v>31.005400000000002</v>
      </c>
      <c r="BA300" s="22">
        <v>-1.4035000000000001E-2</v>
      </c>
      <c r="BB300" s="22">
        <v>290</v>
      </c>
      <c r="BC300" s="22">
        <v>1.3592500000000001</v>
      </c>
      <c r="BD300">
        <f t="shared" si="58"/>
        <v>17.327160493827162</v>
      </c>
      <c r="BE300">
        <f t="shared" si="59"/>
        <v>23.570482962962963</v>
      </c>
    </row>
    <row r="301" spans="6:57">
      <c r="F301" s="9"/>
      <c r="G301" s="22">
        <v>0.39474500000000001</v>
      </c>
      <c r="H301" s="22">
        <v>7.9239800000000002</v>
      </c>
      <c r="I301" s="22">
        <v>-1.48468E-2</v>
      </c>
      <c r="J301" s="22">
        <v>291</v>
      </c>
      <c r="K301" s="22">
        <v>0.39410400000000001</v>
      </c>
      <c r="L301">
        <f t="shared" si="48"/>
        <v>18.329382716049381</v>
      </c>
      <c r="M301">
        <f t="shared" si="49"/>
        <v>7.2354321802469128</v>
      </c>
      <c r="N301" s="9"/>
      <c r="O301" s="22">
        <v>1.3653599999999999</v>
      </c>
      <c r="P301" s="22">
        <v>11.864000000000001</v>
      </c>
      <c r="Q301" s="22">
        <v>-1.3760400000000001E-2</v>
      </c>
      <c r="R301" s="22">
        <v>291</v>
      </c>
      <c r="S301" s="22">
        <v>1.3644400000000001</v>
      </c>
      <c r="T301">
        <f t="shared" si="50"/>
        <v>16.988148148148149</v>
      </c>
      <c r="U301">
        <f t="shared" si="51"/>
        <v>23.194937955555556</v>
      </c>
      <c r="X301" s="9"/>
      <c r="Y301" s="22">
        <v>0.39474500000000001</v>
      </c>
      <c r="Z301" s="22">
        <v>17.502199999999998</v>
      </c>
      <c r="AA301" s="22">
        <v>-1.48895E-2</v>
      </c>
      <c r="AB301" s="22">
        <v>291</v>
      </c>
      <c r="AC301" s="22">
        <v>0.39413500000000001</v>
      </c>
      <c r="AD301">
        <f t="shared" si="52"/>
        <v>18.382098765432101</v>
      </c>
      <c r="AE301">
        <f t="shared" si="53"/>
        <v>7.2562415771604947</v>
      </c>
      <c r="AF301" s="9"/>
      <c r="AG301" s="22">
        <v>1.3653599999999999</v>
      </c>
      <c r="AH301" s="22">
        <v>21.4422</v>
      </c>
      <c r="AI301" s="22">
        <v>-1.38824E-2</v>
      </c>
      <c r="AJ301" s="22">
        <v>291</v>
      </c>
      <c r="AK301" s="22">
        <v>1.3641399999999999</v>
      </c>
      <c r="AL301">
        <f t="shared" si="54"/>
        <v>17.138765432098765</v>
      </c>
      <c r="AM301">
        <f t="shared" si="55"/>
        <v>23.400584770370369</v>
      </c>
      <c r="AP301" s="9"/>
      <c r="AQ301" s="22">
        <v>0.39474500000000001</v>
      </c>
      <c r="AR301" s="22">
        <v>27.075399999999998</v>
      </c>
      <c r="AS301" s="22">
        <v>-1.5084800000000001E-2</v>
      </c>
      <c r="AT301" s="22">
        <v>291</v>
      </c>
      <c r="AU301" s="22">
        <v>0.39422600000000002</v>
      </c>
      <c r="AV301">
        <f t="shared" si="56"/>
        <v>18.623209876543207</v>
      </c>
      <c r="AW301">
        <f t="shared" si="57"/>
        <v>7.3514189827160488</v>
      </c>
      <c r="AX301" s="9"/>
      <c r="AY301" s="22">
        <v>1.3653599999999999</v>
      </c>
      <c r="AZ301" s="22">
        <v>31.015499999999999</v>
      </c>
      <c r="BA301" s="22">
        <v>-1.4025900000000001E-2</v>
      </c>
      <c r="BB301" s="22">
        <v>291</v>
      </c>
      <c r="BC301" s="22">
        <v>1.3644400000000001</v>
      </c>
      <c r="BD301">
        <f t="shared" si="58"/>
        <v>17.315925925925924</v>
      </c>
      <c r="BE301">
        <f t="shared" si="59"/>
        <v>23.642472622222218</v>
      </c>
    </row>
    <row r="302" spans="6:57">
      <c r="F302" s="9"/>
      <c r="G302" s="22">
        <v>0.38970900000000003</v>
      </c>
      <c r="H302" s="22">
        <v>7.93405</v>
      </c>
      <c r="I302" s="22">
        <v>-1.48529E-2</v>
      </c>
      <c r="J302" s="22">
        <v>292</v>
      </c>
      <c r="K302" s="22">
        <v>0.38916000000000001</v>
      </c>
      <c r="L302">
        <f t="shared" si="48"/>
        <v>18.336913580246915</v>
      </c>
      <c r="M302">
        <f t="shared" si="49"/>
        <v>7.1460602544444454</v>
      </c>
      <c r="N302" s="9"/>
      <c r="O302" s="22">
        <v>1.37039</v>
      </c>
      <c r="P302" s="22">
        <v>11.8741</v>
      </c>
      <c r="Q302" s="22">
        <v>-1.3754300000000001E-2</v>
      </c>
      <c r="R302" s="22">
        <v>292</v>
      </c>
      <c r="S302" s="22">
        <v>1.3696299999999999</v>
      </c>
      <c r="T302">
        <f t="shared" si="50"/>
        <v>16.980617283950615</v>
      </c>
      <c r="U302">
        <f t="shared" si="51"/>
        <v>23.270068119753084</v>
      </c>
      <c r="X302" s="9"/>
      <c r="Y302" s="22">
        <v>0.38970900000000003</v>
      </c>
      <c r="Z302" s="22">
        <v>17.5123</v>
      </c>
      <c r="AA302" s="22">
        <v>-1.48956E-2</v>
      </c>
      <c r="AB302" s="22">
        <v>292</v>
      </c>
      <c r="AC302" s="22">
        <v>0.38922099999999998</v>
      </c>
      <c r="AD302">
        <f t="shared" si="52"/>
        <v>18.389629629629628</v>
      </c>
      <c r="AE302">
        <f t="shared" si="53"/>
        <v>7.166604173333333</v>
      </c>
      <c r="AF302" s="9"/>
      <c r="AG302" s="22">
        <v>1.37039</v>
      </c>
      <c r="AH302" s="22">
        <v>21.452300000000001</v>
      </c>
      <c r="AI302" s="22">
        <v>-1.3870199999999999E-2</v>
      </c>
      <c r="AJ302" s="22">
        <v>292</v>
      </c>
      <c r="AK302" s="22">
        <v>1.3699300000000001</v>
      </c>
      <c r="AL302">
        <f t="shared" si="54"/>
        <v>17.123703703703701</v>
      </c>
      <c r="AM302">
        <f t="shared" si="55"/>
        <v>23.466152318518514</v>
      </c>
      <c r="AP302" s="9"/>
      <c r="AQ302" s="22">
        <v>0.38970900000000003</v>
      </c>
      <c r="AR302" s="22">
        <v>27.0855</v>
      </c>
      <c r="AS302" s="22">
        <v>-1.5090900000000001E-2</v>
      </c>
      <c r="AT302" s="22">
        <v>292</v>
      </c>
      <c r="AU302" s="22">
        <v>0.38925199999999999</v>
      </c>
      <c r="AV302">
        <f t="shared" si="56"/>
        <v>18.630740740740741</v>
      </c>
      <c r="AW302">
        <f t="shared" si="57"/>
        <v>7.2605673433333342</v>
      </c>
      <c r="AX302" s="9"/>
      <c r="AY302" s="22">
        <v>1.37039</v>
      </c>
      <c r="AZ302" s="22">
        <v>31.025600000000001</v>
      </c>
      <c r="BA302" s="22">
        <v>-1.4019800000000001E-2</v>
      </c>
      <c r="BB302" s="22">
        <v>292</v>
      </c>
      <c r="BC302" s="22">
        <v>1.3690199999999999</v>
      </c>
      <c r="BD302">
        <f t="shared" si="58"/>
        <v>17.308395061728394</v>
      </c>
      <c r="BE302">
        <f t="shared" si="59"/>
        <v>23.719251508641975</v>
      </c>
    </row>
    <row r="303" spans="6:57">
      <c r="F303" s="9"/>
      <c r="G303" s="22">
        <v>0.38467400000000002</v>
      </c>
      <c r="H303" s="22">
        <v>7.9441300000000004</v>
      </c>
      <c r="I303" s="22">
        <v>-1.4859000000000001E-2</v>
      </c>
      <c r="J303" s="22">
        <v>293</v>
      </c>
      <c r="K303" s="22">
        <v>0.38388100000000003</v>
      </c>
      <c r="L303">
        <f t="shared" si="48"/>
        <v>18.344444444444445</v>
      </c>
      <c r="M303">
        <f t="shared" si="49"/>
        <v>7.0566308222222229</v>
      </c>
      <c r="N303" s="9"/>
      <c r="O303" s="22">
        <v>1.3754299999999999</v>
      </c>
      <c r="P303" s="22">
        <v>11.8842</v>
      </c>
      <c r="Q303" s="22">
        <v>-1.37451E-2</v>
      </c>
      <c r="R303" s="22">
        <v>293</v>
      </c>
      <c r="S303" s="22">
        <v>1.3745099999999999</v>
      </c>
      <c r="T303">
        <f t="shared" si="50"/>
        <v>16.969259259259257</v>
      </c>
      <c r="U303">
        <f t="shared" si="51"/>
        <v>23.34002826296296</v>
      </c>
      <c r="X303" s="9"/>
      <c r="Y303" s="22">
        <v>0.38467400000000002</v>
      </c>
      <c r="Z303" s="22">
        <v>17.522300000000001</v>
      </c>
      <c r="AA303" s="22">
        <v>-1.4904799999999999E-2</v>
      </c>
      <c r="AB303" s="22">
        <v>293</v>
      </c>
      <c r="AC303" s="22">
        <v>0.38433800000000001</v>
      </c>
      <c r="AD303">
        <f t="shared" si="52"/>
        <v>18.400987654320986</v>
      </c>
      <c r="AE303">
        <f t="shared" si="53"/>
        <v>7.0783815249382709</v>
      </c>
      <c r="AF303" s="9"/>
      <c r="AG303" s="22">
        <v>1.3754299999999999</v>
      </c>
      <c r="AH303" s="22">
        <v>21.462399999999999</v>
      </c>
      <c r="AI303" s="22">
        <v>-1.3858000000000001E-2</v>
      </c>
      <c r="AJ303" s="22">
        <v>293</v>
      </c>
      <c r="AK303" s="22">
        <v>1.3745099999999999</v>
      </c>
      <c r="AL303">
        <f t="shared" si="54"/>
        <v>17.10864197530864</v>
      </c>
      <c r="AM303">
        <f t="shared" si="55"/>
        <v>23.53173943209876</v>
      </c>
      <c r="AP303" s="9"/>
      <c r="AQ303" s="22">
        <v>0.38467400000000002</v>
      </c>
      <c r="AR303" s="22">
        <v>27.095600000000001</v>
      </c>
      <c r="AS303" s="22">
        <v>-1.5096999999999999E-2</v>
      </c>
      <c r="AT303" s="22">
        <v>293</v>
      </c>
      <c r="AU303" s="22">
        <v>0.384216</v>
      </c>
      <c r="AV303">
        <f t="shared" si="56"/>
        <v>18.638271604938272</v>
      </c>
      <c r="AW303">
        <f t="shared" si="57"/>
        <v>7.1696584913580246</v>
      </c>
      <c r="AX303" s="9"/>
      <c r="AY303" s="22">
        <v>1.3754299999999999</v>
      </c>
      <c r="AZ303" s="22">
        <v>31.035599999999999</v>
      </c>
      <c r="BA303" s="22">
        <v>-1.40137E-2</v>
      </c>
      <c r="BB303" s="22">
        <v>293</v>
      </c>
      <c r="BC303" s="22">
        <v>1.3748199999999999</v>
      </c>
      <c r="BD303">
        <f t="shared" si="58"/>
        <v>17.300864197530863</v>
      </c>
      <c r="BE303">
        <f t="shared" si="59"/>
        <v>23.796127643209875</v>
      </c>
    </row>
    <row r="304" spans="6:57">
      <c r="F304" s="9"/>
      <c r="G304" s="22">
        <v>0.379639</v>
      </c>
      <c r="H304" s="22">
        <v>7.9542000000000002</v>
      </c>
      <c r="I304" s="22">
        <v>-1.48621E-2</v>
      </c>
      <c r="J304" s="22">
        <v>294</v>
      </c>
      <c r="K304" s="22">
        <v>0.37902799999999998</v>
      </c>
      <c r="L304">
        <f t="shared" si="48"/>
        <v>18.348271604938269</v>
      </c>
      <c r="M304">
        <f t="shared" si="49"/>
        <v>6.9657194838271597</v>
      </c>
      <c r="N304" s="9"/>
      <c r="O304" s="22">
        <v>1.38046</v>
      </c>
      <c r="P304" s="22">
        <v>11.8942</v>
      </c>
      <c r="Q304" s="22">
        <v>-1.37299E-2</v>
      </c>
      <c r="R304" s="22">
        <v>294</v>
      </c>
      <c r="S304" s="22">
        <v>1.3793899999999999</v>
      </c>
      <c r="T304">
        <f t="shared" si="50"/>
        <v>16.950493827160493</v>
      </c>
      <c r="U304">
        <f t="shared" si="51"/>
        <v>23.399478708641976</v>
      </c>
      <c r="X304" s="9"/>
      <c r="Y304" s="22">
        <v>0.379639</v>
      </c>
      <c r="Z304" s="22">
        <v>17.532399999999999</v>
      </c>
      <c r="AA304" s="22">
        <v>-1.4907800000000001E-2</v>
      </c>
      <c r="AB304" s="22">
        <v>294</v>
      </c>
      <c r="AC304" s="22">
        <v>0.378967</v>
      </c>
      <c r="AD304">
        <f t="shared" si="52"/>
        <v>18.404691358024692</v>
      </c>
      <c r="AE304">
        <f t="shared" si="53"/>
        <v>6.9871386224691365</v>
      </c>
      <c r="AF304" s="9"/>
      <c r="AG304" s="22">
        <v>1.38046</v>
      </c>
      <c r="AH304" s="22">
        <v>21.4725</v>
      </c>
      <c r="AI304" s="22">
        <v>-1.38397E-2</v>
      </c>
      <c r="AJ304" s="22">
        <v>294</v>
      </c>
      <c r="AK304" s="22">
        <v>1.3793899999999999</v>
      </c>
      <c r="AL304">
        <f t="shared" si="54"/>
        <v>17.086049382716048</v>
      </c>
      <c r="AM304">
        <f t="shared" si="55"/>
        <v>23.586607730864195</v>
      </c>
      <c r="AP304" s="9"/>
      <c r="AQ304" s="22">
        <v>0.379639</v>
      </c>
      <c r="AR304" s="22">
        <v>27.105699999999999</v>
      </c>
      <c r="AS304" s="22">
        <v>-1.51031E-2</v>
      </c>
      <c r="AT304" s="22">
        <v>294</v>
      </c>
      <c r="AU304" s="22">
        <v>0.37914999999999999</v>
      </c>
      <c r="AV304">
        <f t="shared" si="56"/>
        <v>18.645802469135798</v>
      </c>
      <c r="AW304">
        <f t="shared" si="57"/>
        <v>7.0786738035802452</v>
      </c>
      <c r="AX304" s="9"/>
      <c r="AY304" s="22">
        <v>1.38046</v>
      </c>
      <c r="AZ304" s="22">
        <v>31.0457</v>
      </c>
      <c r="BA304" s="22">
        <v>-1.40045E-2</v>
      </c>
      <c r="BB304" s="22">
        <v>294</v>
      </c>
      <c r="BC304" s="22">
        <v>1.3796999999999999</v>
      </c>
      <c r="BD304">
        <f t="shared" si="58"/>
        <v>17.289506172839506</v>
      </c>
      <c r="BE304">
        <f t="shared" si="59"/>
        <v>23.867471691358023</v>
      </c>
    </row>
    <row r="305" spans="6:57">
      <c r="F305" s="9"/>
      <c r="G305" s="22">
        <v>0.37460300000000002</v>
      </c>
      <c r="H305" s="22">
        <v>7.96427</v>
      </c>
      <c r="I305" s="22">
        <v>-1.48682E-2</v>
      </c>
      <c r="J305" s="22">
        <v>295</v>
      </c>
      <c r="K305" s="22">
        <v>0.37393199999999999</v>
      </c>
      <c r="L305">
        <f t="shared" si="48"/>
        <v>18.355802469135799</v>
      </c>
      <c r="M305">
        <f t="shared" si="49"/>
        <v>6.8761386723456779</v>
      </c>
      <c r="N305" s="9"/>
      <c r="O305" s="22">
        <v>1.3855</v>
      </c>
      <c r="P305" s="22">
        <v>11.904299999999999</v>
      </c>
      <c r="Q305" s="22">
        <v>-1.37115E-2</v>
      </c>
      <c r="R305" s="22">
        <v>295</v>
      </c>
      <c r="S305" s="22">
        <v>1.3845799999999999</v>
      </c>
      <c r="T305">
        <f t="shared" si="50"/>
        <v>16.927777777777777</v>
      </c>
      <c r="U305">
        <f t="shared" si="51"/>
        <v>23.45343611111111</v>
      </c>
      <c r="X305" s="9"/>
      <c r="Y305" s="22">
        <v>0.37460300000000002</v>
      </c>
      <c r="Z305" s="22">
        <v>17.5425</v>
      </c>
      <c r="AA305" s="22">
        <v>-1.49109E-2</v>
      </c>
      <c r="AB305" s="22">
        <v>295</v>
      </c>
      <c r="AC305" s="22">
        <v>0.37390099999999998</v>
      </c>
      <c r="AD305">
        <f t="shared" si="52"/>
        <v>18.408518518518516</v>
      </c>
      <c r="AE305">
        <f t="shared" si="53"/>
        <v>6.8958862625925921</v>
      </c>
      <c r="AF305" s="9"/>
      <c r="AG305" s="22">
        <v>1.3855</v>
      </c>
      <c r="AH305" s="22">
        <v>21.482500000000002</v>
      </c>
      <c r="AI305" s="22">
        <v>-1.38275E-2</v>
      </c>
      <c r="AJ305" s="22">
        <v>295</v>
      </c>
      <c r="AK305" s="22">
        <v>1.3845799999999999</v>
      </c>
      <c r="AL305">
        <f t="shared" si="54"/>
        <v>17.070987654320987</v>
      </c>
      <c r="AM305">
        <f t="shared" si="55"/>
        <v>23.651853395061728</v>
      </c>
      <c r="AP305" s="9"/>
      <c r="AQ305" s="22">
        <v>0.37460300000000002</v>
      </c>
      <c r="AR305" s="22">
        <v>27.1157</v>
      </c>
      <c r="AS305" s="22">
        <v>-1.51123E-2</v>
      </c>
      <c r="AT305" s="22">
        <v>295</v>
      </c>
      <c r="AU305" s="22">
        <v>0.37390099999999998</v>
      </c>
      <c r="AV305">
        <f t="shared" si="56"/>
        <v>18.65716049382716</v>
      </c>
      <c r="AW305">
        <f t="shared" si="57"/>
        <v>6.9890282924691363</v>
      </c>
      <c r="AX305" s="9"/>
      <c r="AY305" s="22">
        <v>1.3855</v>
      </c>
      <c r="AZ305" s="22">
        <v>31.055800000000001</v>
      </c>
      <c r="BA305" s="22">
        <v>-1.39954E-2</v>
      </c>
      <c r="BB305" s="22">
        <v>295</v>
      </c>
      <c r="BC305" s="22">
        <v>1.3845799999999999</v>
      </c>
      <c r="BD305">
        <f t="shared" si="58"/>
        <v>17.278271604938272</v>
      </c>
      <c r="BE305">
        <f t="shared" si="59"/>
        <v>23.939045308641976</v>
      </c>
    </row>
    <row r="306" spans="6:57">
      <c r="F306" s="9"/>
      <c r="G306" s="22">
        <v>0.36956800000000001</v>
      </c>
      <c r="H306" s="22">
        <v>7.9743399999999998</v>
      </c>
      <c r="I306" s="22">
        <v>-1.48743E-2</v>
      </c>
      <c r="J306" s="22">
        <v>296</v>
      </c>
      <c r="K306" s="22">
        <v>0.36886600000000003</v>
      </c>
      <c r="L306">
        <f t="shared" si="48"/>
        <v>18.363333333333333</v>
      </c>
      <c r="M306">
        <f t="shared" si="49"/>
        <v>6.7865003733333333</v>
      </c>
      <c r="N306" s="9"/>
      <c r="O306" s="22">
        <v>1.39053</v>
      </c>
      <c r="P306" s="22">
        <v>11.914400000000001</v>
      </c>
      <c r="Q306" s="22">
        <v>-1.3699299999999999E-2</v>
      </c>
      <c r="R306" s="22">
        <v>296</v>
      </c>
      <c r="S306" s="22">
        <v>1.3897699999999999</v>
      </c>
      <c r="T306">
        <f t="shared" si="50"/>
        <v>16.912716049382716</v>
      </c>
      <c r="U306">
        <f t="shared" si="51"/>
        <v>23.517639048148148</v>
      </c>
      <c r="X306" s="9"/>
      <c r="Y306" s="22">
        <v>0.36956800000000001</v>
      </c>
      <c r="Z306" s="22">
        <v>17.552600000000002</v>
      </c>
      <c r="AA306" s="22">
        <v>-1.4913900000000001E-2</v>
      </c>
      <c r="AB306" s="22">
        <v>296</v>
      </c>
      <c r="AC306" s="22">
        <v>0.368591</v>
      </c>
      <c r="AD306">
        <f t="shared" si="52"/>
        <v>18.412222222222223</v>
      </c>
      <c r="AE306">
        <f t="shared" si="53"/>
        <v>6.8045681422222222</v>
      </c>
      <c r="AF306" s="9"/>
      <c r="AG306" s="22">
        <v>1.39053</v>
      </c>
      <c r="AH306" s="22">
        <v>21.492599999999999</v>
      </c>
      <c r="AI306" s="22">
        <v>-1.38123E-2</v>
      </c>
      <c r="AJ306" s="22">
        <v>296</v>
      </c>
      <c r="AK306" s="22">
        <v>1.39008</v>
      </c>
      <c r="AL306">
        <f t="shared" si="54"/>
        <v>17.052222222222223</v>
      </c>
      <c r="AM306">
        <f t="shared" si="55"/>
        <v>23.71162656666667</v>
      </c>
      <c r="AP306" s="9"/>
      <c r="AQ306" s="22">
        <v>0.36956800000000001</v>
      </c>
      <c r="AR306" s="22">
        <v>27.125800000000002</v>
      </c>
      <c r="AS306" s="22">
        <v>-1.5115399999999999E-2</v>
      </c>
      <c r="AT306" s="22">
        <v>296</v>
      </c>
      <c r="AU306" s="22">
        <v>0.36886600000000003</v>
      </c>
      <c r="AV306">
        <f t="shared" si="56"/>
        <v>18.660987654320987</v>
      </c>
      <c r="AW306">
        <f t="shared" si="57"/>
        <v>6.8965038854320984</v>
      </c>
      <c r="AX306" s="9"/>
      <c r="AY306" s="22">
        <v>1.39053</v>
      </c>
      <c r="AZ306" s="22">
        <v>31.065799999999999</v>
      </c>
      <c r="BA306" s="22">
        <v>-1.3983199999999999E-2</v>
      </c>
      <c r="BB306" s="22">
        <v>296</v>
      </c>
      <c r="BC306" s="22">
        <v>1.39008</v>
      </c>
      <c r="BD306">
        <f t="shared" si="58"/>
        <v>17.263209876543208</v>
      </c>
      <c r="BE306">
        <f t="shared" si="59"/>
        <v>24.005011229629627</v>
      </c>
    </row>
    <row r="307" spans="6:57">
      <c r="F307" s="9"/>
      <c r="G307" s="22">
        <v>0.36453200000000002</v>
      </c>
      <c r="H307" s="22">
        <v>7.9844099999999996</v>
      </c>
      <c r="I307" s="22">
        <v>-1.48773E-2</v>
      </c>
      <c r="J307" s="22">
        <v>297</v>
      </c>
      <c r="K307" s="22">
        <v>0.36380000000000001</v>
      </c>
      <c r="L307">
        <f t="shared" si="48"/>
        <v>18.367037037037036</v>
      </c>
      <c r="M307">
        <f t="shared" si="49"/>
        <v>6.6953727451851854</v>
      </c>
      <c r="N307" s="9"/>
      <c r="O307" s="22">
        <v>1.39557</v>
      </c>
      <c r="P307" s="22">
        <v>11.9245</v>
      </c>
      <c r="Q307" s="22">
        <v>-1.3684099999999999E-2</v>
      </c>
      <c r="R307" s="22">
        <v>297</v>
      </c>
      <c r="S307" s="22">
        <v>1.39435</v>
      </c>
      <c r="T307">
        <f t="shared" si="50"/>
        <v>16.893950617283949</v>
      </c>
      <c r="U307">
        <f t="shared" si="51"/>
        <v>23.57669066296296</v>
      </c>
      <c r="X307" s="9"/>
      <c r="Y307" s="22">
        <v>0.36453200000000002</v>
      </c>
      <c r="Z307" s="22">
        <v>17.5626</v>
      </c>
      <c r="AA307" s="22">
        <v>-1.4913900000000001E-2</v>
      </c>
      <c r="AB307" s="22">
        <v>297</v>
      </c>
      <c r="AC307" s="22">
        <v>0.36392200000000002</v>
      </c>
      <c r="AD307">
        <f t="shared" si="52"/>
        <v>18.412222222222223</v>
      </c>
      <c r="AE307">
        <f t="shared" si="53"/>
        <v>6.711844191111112</v>
      </c>
      <c r="AF307" s="9"/>
      <c r="AG307" s="22">
        <v>1.39557</v>
      </c>
      <c r="AH307" s="22">
        <v>21.502700000000001</v>
      </c>
      <c r="AI307" s="22">
        <v>-1.38E-2</v>
      </c>
      <c r="AJ307" s="22">
        <v>297</v>
      </c>
      <c r="AK307" s="22">
        <v>1.39496</v>
      </c>
      <c r="AL307">
        <f t="shared" si="54"/>
        <v>17.037037037037035</v>
      </c>
      <c r="AM307">
        <f t="shared" si="55"/>
        <v>23.776377777777775</v>
      </c>
      <c r="AP307" s="9"/>
      <c r="AQ307" s="22">
        <v>0.36453200000000002</v>
      </c>
      <c r="AR307" s="22">
        <v>27.135899999999999</v>
      </c>
      <c r="AS307" s="22">
        <v>-1.5115399999999999E-2</v>
      </c>
      <c r="AT307" s="22">
        <v>297</v>
      </c>
      <c r="AU307" s="22">
        <v>0.36386099999999999</v>
      </c>
      <c r="AV307">
        <f t="shared" si="56"/>
        <v>18.660987654320987</v>
      </c>
      <c r="AW307">
        <f t="shared" si="57"/>
        <v>6.8025271516049388</v>
      </c>
      <c r="AX307" s="9"/>
      <c r="AY307" s="22">
        <v>1.39557</v>
      </c>
      <c r="AZ307" s="22">
        <v>31.075900000000001</v>
      </c>
      <c r="BA307" s="22">
        <v>-1.3974E-2</v>
      </c>
      <c r="BB307" s="22">
        <v>297</v>
      </c>
      <c r="BC307" s="22">
        <v>1.3940399999999999</v>
      </c>
      <c r="BD307">
        <f t="shared" si="58"/>
        <v>17.251851851851853</v>
      </c>
      <c r="BE307">
        <f t="shared" si="59"/>
        <v>24.076166888888892</v>
      </c>
    </row>
    <row r="308" spans="6:57">
      <c r="F308" s="9"/>
      <c r="G308" s="22">
        <v>0.35949700000000001</v>
      </c>
      <c r="H308" s="22">
        <v>7.9944800000000003</v>
      </c>
      <c r="I308" s="22">
        <v>-1.48773E-2</v>
      </c>
      <c r="J308" s="22">
        <v>298</v>
      </c>
      <c r="K308" s="22">
        <v>0.35894799999999999</v>
      </c>
      <c r="L308">
        <f t="shared" si="48"/>
        <v>18.367037037037036</v>
      </c>
      <c r="M308">
        <f t="shared" si="49"/>
        <v>6.6028947137037033</v>
      </c>
      <c r="N308" s="9"/>
      <c r="O308" s="22">
        <v>1.4006000000000001</v>
      </c>
      <c r="P308" s="22">
        <v>11.9345</v>
      </c>
      <c r="Q308" s="22">
        <v>-1.3671900000000001E-2</v>
      </c>
      <c r="R308" s="22">
        <v>298</v>
      </c>
      <c r="S308" s="22">
        <v>1.39954</v>
      </c>
      <c r="T308">
        <f t="shared" si="50"/>
        <v>16.878888888888888</v>
      </c>
      <c r="U308">
        <f t="shared" si="51"/>
        <v>23.640571777777776</v>
      </c>
      <c r="X308" s="9"/>
      <c r="Y308" s="22">
        <v>0.35949700000000001</v>
      </c>
      <c r="Z308" s="22">
        <v>17.572700000000001</v>
      </c>
      <c r="AA308" s="22">
        <v>-1.4919999999999999E-2</v>
      </c>
      <c r="AB308" s="22">
        <v>298</v>
      </c>
      <c r="AC308" s="22">
        <v>0.359039</v>
      </c>
      <c r="AD308">
        <f t="shared" si="52"/>
        <v>18.41975308641975</v>
      </c>
      <c r="AE308">
        <f t="shared" si="53"/>
        <v>6.6218459753086405</v>
      </c>
      <c r="AF308" s="9"/>
      <c r="AG308" s="22">
        <v>1.4006000000000001</v>
      </c>
      <c r="AH308" s="22">
        <v>21.512699999999999</v>
      </c>
      <c r="AI308" s="22">
        <v>-1.37848E-2</v>
      </c>
      <c r="AJ308" s="22">
        <v>298</v>
      </c>
      <c r="AK308" s="22">
        <v>1.39954</v>
      </c>
      <c r="AL308">
        <f t="shared" si="54"/>
        <v>17.018271604938271</v>
      </c>
      <c r="AM308">
        <f t="shared" si="55"/>
        <v>23.835791209876543</v>
      </c>
      <c r="AP308" s="9"/>
      <c r="AQ308" s="22">
        <v>0.35949700000000001</v>
      </c>
      <c r="AR308" s="22">
        <v>27.145900000000001</v>
      </c>
      <c r="AS308" s="22">
        <v>-1.51215E-2</v>
      </c>
      <c r="AT308" s="22">
        <v>298</v>
      </c>
      <c r="AU308" s="22">
        <v>0.35900900000000002</v>
      </c>
      <c r="AV308">
        <f t="shared" si="56"/>
        <v>18.668518518518518</v>
      </c>
      <c r="AW308">
        <f t="shared" si="57"/>
        <v>6.711276401851852</v>
      </c>
      <c r="AX308" s="9"/>
      <c r="AY308" s="22">
        <v>1.4006000000000001</v>
      </c>
      <c r="AZ308" s="22">
        <v>31.085999999999999</v>
      </c>
      <c r="BA308" s="22">
        <v>-1.3964799999999999E-2</v>
      </c>
      <c r="BB308" s="22">
        <v>298</v>
      </c>
      <c r="BC308" s="22">
        <v>1.39984</v>
      </c>
      <c r="BD308">
        <f t="shared" si="58"/>
        <v>17.240493827160492</v>
      </c>
      <c r="BE308">
        <f t="shared" si="59"/>
        <v>24.147035654320987</v>
      </c>
    </row>
    <row r="309" spans="6:57">
      <c r="F309" s="9"/>
      <c r="G309" s="22">
        <v>0.354462</v>
      </c>
      <c r="H309" s="22">
        <v>8.0045500000000001</v>
      </c>
      <c r="I309" s="22">
        <v>-1.48804E-2</v>
      </c>
      <c r="J309" s="22">
        <v>299</v>
      </c>
      <c r="K309" s="22">
        <v>0.35394300000000001</v>
      </c>
      <c r="L309">
        <f t="shared" si="48"/>
        <v>18.370864197530864</v>
      </c>
      <c r="M309">
        <f t="shared" si="49"/>
        <v>6.5117732651851847</v>
      </c>
      <c r="N309" s="9"/>
      <c r="O309" s="22">
        <v>1.40564</v>
      </c>
      <c r="P309" s="22">
        <v>11.944599999999999</v>
      </c>
      <c r="Q309" s="22">
        <v>-1.36597E-2</v>
      </c>
      <c r="R309" s="22">
        <v>299</v>
      </c>
      <c r="S309" s="22">
        <v>1.40533</v>
      </c>
      <c r="T309">
        <f t="shared" si="50"/>
        <v>16.863827160493827</v>
      </c>
      <c r="U309">
        <f t="shared" si="51"/>
        <v>23.704470009876541</v>
      </c>
      <c r="X309" s="9"/>
      <c r="Y309" s="22">
        <v>0.354462</v>
      </c>
      <c r="Z309" s="22">
        <v>17.582799999999999</v>
      </c>
      <c r="AA309" s="22">
        <v>-1.4926099999999999E-2</v>
      </c>
      <c r="AB309" s="22">
        <v>299</v>
      </c>
      <c r="AC309" s="22">
        <v>0.353912</v>
      </c>
      <c r="AD309">
        <f t="shared" si="52"/>
        <v>18.427283950617284</v>
      </c>
      <c r="AE309">
        <f t="shared" si="53"/>
        <v>6.5317719237037037</v>
      </c>
      <c r="AF309" s="9"/>
      <c r="AG309" s="22">
        <v>1.40564</v>
      </c>
      <c r="AH309" s="22">
        <v>21.5228</v>
      </c>
      <c r="AI309" s="22">
        <v>-1.37695E-2</v>
      </c>
      <c r="AJ309" s="22">
        <v>299</v>
      </c>
      <c r="AK309" s="22">
        <v>1.40472</v>
      </c>
      <c r="AL309">
        <f t="shared" si="54"/>
        <v>16.999382716049382</v>
      </c>
      <c r="AM309">
        <f t="shared" si="55"/>
        <v>23.895012320987654</v>
      </c>
      <c r="AP309" s="9"/>
      <c r="AQ309" s="22">
        <v>0.354462</v>
      </c>
      <c r="AR309" s="22">
        <v>27.155999999999999</v>
      </c>
      <c r="AS309" s="22">
        <v>-1.51276E-2</v>
      </c>
      <c r="AT309" s="22">
        <v>299</v>
      </c>
      <c r="AU309" s="22">
        <v>0.353912</v>
      </c>
      <c r="AV309">
        <f t="shared" si="56"/>
        <v>18.676049382716048</v>
      </c>
      <c r="AW309">
        <f t="shared" si="57"/>
        <v>6.6199498162962955</v>
      </c>
      <c r="AX309" s="9"/>
      <c r="AY309" s="22">
        <v>1.40564</v>
      </c>
      <c r="AZ309" s="22">
        <v>31.096</v>
      </c>
      <c r="BA309" s="22">
        <v>-1.39557E-2</v>
      </c>
      <c r="BB309" s="22">
        <v>299</v>
      </c>
      <c r="BC309" s="22">
        <v>1.40472</v>
      </c>
      <c r="BD309">
        <f t="shared" si="58"/>
        <v>17.229259259259258</v>
      </c>
      <c r="BE309">
        <f t="shared" si="59"/>
        <v>24.218135985185185</v>
      </c>
    </row>
    <row r="310" spans="6:57">
      <c r="F310" s="9"/>
      <c r="G310" s="22">
        <v>0.34942600000000001</v>
      </c>
      <c r="H310" s="22">
        <v>8.0146200000000007</v>
      </c>
      <c r="I310" s="22">
        <v>-1.48834E-2</v>
      </c>
      <c r="J310" s="22">
        <v>300</v>
      </c>
      <c r="K310" s="22">
        <v>0.34878500000000001</v>
      </c>
      <c r="L310">
        <f t="shared" si="48"/>
        <v>18.374567901234567</v>
      </c>
      <c r="M310">
        <f t="shared" si="49"/>
        <v>6.4205517634567899</v>
      </c>
      <c r="N310" s="9"/>
      <c r="O310" s="22">
        <v>1.4106799999999999</v>
      </c>
      <c r="P310" s="22">
        <v>11.954700000000001</v>
      </c>
      <c r="Q310" s="22">
        <v>-1.36414E-2</v>
      </c>
      <c r="R310" s="22">
        <v>300</v>
      </c>
      <c r="S310" s="22">
        <v>1.40961</v>
      </c>
      <c r="T310">
        <f t="shared" si="50"/>
        <v>16.841234567901232</v>
      </c>
      <c r="U310">
        <f t="shared" si="51"/>
        <v>23.75759278024691</v>
      </c>
      <c r="X310" s="9"/>
      <c r="Y310" s="22">
        <v>0.34942600000000001</v>
      </c>
      <c r="Z310" s="22">
        <v>17.5928</v>
      </c>
      <c r="AA310" s="22">
        <v>-1.4932300000000001E-2</v>
      </c>
      <c r="AB310" s="22">
        <v>300</v>
      </c>
      <c r="AC310" s="22">
        <v>0.34890700000000002</v>
      </c>
      <c r="AD310">
        <f t="shared" si="52"/>
        <v>18.434938271604938</v>
      </c>
      <c r="AE310">
        <f t="shared" si="53"/>
        <v>6.4416467404938276</v>
      </c>
      <c r="AF310" s="9"/>
      <c r="AG310" s="22">
        <v>1.4106799999999999</v>
      </c>
      <c r="AH310" s="22">
        <v>21.532900000000001</v>
      </c>
      <c r="AI310" s="22">
        <v>-1.37482E-2</v>
      </c>
      <c r="AJ310" s="22">
        <v>300</v>
      </c>
      <c r="AK310" s="22">
        <v>1.40991</v>
      </c>
      <c r="AL310">
        <f t="shared" si="54"/>
        <v>16.973086419753084</v>
      </c>
      <c r="AM310">
        <f t="shared" si="55"/>
        <v>23.94359355061728</v>
      </c>
      <c r="AP310" s="9"/>
      <c r="AQ310" s="22">
        <v>0.34942600000000001</v>
      </c>
      <c r="AR310" s="22">
        <v>27.1661</v>
      </c>
      <c r="AS310" s="22">
        <v>-1.5130599999999999E-2</v>
      </c>
      <c r="AT310" s="22">
        <v>300</v>
      </c>
      <c r="AU310" s="22">
        <v>0.34887699999999999</v>
      </c>
      <c r="AV310">
        <f t="shared" si="56"/>
        <v>18.679753086419751</v>
      </c>
      <c r="AW310">
        <f t="shared" si="57"/>
        <v>6.5271914019753083</v>
      </c>
      <c r="AX310" s="9"/>
      <c r="AY310" s="22">
        <v>1.4106799999999999</v>
      </c>
      <c r="AZ310" s="22">
        <v>31.106100000000001</v>
      </c>
      <c r="BA310" s="22">
        <v>-1.3943499999999999E-2</v>
      </c>
      <c r="BB310" s="22">
        <v>300</v>
      </c>
      <c r="BC310" s="22">
        <v>1.40961</v>
      </c>
      <c r="BD310">
        <f t="shared" si="58"/>
        <v>17.214197530864197</v>
      </c>
      <c r="BE310">
        <f t="shared" si="59"/>
        <v>24.283724172839506</v>
      </c>
    </row>
    <row r="311" spans="6:57">
      <c r="F311" s="9"/>
      <c r="G311" s="22">
        <v>0.344391</v>
      </c>
      <c r="H311" s="22">
        <v>8.0246899999999997</v>
      </c>
      <c r="I311" s="22">
        <v>-1.48865E-2</v>
      </c>
      <c r="J311" s="22">
        <v>301</v>
      </c>
      <c r="K311" s="22">
        <v>0.34390300000000001</v>
      </c>
      <c r="L311">
        <f t="shared" si="48"/>
        <v>18.378395061728394</v>
      </c>
      <c r="M311">
        <f t="shared" si="49"/>
        <v>6.3293538537037035</v>
      </c>
      <c r="N311" s="9"/>
      <c r="O311" s="22">
        <v>1.41571</v>
      </c>
      <c r="P311" s="22">
        <v>11.964700000000001</v>
      </c>
      <c r="Q311" s="22">
        <v>-1.3629199999999999E-2</v>
      </c>
      <c r="R311" s="22">
        <v>301</v>
      </c>
      <c r="S311" s="22">
        <v>1.4151</v>
      </c>
      <c r="T311">
        <f t="shared" si="50"/>
        <v>16.826172839506171</v>
      </c>
      <c r="U311">
        <f t="shared" si="51"/>
        <v>23.820981150617282</v>
      </c>
      <c r="X311" s="9"/>
      <c r="Y311" s="22">
        <v>0.344391</v>
      </c>
      <c r="Z311" s="22">
        <v>17.602900000000002</v>
      </c>
      <c r="AA311" s="22">
        <v>-1.4941400000000001E-2</v>
      </c>
      <c r="AB311" s="22">
        <v>301</v>
      </c>
      <c r="AC311" s="22">
        <v>0.343719</v>
      </c>
      <c r="AD311">
        <f t="shared" si="52"/>
        <v>18.446172839506172</v>
      </c>
      <c r="AE311">
        <f t="shared" si="53"/>
        <v>6.35269591037037</v>
      </c>
      <c r="AF311" s="9"/>
      <c r="AG311" s="22">
        <v>1.41571</v>
      </c>
      <c r="AH311" s="22">
        <v>21.542999999999999</v>
      </c>
      <c r="AI311" s="22">
        <v>-1.37299E-2</v>
      </c>
      <c r="AJ311" s="22">
        <v>301</v>
      </c>
      <c r="AK311" s="22">
        <v>1.41479</v>
      </c>
      <c r="AL311">
        <f t="shared" si="54"/>
        <v>16.950493827160493</v>
      </c>
      <c r="AM311">
        <f t="shared" si="55"/>
        <v>23.996983616049381</v>
      </c>
      <c r="AP311" s="9"/>
      <c r="AQ311" s="22">
        <v>0.344391</v>
      </c>
      <c r="AR311" s="22">
        <v>27.176200000000001</v>
      </c>
      <c r="AS311" s="22">
        <v>-1.5136699999999999E-2</v>
      </c>
      <c r="AT311" s="22">
        <v>301</v>
      </c>
      <c r="AU311" s="22">
        <v>0.34347499999999997</v>
      </c>
      <c r="AV311">
        <f t="shared" si="56"/>
        <v>18.687283950617282</v>
      </c>
      <c r="AW311">
        <f t="shared" si="57"/>
        <v>6.4357324070370359</v>
      </c>
      <c r="AX311" s="9"/>
      <c r="AY311" s="22">
        <v>1.41571</v>
      </c>
      <c r="AZ311" s="22">
        <v>31.116199999999999</v>
      </c>
      <c r="BA311" s="22">
        <v>-1.39343E-2</v>
      </c>
      <c r="BB311" s="22">
        <v>301</v>
      </c>
      <c r="BC311" s="22">
        <v>1.41479</v>
      </c>
      <c r="BD311">
        <f t="shared" si="58"/>
        <v>17.202839506172836</v>
      </c>
      <c r="BE311">
        <f t="shared" si="59"/>
        <v>24.354231917283947</v>
      </c>
    </row>
    <row r="312" spans="6:57">
      <c r="F312" s="9"/>
      <c r="G312" s="22">
        <v>0.33935500000000002</v>
      </c>
      <c r="H312" s="22">
        <v>8.0347600000000003</v>
      </c>
      <c r="I312" s="22">
        <v>-1.4892600000000001E-2</v>
      </c>
      <c r="J312" s="22">
        <v>302</v>
      </c>
      <c r="K312" s="22">
        <v>0.33859299999999998</v>
      </c>
      <c r="L312">
        <f t="shared" si="48"/>
        <v>18.385925925925928</v>
      </c>
      <c r="M312">
        <f t="shared" si="49"/>
        <v>6.2393558925925934</v>
      </c>
      <c r="N312" s="9"/>
      <c r="O312" s="22">
        <v>1.42075</v>
      </c>
      <c r="P312" s="22">
        <v>11.9748</v>
      </c>
      <c r="Q312" s="22">
        <v>-1.3610799999999999E-2</v>
      </c>
      <c r="R312" s="22">
        <v>302</v>
      </c>
      <c r="S312" s="22">
        <v>1.41998</v>
      </c>
      <c r="T312">
        <f t="shared" si="50"/>
        <v>16.803456790123455</v>
      </c>
      <c r="U312">
        <f t="shared" si="51"/>
        <v>23.8735112345679</v>
      </c>
      <c r="X312" s="9"/>
      <c r="Y312" s="22">
        <v>0.33935500000000002</v>
      </c>
      <c r="Z312" s="22">
        <v>17.613</v>
      </c>
      <c r="AA312" s="22">
        <v>-1.4947500000000001E-2</v>
      </c>
      <c r="AB312" s="22">
        <v>302</v>
      </c>
      <c r="AC312" s="22">
        <v>0.338837</v>
      </c>
      <c r="AD312">
        <f t="shared" si="52"/>
        <v>18.453703703703706</v>
      </c>
      <c r="AE312">
        <f t="shared" si="53"/>
        <v>6.2623566203703716</v>
      </c>
      <c r="AF312" s="9"/>
      <c r="AG312" s="22">
        <v>1.42075</v>
      </c>
      <c r="AH312" s="22">
        <v>21.553000000000001</v>
      </c>
      <c r="AI312" s="22">
        <v>-1.3717699999999999E-2</v>
      </c>
      <c r="AJ312" s="22">
        <v>302</v>
      </c>
      <c r="AK312" s="22">
        <v>1.4196800000000001</v>
      </c>
      <c r="AL312">
        <f t="shared" si="54"/>
        <v>16.935432098765432</v>
      </c>
      <c r="AM312">
        <f t="shared" si="55"/>
        <v>24.061015154320987</v>
      </c>
      <c r="AP312" s="9"/>
      <c r="AQ312" s="22">
        <v>0.33935500000000002</v>
      </c>
      <c r="AR312" s="22">
        <v>27.186199999999999</v>
      </c>
      <c r="AS312" s="22">
        <v>-1.51398E-2</v>
      </c>
      <c r="AT312" s="22">
        <v>302</v>
      </c>
      <c r="AU312" s="22">
        <v>0.33856199999999997</v>
      </c>
      <c r="AV312">
        <f t="shared" si="56"/>
        <v>18.691111111111109</v>
      </c>
      <c r="AW312">
        <f t="shared" si="57"/>
        <v>6.3429220111111109</v>
      </c>
      <c r="AX312" s="9"/>
      <c r="AY312" s="22">
        <v>1.42075</v>
      </c>
      <c r="AZ312" s="22">
        <v>31.126300000000001</v>
      </c>
      <c r="BA312" s="22">
        <v>-1.39221E-2</v>
      </c>
      <c r="BB312" s="22">
        <v>302</v>
      </c>
      <c r="BC312" s="22">
        <v>1.4196800000000001</v>
      </c>
      <c r="BD312">
        <f t="shared" si="58"/>
        <v>17.187777777777779</v>
      </c>
      <c r="BE312">
        <f t="shared" si="59"/>
        <v>24.419535277777779</v>
      </c>
    </row>
    <row r="313" spans="6:57">
      <c r="F313" s="9"/>
      <c r="G313" s="22">
        <v>0.33432000000000001</v>
      </c>
      <c r="H313" s="22">
        <v>8.0448400000000007</v>
      </c>
      <c r="I313" s="22">
        <v>-1.4898700000000001E-2</v>
      </c>
      <c r="J313" s="22">
        <v>303</v>
      </c>
      <c r="K313" s="22">
        <v>0.33377099999999998</v>
      </c>
      <c r="L313">
        <f t="shared" si="48"/>
        <v>18.393456790123455</v>
      </c>
      <c r="M313">
        <f t="shared" si="49"/>
        <v>6.1493004740740735</v>
      </c>
      <c r="N313" s="9"/>
      <c r="O313" s="22">
        <v>1.42578</v>
      </c>
      <c r="P313" s="22">
        <v>11.9849</v>
      </c>
      <c r="Q313" s="22">
        <v>-1.3598600000000001E-2</v>
      </c>
      <c r="R313" s="22">
        <v>303</v>
      </c>
      <c r="S313" s="22">
        <v>1.42517</v>
      </c>
      <c r="T313">
        <f t="shared" si="50"/>
        <v>16.788395061728394</v>
      </c>
      <c r="U313">
        <f t="shared" si="51"/>
        <v>23.936557911111112</v>
      </c>
      <c r="X313" s="9"/>
      <c r="Y313" s="22">
        <v>0.33432000000000001</v>
      </c>
      <c r="Z313" s="22">
        <v>17.623100000000001</v>
      </c>
      <c r="AA313" s="22">
        <v>-1.4953599999999999E-2</v>
      </c>
      <c r="AB313" s="22">
        <v>303</v>
      </c>
      <c r="AC313" s="22">
        <v>0.33373999999999998</v>
      </c>
      <c r="AD313">
        <f t="shared" si="52"/>
        <v>18.461234567901233</v>
      </c>
      <c r="AE313">
        <f t="shared" si="53"/>
        <v>6.1719599407407406</v>
      </c>
      <c r="AF313" s="9"/>
      <c r="AG313" s="22">
        <v>1.42578</v>
      </c>
      <c r="AH313" s="22">
        <v>21.563099999999999</v>
      </c>
      <c r="AI313" s="22">
        <v>-1.37085E-2</v>
      </c>
      <c r="AJ313" s="22">
        <v>303</v>
      </c>
      <c r="AK313" s="22">
        <v>1.4248700000000001</v>
      </c>
      <c r="AL313">
        <f t="shared" si="54"/>
        <v>16.924074074074074</v>
      </c>
      <c r="AM313">
        <f t="shared" si="55"/>
        <v>24.130006333333334</v>
      </c>
      <c r="AP313" s="9"/>
      <c r="AQ313" s="22">
        <v>0.33432000000000001</v>
      </c>
      <c r="AR313" s="22">
        <v>27.196300000000001</v>
      </c>
      <c r="AS313" s="22">
        <v>-1.51489E-2</v>
      </c>
      <c r="AT313" s="22">
        <v>303</v>
      </c>
      <c r="AU313" s="22">
        <v>0.33380100000000001</v>
      </c>
      <c r="AV313">
        <f t="shared" si="56"/>
        <v>18.702345679012346</v>
      </c>
      <c r="AW313">
        <f t="shared" si="57"/>
        <v>6.2525682074074078</v>
      </c>
      <c r="AX313" s="9"/>
      <c r="AY313" s="22">
        <v>1.42578</v>
      </c>
      <c r="AZ313" s="22">
        <v>31.136299999999999</v>
      </c>
      <c r="BA313" s="22">
        <v>-1.39069E-2</v>
      </c>
      <c r="BB313" s="22">
        <v>303</v>
      </c>
      <c r="BC313" s="22">
        <v>1.42456</v>
      </c>
      <c r="BD313">
        <f t="shared" si="58"/>
        <v>17.169012345679011</v>
      </c>
      <c r="BE313">
        <f t="shared" si="59"/>
        <v>24.47923442222222</v>
      </c>
    </row>
    <row r="314" spans="6:57">
      <c r="F314" s="9"/>
      <c r="G314" s="22">
        <v>0.32928499999999999</v>
      </c>
      <c r="H314" s="22">
        <v>8.0549099999999996</v>
      </c>
      <c r="I314" s="22">
        <v>-1.49017E-2</v>
      </c>
      <c r="J314" s="22">
        <v>304</v>
      </c>
      <c r="K314" s="22">
        <v>0.32885700000000001</v>
      </c>
      <c r="L314">
        <f t="shared" si="48"/>
        <v>18.397160493827158</v>
      </c>
      <c r="M314">
        <f t="shared" si="49"/>
        <v>6.0579089932098755</v>
      </c>
      <c r="N314" s="9"/>
      <c r="O314" s="22">
        <v>1.43082</v>
      </c>
      <c r="P314" s="22">
        <v>11.994899999999999</v>
      </c>
      <c r="Q314" s="22">
        <v>-1.35803E-2</v>
      </c>
      <c r="R314" s="22">
        <v>304</v>
      </c>
      <c r="S314" s="22">
        <v>1.43005</v>
      </c>
      <c r="T314">
        <f t="shared" si="50"/>
        <v>16.765802469135803</v>
      </c>
      <c r="U314">
        <f t="shared" si="51"/>
        <v>23.988845488888888</v>
      </c>
      <c r="X314" s="9"/>
      <c r="Y314" s="22">
        <v>0.32928499999999999</v>
      </c>
      <c r="Z314" s="22">
        <v>17.633099999999999</v>
      </c>
      <c r="AA314" s="22">
        <v>-1.49567E-2</v>
      </c>
      <c r="AB314" s="22">
        <v>304</v>
      </c>
      <c r="AC314" s="22">
        <v>0.32858300000000001</v>
      </c>
      <c r="AD314">
        <f t="shared" si="52"/>
        <v>18.46506172839506</v>
      </c>
      <c r="AE314">
        <f t="shared" si="53"/>
        <v>6.0802678512345674</v>
      </c>
      <c r="AF314" s="9"/>
      <c r="AG314" s="22">
        <v>1.43082</v>
      </c>
      <c r="AH314" s="22">
        <v>21.5732</v>
      </c>
      <c r="AI314" s="22">
        <v>-1.3687100000000001E-2</v>
      </c>
      <c r="AJ314" s="22">
        <v>304</v>
      </c>
      <c r="AK314" s="22">
        <v>1.43005</v>
      </c>
      <c r="AL314">
        <f t="shared" si="54"/>
        <v>16.897654320987655</v>
      </c>
      <c r="AM314">
        <f t="shared" si="55"/>
        <v>24.177501755555557</v>
      </c>
      <c r="AP314" s="9"/>
      <c r="AQ314" s="22">
        <v>0.32928499999999999</v>
      </c>
      <c r="AR314" s="22">
        <v>27.206399999999999</v>
      </c>
      <c r="AS314" s="22">
        <v>-1.5152000000000001E-2</v>
      </c>
      <c r="AT314" s="22">
        <v>304</v>
      </c>
      <c r="AU314" s="22">
        <v>0.32867400000000002</v>
      </c>
      <c r="AV314">
        <f t="shared" si="56"/>
        <v>18.706172839506173</v>
      </c>
      <c r="AW314">
        <f t="shared" si="57"/>
        <v>6.1596621234567905</v>
      </c>
      <c r="AX314" s="9"/>
      <c r="AY314" s="22">
        <v>1.43082</v>
      </c>
      <c r="AZ314" s="22">
        <v>31.1464</v>
      </c>
      <c r="BA314" s="22">
        <v>-1.3894699999999999E-2</v>
      </c>
      <c r="BB314" s="22">
        <v>304</v>
      </c>
      <c r="BC314" s="22">
        <v>1.4297500000000001</v>
      </c>
      <c r="BD314">
        <f t="shared" si="58"/>
        <v>17.153950617283947</v>
      </c>
      <c r="BE314">
        <f t="shared" si="59"/>
        <v>24.544215622222215</v>
      </c>
    </row>
    <row r="315" spans="6:57">
      <c r="F315" s="9"/>
      <c r="G315" s="22">
        <v>0.32424900000000001</v>
      </c>
      <c r="H315" s="22">
        <v>8.0649800000000003</v>
      </c>
      <c r="I315" s="22">
        <v>-1.4907800000000001E-2</v>
      </c>
      <c r="J315" s="22">
        <v>305</v>
      </c>
      <c r="K315" s="22">
        <v>0.32339499999999999</v>
      </c>
      <c r="L315">
        <f t="shared" si="48"/>
        <v>18.404691358024692</v>
      </c>
      <c r="M315">
        <f t="shared" si="49"/>
        <v>5.9677027681481487</v>
      </c>
      <c r="N315" s="9"/>
      <c r="O315" s="22">
        <v>1.4358500000000001</v>
      </c>
      <c r="P315" s="22">
        <v>12.005000000000001</v>
      </c>
      <c r="Q315" s="22">
        <v>-1.3561999999999999E-2</v>
      </c>
      <c r="R315" s="22">
        <v>305</v>
      </c>
      <c r="S315" s="22">
        <v>1.4346300000000001</v>
      </c>
      <c r="T315">
        <f t="shared" si="50"/>
        <v>16.743209876543208</v>
      </c>
      <c r="U315">
        <f t="shared" si="51"/>
        <v>24.040737901234568</v>
      </c>
      <c r="X315" s="9"/>
      <c r="Y315" s="22">
        <v>0.32424900000000001</v>
      </c>
      <c r="Z315" s="22">
        <v>17.6432</v>
      </c>
      <c r="AA315" s="22">
        <v>-1.4959699999999999E-2</v>
      </c>
      <c r="AB315" s="22">
        <v>305</v>
      </c>
      <c r="AC315" s="22">
        <v>0.32379200000000002</v>
      </c>
      <c r="AD315">
        <f t="shared" si="52"/>
        <v>18.468765432098763</v>
      </c>
      <c r="AE315">
        <f t="shared" si="53"/>
        <v>5.9884787225925917</v>
      </c>
      <c r="AF315" s="9"/>
      <c r="AG315" s="22">
        <v>1.4358500000000001</v>
      </c>
      <c r="AH315" s="22">
        <v>21.583200000000001</v>
      </c>
      <c r="AI315" s="22">
        <v>-1.36627E-2</v>
      </c>
      <c r="AJ315" s="22">
        <v>305</v>
      </c>
      <c r="AK315" s="22">
        <v>1.4352400000000001</v>
      </c>
      <c r="AL315">
        <f t="shared" si="54"/>
        <v>16.86753086419753</v>
      </c>
      <c r="AM315">
        <f t="shared" si="55"/>
        <v>24.219244191358026</v>
      </c>
      <c r="AP315" s="9"/>
      <c r="AQ315" s="22">
        <v>0.32424900000000001</v>
      </c>
      <c r="AR315" s="22">
        <v>27.2164</v>
      </c>
      <c r="AS315" s="22">
        <v>-1.5155E-2</v>
      </c>
      <c r="AT315" s="22">
        <v>305</v>
      </c>
      <c r="AU315" s="22">
        <v>0.32366899999999998</v>
      </c>
      <c r="AV315">
        <f t="shared" si="56"/>
        <v>18.709876543209877</v>
      </c>
      <c r="AW315">
        <f t="shared" si="57"/>
        <v>6.0666587592592593</v>
      </c>
      <c r="AX315" s="9"/>
      <c r="AY315" s="22">
        <v>1.4358500000000001</v>
      </c>
      <c r="AZ315" s="22">
        <v>31.156500000000001</v>
      </c>
      <c r="BA315" s="22">
        <v>-1.38824E-2</v>
      </c>
      <c r="BB315" s="22">
        <v>305</v>
      </c>
      <c r="BC315" s="22">
        <v>1.4346300000000001</v>
      </c>
      <c r="BD315">
        <f t="shared" si="58"/>
        <v>17.138765432098765</v>
      </c>
      <c r="BE315">
        <f t="shared" si="59"/>
        <v>24.608696345679014</v>
      </c>
    </row>
    <row r="316" spans="6:57">
      <c r="F316" s="9"/>
      <c r="G316" s="22">
        <v>0.319214</v>
      </c>
      <c r="H316" s="22">
        <v>8.0750499999999992</v>
      </c>
      <c r="I316" s="22">
        <v>-1.4907800000000001E-2</v>
      </c>
      <c r="J316" s="22">
        <v>306</v>
      </c>
      <c r="K316" s="22">
        <v>0.318573</v>
      </c>
      <c r="L316">
        <f t="shared" si="48"/>
        <v>18.404691358024692</v>
      </c>
      <c r="M316">
        <f t="shared" si="49"/>
        <v>5.875035147160494</v>
      </c>
      <c r="N316" s="9"/>
      <c r="O316" s="22">
        <v>1.44089</v>
      </c>
      <c r="P316" s="22">
        <v>12.0151</v>
      </c>
      <c r="Q316" s="22">
        <v>-1.35406E-2</v>
      </c>
      <c r="R316" s="22">
        <v>306</v>
      </c>
      <c r="S316" s="22">
        <v>1.4395100000000001</v>
      </c>
      <c r="T316">
        <f t="shared" si="50"/>
        <v>16.716790123456789</v>
      </c>
      <c r="U316">
        <f t="shared" si="51"/>
        <v>24.087055720987653</v>
      </c>
      <c r="X316" s="9"/>
      <c r="Y316" s="22">
        <v>0.319214</v>
      </c>
      <c r="Z316" s="22">
        <v>17.653300000000002</v>
      </c>
      <c r="AA316" s="22">
        <v>-1.49628E-2</v>
      </c>
      <c r="AB316" s="22">
        <v>306</v>
      </c>
      <c r="AC316" s="22">
        <v>0.31845099999999998</v>
      </c>
      <c r="AD316">
        <f t="shared" si="52"/>
        <v>18.472592592592594</v>
      </c>
      <c r="AE316">
        <f t="shared" si="53"/>
        <v>5.8967101718518524</v>
      </c>
      <c r="AF316" s="9"/>
      <c r="AG316" s="22">
        <v>1.44089</v>
      </c>
      <c r="AH316" s="22">
        <v>21.593299999999999</v>
      </c>
      <c r="AI316" s="22">
        <v>-1.3638300000000001E-2</v>
      </c>
      <c r="AJ316" s="22">
        <v>306</v>
      </c>
      <c r="AK316" s="22">
        <v>1.4398200000000001</v>
      </c>
      <c r="AL316">
        <f t="shared" si="54"/>
        <v>16.837407407407408</v>
      </c>
      <c r="AM316">
        <f t="shared" si="55"/>
        <v>24.260851959259259</v>
      </c>
      <c r="AP316" s="9"/>
      <c r="AQ316" s="22">
        <v>0.319214</v>
      </c>
      <c r="AR316" s="22">
        <v>27.226500000000001</v>
      </c>
      <c r="AS316" s="22">
        <v>-1.51611E-2</v>
      </c>
      <c r="AT316" s="22">
        <v>306</v>
      </c>
      <c r="AU316" s="22">
        <v>0.31848100000000001</v>
      </c>
      <c r="AV316">
        <f t="shared" si="56"/>
        <v>18.717407407407403</v>
      </c>
      <c r="AW316">
        <f t="shared" si="57"/>
        <v>5.974858488148147</v>
      </c>
      <c r="AX316" s="9"/>
      <c r="AY316" s="22">
        <v>1.44089</v>
      </c>
      <c r="AZ316" s="22">
        <v>31.166499999999999</v>
      </c>
      <c r="BA316" s="22">
        <v>-1.38672E-2</v>
      </c>
      <c r="BB316" s="22">
        <v>306</v>
      </c>
      <c r="BC316" s="22">
        <v>1.4401200000000001</v>
      </c>
      <c r="BD316">
        <f t="shared" si="58"/>
        <v>17.12</v>
      </c>
      <c r="BE316">
        <f t="shared" si="59"/>
        <v>24.668036800000003</v>
      </c>
    </row>
    <row r="317" spans="6:57">
      <c r="F317" s="9"/>
      <c r="G317" s="22">
        <v>0.31417800000000001</v>
      </c>
      <c r="H317" s="22">
        <v>8.0851199999999999</v>
      </c>
      <c r="I317" s="22">
        <v>-1.49109E-2</v>
      </c>
      <c r="J317" s="22">
        <v>307</v>
      </c>
      <c r="K317" s="22">
        <v>0.31353799999999998</v>
      </c>
      <c r="L317">
        <f t="shared" si="48"/>
        <v>18.408518518518516</v>
      </c>
      <c r="M317">
        <f t="shared" si="49"/>
        <v>5.7835515311111108</v>
      </c>
      <c r="N317" s="9"/>
      <c r="O317" s="22">
        <v>1.4459200000000001</v>
      </c>
      <c r="P317" s="22">
        <v>12.0252</v>
      </c>
      <c r="Q317" s="22">
        <v>-1.35132E-2</v>
      </c>
      <c r="R317" s="22">
        <v>307</v>
      </c>
      <c r="S317" s="22">
        <v>1.4447000000000001</v>
      </c>
      <c r="T317">
        <f t="shared" si="50"/>
        <v>16.682962962962961</v>
      </c>
      <c r="U317">
        <f t="shared" si="51"/>
        <v>24.122229807407408</v>
      </c>
      <c r="X317" s="9"/>
      <c r="Y317" s="22">
        <v>0.31417800000000001</v>
      </c>
      <c r="Z317" s="22">
        <v>17.6633</v>
      </c>
      <c r="AA317" s="22">
        <v>-1.49658E-2</v>
      </c>
      <c r="AB317" s="22">
        <v>307</v>
      </c>
      <c r="AC317" s="22">
        <v>0.31372100000000003</v>
      </c>
      <c r="AD317">
        <f t="shared" si="52"/>
        <v>18.476296296296297</v>
      </c>
      <c r="AE317">
        <f t="shared" si="53"/>
        <v>5.8048458177777782</v>
      </c>
      <c r="AF317" s="9"/>
      <c r="AG317" s="22">
        <v>1.4459200000000001</v>
      </c>
      <c r="AH317" s="22">
        <v>21.603400000000001</v>
      </c>
      <c r="AI317" s="22">
        <v>-1.3623E-2</v>
      </c>
      <c r="AJ317" s="22">
        <v>307</v>
      </c>
      <c r="AK317" s="22">
        <v>1.4453100000000001</v>
      </c>
      <c r="AL317">
        <f t="shared" si="54"/>
        <v>16.818518518518516</v>
      </c>
      <c r="AM317">
        <f t="shared" si="55"/>
        <v>24.318232296296294</v>
      </c>
      <c r="AP317" s="9"/>
      <c r="AQ317" s="22">
        <v>0.31417800000000001</v>
      </c>
      <c r="AR317" s="22">
        <v>27.236599999999999</v>
      </c>
      <c r="AS317" s="22">
        <v>-1.51672E-2</v>
      </c>
      <c r="AT317" s="22">
        <v>307</v>
      </c>
      <c r="AU317" s="22">
        <v>0.312469</v>
      </c>
      <c r="AV317">
        <f t="shared" si="56"/>
        <v>18.724938271604938</v>
      </c>
      <c r="AW317">
        <f t="shared" si="57"/>
        <v>5.8829636562962966</v>
      </c>
      <c r="AX317" s="9"/>
      <c r="AY317" s="22">
        <v>1.4459200000000001</v>
      </c>
      <c r="AZ317" s="22">
        <v>31.176600000000001</v>
      </c>
      <c r="BA317" s="22">
        <v>-1.38519E-2</v>
      </c>
      <c r="BB317" s="22">
        <v>307</v>
      </c>
      <c r="BC317" s="22">
        <v>1.4450099999999999</v>
      </c>
      <c r="BD317">
        <f t="shared" si="58"/>
        <v>17.101111111111113</v>
      </c>
      <c r="BE317">
        <f t="shared" si="59"/>
        <v>24.72683857777778</v>
      </c>
    </row>
    <row r="318" spans="6:57">
      <c r="F318" s="9"/>
      <c r="G318" s="22">
        <v>0.309143</v>
      </c>
      <c r="H318" s="22">
        <v>8.0951900000000006</v>
      </c>
      <c r="I318" s="22">
        <v>-1.4917E-2</v>
      </c>
      <c r="J318" s="22">
        <v>308</v>
      </c>
      <c r="K318" s="22">
        <v>0.30837999999999999</v>
      </c>
      <c r="L318">
        <f t="shared" si="48"/>
        <v>18.416049382716047</v>
      </c>
      <c r="M318">
        <f t="shared" si="49"/>
        <v>5.6931927543209868</v>
      </c>
      <c r="N318" s="9"/>
      <c r="O318" s="22">
        <v>1.45096</v>
      </c>
      <c r="P318" s="22">
        <v>12.0352</v>
      </c>
      <c r="Q318" s="22">
        <v>-1.34918E-2</v>
      </c>
      <c r="R318" s="22">
        <v>308</v>
      </c>
      <c r="S318" s="22">
        <v>1.4498899999999999</v>
      </c>
      <c r="T318">
        <f t="shared" si="50"/>
        <v>16.656543209876542</v>
      </c>
      <c r="U318">
        <f t="shared" si="51"/>
        <v>24.167977935802469</v>
      </c>
      <c r="X318" s="9"/>
      <c r="Y318" s="22">
        <v>0.309143</v>
      </c>
      <c r="Z318" s="22">
        <v>17.673400000000001</v>
      </c>
      <c r="AA318" s="22">
        <v>-1.49719E-2</v>
      </c>
      <c r="AB318" s="22">
        <v>308</v>
      </c>
      <c r="AC318" s="22">
        <v>0.30844100000000002</v>
      </c>
      <c r="AD318">
        <f t="shared" si="52"/>
        <v>18.483827160493824</v>
      </c>
      <c r="AE318">
        <f t="shared" si="53"/>
        <v>5.7141457798765423</v>
      </c>
      <c r="AF318" s="9"/>
      <c r="AG318" s="22">
        <v>1.45096</v>
      </c>
      <c r="AH318" s="22">
        <v>21.613499999999998</v>
      </c>
      <c r="AI318" s="22">
        <v>-1.3598600000000001E-2</v>
      </c>
      <c r="AJ318" s="22">
        <v>308</v>
      </c>
      <c r="AK318" s="22">
        <v>1.4495800000000001</v>
      </c>
      <c r="AL318">
        <f t="shared" si="54"/>
        <v>16.788395061728394</v>
      </c>
      <c r="AM318">
        <f t="shared" si="55"/>
        <v>24.35928969876543</v>
      </c>
      <c r="AP318" s="9"/>
      <c r="AQ318" s="22">
        <v>0.309143</v>
      </c>
      <c r="AR318" s="22">
        <v>27.246600000000001</v>
      </c>
      <c r="AS318" s="22">
        <v>-1.5173300000000001E-2</v>
      </c>
      <c r="AT318" s="22">
        <v>308</v>
      </c>
      <c r="AU318" s="22">
        <v>0.30859399999999998</v>
      </c>
      <c r="AV318">
        <f t="shared" si="56"/>
        <v>18.732469135802468</v>
      </c>
      <c r="AW318">
        <f t="shared" si="57"/>
        <v>5.7910117060493826</v>
      </c>
      <c r="AX318" s="9"/>
      <c r="AY318" s="22">
        <v>1.45096</v>
      </c>
      <c r="AZ318" s="22">
        <v>31.186699999999998</v>
      </c>
      <c r="BA318" s="22">
        <v>-1.38367E-2</v>
      </c>
      <c r="BB318" s="22">
        <v>308</v>
      </c>
      <c r="BC318" s="22">
        <v>1.4501999999999999</v>
      </c>
      <c r="BD318">
        <f t="shared" si="58"/>
        <v>17.082345679012345</v>
      </c>
      <c r="BE318">
        <f t="shared" si="59"/>
        <v>24.785800286419754</v>
      </c>
    </row>
    <row r="319" spans="6:57">
      <c r="F319" s="9"/>
      <c r="G319" s="22">
        <v>0.30410799999999999</v>
      </c>
      <c r="H319" s="22">
        <v>8.1052599999999995</v>
      </c>
      <c r="I319" s="22">
        <v>-1.4926099999999999E-2</v>
      </c>
      <c r="J319" s="22">
        <v>309</v>
      </c>
      <c r="K319" s="22">
        <v>0.30361900000000003</v>
      </c>
      <c r="L319">
        <f t="shared" si="48"/>
        <v>18.427283950617284</v>
      </c>
      <c r="M319">
        <f t="shared" si="49"/>
        <v>5.6038844676543205</v>
      </c>
      <c r="N319" s="9"/>
      <c r="O319" s="22">
        <v>1.4559899999999999</v>
      </c>
      <c r="P319" s="22">
        <v>12.045299999999999</v>
      </c>
      <c r="Q319" s="22">
        <v>-1.3467399999999999E-2</v>
      </c>
      <c r="R319" s="22">
        <v>309</v>
      </c>
      <c r="S319" s="22">
        <v>1.4550799999999999</v>
      </c>
      <c r="T319">
        <f t="shared" si="50"/>
        <v>16.626419753086417</v>
      </c>
      <c r="U319">
        <f t="shared" si="51"/>
        <v>24.207900896296291</v>
      </c>
      <c r="X319" s="9"/>
      <c r="Y319" s="22">
        <v>0.30410799999999999</v>
      </c>
      <c r="Z319" s="22">
        <v>17.683499999999999</v>
      </c>
      <c r="AA319" s="22">
        <v>-1.4978E-2</v>
      </c>
      <c r="AB319" s="22">
        <v>309</v>
      </c>
      <c r="AC319" s="22">
        <v>0.30343599999999998</v>
      </c>
      <c r="AD319">
        <f t="shared" si="52"/>
        <v>18.491358024691355</v>
      </c>
      <c r="AE319">
        <f t="shared" si="53"/>
        <v>5.6233699061728384</v>
      </c>
      <c r="AF319" s="9"/>
      <c r="AG319" s="22">
        <v>1.4559899999999999</v>
      </c>
      <c r="AH319" s="22">
        <v>21.6235</v>
      </c>
      <c r="AI319" s="22">
        <v>-1.35803E-2</v>
      </c>
      <c r="AJ319" s="22">
        <v>309</v>
      </c>
      <c r="AK319" s="22">
        <v>1.4553799999999999</v>
      </c>
      <c r="AL319">
        <f t="shared" si="54"/>
        <v>16.765802469135803</v>
      </c>
      <c r="AM319">
        <f t="shared" si="55"/>
        <v>24.410840737037034</v>
      </c>
      <c r="AP319" s="9"/>
      <c r="AQ319" s="22">
        <v>0.30410799999999999</v>
      </c>
      <c r="AR319" s="22">
        <v>27.256699999999999</v>
      </c>
      <c r="AS319" s="22">
        <v>-1.51825E-2</v>
      </c>
      <c r="AT319" s="22">
        <v>309</v>
      </c>
      <c r="AU319" s="22">
        <v>0.30368000000000001</v>
      </c>
      <c r="AV319">
        <f t="shared" si="56"/>
        <v>18.743827160493826</v>
      </c>
      <c r="AW319">
        <f t="shared" si="57"/>
        <v>5.7001477901234558</v>
      </c>
      <c r="AX319" s="9"/>
      <c r="AY319" s="22">
        <v>1.4559899999999999</v>
      </c>
      <c r="AZ319" s="22">
        <v>31.1968</v>
      </c>
      <c r="BA319" s="22">
        <v>-1.3821399999999999E-2</v>
      </c>
      <c r="BB319" s="22">
        <v>309</v>
      </c>
      <c r="BC319" s="22">
        <v>1.4553799999999999</v>
      </c>
      <c r="BD319">
        <f t="shared" si="58"/>
        <v>17.063456790123453</v>
      </c>
      <c r="BE319">
        <f t="shared" si="59"/>
        <v>24.844222451851845</v>
      </c>
    </row>
    <row r="320" spans="6:57">
      <c r="F320" s="9"/>
      <c r="G320" s="22">
        <v>0.299072</v>
      </c>
      <c r="H320" s="22">
        <v>8.1153300000000002</v>
      </c>
      <c r="I320" s="22">
        <v>-1.4932300000000001E-2</v>
      </c>
      <c r="J320" s="22">
        <v>310</v>
      </c>
      <c r="K320" s="22">
        <v>0.29846200000000001</v>
      </c>
      <c r="L320">
        <f t="shared" si="48"/>
        <v>18.434938271604938</v>
      </c>
      <c r="M320">
        <f t="shared" si="49"/>
        <v>5.5133738587654326</v>
      </c>
      <c r="N320" s="9"/>
      <c r="O320" s="22">
        <v>1.4610300000000001</v>
      </c>
      <c r="P320" s="22">
        <v>12.055400000000001</v>
      </c>
      <c r="Q320" s="22">
        <v>-1.34521E-2</v>
      </c>
      <c r="R320" s="22">
        <v>310</v>
      </c>
      <c r="S320" s="22">
        <v>1.46027</v>
      </c>
      <c r="T320">
        <f t="shared" si="50"/>
        <v>16.607530864197528</v>
      </c>
      <c r="U320">
        <f t="shared" si="51"/>
        <v>24.264100818518514</v>
      </c>
      <c r="X320" s="9"/>
      <c r="Y320" s="22">
        <v>0.299072</v>
      </c>
      <c r="Z320" s="22">
        <v>17.6936</v>
      </c>
      <c r="AA320" s="22">
        <v>-1.49841E-2</v>
      </c>
      <c r="AB320" s="22">
        <v>310</v>
      </c>
      <c r="AC320" s="22">
        <v>0.29846200000000001</v>
      </c>
      <c r="AD320">
        <f t="shared" si="52"/>
        <v>18.498888888888889</v>
      </c>
      <c r="AE320">
        <f t="shared" si="53"/>
        <v>5.5324996977777774</v>
      </c>
      <c r="AF320" s="9"/>
      <c r="AG320" s="22">
        <v>1.4610300000000001</v>
      </c>
      <c r="AH320" s="22">
        <v>21.633600000000001</v>
      </c>
      <c r="AI320" s="22">
        <v>-1.3559E-2</v>
      </c>
      <c r="AJ320" s="22">
        <v>310</v>
      </c>
      <c r="AK320" s="22">
        <v>1.46027</v>
      </c>
      <c r="AL320">
        <f t="shared" si="54"/>
        <v>16.739506172839505</v>
      </c>
      <c r="AM320">
        <f t="shared" si="55"/>
        <v>24.456920703703702</v>
      </c>
      <c r="AP320" s="9"/>
      <c r="AQ320" s="22">
        <v>0.299072</v>
      </c>
      <c r="AR320" s="22">
        <v>27.2668</v>
      </c>
      <c r="AS320" s="22">
        <v>-1.51886E-2</v>
      </c>
      <c r="AT320" s="22">
        <v>310</v>
      </c>
      <c r="AU320" s="22">
        <v>0.29849199999999998</v>
      </c>
      <c r="AV320">
        <f t="shared" si="56"/>
        <v>18.751358024691356</v>
      </c>
      <c r="AW320">
        <f t="shared" si="57"/>
        <v>5.6080061471604932</v>
      </c>
      <c r="AX320" s="9"/>
      <c r="AY320" s="22">
        <v>1.4610300000000001</v>
      </c>
      <c r="AZ320" s="22">
        <v>31.206800000000001</v>
      </c>
      <c r="BA320" s="22">
        <v>-1.38031E-2</v>
      </c>
      <c r="BB320" s="22">
        <v>310</v>
      </c>
      <c r="BC320" s="22">
        <v>1.4605699999999999</v>
      </c>
      <c r="BD320">
        <f t="shared" si="58"/>
        <v>17.040864197530862</v>
      </c>
      <c r="BE320">
        <f t="shared" si="59"/>
        <v>24.897213818518516</v>
      </c>
    </row>
    <row r="321" spans="6:57">
      <c r="F321" s="9"/>
      <c r="G321" s="22">
        <v>0.29403699999999999</v>
      </c>
      <c r="H321" s="22">
        <v>8.1254000000000008</v>
      </c>
      <c r="I321" s="22">
        <v>-1.4938399999999999E-2</v>
      </c>
      <c r="J321" s="22">
        <v>311</v>
      </c>
      <c r="K321" s="22">
        <v>0.29333500000000001</v>
      </c>
      <c r="L321">
        <f t="shared" si="48"/>
        <v>18.442469135802465</v>
      </c>
      <c r="M321">
        <f t="shared" si="49"/>
        <v>5.422768297283949</v>
      </c>
      <c r="N321" s="9"/>
      <c r="O321" s="22">
        <v>1.4660599999999999</v>
      </c>
      <c r="P321" s="22">
        <v>12.0654</v>
      </c>
      <c r="Q321" s="22">
        <v>-1.34369E-2</v>
      </c>
      <c r="R321" s="22">
        <v>311</v>
      </c>
      <c r="S321" s="22">
        <v>1.46515</v>
      </c>
      <c r="T321">
        <f t="shared" si="50"/>
        <v>16.588765432098764</v>
      </c>
      <c r="U321">
        <f t="shared" si="51"/>
        <v>24.320125449382711</v>
      </c>
      <c r="X321" s="9"/>
      <c r="Y321" s="22">
        <v>0.29403699999999999</v>
      </c>
      <c r="Z321" s="22">
        <v>17.703600000000002</v>
      </c>
      <c r="AA321" s="22">
        <v>-1.4987199999999999E-2</v>
      </c>
      <c r="AB321" s="22">
        <v>311</v>
      </c>
      <c r="AC321" s="22">
        <v>0.29348800000000003</v>
      </c>
      <c r="AD321">
        <f t="shared" si="52"/>
        <v>18.502716049382713</v>
      </c>
      <c r="AE321">
        <f t="shared" si="53"/>
        <v>5.4404831190123444</v>
      </c>
      <c r="AF321" s="9"/>
      <c r="AG321" s="22">
        <v>1.4660599999999999</v>
      </c>
      <c r="AH321" s="22">
        <v>21.643699999999999</v>
      </c>
      <c r="AI321" s="22">
        <v>-1.35376E-2</v>
      </c>
      <c r="AJ321" s="22">
        <v>311</v>
      </c>
      <c r="AK321" s="22">
        <v>1.4660599999999999</v>
      </c>
      <c r="AL321">
        <f t="shared" si="54"/>
        <v>16.713086419753086</v>
      </c>
      <c r="AM321">
        <f t="shared" si="55"/>
        <v>24.502387476543209</v>
      </c>
      <c r="AP321" s="9"/>
      <c r="AQ321" s="22">
        <v>0.29403699999999999</v>
      </c>
      <c r="AR321" s="22">
        <v>27.276900000000001</v>
      </c>
      <c r="AS321" s="22">
        <v>-1.5191700000000001E-2</v>
      </c>
      <c r="AT321" s="22">
        <v>311</v>
      </c>
      <c r="AU321" s="22">
        <v>0.29367100000000002</v>
      </c>
      <c r="AV321">
        <f t="shared" si="56"/>
        <v>18.755185185185184</v>
      </c>
      <c r="AW321">
        <f t="shared" si="57"/>
        <v>5.5147183862962956</v>
      </c>
      <c r="AX321" s="9"/>
      <c r="AY321" s="22">
        <v>1.4660599999999999</v>
      </c>
      <c r="AZ321" s="22">
        <v>31.216899999999999</v>
      </c>
      <c r="BA321" s="22">
        <v>-1.3781699999999999E-2</v>
      </c>
      <c r="BB321" s="22">
        <v>311</v>
      </c>
      <c r="BC321" s="22">
        <v>1.46515</v>
      </c>
      <c r="BD321">
        <f t="shared" si="58"/>
        <v>17.014444444444443</v>
      </c>
      <c r="BE321">
        <f t="shared" si="59"/>
        <v>24.94419642222222</v>
      </c>
    </row>
    <row r="322" spans="6:57">
      <c r="F322" s="9"/>
      <c r="G322" s="22">
        <v>0.28900100000000001</v>
      </c>
      <c r="H322" s="22">
        <v>8.1354699999999998</v>
      </c>
      <c r="I322" s="22">
        <v>-1.4944499999999999E-2</v>
      </c>
      <c r="J322" s="22">
        <v>312</v>
      </c>
      <c r="K322" s="22">
        <v>0.28823900000000002</v>
      </c>
      <c r="L322">
        <f t="shared" si="48"/>
        <v>18.45</v>
      </c>
      <c r="M322">
        <f t="shared" si="49"/>
        <v>5.3320684499999995</v>
      </c>
      <c r="N322" s="9"/>
      <c r="O322" s="22">
        <v>1.4711000000000001</v>
      </c>
      <c r="P322" s="22">
        <v>12.0755</v>
      </c>
      <c r="Q322" s="22">
        <v>-1.3421600000000001E-2</v>
      </c>
      <c r="R322" s="22">
        <v>312</v>
      </c>
      <c r="S322" s="22">
        <v>1.47034</v>
      </c>
      <c r="T322">
        <f t="shared" si="50"/>
        <v>16.569876543209876</v>
      </c>
      <c r="U322">
        <f t="shared" si="51"/>
        <v>24.375945382716051</v>
      </c>
      <c r="X322" s="9"/>
      <c r="Y322" s="22">
        <v>0.28900100000000001</v>
      </c>
      <c r="Z322" s="22">
        <v>17.713699999999999</v>
      </c>
      <c r="AA322" s="22">
        <v>-1.49902E-2</v>
      </c>
      <c r="AB322" s="22">
        <v>312</v>
      </c>
      <c r="AC322" s="22">
        <v>0.28848299999999999</v>
      </c>
      <c r="AD322">
        <f t="shared" si="52"/>
        <v>18.506419753086419</v>
      </c>
      <c r="AE322">
        <f t="shared" si="53"/>
        <v>5.3483738150617279</v>
      </c>
      <c r="AF322" s="9"/>
      <c r="AG322" s="22">
        <v>1.4711000000000001</v>
      </c>
      <c r="AH322" s="22">
        <v>21.653700000000001</v>
      </c>
      <c r="AI322" s="22">
        <v>-1.35193E-2</v>
      </c>
      <c r="AJ322" s="22">
        <v>312</v>
      </c>
      <c r="AK322" s="22">
        <v>1.47034</v>
      </c>
      <c r="AL322">
        <f t="shared" si="54"/>
        <v>16.690493827160495</v>
      </c>
      <c r="AM322">
        <f t="shared" si="55"/>
        <v>24.553385469135804</v>
      </c>
      <c r="AP322" s="9"/>
      <c r="AQ322" s="22">
        <v>0.28900100000000001</v>
      </c>
      <c r="AR322" s="22">
        <v>27.286899999999999</v>
      </c>
      <c r="AS322" s="22">
        <v>-1.51947E-2</v>
      </c>
      <c r="AT322" s="22">
        <v>312</v>
      </c>
      <c r="AU322" s="22">
        <v>0.28839100000000001</v>
      </c>
      <c r="AV322">
        <f t="shared" si="56"/>
        <v>18.758888888888887</v>
      </c>
      <c r="AW322">
        <f t="shared" si="57"/>
        <v>5.4213376477777775</v>
      </c>
      <c r="AX322" s="9"/>
      <c r="AY322" s="22">
        <v>1.4711000000000001</v>
      </c>
      <c r="AZ322" s="22">
        <v>31.227</v>
      </c>
      <c r="BA322" s="22">
        <v>-1.3760400000000001E-2</v>
      </c>
      <c r="BB322" s="22">
        <v>312</v>
      </c>
      <c r="BC322" s="22">
        <v>1.46973</v>
      </c>
      <c r="BD322">
        <f t="shared" si="58"/>
        <v>16.988148148148149</v>
      </c>
      <c r="BE322">
        <f t="shared" si="59"/>
        <v>24.991264740740743</v>
      </c>
    </row>
    <row r="323" spans="6:57">
      <c r="F323" s="9"/>
      <c r="G323" s="22">
        <v>0.283966</v>
      </c>
      <c r="H323" s="22">
        <v>8.1455500000000001</v>
      </c>
      <c r="I323" s="22">
        <v>-1.4947500000000001E-2</v>
      </c>
      <c r="J323" s="22">
        <v>313</v>
      </c>
      <c r="K323" s="22">
        <v>0.283356</v>
      </c>
      <c r="L323">
        <f t="shared" si="48"/>
        <v>18.453703703703706</v>
      </c>
      <c r="M323">
        <f t="shared" si="49"/>
        <v>5.2402244259259261</v>
      </c>
      <c r="N323" s="9"/>
      <c r="O323" s="22">
        <v>1.47614</v>
      </c>
      <c r="P323" s="22">
        <v>12.085599999999999</v>
      </c>
      <c r="Q323" s="22">
        <v>-1.33942E-2</v>
      </c>
      <c r="R323" s="22">
        <v>313</v>
      </c>
      <c r="S323" s="22">
        <v>1.4755199999999999</v>
      </c>
      <c r="T323">
        <f t="shared" si="50"/>
        <v>16.536049382716048</v>
      </c>
      <c r="U323">
        <f t="shared" si="51"/>
        <v>24.409523935802465</v>
      </c>
      <c r="X323" s="9"/>
      <c r="Y323" s="22">
        <v>0.283966</v>
      </c>
      <c r="Z323" s="22">
        <v>17.723800000000001</v>
      </c>
      <c r="AA323" s="22">
        <v>-1.4996300000000001E-2</v>
      </c>
      <c r="AB323" s="22">
        <v>313</v>
      </c>
      <c r="AC323" s="22">
        <v>0.28338600000000003</v>
      </c>
      <c r="AD323">
        <f t="shared" si="52"/>
        <v>18.51395061728395</v>
      </c>
      <c r="AE323">
        <f t="shared" si="53"/>
        <v>5.2573325009876539</v>
      </c>
      <c r="AF323" s="9"/>
      <c r="AG323" s="22">
        <v>1.47614</v>
      </c>
      <c r="AH323" s="22">
        <v>21.663799999999998</v>
      </c>
      <c r="AI323" s="22">
        <v>-1.3494900000000001E-2</v>
      </c>
      <c r="AJ323" s="22">
        <v>313</v>
      </c>
      <c r="AK323" s="22">
        <v>1.47522</v>
      </c>
      <c r="AL323">
        <f t="shared" si="54"/>
        <v>16.660370370370369</v>
      </c>
      <c r="AM323">
        <f t="shared" si="55"/>
        <v>24.593039118518519</v>
      </c>
      <c r="AP323" s="9"/>
      <c r="AQ323" s="22">
        <v>0.283966</v>
      </c>
      <c r="AR323" s="22">
        <v>27.297000000000001</v>
      </c>
      <c r="AS323" s="22">
        <v>-1.52008E-2</v>
      </c>
      <c r="AT323" s="22">
        <v>313</v>
      </c>
      <c r="AU323" s="22">
        <v>0.28323399999999999</v>
      </c>
      <c r="AV323">
        <f t="shared" si="56"/>
        <v>18.766419753086421</v>
      </c>
      <c r="AW323">
        <f t="shared" si="57"/>
        <v>5.3290251516049381</v>
      </c>
      <c r="AX323" s="9"/>
      <c r="AY323" s="22">
        <v>1.47614</v>
      </c>
      <c r="AZ323" s="22">
        <v>31.236999999999998</v>
      </c>
      <c r="BA323" s="22">
        <v>-1.3738999999999999E-2</v>
      </c>
      <c r="BB323" s="22">
        <v>313</v>
      </c>
      <c r="BC323" s="22">
        <v>1.4755199999999999</v>
      </c>
      <c r="BD323">
        <f t="shared" si="58"/>
        <v>16.961728395061726</v>
      </c>
      <c r="BE323">
        <f t="shared" si="59"/>
        <v>25.037885753086417</v>
      </c>
    </row>
    <row r="324" spans="6:57">
      <c r="F324" s="9"/>
      <c r="G324" s="22">
        <v>0.27893099999999998</v>
      </c>
      <c r="H324" s="22">
        <v>8.1556200000000008</v>
      </c>
      <c r="I324" s="22">
        <v>-1.4953599999999999E-2</v>
      </c>
      <c r="J324" s="22">
        <v>314</v>
      </c>
      <c r="K324" s="22">
        <v>0.27862500000000001</v>
      </c>
      <c r="L324">
        <f t="shared" si="48"/>
        <v>18.461234567901233</v>
      </c>
      <c r="M324">
        <f t="shared" si="49"/>
        <v>5.1494106192592586</v>
      </c>
      <c r="N324" s="9"/>
      <c r="O324" s="22">
        <v>1.4811700000000001</v>
      </c>
      <c r="P324" s="22">
        <v>12.095700000000001</v>
      </c>
      <c r="Q324" s="22">
        <v>-1.33667E-2</v>
      </c>
      <c r="R324" s="22">
        <v>314</v>
      </c>
      <c r="S324" s="22">
        <v>1.48041</v>
      </c>
      <c r="T324">
        <f t="shared" si="50"/>
        <v>16.502098765432098</v>
      </c>
      <c r="U324">
        <f t="shared" si="51"/>
        <v>24.442413628395062</v>
      </c>
      <c r="X324" s="9"/>
      <c r="Y324" s="22">
        <v>0.27893099999999998</v>
      </c>
      <c r="Z324" s="22">
        <v>17.733799999999999</v>
      </c>
      <c r="AA324" s="22">
        <v>-1.5002400000000001E-2</v>
      </c>
      <c r="AB324" s="22">
        <v>314</v>
      </c>
      <c r="AC324" s="22">
        <v>0.278229</v>
      </c>
      <c r="AD324">
        <f t="shared" si="52"/>
        <v>18.521481481481484</v>
      </c>
      <c r="AE324">
        <f t="shared" si="53"/>
        <v>5.1662153511111111</v>
      </c>
      <c r="AF324" s="9"/>
      <c r="AG324" s="22">
        <v>1.4811700000000001</v>
      </c>
      <c r="AH324" s="22">
        <v>21.6739</v>
      </c>
      <c r="AI324" s="22">
        <v>-1.3467399999999999E-2</v>
      </c>
      <c r="AJ324" s="22">
        <v>314</v>
      </c>
      <c r="AK324" s="22">
        <v>1.4801</v>
      </c>
      <c r="AL324">
        <f t="shared" si="54"/>
        <v>16.626419753086417</v>
      </c>
      <c r="AM324">
        <f t="shared" si="55"/>
        <v>24.626554145679009</v>
      </c>
      <c r="AP324" s="9"/>
      <c r="AQ324" s="22">
        <v>0.27893099999999998</v>
      </c>
      <c r="AR324" s="22">
        <v>27.307099999999998</v>
      </c>
      <c r="AS324" s="22">
        <v>-1.5203899999999999E-2</v>
      </c>
      <c r="AT324" s="22">
        <v>314</v>
      </c>
      <c r="AU324" s="22">
        <v>0.27835100000000002</v>
      </c>
      <c r="AV324">
        <f t="shared" si="56"/>
        <v>18.770246913580245</v>
      </c>
      <c r="AW324">
        <f t="shared" si="57"/>
        <v>5.2356037418518513</v>
      </c>
      <c r="AX324" s="9"/>
      <c r="AY324" s="22">
        <v>1.4811700000000001</v>
      </c>
      <c r="AZ324" s="22">
        <v>31.2471</v>
      </c>
      <c r="BA324" s="22">
        <v>-1.37146E-2</v>
      </c>
      <c r="BB324" s="22">
        <v>314</v>
      </c>
      <c r="BC324" s="22">
        <v>1.4801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2">
        <v>0.273895</v>
      </c>
      <c r="H325" s="22">
        <v>8.1656899999999997</v>
      </c>
      <c r="I325" s="22">
        <v>-1.49628E-2</v>
      </c>
      <c r="J325" s="22">
        <v>315</v>
      </c>
      <c r="K325" s="22">
        <v>0.27337600000000001</v>
      </c>
      <c r="L325">
        <f t="shared" si="48"/>
        <v>18.472592592592594</v>
      </c>
      <c r="M325">
        <f t="shared" si="49"/>
        <v>5.0595507481481485</v>
      </c>
      <c r="N325" s="9"/>
      <c r="O325" s="22">
        <v>1.48621</v>
      </c>
      <c r="P325" s="22">
        <v>12.105700000000001</v>
      </c>
      <c r="Q325" s="22">
        <v>-1.3336199999999999E-2</v>
      </c>
      <c r="R325" s="22">
        <v>315</v>
      </c>
      <c r="S325" s="22">
        <v>1.48529</v>
      </c>
      <c r="T325">
        <f t="shared" si="50"/>
        <v>16.464444444444442</v>
      </c>
      <c r="U325">
        <f t="shared" si="51"/>
        <v>24.469621977777777</v>
      </c>
      <c r="X325" s="9"/>
      <c r="Y325" s="22">
        <v>0.273895</v>
      </c>
      <c r="Z325" s="22">
        <v>17.7439</v>
      </c>
      <c r="AA325" s="22">
        <v>-1.5008499999999999E-2</v>
      </c>
      <c r="AB325" s="22">
        <v>315</v>
      </c>
      <c r="AC325" s="22">
        <v>0.27352900000000002</v>
      </c>
      <c r="AD325">
        <f t="shared" si="52"/>
        <v>18.529012345679011</v>
      </c>
      <c r="AE325">
        <f t="shared" si="53"/>
        <v>5.0750038364197527</v>
      </c>
      <c r="AF325" s="9"/>
      <c r="AG325" s="22">
        <v>1.48621</v>
      </c>
      <c r="AH325" s="22">
        <v>21.683900000000001</v>
      </c>
      <c r="AI325" s="22">
        <v>-1.3439899999999999E-2</v>
      </c>
      <c r="AJ325" s="22">
        <v>315</v>
      </c>
      <c r="AK325" s="22">
        <v>1.48468</v>
      </c>
      <c r="AL325">
        <f t="shared" si="54"/>
        <v>16.592469135802467</v>
      </c>
      <c r="AM325">
        <f t="shared" si="55"/>
        <v>24.659893554320984</v>
      </c>
      <c r="AP325" s="9"/>
      <c r="AQ325" s="22">
        <v>0.273895</v>
      </c>
      <c r="AR325" s="22">
        <v>27.3171</v>
      </c>
      <c r="AS325" s="22">
        <v>-1.5206900000000001E-2</v>
      </c>
      <c r="AT325" s="22">
        <v>315</v>
      </c>
      <c r="AU325" s="22">
        <v>0.273254</v>
      </c>
      <c r="AV325">
        <f t="shared" si="56"/>
        <v>18.773950617283951</v>
      </c>
      <c r="AW325">
        <f t="shared" si="57"/>
        <v>5.1420912043209874</v>
      </c>
      <c r="AX325" s="9"/>
      <c r="AY325" s="22">
        <v>1.48621</v>
      </c>
      <c r="AZ325" s="22">
        <v>31.257200000000001</v>
      </c>
      <c r="BA325" s="22">
        <v>-1.3693200000000001E-2</v>
      </c>
      <c r="BB325" s="22">
        <v>315</v>
      </c>
      <c r="BC325" s="22">
        <v>1.48529</v>
      </c>
      <c r="BD325">
        <f t="shared" si="58"/>
        <v>16.905185185185186</v>
      </c>
      <c r="BE325">
        <f t="shared" si="59"/>
        <v>25.124655274074076</v>
      </c>
    </row>
    <row r="326" spans="6:57">
      <c r="F326" s="9"/>
      <c r="G326" s="22">
        <v>0.26885999999999999</v>
      </c>
      <c r="H326" s="22">
        <v>8.1757600000000004</v>
      </c>
      <c r="I326" s="22">
        <v>-1.49689E-2</v>
      </c>
      <c r="J326" s="22">
        <v>316</v>
      </c>
      <c r="K326" s="22">
        <v>0.26821899999999999</v>
      </c>
      <c r="L326">
        <f t="shared" si="48"/>
        <v>18.480123456790125</v>
      </c>
      <c r="M326">
        <f t="shared" si="49"/>
        <v>4.9685659925925929</v>
      </c>
      <c r="N326" s="9"/>
      <c r="O326" s="22">
        <v>1.4912399999999999</v>
      </c>
      <c r="P326" s="22">
        <v>12.1158</v>
      </c>
      <c r="Q326" s="22">
        <v>-1.33118E-2</v>
      </c>
      <c r="R326" s="22">
        <v>316</v>
      </c>
      <c r="S326" s="22">
        <v>1.49048</v>
      </c>
      <c r="T326">
        <f t="shared" si="50"/>
        <v>16.434320987654321</v>
      </c>
      <c r="U326">
        <f t="shared" si="51"/>
        <v>24.507516829629626</v>
      </c>
      <c r="X326" s="9"/>
      <c r="Y326" s="22">
        <v>0.26885999999999999</v>
      </c>
      <c r="Z326" s="22">
        <v>17.754000000000001</v>
      </c>
      <c r="AA326" s="22">
        <v>-1.50116E-2</v>
      </c>
      <c r="AB326" s="22">
        <v>316</v>
      </c>
      <c r="AC326" s="22">
        <v>0.26840199999999997</v>
      </c>
      <c r="AD326">
        <f t="shared" si="52"/>
        <v>18.532839506172838</v>
      </c>
      <c r="AE326">
        <f t="shared" si="53"/>
        <v>4.9827392296296287</v>
      </c>
      <c r="AF326" s="9"/>
      <c r="AG326" s="22">
        <v>1.4912399999999999</v>
      </c>
      <c r="AH326" s="22">
        <v>21.693999999999999</v>
      </c>
      <c r="AI326" s="22">
        <v>-1.34155E-2</v>
      </c>
      <c r="AJ326" s="22">
        <v>316</v>
      </c>
      <c r="AK326" s="22">
        <v>1.49017</v>
      </c>
      <c r="AL326">
        <f t="shared" si="54"/>
        <v>16.562345679012346</v>
      </c>
      <c r="AM326">
        <f t="shared" si="55"/>
        <v>24.698432370370369</v>
      </c>
      <c r="AP326" s="9"/>
      <c r="AQ326" s="22">
        <v>0.26885999999999999</v>
      </c>
      <c r="AR326" s="22">
        <v>27.327200000000001</v>
      </c>
      <c r="AS326" s="22">
        <v>-1.5213000000000001E-2</v>
      </c>
      <c r="AT326" s="22">
        <v>316</v>
      </c>
      <c r="AU326" s="22">
        <v>0.26815800000000001</v>
      </c>
      <c r="AV326">
        <f t="shared" si="56"/>
        <v>18.781481481481482</v>
      </c>
      <c r="AW326">
        <f t="shared" si="57"/>
        <v>5.0495891111111106</v>
      </c>
      <c r="AX326" s="9"/>
      <c r="AY326" s="22">
        <v>1.4912399999999999</v>
      </c>
      <c r="AZ326" s="22">
        <v>31.267299999999999</v>
      </c>
      <c r="BA326" s="22">
        <v>-1.3671900000000001E-2</v>
      </c>
      <c r="BB326" s="22">
        <v>316</v>
      </c>
      <c r="BC326" s="22">
        <v>1.49078</v>
      </c>
      <c r="BD326">
        <f t="shared" si="58"/>
        <v>16.878888888888888</v>
      </c>
      <c r="BE326">
        <f t="shared" si="59"/>
        <v>25.170474266666663</v>
      </c>
    </row>
    <row r="327" spans="6:57">
      <c r="F327" s="9"/>
      <c r="G327" s="22">
        <v>0.263824</v>
      </c>
      <c r="H327" s="22">
        <v>8.1858299999999993</v>
      </c>
      <c r="I327" s="22">
        <v>-1.49719E-2</v>
      </c>
      <c r="J327" s="22">
        <v>317</v>
      </c>
      <c r="K327" s="22">
        <v>0.26318399999999997</v>
      </c>
      <c r="L327">
        <f t="shared" si="48"/>
        <v>18.483827160493824</v>
      </c>
      <c r="M327">
        <f t="shared" si="49"/>
        <v>4.8764772167901231</v>
      </c>
      <c r="N327" s="9"/>
      <c r="O327" s="22">
        <v>1.4962800000000001</v>
      </c>
      <c r="P327" s="22">
        <v>12.1259</v>
      </c>
      <c r="Q327" s="22">
        <v>-1.3284300000000001E-2</v>
      </c>
      <c r="R327" s="22">
        <v>317</v>
      </c>
      <c r="S327" s="22">
        <v>1.4950600000000001</v>
      </c>
      <c r="T327">
        <f t="shared" si="50"/>
        <v>16.400370370370371</v>
      </c>
      <c r="U327">
        <f t="shared" si="51"/>
        <v>24.53954617777778</v>
      </c>
      <c r="X327" s="9"/>
      <c r="Y327" s="22">
        <v>0.263824</v>
      </c>
      <c r="Z327" s="22">
        <v>17.764099999999999</v>
      </c>
      <c r="AA327" s="22">
        <v>-1.50177E-2</v>
      </c>
      <c r="AB327" s="22">
        <v>317</v>
      </c>
      <c r="AC327" s="22">
        <v>0.262909</v>
      </c>
      <c r="AD327">
        <f t="shared" si="52"/>
        <v>18.540370370370372</v>
      </c>
      <c r="AE327">
        <f t="shared" si="53"/>
        <v>4.8913946725925932</v>
      </c>
      <c r="AF327" s="9"/>
      <c r="AG327" s="22">
        <v>1.4962800000000001</v>
      </c>
      <c r="AH327" s="22">
        <v>21.7041</v>
      </c>
      <c r="AI327" s="22">
        <v>-1.33881E-2</v>
      </c>
      <c r="AJ327" s="22">
        <v>317</v>
      </c>
      <c r="AK327" s="22">
        <v>1.49536</v>
      </c>
      <c r="AL327">
        <f t="shared" si="54"/>
        <v>16.528518518518517</v>
      </c>
      <c r="AM327">
        <f t="shared" si="55"/>
        <v>24.731291688888888</v>
      </c>
      <c r="AP327" s="9"/>
      <c r="AQ327" s="22">
        <v>0.263824</v>
      </c>
      <c r="AR327" s="22">
        <v>27.337299999999999</v>
      </c>
      <c r="AS327" s="22">
        <v>-1.52161E-2</v>
      </c>
      <c r="AT327" s="22">
        <v>317</v>
      </c>
      <c r="AU327" s="22">
        <v>0.263214</v>
      </c>
      <c r="AV327">
        <f t="shared" si="56"/>
        <v>18.785308641975305</v>
      </c>
      <c r="AW327">
        <f t="shared" si="57"/>
        <v>4.9560152671604927</v>
      </c>
      <c r="AX327" s="9"/>
      <c r="AY327" s="22">
        <v>1.4962800000000001</v>
      </c>
      <c r="AZ327" s="22">
        <v>31.2773</v>
      </c>
      <c r="BA327" s="22">
        <v>-1.3644399999999999E-2</v>
      </c>
      <c r="BB327" s="22">
        <v>317</v>
      </c>
      <c r="BC327" s="22">
        <v>1.4950600000000001</v>
      </c>
      <c r="BD327">
        <f t="shared" si="58"/>
        <v>16.844938271604939</v>
      </c>
      <c r="BE327">
        <f t="shared" si="59"/>
        <v>25.204744237037037</v>
      </c>
    </row>
    <row r="328" spans="6:57">
      <c r="F328" s="9"/>
      <c r="G328" s="22">
        <v>0.25878899999999999</v>
      </c>
      <c r="H328" s="22">
        <v>8.1959</v>
      </c>
      <c r="I328" s="22">
        <v>-1.49719E-2</v>
      </c>
      <c r="J328" s="22">
        <v>318</v>
      </c>
      <c r="K328" s="22">
        <v>0.25781300000000001</v>
      </c>
      <c r="L328">
        <f t="shared" si="48"/>
        <v>18.483827160493824</v>
      </c>
      <c r="M328">
        <f t="shared" si="49"/>
        <v>4.783411147037036</v>
      </c>
      <c r="N328" s="9"/>
      <c r="O328" s="22">
        <v>1.5013099999999999</v>
      </c>
      <c r="P328" s="22">
        <v>12.135899999999999</v>
      </c>
      <c r="Q328" s="22">
        <v>-1.32538E-2</v>
      </c>
      <c r="R328" s="22">
        <v>318</v>
      </c>
      <c r="S328" s="22">
        <v>1.50085</v>
      </c>
      <c r="T328">
        <f t="shared" si="50"/>
        <v>16.362716049382716</v>
      </c>
      <c r="U328">
        <f t="shared" si="51"/>
        <v>24.565509232098762</v>
      </c>
      <c r="X328" s="9"/>
      <c r="Y328" s="22">
        <v>0.25878899999999999</v>
      </c>
      <c r="Z328" s="22">
        <v>17.774100000000001</v>
      </c>
      <c r="AA328" s="22">
        <v>-1.5020800000000001E-2</v>
      </c>
      <c r="AB328" s="22">
        <v>318</v>
      </c>
      <c r="AC328" s="22">
        <v>0.25805699999999998</v>
      </c>
      <c r="AD328">
        <f t="shared" si="52"/>
        <v>18.544197530864199</v>
      </c>
      <c r="AE328">
        <f t="shared" si="53"/>
        <v>4.7990343348148148</v>
      </c>
      <c r="AF328" s="9"/>
      <c r="AG328" s="22">
        <v>1.5013099999999999</v>
      </c>
      <c r="AH328" s="22">
        <v>21.714200000000002</v>
      </c>
      <c r="AI328" s="22">
        <v>-1.33575E-2</v>
      </c>
      <c r="AJ328" s="22">
        <v>318</v>
      </c>
      <c r="AK328" s="22">
        <v>1.5005500000000001</v>
      </c>
      <c r="AL328">
        <f t="shared" si="54"/>
        <v>16.49074074074074</v>
      </c>
      <c r="AM328">
        <f t="shared" si="55"/>
        <v>24.75771398148148</v>
      </c>
      <c r="AP328" s="9"/>
      <c r="AQ328" s="22">
        <v>0.25878899999999999</v>
      </c>
      <c r="AR328" s="22">
        <v>27.3474</v>
      </c>
      <c r="AS328" s="22">
        <v>-1.52222E-2</v>
      </c>
      <c r="AT328" s="22">
        <v>318</v>
      </c>
      <c r="AU328" s="22">
        <v>0.25824000000000003</v>
      </c>
      <c r="AV328">
        <f t="shared" si="56"/>
        <v>18.792839506172839</v>
      </c>
      <c r="AW328">
        <f t="shared" si="57"/>
        <v>4.8633801429629626</v>
      </c>
      <c r="AX328" s="9"/>
      <c r="AY328" s="22">
        <v>1.5013099999999999</v>
      </c>
      <c r="AZ328" s="22">
        <v>31.287400000000002</v>
      </c>
      <c r="BA328" s="22">
        <v>-1.3616899999999999E-2</v>
      </c>
      <c r="BB328" s="22">
        <v>318</v>
      </c>
      <c r="BC328" s="22">
        <v>1.5005500000000001</v>
      </c>
      <c r="BD328">
        <f t="shared" si="58"/>
        <v>16.810987654320986</v>
      </c>
      <c r="BE328">
        <f t="shared" si="59"/>
        <v>25.238503875308638</v>
      </c>
    </row>
    <row r="329" spans="6:57">
      <c r="F329" s="9"/>
      <c r="G329" s="22">
        <v>0.25375399999999998</v>
      </c>
      <c r="H329" s="22">
        <v>8.2059700000000007</v>
      </c>
      <c r="I329" s="22">
        <v>-1.49719E-2</v>
      </c>
      <c r="J329" s="22">
        <v>319</v>
      </c>
      <c r="K329" s="22">
        <v>0.25299100000000002</v>
      </c>
      <c r="L329">
        <f t="shared" si="48"/>
        <v>18.483827160493824</v>
      </c>
      <c r="M329">
        <f t="shared" si="49"/>
        <v>4.6903450772839497</v>
      </c>
      <c r="N329" s="9"/>
      <c r="O329" s="22">
        <v>1.5063500000000001</v>
      </c>
      <c r="P329" s="22">
        <v>12.146000000000001</v>
      </c>
      <c r="Q329" s="22">
        <v>-1.32202E-2</v>
      </c>
      <c r="R329" s="22">
        <v>319</v>
      </c>
      <c r="S329" s="22">
        <v>1.50543</v>
      </c>
      <c r="T329">
        <f t="shared" si="50"/>
        <v>16.321234567901232</v>
      </c>
      <c r="U329">
        <f t="shared" si="51"/>
        <v>24.585491691358023</v>
      </c>
      <c r="X329" s="9"/>
      <c r="Y329" s="22">
        <v>0.25375399999999998</v>
      </c>
      <c r="Z329" s="22">
        <v>17.784199999999998</v>
      </c>
      <c r="AA329" s="22">
        <v>-1.5026899999999999E-2</v>
      </c>
      <c r="AB329" s="22">
        <v>319</v>
      </c>
      <c r="AC329" s="22">
        <v>0.25317400000000001</v>
      </c>
      <c r="AD329">
        <f t="shared" si="52"/>
        <v>18.551728395061726</v>
      </c>
      <c r="AE329">
        <f t="shared" si="53"/>
        <v>4.707575287160493</v>
      </c>
      <c r="AF329" s="9"/>
      <c r="AG329" s="22">
        <v>1.5063500000000001</v>
      </c>
      <c r="AH329" s="22">
        <v>21.7242</v>
      </c>
      <c r="AI329" s="22">
        <v>-1.3324000000000001E-2</v>
      </c>
      <c r="AJ329" s="22">
        <v>319</v>
      </c>
      <c r="AK329" s="22">
        <v>1.5051300000000001</v>
      </c>
      <c r="AL329">
        <f t="shared" si="54"/>
        <v>16.449382716049382</v>
      </c>
      <c r="AM329">
        <f t="shared" si="55"/>
        <v>24.778527654320985</v>
      </c>
      <c r="AP329" s="9"/>
      <c r="AQ329" s="22">
        <v>0.25375399999999998</v>
      </c>
      <c r="AR329" s="22">
        <v>27.357399999999998</v>
      </c>
      <c r="AS329" s="22">
        <v>-1.52283E-2</v>
      </c>
      <c r="AT329" s="22">
        <v>319</v>
      </c>
      <c r="AU329" s="22">
        <v>0.253052</v>
      </c>
      <c r="AV329">
        <f t="shared" si="56"/>
        <v>18.80037037037037</v>
      </c>
      <c r="AW329">
        <f t="shared" si="57"/>
        <v>4.7706691829629628</v>
      </c>
      <c r="AX329" s="9"/>
      <c r="AY329" s="22">
        <v>1.5063500000000001</v>
      </c>
      <c r="AZ329" s="22">
        <v>31.297499999999999</v>
      </c>
      <c r="BA329" s="22">
        <v>-1.35925E-2</v>
      </c>
      <c r="BB329" s="22">
        <v>319</v>
      </c>
      <c r="BC329" s="22">
        <v>1.5051300000000001</v>
      </c>
      <c r="BD329">
        <f t="shared" si="58"/>
        <v>16.780864197530864</v>
      </c>
      <c r="BE329">
        <f t="shared" si="59"/>
        <v>25.27785478395062</v>
      </c>
    </row>
    <row r="330" spans="6:57">
      <c r="F330" s="9"/>
      <c r="G330" s="22">
        <v>0.24871799999999999</v>
      </c>
      <c r="H330" s="22">
        <v>8.2160399999999996</v>
      </c>
      <c r="I330" s="22">
        <v>-1.4975E-2</v>
      </c>
      <c r="J330" s="22">
        <v>320</v>
      </c>
      <c r="K330" s="22">
        <v>0.248108</v>
      </c>
      <c r="L330">
        <f t="shared" si="48"/>
        <v>18.487654320987652</v>
      </c>
      <c r="M330">
        <f t="shared" si="49"/>
        <v>4.5982124074074067</v>
      </c>
      <c r="N330" s="9"/>
      <c r="O330" s="22">
        <v>1.5113799999999999</v>
      </c>
      <c r="P330" s="22">
        <v>12.1561</v>
      </c>
      <c r="Q330" s="22">
        <v>-1.31897E-2</v>
      </c>
      <c r="R330" s="22">
        <v>320</v>
      </c>
      <c r="S330" s="22">
        <v>1.5109300000000001</v>
      </c>
      <c r="T330">
        <f t="shared" si="50"/>
        <v>16.28358024691358</v>
      </c>
      <c r="U330">
        <f t="shared" si="51"/>
        <v>24.610677513580246</v>
      </c>
      <c r="X330" s="9"/>
      <c r="Y330" s="22">
        <v>0.24871799999999999</v>
      </c>
      <c r="Z330" s="22">
        <v>17.7943</v>
      </c>
      <c r="AA330" s="22">
        <v>-1.5036000000000001E-2</v>
      </c>
      <c r="AB330" s="22">
        <v>320</v>
      </c>
      <c r="AC330" s="22">
        <v>0.248169</v>
      </c>
      <c r="AD330">
        <f t="shared" si="52"/>
        <v>18.562962962962963</v>
      </c>
      <c r="AE330">
        <f t="shared" si="53"/>
        <v>4.6169430222222223</v>
      </c>
      <c r="AF330" s="9"/>
      <c r="AG330" s="22">
        <v>1.5113799999999999</v>
      </c>
      <c r="AH330" s="22">
        <v>21.734300000000001</v>
      </c>
      <c r="AI330" s="22">
        <v>-1.32935E-2</v>
      </c>
      <c r="AJ330" s="22">
        <v>320</v>
      </c>
      <c r="AK330" s="22">
        <v>1.51031</v>
      </c>
      <c r="AL330">
        <f t="shared" si="54"/>
        <v>16.411728395061726</v>
      </c>
      <c r="AM330">
        <f t="shared" si="55"/>
        <v>24.80435806172839</v>
      </c>
      <c r="AP330" s="9"/>
      <c r="AQ330" s="22">
        <v>0.24871799999999999</v>
      </c>
      <c r="AR330" s="22">
        <v>27.3675</v>
      </c>
      <c r="AS330" s="22">
        <v>-1.52344E-2</v>
      </c>
      <c r="AT330" s="22">
        <v>320</v>
      </c>
      <c r="AU330" s="22">
        <v>0.24798600000000001</v>
      </c>
      <c r="AV330">
        <f t="shared" si="56"/>
        <v>18.8079012345679</v>
      </c>
      <c r="AW330">
        <f t="shared" si="57"/>
        <v>4.6778635792592587</v>
      </c>
      <c r="AX330" s="9"/>
      <c r="AY330" s="22">
        <v>1.5113799999999999</v>
      </c>
      <c r="AZ330" s="22">
        <v>31.307500000000001</v>
      </c>
      <c r="BA330" s="22">
        <v>-1.35681E-2</v>
      </c>
      <c r="BB330" s="22">
        <v>320</v>
      </c>
      <c r="BC330" s="22">
        <v>1.51031</v>
      </c>
      <c r="BD330">
        <f t="shared" si="58"/>
        <v>16.750740740740738</v>
      </c>
      <c r="BE330">
        <f t="shared" si="59"/>
        <v>25.316734540740736</v>
      </c>
    </row>
    <row r="331" spans="6:57">
      <c r="F331" s="9"/>
      <c r="G331" s="22">
        <v>0.24368300000000001</v>
      </c>
      <c r="H331" s="22">
        <v>8.2261100000000003</v>
      </c>
      <c r="I331" s="22">
        <v>-1.4978E-2</v>
      </c>
      <c r="J331" s="22">
        <v>321</v>
      </c>
      <c r="K331" s="22">
        <v>0.24307300000000001</v>
      </c>
      <c r="L331">
        <f t="shared" si="48"/>
        <v>18.491358024691355</v>
      </c>
      <c r="M331">
        <f t="shared" si="49"/>
        <v>4.5060295975308637</v>
      </c>
      <c r="N331" s="9"/>
      <c r="O331" s="22">
        <v>1.5164200000000001</v>
      </c>
      <c r="P331" s="22">
        <v>12.1662</v>
      </c>
      <c r="Q331" s="22">
        <v>-1.31561E-2</v>
      </c>
      <c r="R331" s="22">
        <v>321</v>
      </c>
      <c r="S331" s="22">
        <v>1.5158100000000001</v>
      </c>
      <c r="T331">
        <f t="shared" si="50"/>
        <v>16.2420987654321</v>
      </c>
      <c r="U331">
        <f t="shared" si="51"/>
        <v>24.629843409876546</v>
      </c>
      <c r="X331" s="9"/>
      <c r="Y331" s="22">
        <v>0.24368300000000001</v>
      </c>
      <c r="Z331" s="22">
        <v>17.804300000000001</v>
      </c>
      <c r="AA331" s="22">
        <v>-1.50391E-2</v>
      </c>
      <c r="AB331" s="22">
        <v>321</v>
      </c>
      <c r="AC331" s="22">
        <v>0.24313399999999999</v>
      </c>
      <c r="AD331">
        <f t="shared" si="52"/>
        <v>18.566790123456791</v>
      </c>
      <c r="AE331">
        <f t="shared" si="53"/>
        <v>4.5244111176543216</v>
      </c>
      <c r="AF331" s="9"/>
      <c r="AG331" s="22">
        <v>1.5164200000000001</v>
      </c>
      <c r="AH331" s="22">
        <v>21.744399999999999</v>
      </c>
      <c r="AI331" s="22">
        <v>-1.3269E-2</v>
      </c>
      <c r="AJ331" s="22">
        <v>321</v>
      </c>
      <c r="AK331" s="22">
        <v>1.5152000000000001</v>
      </c>
      <c r="AL331">
        <f t="shared" si="54"/>
        <v>16.38148148148148</v>
      </c>
      <c r="AM331">
        <f t="shared" si="55"/>
        <v>24.841206148148146</v>
      </c>
      <c r="AP331" s="9"/>
      <c r="AQ331" s="22">
        <v>0.24368300000000001</v>
      </c>
      <c r="AR331" s="22">
        <v>27.377600000000001</v>
      </c>
      <c r="AS331" s="22">
        <v>-1.52435E-2</v>
      </c>
      <c r="AT331" s="22">
        <v>321</v>
      </c>
      <c r="AU331" s="22">
        <v>0.243225</v>
      </c>
      <c r="AV331">
        <f t="shared" si="56"/>
        <v>18.819135802469134</v>
      </c>
      <c r="AW331">
        <f t="shared" si="57"/>
        <v>4.5859034697530863</v>
      </c>
      <c r="AX331" s="9"/>
      <c r="AY331" s="22">
        <v>1.5164200000000001</v>
      </c>
      <c r="AZ331" s="22">
        <v>31.317599999999999</v>
      </c>
      <c r="BA331" s="22">
        <v>-1.3546799999999999E-2</v>
      </c>
      <c r="BB331" s="22">
        <v>321</v>
      </c>
      <c r="BC331" s="22">
        <v>1.5158100000000001</v>
      </c>
      <c r="BD331">
        <f t="shared" si="58"/>
        <v>16.72444444444444</v>
      </c>
      <c r="BE331">
        <f t="shared" si="59"/>
        <v>25.36128204444444</v>
      </c>
    </row>
    <row r="332" spans="6:57">
      <c r="F332" s="9"/>
      <c r="G332" s="22">
        <v>0.238647</v>
      </c>
      <c r="H332" s="22">
        <v>8.2361799999999992</v>
      </c>
      <c r="I332" s="22">
        <v>-1.4981100000000001E-2</v>
      </c>
      <c r="J332" s="22">
        <v>322</v>
      </c>
      <c r="K332" s="22">
        <v>0.23821999999999999</v>
      </c>
      <c r="L332">
        <f t="shared" ref="L332:L395" si="60">-I332/$F$2*1000</f>
        <v>18.495185185185186</v>
      </c>
      <c r="M332">
        <f t="shared" ref="M332:M395" si="61">L332*G332</f>
        <v>4.413820458888889</v>
      </c>
      <c r="N332" s="9"/>
      <c r="O332" s="22">
        <v>1.52145</v>
      </c>
      <c r="P332" s="22">
        <v>12.1762</v>
      </c>
      <c r="Q332" s="22">
        <v>-1.31226E-2</v>
      </c>
      <c r="R332" s="22">
        <v>322</v>
      </c>
      <c r="S332" s="22">
        <v>1.5203899999999999</v>
      </c>
      <c r="T332">
        <f t="shared" ref="T332:T395" si="62">-Q332/$F$2*1000</f>
        <v>16.200740740740741</v>
      </c>
      <c r="U332">
        <f t="shared" ref="U332:U395" si="63">T332*O332</f>
        <v>24.648617000000002</v>
      </c>
      <c r="X332" s="9"/>
      <c r="Y332" s="22">
        <v>0.238647</v>
      </c>
      <c r="Z332" s="22">
        <v>17.814399999999999</v>
      </c>
      <c r="AA332" s="22">
        <v>-1.50452E-2</v>
      </c>
      <c r="AB332" s="22">
        <v>322</v>
      </c>
      <c r="AC332" s="22">
        <v>0.23797599999999999</v>
      </c>
      <c r="AD332">
        <f t="shared" ref="AD332:AD395" si="64">-AA332/$F$2*1000</f>
        <v>18.574320987654321</v>
      </c>
      <c r="AE332">
        <f t="shared" ref="AE332:AE395" si="65">AD332*Y332</f>
        <v>4.4327059807407405</v>
      </c>
      <c r="AF332" s="9"/>
      <c r="AG332" s="22">
        <v>1.52145</v>
      </c>
      <c r="AH332" s="22">
        <v>21.7544</v>
      </c>
      <c r="AI332" s="22">
        <v>-1.3241599999999999E-2</v>
      </c>
      <c r="AJ332" s="22">
        <v>322</v>
      </c>
      <c r="AK332" s="22">
        <v>1.5206900000000001</v>
      </c>
      <c r="AL332">
        <f t="shared" ref="AL332:AL395" si="66">-AI332/$F$2*1000</f>
        <v>16.347654320987651</v>
      </c>
      <c r="AM332">
        <f t="shared" ref="AM332:AM395" si="67">AL332*AG332</f>
        <v>24.872138666666661</v>
      </c>
      <c r="AP332" s="9"/>
      <c r="AQ332" s="22">
        <v>0.238647</v>
      </c>
      <c r="AR332" s="22">
        <v>27.387599999999999</v>
      </c>
      <c r="AS332" s="22">
        <v>-1.5246600000000001E-2</v>
      </c>
      <c r="AT332" s="22">
        <v>322</v>
      </c>
      <c r="AU332" s="22">
        <v>0.23812900000000001</v>
      </c>
      <c r="AV332">
        <f t="shared" ref="AV332:AV395" si="68">-AS332/$F$2*1000</f>
        <v>18.822962962962961</v>
      </c>
      <c r="AW332">
        <f t="shared" ref="AW332:AW395" si="69">AV332*AQ332</f>
        <v>4.4920436422222219</v>
      </c>
      <c r="AX332" s="9"/>
      <c r="AY332" s="22">
        <v>1.52145</v>
      </c>
      <c r="AZ332" s="22">
        <v>31.3277</v>
      </c>
      <c r="BA332" s="22">
        <v>-1.35132E-2</v>
      </c>
      <c r="BB332" s="22">
        <v>322</v>
      </c>
      <c r="BC332" s="22">
        <v>1.5206900000000001</v>
      </c>
      <c r="BD332">
        <f t="shared" ref="BD332:BD395" si="70">-BA332/$F$2*1000</f>
        <v>16.682962962962961</v>
      </c>
      <c r="BE332">
        <f t="shared" ref="BE332:BE395" si="71">BD332*AY332</f>
        <v>25.382293999999995</v>
      </c>
    </row>
    <row r="333" spans="6:57">
      <c r="F333" s="9"/>
      <c r="G333" s="22">
        <v>0.23361199999999999</v>
      </c>
      <c r="H333" s="22">
        <v>8.2462599999999995</v>
      </c>
      <c r="I333" s="22">
        <v>-1.49841E-2</v>
      </c>
      <c r="J333" s="22">
        <v>323</v>
      </c>
      <c r="K333" s="22">
        <v>0.23291000000000001</v>
      </c>
      <c r="L333">
        <f t="shared" si="60"/>
        <v>18.498888888888889</v>
      </c>
      <c r="M333">
        <f t="shared" si="61"/>
        <v>4.3215624311111105</v>
      </c>
      <c r="N333" s="9"/>
      <c r="O333" s="22">
        <v>1.5264899999999999</v>
      </c>
      <c r="P333" s="22">
        <v>12.186299999999999</v>
      </c>
      <c r="Q333" s="22">
        <v>-1.3089E-2</v>
      </c>
      <c r="R333" s="22">
        <v>323</v>
      </c>
      <c r="S333" s="22">
        <v>1.5261800000000001</v>
      </c>
      <c r="T333">
        <f t="shared" si="62"/>
        <v>16.159259259259258</v>
      </c>
      <c r="U333">
        <f t="shared" si="63"/>
        <v>24.666947666666662</v>
      </c>
      <c r="X333" s="9"/>
      <c r="Y333" s="22">
        <v>0.23361199999999999</v>
      </c>
      <c r="Z333" s="22">
        <v>17.8245</v>
      </c>
      <c r="AA333" s="22">
        <v>-1.50513E-2</v>
      </c>
      <c r="AB333" s="22">
        <v>323</v>
      </c>
      <c r="AC333" s="22">
        <v>0.23309299999999999</v>
      </c>
      <c r="AD333">
        <f t="shared" si="64"/>
        <v>18.581851851851848</v>
      </c>
      <c r="AE333">
        <f t="shared" si="65"/>
        <v>4.3409435748148137</v>
      </c>
      <c r="AF333" s="9"/>
      <c r="AG333" s="22">
        <v>1.5264899999999999</v>
      </c>
      <c r="AH333" s="22">
        <v>21.764500000000002</v>
      </c>
      <c r="AI333" s="22">
        <v>-1.3201900000000001E-2</v>
      </c>
      <c r="AJ333" s="22">
        <v>323</v>
      </c>
      <c r="AK333" s="22">
        <v>1.5261800000000001</v>
      </c>
      <c r="AL333">
        <f t="shared" si="66"/>
        <v>16.298641975308641</v>
      </c>
      <c r="AM333">
        <f t="shared" si="67"/>
        <v>24.879713988888884</v>
      </c>
      <c r="AP333" s="9"/>
      <c r="AQ333" s="22">
        <v>0.23361199999999999</v>
      </c>
      <c r="AR333" s="22">
        <v>27.3977</v>
      </c>
      <c r="AS333" s="22">
        <v>-1.5252699999999999E-2</v>
      </c>
      <c r="AT333" s="22">
        <v>323</v>
      </c>
      <c r="AU333" s="22">
        <v>0.233185</v>
      </c>
      <c r="AV333">
        <f t="shared" si="68"/>
        <v>18.830493827160492</v>
      </c>
      <c r="AW333">
        <f t="shared" si="69"/>
        <v>4.3990293239506162</v>
      </c>
      <c r="AX333" s="9"/>
      <c r="AY333" s="22">
        <v>1.5264899999999999</v>
      </c>
      <c r="AZ333" s="22">
        <v>31.337800000000001</v>
      </c>
      <c r="BA333" s="22">
        <v>-1.34857E-2</v>
      </c>
      <c r="BB333" s="22">
        <v>323</v>
      </c>
      <c r="BC333" s="22">
        <v>1.5258799999999999</v>
      </c>
      <c r="BD333">
        <f t="shared" si="70"/>
        <v>16.649012345679012</v>
      </c>
      <c r="BE333">
        <f t="shared" si="71"/>
        <v>25.414550855555554</v>
      </c>
    </row>
    <row r="334" spans="6:57">
      <c r="F334" s="9"/>
      <c r="G334" s="22">
        <v>0.228577</v>
      </c>
      <c r="H334" s="22">
        <v>8.2563300000000002</v>
      </c>
      <c r="I334" s="22">
        <v>-1.4987199999999999E-2</v>
      </c>
      <c r="J334" s="22">
        <v>324</v>
      </c>
      <c r="K334" s="22">
        <v>0.22799700000000001</v>
      </c>
      <c r="L334">
        <f t="shared" si="60"/>
        <v>18.502716049382713</v>
      </c>
      <c r="M334">
        <f t="shared" si="61"/>
        <v>4.2292953264197521</v>
      </c>
      <c r="N334" s="9"/>
      <c r="O334" s="22">
        <v>1.53152</v>
      </c>
      <c r="P334" s="22">
        <v>12.196400000000001</v>
      </c>
      <c r="Q334" s="22">
        <v>-1.30493E-2</v>
      </c>
      <c r="R334" s="22">
        <v>324</v>
      </c>
      <c r="S334" s="22">
        <v>1.5307599999999999</v>
      </c>
      <c r="T334">
        <f t="shared" si="62"/>
        <v>16.110246913580244</v>
      </c>
      <c r="U334">
        <f t="shared" si="63"/>
        <v>24.673165353086414</v>
      </c>
      <c r="X334" s="9"/>
      <c r="Y334" s="22">
        <v>0.228577</v>
      </c>
      <c r="Z334" s="22">
        <v>17.834499999999998</v>
      </c>
      <c r="AA334" s="22">
        <v>-1.50543E-2</v>
      </c>
      <c r="AB334" s="22">
        <v>324</v>
      </c>
      <c r="AC334" s="22">
        <v>0.22781399999999999</v>
      </c>
      <c r="AD334">
        <f t="shared" si="64"/>
        <v>18.585555555555555</v>
      </c>
      <c r="AE334">
        <f t="shared" si="65"/>
        <v>4.2482305322222222</v>
      </c>
      <c r="AF334" s="9"/>
      <c r="AG334" s="22">
        <v>1.53152</v>
      </c>
      <c r="AH334" s="22">
        <v>21.7746</v>
      </c>
      <c r="AI334" s="22">
        <v>-1.31714E-2</v>
      </c>
      <c r="AJ334" s="22">
        <v>324</v>
      </c>
      <c r="AK334" s="22">
        <v>1.5307599999999999</v>
      </c>
      <c r="AL334">
        <f t="shared" si="66"/>
        <v>16.260987654320989</v>
      </c>
      <c r="AM334">
        <f t="shared" si="67"/>
        <v>24.904027812345682</v>
      </c>
      <c r="AP334" s="9"/>
      <c r="AQ334" s="22">
        <v>0.228577</v>
      </c>
      <c r="AR334" s="22">
        <v>27.407800000000002</v>
      </c>
      <c r="AS334" s="22">
        <v>-1.5255700000000001E-2</v>
      </c>
      <c r="AT334" s="22">
        <v>324</v>
      </c>
      <c r="AU334" s="22">
        <v>0.227936</v>
      </c>
      <c r="AV334">
        <f t="shared" si="68"/>
        <v>18.834197530864198</v>
      </c>
      <c r="AW334">
        <f t="shared" si="69"/>
        <v>4.3050643690123458</v>
      </c>
      <c r="AX334" s="9"/>
      <c r="AY334" s="22">
        <v>1.53152</v>
      </c>
      <c r="AZ334" s="22">
        <v>31.347799999999999</v>
      </c>
      <c r="BA334" s="22">
        <v>-1.3458299999999999E-2</v>
      </c>
      <c r="BB334" s="22">
        <v>324</v>
      </c>
      <c r="BC334" s="22">
        <v>1.5310699999999999</v>
      </c>
      <c r="BD334">
        <f t="shared" si="70"/>
        <v>16.615185185185183</v>
      </c>
      <c r="BE334">
        <f t="shared" si="71"/>
        <v>25.446488414814812</v>
      </c>
    </row>
    <row r="335" spans="6:57">
      <c r="F335" s="9"/>
      <c r="G335" s="22">
        <v>0.22354099999999999</v>
      </c>
      <c r="H335" s="22">
        <v>8.2664000000000009</v>
      </c>
      <c r="I335" s="22">
        <v>-1.4993299999999999E-2</v>
      </c>
      <c r="J335" s="22">
        <v>325</v>
      </c>
      <c r="K335" s="22">
        <v>0.22311400000000001</v>
      </c>
      <c r="L335">
        <f t="shared" si="60"/>
        <v>18.510246913580243</v>
      </c>
      <c r="M335">
        <f t="shared" si="61"/>
        <v>4.1377991053086411</v>
      </c>
      <c r="N335" s="9"/>
      <c r="O335" s="22">
        <v>1.5365599999999999</v>
      </c>
      <c r="P335" s="22">
        <v>12.2064</v>
      </c>
      <c r="Q335" s="22">
        <v>-1.30096E-2</v>
      </c>
      <c r="R335" s="22">
        <v>325</v>
      </c>
      <c r="S335" s="22">
        <v>1.5359499999999999</v>
      </c>
      <c r="T335">
        <f t="shared" si="62"/>
        <v>16.061234567901234</v>
      </c>
      <c r="U335">
        <f t="shared" si="63"/>
        <v>24.67905058765432</v>
      </c>
      <c r="X335" s="9"/>
      <c r="Y335" s="22">
        <v>0.22354099999999999</v>
      </c>
      <c r="Z335" s="22">
        <v>17.8446</v>
      </c>
      <c r="AA335" s="22">
        <v>-1.50604E-2</v>
      </c>
      <c r="AB335" s="22">
        <v>325</v>
      </c>
      <c r="AC335" s="22">
        <v>0.22280900000000001</v>
      </c>
      <c r="AD335">
        <f t="shared" si="64"/>
        <v>18.593086419753085</v>
      </c>
      <c r="AE335">
        <f t="shared" si="65"/>
        <v>4.1563171313580245</v>
      </c>
      <c r="AF335" s="9"/>
      <c r="AG335" s="22">
        <v>1.5365599999999999</v>
      </c>
      <c r="AH335" s="22">
        <v>21.784700000000001</v>
      </c>
      <c r="AI335" s="22">
        <v>-1.31317E-2</v>
      </c>
      <c r="AJ335" s="22">
        <v>325</v>
      </c>
      <c r="AK335" s="22">
        <v>1.5359499999999999</v>
      </c>
      <c r="AL335">
        <f t="shared" si="66"/>
        <v>16.211975308641971</v>
      </c>
      <c r="AM335">
        <f t="shared" si="67"/>
        <v>24.910672780246905</v>
      </c>
      <c r="AP335" s="9"/>
      <c r="AQ335" s="22">
        <v>0.22354099999999999</v>
      </c>
      <c r="AR335" s="22">
        <v>27.417899999999999</v>
      </c>
      <c r="AS335" s="22">
        <v>-1.5261800000000001E-2</v>
      </c>
      <c r="AT335" s="22">
        <v>325</v>
      </c>
      <c r="AU335" s="22">
        <v>0.22289999999999999</v>
      </c>
      <c r="AV335">
        <f t="shared" si="68"/>
        <v>18.841728395061729</v>
      </c>
      <c r="AW335">
        <f t="shared" si="69"/>
        <v>4.2118988071604937</v>
      </c>
      <c r="AX335" s="9"/>
      <c r="AY335" s="22">
        <v>1.5365599999999999</v>
      </c>
      <c r="AZ335" s="22">
        <v>31.357900000000001</v>
      </c>
      <c r="BA335" s="22">
        <v>-1.3418599999999999E-2</v>
      </c>
      <c r="BB335" s="22">
        <v>325</v>
      </c>
      <c r="BC335" s="22">
        <v>1.5356399999999999</v>
      </c>
      <c r="BD335">
        <f t="shared" si="70"/>
        <v>16.566172839506169</v>
      </c>
      <c r="BE335">
        <f t="shared" si="71"/>
        <v>25.454918538271599</v>
      </c>
    </row>
    <row r="336" spans="6:57">
      <c r="F336" s="9"/>
      <c r="G336" s="22">
        <v>0.21850600000000001</v>
      </c>
      <c r="H336" s="22">
        <v>8.2764699999999998</v>
      </c>
      <c r="I336" s="22">
        <v>-1.4996300000000001E-2</v>
      </c>
      <c r="J336" s="22">
        <v>326</v>
      </c>
      <c r="K336" s="22">
        <v>0.21789600000000001</v>
      </c>
      <c r="L336">
        <f t="shared" si="60"/>
        <v>18.51395061728395</v>
      </c>
      <c r="M336">
        <f t="shared" si="61"/>
        <v>4.0454092935802466</v>
      </c>
      <c r="N336" s="9"/>
      <c r="O336" s="22">
        <v>1.5416000000000001</v>
      </c>
      <c r="P336" s="22">
        <v>12.2165</v>
      </c>
      <c r="Q336" s="22">
        <v>-1.2970000000000001E-2</v>
      </c>
      <c r="R336" s="22">
        <v>326</v>
      </c>
      <c r="S336" s="22">
        <v>1.54114</v>
      </c>
      <c r="T336">
        <f t="shared" si="62"/>
        <v>16.012345679012348</v>
      </c>
      <c r="U336">
        <f t="shared" si="63"/>
        <v>24.684632098765437</v>
      </c>
      <c r="X336" s="9"/>
      <c r="Y336" s="22">
        <v>0.21850600000000001</v>
      </c>
      <c r="Z336" s="22">
        <v>17.854700000000001</v>
      </c>
      <c r="AA336" s="22">
        <v>-1.50604E-2</v>
      </c>
      <c r="AB336" s="22">
        <v>326</v>
      </c>
      <c r="AC336" s="22">
        <v>0.218079</v>
      </c>
      <c r="AD336">
        <f t="shared" si="64"/>
        <v>18.593086419753085</v>
      </c>
      <c r="AE336">
        <f t="shared" si="65"/>
        <v>4.062700941234568</v>
      </c>
      <c r="AF336" s="9"/>
      <c r="AG336" s="22">
        <v>1.5416000000000001</v>
      </c>
      <c r="AH336" s="22">
        <v>21.794699999999999</v>
      </c>
      <c r="AI336" s="22">
        <v>-1.30951E-2</v>
      </c>
      <c r="AJ336" s="22">
        <v>326</v>
      </c>
      <c r="AK336" s="22">
        <v>1.54053</v>
      </c>
      <c r="AL336">
        <f t="shared" si="66"/>
        <v>16.166790123456789</v>
      </c>
      <c r="AM336">
        <f t="shared" si="67"/>
        <v>24.922723654320986</v>
      </c>
      <c r="AP336" s="9"/>
      <c r="AQ336" s="22">
        <v>0.21850600000000001</v>
      </c>
      <c r="AR336" s="22">
        <v>27.427900000000001</v>
      </c>
      <c r="AS336" s="22">
        <v>-1.5273999999999999E-2</v>
      </c>
      <c r="AT336" s="22">
        <v>326</v>
      </c>
      <c r="AU336" s="22">
        <v>0.21798699999999999</v>
      </c>
      <c r="AV336">
        <f t="shared" si="68"/>
        <v>18.85679012345679</v>
      </c>
      <c r="AW336">
        <f t="shared" si="69"/>
        <v>4.120321782716049</v>
      </c>
      <c r="AX336" s="9"/>
      <c r="AY336" s="22">
        <v>1.5416000000000001</v>
      </c>
      <c r="AZ336" s="22">
        <v>31.367999999999999</v>
      </c>
      <c r="BA336" s="22">
        <v>-1.3378900000000001E-2</v>
      </c>
      <c r="BB336" s="22">
        <v>326</v>
      </c>
      <c r="BC336" s="22">
        <v>1.54053</v>
      </c>
      <c r="BD336">
        <f t="shared" si="70"/>
        <v>16.517160493827159</v>
      </c>
      <c r="BE336">
        <f t="shared" si="71"/>
        <v>25.462854617283948</v>
      </c>
    </row>
    <row r="337" spans="6:57">
      <c r="F337" s="9"/>
      <c r="G337" s="22">
        <v>0.21346999999999999</v>
      </c>
      <c r="H337" s="22">
        <v>8.2865400000000005</v>
      </c>
      <c r="I337" s="22">
        <v>-1.49994E-2</v>
      </c>
      <c r="J337" s="22">
        <v>327</v>
      </c>
      <c r="K337" s="22">
        <v>0.212921</v>
      </c>
      <c r="L337">
        <f t="shared" si="60"/>
        <v>18.517777777777777</v>
      </c>
      <c r="M337">
        <f t="shared" si="61"/>
        <v>3.9529900222222221</v>
      </c>
      <c r="N337" s="9"/>
      <c r="O337" s="22">
        <v>1.5466299999999999</v>
      </c>
      <c r="P337" s="22">
        <v>12.226599999999999</v>
      </c>
      <c r="Q337" s="22">
        <v>-1.2942499999999999E-2</v>
      </c>
      <c r="R337" s="22">
        <v>327</v>
      </c>
      <c r="S337" s="22">
        <v>1.5460199999999999</v>
      </c>
      <c r="T337">
        <f t="shared" si="62"/>
        <v>15.978395061728392</v>
      </c>
      <c r="U337">
        <f t="shared" si="63"/>
        <v>24.712665154320984</v>
      </c>
      <c r="X337" s="9"/>
      <c r="Y337" s="22">
        <v>0.21346999999999999</v>
      </c>
      <c r="Z337" s="22">
        <v>17.864799999999999</v>
      </c>
      <c r="AA337" s="22">
        <v>-1.50604E-2</v>
      </c>
      <c r="AB337" s="22">
        <v>327</v>
      </c>
      <c r="AC337" s="22">
        <v>0.21304300000000001</v>
      </c>
      <c r="AD337">
        <f t="shared" si="64"/>
        <v>18.593086419753085</v>
      </c>
      <c r="AE337">
        <f t="shared" si="65"/>
        <v>3.9690661580246909</v>
      </c>
      <c r="AF337" s="9"/>
      <c r="AG337" s="22">
        <v>1.5466299999999999</v>
      </c>
      <c r="AH337" s="22">
        <v>21.8048</v>
      </c>
      <c r="AI337" s="22">
        <v>-1.30554E-2</v>
      </c>
      <c r="AJ337" s="22">
        <v>327</v>
      </c>
      <c r="AK337" s="22">
        <v>1.5460199999999999</v>
      </c>
      <c r="AL337">
        <f t="shared" si="66"/>
        <v>16.117777777777775</v>
      </c>
      <c r="AM337">
        <f t="shared" si="67"/>
        <v>24.928238644444438</v>
      </c>
      <c r="AP337" s="9"/>
      <c r="AQ337" s="22">
        <v>0.21346999999999999</v>
      </c>
      <c r="AR337" s="22">
        <v>27.437999999999999</v>
      </c>
      <c r="AS337" s="22">
        <v>-1.52771E-2</v>
      </c>
      <c r="AT337" s="22">
        <v>327</v>
      </c>
      <c r="AU337" s="22">
        <v>0.21276900000000001</v>
      </c>
      <c r="AV337">
        <f t="shared" si="68"/>
        <v>18.860617283950617</v>
      </c>
      <c r="AW337">
        <f t="shared" si="69"/>
        <v>4.0261759716049381</v>
      </c>
      <c r="AX337" s="9"/>
      <c r="AY337" s="22">
        <v>1.5466299999999999</v>
      </c>
      <c r="AZ337" s="22">
        <v>31.378</v>
      </c>
      <c r="BA337" s="22">
        <v>-1.3336199999999999E-2</v>
      </c>
      <c r="BB337" s="22">
        <v>327</v>
      </c>
      <c r="BC337" s="22">
        <v>1.5460199999999999</v>
      </c>
      <c r="BD337">
        <f t="shared" si="70"/>
        <v>16.464444444444442</v>
      </c>
      <c r="BE337">
        <f t="shared" si="71"/>
        <v>25.464403711111107</v>
      </c>
    </row>
    <row r="338" spans="6:57">
      <c r="F338" s="9"/>
      <c r="G338" s="22">
        <v>0.20843500000000001</v>
      </c>
      <c r="H338" s="22">
        <v>8.2966099999999994</v>
      </c>
      <c r="I338" s="22">
        <v>-1.50055E-2</v>
      </c>
      <c r="J338" s="22">
        <v>328</v>
      </c>
      <c r="K338" s="22">
        <v>0.20782500000000001</v>
      </c>
      <c r="L338">
        <f t="shared" si="60"/>
        <v>18.525308641975307</v>
      </c>
      <c r="M338">
        <f t="shared" si="61"/>
        <v>3.8613227067901232</v>
      </c>
      <c r="N338" s="9"/>
      <c r="O338" s="22">
        <v>1.5516700000000001</v>
      </c>
      <c r="P338" s="22">
        <v>12.236700000000001</v>
      </c>
      <c r="Q338" s="22">
        <v>-1.2899799999999999E-2</v>
      </c>
      <c r="R338" s="22">
        <v>328</v>
      </c>
      <c r="S338" s="22">
        <v>1.5502899999999999</v>
      </c>
      <c r="T338">
        <f t="shared" si="62"/>
        <v>15.925679012345679</v>
      </c>
      <c r="U338">
        <f t="shared" si="63"/>
        <v>24.71139835308642</v>
      </c>
      <c r="X338" s="9"/>
      <c r="Y338" s="22">
        <v>0.20843500000000001</v>
      </c>
      <c r="Z338" s="22">
        <v>17.8748</v>
      </c>
      <c r="AA338" s="22">
        <v>-1.50665E-2</v>
      </c>
      <c r="AB338" s="22">
        <v>328</v>
      </c>
      <c r="AC338" s="22">
        <v>0.20816000000000001</v>
      </c>
      <c r="AD338">
        <f t="shared" si="64"/>
        <v>18.600617283950616</v>
      </c>
      <c r="AE338">
        <f t="shared" si="65"/>
        <v>3.8770196635802465</v>
      </c>
      <c r="AF338" s="9"/>
      <c r="AG338" s="22">
        <v>1.5516700000000001</v>
      </c>
      <c r="AH338" s="22">
        <v>21.814900000000002</v>
      </c>
      <c r="AI338" s="22">
        <v>-1.30127E-2</v>
      </c>
      <c r="AJ338" s="22">
        <v>328</v>
      </c>
      <c r="AK338" s="22">
        <v>1.5508999999999999</v>
      </c>
      <c r="AL338">
        <f t="shared" si="66"/>
        <v>16.065061728395062</v>
      </c>
      <c r="AM338">
        <f t="shared" si="67"/>
        <v>24.927674332098768</v>
      </c>
      <c r="AP338" s="9"/>
      <c r="AQ338" s="22">
        <v>0.20843500000000001</v>
      </c>
      <c r="AR338" s="22">
        <v>27.4481</v>
      </c>
      <c r="AS338" s="22">
        <v>-1.5280200000000001E-2</v>
      </c>
      <c r="AT338" s="22">
        <v>328</v>
      </c>
      <c r="AU338" s="22">
        <v>0.20794699999999999</v>
      </c>
      <c r="AV338">
        <f t="shared" si="68"/>
        <v>18.864444444444445</v>
      </c>
      <c r="AW338">
        <f t="shared" si="69"/>
        <v>3.9320104777777778</v>
      </c>
      <c r="AX338" s="9"/>
      <c r="AY338" s="22">
        <v>1.5516700000000001</v>
      </c>
      <c r="AZ338" s="22">
        <v>31.388100000000001</v>
      </c>
      <c r="BA338" s="22">
        <v>-1.3296499999999999E-2</v>
      </c>
      <c r="BB338" s="22">
        <v>328</v>
      </c>
      <c r="BC338" s="22">
        <v>1.5508999999999999</v>
      </c>
      <c r="BD338">
        <f t="shared" si="70"/>
        <v>16.415432098765429</v>
      </c>
      <c r="BE338">
        <f t="shared" si="71"/>
        <v>25.471333524691353</v>
      </c>
    </row>
    <row r="339" spans="6:57">
      <c r="F339" s="9"/>
      <c r="G339" s="22">
        <v>0.2034</v>
      </c>
      <c r="H339" s="22">
        <v>8.3066800000000001</v>
      </c>
      <c r="I339" s="22">
        <v>-1.5014599999999999E-2</v>
      </c>
      <c r="J339" s="22">
        <v>329</v>
      </c>
      <c r="K339" s="22">
        <v>0.20269799999999999</v>
      </c>
      <c r="L339">
        <f t="shared" si="60"/>
        <v>18.536543209876541</v>
      </c>
      <c r="M339">
        <f t="shared" si="61"/>
        <v>3.7703328888888885</v>
      </c>
      <c r="N339" s="9"/>
      <c r="O339" s="22">
        <v>1.5567</v>
      </c>
      <c r="P339" s="22">
        <v>12.246700000000001</v>
      </c>
      <c r="Q339" s="22">
        <v>-1.28571E-2</v>
      </c>
      <c r="R339" s="22">
        <v>329</v>
      </c>
      <c r="S339" s="22">
        <v>1.5564</v>
      </c>
      <c r="T339">
        <f t="shared" si="62"/>
        <v>15.87296296296296</v>
      </c>
      <c r="U339">
        <f t="shared" si="63"/>
        <v>24.70944144444444</v>
      </c>
      <c r="X339" s="9"/>
      <c r="Y339" s="22">
        <v>0.2034</v>
      </c>
      <c r="Z339" s="22">
        <v>17.884899999999998</v>
      </c>
      <c r="AA339" s="22">
        <v>-1.5069600000000001E-2</v>
      </c>
      <c r="AB339" s="22">
        <v>329</v>
      </c>
      <c r="AC339" s="22">
        <v>0.20294200000000001</v>
      </c>
      <c r="AD339">
        <f t="shared" si="64"/>
        <v>18.604444444444443</v>
      </c>
      <c r="AE339">
        <f t="shared" si="65"/>
        <v>3.7841439999999995</v>
      </c>
      <c r="AF339" s="9"/>
      <c r="AG339" s="22">
        <v>1.5567</v>
      </c>
      <c r="AH339" s="22">
        <v>21.8249</v>
      </c>
      <c r="AI339" s="22">
        <v>-1.29608E-2</v>
      </c>
      <c r="AJ339" s="22">
        <v>329</v>
      </c>
      <c r="AK339" s="22">
        <v>1.55609</v>
      </c>
      <c r="AL339">
        <f t="shared" si="66"/>
        <v>16.000987654320987</v>
      </c>
      <c r="AM339">
        <f t="shared" si="67"/>
        <v>24.908737481481481</v>
      </c>
      <c r="AP339" s="9"/>
      <c r="AQ339" s="22">
        <v>0.2034</v>
      </c>
      <c r="AR339" s="22">
        <v>27.458100000000002</v>
      </c>
      <c r="AS339" s="22">
        <v>-1.52832E-2</v>
      </c>
      <c r="AT339" s="22">
        <v>329</v>
      </c>
      <c r="AU339" s="22">
        <v>0.20288100000000001</v>
      </c>
      <c r="AV339">
        <f t="shared" si="68"/>
        <v>18.868148148148148</v>
      </c>
      <c r="AW339">
        <f t="shared" si="69"/>
        <v>3.837781333333333</v>
      </c>
      <c r="AX339" s="9"/>
      <c r="AY339" s="22">
        <v>1.5567</v>
      </c>
      <c r="AZ339" s="22">
        <v>31.398199999999999</v>
      </c>
      <c r="BA339" s="22">
        <v>-1.3250700000000001E-2</v>
      </c>
      <c r="BB339" s="22">
        <v>329</v>
      </c>
      <c r="BC339" s="22">
        <v>1.5567</v>
      </c>
      <c r="BD339">
        <f t="shared" si="70"/>
        <v>16.358888888888888</v>
      </c>
      <c r="BE339">
        <f t="shared" si="71"/>
        <v>25.465882333333333</v>
      </c>
    </row>
    <row r="340" spans="6:57">
      <c r="F340" s="9"/>
      <c r="G340" s="22">
        <v>0.19836400000000001</v>
      </c>
      <c r="H340" s="22">
        <v>8.3167500000000008</v>
      </c>
      <c r="I340" s="22">
        <v>-1.50177E-2</v>
      </c>
      <c r="J340" s="22">
        <v>330</v>
      </c>
      <c r="K340" s="22">
        <v>0.19784499999999999</v>
      </c>
      <c r="L340">
        <f t="shared" si="60"/>
        <v>18.540370370370372</v>
      </c>
      <c r="M340">
        <f t="shared" si="61"/>
        <v>3.6777420281481485</v>
      </c>
      <c r="N340" s="9"/>
      <c r="O340" s="22">
        <v>1.5617399999999999</v>
      </c>
      <c r="P340" s="22">
        <v>12.2568</v>
      </c>
      <c r="Q340" s="22">
        <v>-1.2805199999999999E-2</v>
      </c>
      <c r="R340" s="22">
        <v>330</v>
      </c>
      <c r="S340" s="22">
        <v>1.56097</v>
      </c>
      <c r="T340">
        <f t="shared" si="62"/>
        <v>15.808888888888886</v>
      </c>
      <c r="U340">
        <f t="shared" si="63"/>
        <v>24.689374133333327</v>
      </c>
      <c r="X340" s="9"/>
      <c r="Y340" s="22">
        <v>0.19836400000000001</v>
      </c>
      <c r="Z340" s="22">
        <v>17.895</v>
      </c>
      <c r="AA340" s="22">
        <v>-1.50726E-2</v>
      </c>
      <c r="AB340" s="22">
        <v>330</v>
      </c>
      <c r="AC340" s="22">
        <v>0.19769300000000001</v>
      </c>
      <c r="AD340">
        <f t="shared" si="64"/>
        <v>18.60814814814815</v>
      </c>
      <c r="AE340">
        <f t="shared" si="65"/>
        <v>3.6911866992592599</v>
      </c>
      <c r="AF340" s="9"/>
      <c r="AG340" s="22">
        <v>1.5617399999999999</v>
      </c>
      <c r="AH340" s="22">
        <v>21.835000000000001</v>
      </c>
      <c r="AI340" s="22">
        <v>-1.2912E-2</v>
      </c>
      <c r="AJ340" s="22">
        <v>330</v>
      </c>
      <c r="AK340" s="22">
        <v>1.56128</v>
      </c>
      <c r="AL340">
        <f t="shared" si="66"/>
        <v>15.940740740740738</v>
      </c>
      <c r="AM340">
        <f t="shared" si="67"/>
        <v>24.89529244444444</v>
      </c>
      <c r="AP340" s="9"/>
      <c r="AQ340" s="22">
        <v>0.19836400000000001</v>
      </c>
      <c r="AR340" s="22">
        <v>27.4682</v>
      </c>
      <c r="AS340" s="22">
        <v>-1.52832E-2</v>
      </c>
      <c r="AT340" s="22">
        <v>330</v>
      </c>
      <c r="AU340" s="22">
        <v>0.19769300000000001</v>
      </c>
      <c r="AV340">
        <f t="shared" si="68"/>
        <v>18.868148148148148</v>
      </c>
      <c r="AW340">
        <f t="shared" si="69"/>
        <v>3.7427613392592596</v>
      </c>
      <c r="AX340" s="9"/>
      <c r="AY340" s="22">
        <v>1.5617399999999999</v>
      </c>
      <c r="AZ340" s="22">
        <v>31.408200000000001</v>
      </c>
      <c r="BA340" s="22">
        <v>-1.3205E-2</v>
      </c>
      <c r="BB340" s="22">
        <v>330</v>
      </c>
      <c r="BC340" s="22">
        <v>1.56067</v>
      </c>
      <c r="BD340">
        <f t="shared" si="70"/>
        <v>16.302469135802468</v>
      </c>
      <c r="BE340">
        <f t="shared" si="71"/>
        <v>25.460218148148144</v>
      </c>
    </row>
    <row r="341" spans="6:57">
      <c r="F341" s="9"/>
      <c r="G341" s="22">
        <v>0.193329</v>
      </c>
      <c r="H341" s="22">
        <v>8.3268199999999997</v>
      </c>
      <c r="I341" s="22">
        <v>-1.5020800000000001E-2</v>
      </c>
      <c r="J341" s="22">
        <v>331</v>
      </c>
      <c r="K341" s="22">
        <v>0.19281000000000001</v>
      </c>
      <c r="L341">
        <f t="shared" si="60"/>
        <v>18.544197530864199</v>
      </c>
      <c r="M341">
        <f t="shared" si="61"/>
        <v>3.5851311644444448</v>
      </c>
      <c r="N341" s="9"/>
      <c r="O341" s="22">
        <v>1.56677</v>
      </c>
      <c r="P341" s="22">
        <v>12.2669</v>
      </c>
      <c r="Q341" s="22">
        <v>-1.27533E-2</v>
      </c>
      <c r="R341" s="22">
        <v>331</v>
      </c>
      <c r="S341" s="22">
        <v>1.56586</v>
      </c>
      <c r="T341">
        <f t="shared" si="62"/>
        <v>15.744814814814816</v>
      </c>
      <c r="U341">
        <f t="shared" si="63"/>
        <v>24.668503507407411</v>
      </c>
      <c r="X341" s="9"/>
      <c r="Y341" s="22">
        <v>0.193329</v>
      </c>
      <c r="Z341" s="22">
        <v>17.905000000000001</v>
      </c>
      <c r="AA341" s="22">
        <v>-1.50787E-2</v>
      </c>
      <c r="AB341" s="22">
        <v>331</v>
      </c>
      <c r="AC341" s="22">
        <v>0.192749</v>
      </c>
      <c r="AD341">
        <f t="shared" si="64"/>
        <v>18.61567901234568</v>
      </c>
      <c r="AE341">
        <f t="shared" si="65"/>
        <v>3.5989506077777782</v>
      </c>
      <c r="AF341" s="9"/>
      <c r="AG341" s="22">
        <v>1.56677</v>
      </c>
      <c r="AH341" s="22">
        <v>21.845099999999999</v>
      </c>
      <c r="AI341" s="22">
        <v>-1.28632E-2</v>
      </c>
      <c r="AJ341" s="22">
        <v>331</v>
      </c>
      <c r="AK341" s="22">
        <v>1.56555</v>
      </c>
      <c r="AL341">
        <f t="shared" si="66"/>
        <v>15.880493827160493</v>
      </c>
      <c r="AM341">
        <f t="shared" si="67"/>
        <v>24.881081313580246</v>
      </c>
      <c r="AP341" s="9"/>
      <c r="AQ341" s="22">
        <v>0.193329</v>
      </c>
      <c r="AR341" s="22">
        <v>27.478300000000001</v>
      </c>
      <c r="AS341" s="22">
        <v>-1.52893E-2</v>
      </c>
      <c r="AT341" s="22">
        <v>331</v>
      </c>
      <c r="AU341" s="22">
        <v>0.19281000000000001</v>
      </c>
      <c r="AV341">
        <f t="shared" si="68"/>
        <v>18.875679012345678</v>
      </c>
      <c r="AW341">
        <f t="shared" si="69"/>
        <v>3.6492161477777776</v>
      </c>
      <c r="AX341" s="9"/>
      <c r="AY341" s="22">
        <v>1.56677</v>
      </c>
      <c r="AZ341" s="22">
        <v>31.418299999999999</v>
      </c>
      <c r="BA341" s="22">
        <v>-1.3162200000000001E-2</v>
      </c>
      <c r="BB341" s="22">
        <v>331</v>
      </c>
      <c r="BC341" s="22">
        <v>1.56616</v>
      </c>
      <c r="BD341">
        <f t="shared" si="70"/>
        <v>16.249629629629627</v>
      </c>
      <c r="BE341">
        <f t="shared" si="71"/>
        <v>25.459432214814811</v>
      </c>
    </row>
    <row r="342" spans="6:57">
      <c r="F342" s="9"/>
      <c r="G342" s="22">
        <v>0.18829299999999999</v>
      </c>
      <c r="H342" s="22">
        <v>8.3368900000000004</v>
      </c>
      <c r="I342" s="22">
        <v>-1.5026899999999999E-2</v>
      </c>
      <c r="J342" s="22">
        <v>332</v>
      </c>
      <c r="K342" s="22">
        <v>0.18774399999999999</v>
      </c>
      <c r="L342">
        <f t="shared" si="60"/>
        <v>18.551728395061726</v>
      </c>
      <c r="M342">
        <f t="shared" si="61"/>
        <v>3.4931605946913575</v>
      </c>
      <c r="N342" s="9"/>
      <c r="O342" s="22">
        <v>1.5718099999999999</v>
      </c>
      <c r="P342" s="22">
        <v>12.276899999999999</v>
      </c>
      <c r="Q342" s="22">
        <v>-1.27014E-2</v>
      </c>
      <c r="R342" s="22">
        <v>332</v>
      </c>
      <c r="S342" s="22">
        <v>1.57074</v>
      </c>
      <c r="T342">
        <f t="shared" si="62"/>
        <v>15.680740740740738</v>
      </c>
      <c r="U342">
        <f t="shared" si="63"/>
        <v>24.6471451037037</v>
      </c>
      <c r="X342" s="9"/>
      <c r="Y342" s="22">
        <v>0.18829299999999999</v>
      </c>
      <c r="Z342" s="22">
        <v>17.915099999999999</v>
      </c>
      <c r="AA342" s="22">
        <v>-1.50879E-2</v>
      </c>
      <c r="AB342" s="22">
        <v>332</v>
      </c>
      <c r="AC342" s="22">
        <v>0.187775</v>
      </c>
      <c r="AD342">
        <f t="shared" si="64"/>
        <v>18.627037037037034</v>
      </c>
      <c r="AE342">
        <f t="shared" si="65"/>
        <v>3.5073406848148143</v>
      </c>
      <c r="AF342" s="9"/>
      <c r="AG342" s="22">
        <v>1.5718099999999999</v>
      </c>
      <c r="AH342" s="22">
        <v>21.8552</v>
      </c>
      <c r="AI342" s="22">
        <v>-1.28174E-2</v>
      </c>
      <c r="AJ342" s="22">
        <v>332</v>
      </c>
      <c r="AK342" s="22">
        <v>1.57013</v>
      </c>
      <c r="AL342">
        <f t="shared" si="66"/>
        <v>15.82395061728395</v>
      </c>
      <c r="AM342">
        <f t="shared" si="67"/>
        <v>24.872243819753084</v>
      </c>
      <c r="AP342" s="9"/>
      <c r="AQ342" s="22">
        <v>0.18829299999999999</v>
      </c>
      <c r="AR342" s="22">
        <v>27.488399999999999</v>
      </c>
      <c r="AS342" s="22">
        <v>-1.5295400000000001E-2</v>
      </c>
      <c r="AT342" s="22">
        <v>332</v>
      </c>
      <c r="AU342" s="22">
        <v>0.187805</v>
      </c>
      <c r="AV342">
        <f t="shared" si="68"/>
        <v>18.883209876543212</v>
      </c>
      <c r="AW342">
        <f t="shared" si="69"/>
        <v>3.555576237283951</v>
      </c>
      <c r="AX342" s="9"/>
      <c r="AY342" s="22">
        <v>1.5718099999999999</v>
      </c>
      <c r="AZ342" s="22">
        <v>31.4284</v>
      </c>
      <c r="BA342" s="22">
        <v>-1.3113400000000001E-2</v>
      </c>
      <c r="BB342" s="22">
        <v>332</v>
      </c>
      <c r="BC342" s="22">
        <v>1.57104</v>
      </c>
      <c r="BD342">
        <f t="shared" si="70"/>
        <v>16.18938271604938</v>
      </c>
      <c r="BE342">
        <f t="shared" si="71"/>
        <v>25.446633646913575</v>
      </c>
    </row>
    <row r="343" spans="6:57">
      <c r="F343" s="9"/>
      <c r="G343" s="22">
        <v>0.183258</v>
      </c>
      <c r="H343" s="22">
        <v>8.3469700000000007</v>
      </c>
      <c r="I343" s="22">
        <v>-1.50238E-2</v>
      </c>
      <c r="J343" s="22">
        <v>333</v>
      </c>
      <c r="K343" s="22">
        <v>0.18270900000000001</v>
      </c>
      <c r="L343">
        <f t="shared" si="60"/>
        <v>18.547901234567902</v>
      </c>
      <c r="M343">
        <f t="shared" si="61"/>
        <v>3.3990512844444449</v>
      </c>
      <c r="N343" s="9"/>
      <c r="O343" s="22">
        <v>1.57684</v>
      </c>
      <c r="P343" s="22">
        <v>12.287000000000001</v>
      </c>
      <c r="Q343" s="22">
        <v>-1.26404E-2</v>
      </c>
      <c r="R343" s="22">
        <v>333</v>
      </c>
      <c r="S343" s="22">
        <v>1.57623</v>
      </c>
      <c r="T343">
        <f t="shared" si="62"/>
        <v>15.60543209876543</v>
      </c>
      <c r="U343">
        <f t="shared" si="63"/>
        <v>24.607269550617282</v>
      </c>
      <c r="X343" s="9"/>
      <c r="Y343" s="22">
        <v>0.183258</v>
      </c>
      <c r="Z343" s="22">
        <v>17.9252</v>
      </c>
      <c r="AA343" s="22">
        <v>-1.5094E-2</v>
      </c>
      <c r="AB343" s="22">
        <v>333</v>
      </c>
      <c r="AC343" s="22">
        <v>0.18273900000000001</v>
      </c>
      <c r="AD343">
        <f t="shared" si="64"/>
        <v>18.634567901234568</v>
      </c>
      <c r="AE343">
        <f t="shared" si="65"/>
        <v>3.4149336444444445</v>
      </c>
      <c r="AF343" s="9"/>
      <c r="AG343" s="22">
        <v>1.57684</v>
      </c>
      <c r="AH343" s="22">
        <v>21.865200000000002</v>
      </c>
      <c r="AI343" s="22">
        <v>-1.27625E-2</v>
      </c>
      <c r="AJ343" s="22">
        <v>333</v>
      </c>
      <c r="AK343" s="22">
        <v>1.5759300000000001</v>
      </c>
      <c r="AL343">
        <f t="shared" si="66"/>
        <v>15.756172839506172</v>
      </c>
      <c r="AM343">
        <f t="shared" si="67"/>
        <v>24.844963580246912</v>
      </c>
      <c r="AP343" s="9"/>
      <c r="AQ343" s="22">
        <v>0.183258</v>
      </c>
      <c r="AR343" s="22">
        <v>27.4984</v>
      </c>
      <c r="AS343" s="22">
        <v>-1.5301500000000001E-2</v>
      </c>
      <c r="AT343" s="22">
        <v>333</v>
      </c>
      <c r="AU343" s="22">
        <v>0.18273900000000001</v>
      </c>
      <c r="AV343">
        <f t="shared" si="68"/>
        <v>18.890740740740739</v>
      </c>
      <c r="AW343">
        <f t="shared" si="69"/>
        <v>3.4618793666666665</v>
      </c>
      <c r="AX343" s="9"/>
      <c r="AY343" s="22">
        <v>1.57684</v>
      </c>
      <c r="AZ343" s="22">
        <v>31.438500000000001</v>
      </c>
      <c r="BA343" s="22">
        <v>-1.3064600000000001E-2</v>
      </c>
      <c r="BB343" s="22">
        <v>333</v>
      </c>
      <c r="BC343" s="22">
        <v>1.5759300000000001</v>
      </c>
      <c r="BD343">
        <f t="shared" si="70"/>
        <v>16.129135802469136</v>
      </c>
      <c r="BE343">
        <f t="shared" si="71"/>
        <v>25.433066498765434</v>
      </c>
    </row>
    <row r="344" spans="6:57">
      <c r="F344" s="9"/>
      <c r="G344" s="22">
        <v>0.17822299999999999</v>
      </c>
      <c r="H344" s="22">
        <v>8.3570399999999996</v>
      </c>
      <c r="I344" s="22">
        <v>-1.50238E-2</v>
      </c>
      <c r="J344" s="22">
        <v>334</v>
      </c>
      <c r="K344" s="22">
        <v>0.17776500000000001</v>
      </c>
      <c r="L344">
        <f t="shared" si="60"/>
        <v>18.547901234567902</v>
      </c>
      <c r="M344">
        <f t="shared" si="61"/>
        <v>3.305662601728395</v>
      </c>
      <c r="N344" s="9"/>
      <c r="O344" s="22">
        <v>1.58188</v>
      </c>
      <c r="P344" s="22">
        <v>12.2971</v>
      </c>
      <c r="Q344" s="22">
        <v>-1.25763E-2</v>
      </c>
      <c r="R344" s="22">
        <v>334</v>
      </c>
      <c r="S344" s="22">
        <v>1.5802</v>
      </c>
      <c r="T344">
        <f t="shared" si="62"/>
        <v>15.526296296296294</v>
      </c>
      <c r="U344">
        <f t="shared" si="63"/>
        <v>24.56073758518518</v>
      </c>
      <c r="X344" s="9"/>
      <c r="Y344" s="22">
        <v>0.17822299999999999</v>
      </c>
      <c r="Z344" s="22">
        <v>17.935300000000002</v>
      </c>
      <c r="AA344" s="22">
        <v>-1.51031E-2</v>
      </c>
      <c r="AB344" s="22">
        <v>334</v>
      </c>
      <c r="AC344" s="22">
        <v>0.177704</v>
      </c>
      <c r="AD344">
        <f t="shared" si="64"/>
        <v>18.645802469135798</v>
      </c>
      <c r="AE344">
        <f t="shared" si="65"/>
        <v>3.3231108534567895</v>
      </c>
      <c r="AF344" s="9"/>
      <c r="AG344" s="22">
        <v>1.58188</v>
      </c>
      <c r="AH344" s="22">
        <v>21.875299999999999</v>
      </c>
      <c r="AI344" s="22">
        <v>-1.2710600000000001E-2</v>
      </c>
      <c r="AJ344" s="22">
        <v>334</v>
      </c>
      <c r="AK344" s="22">
        <v>1.58081</v>
      </c>
      <c r="AL344">
        <f t="shared" si="66"/>
        <v>15.692098765432098</v>
      </c>
      <c r="AM344">
        <f t="shared" si="67"/>
        <v>24.823017195061727</v>
      </c>
      <c r="AP344" s="9"/>
      <c r="AQ344" s="22">
        <v>0.17822299999999999</v>
      </c>
      <c r="AR344" s="22">
        <v>27.508500000000002</v>
      </c>
      <c r="AS344" s="22">
        <v>-1.5307599999999999E-2</v>
      </c>
      <c r="AT344" s="22">
        <v>334</v>
      </c>
      <c r="AU344" s="22">
        <v>0.177704</v>
      </c>
      <c r="AV344">
        <f t="shared" si="68"/>
        <v>18.89827160493827</v>
      </c>
      <c r="AW344">
        <f t="shared" si="69"/>
        <v>3.3681066602469132</v>
      </c>
      <c r="AX344" s="9"/>
      <c r="AY344" s="22">
        <v>1.58188</v>
      </c>
      <c r="AZ344" s="22">
        <v>31.448499999999999</v>
      </c>
      <c r="BA344" s="22">
        <v>-1.30157E-2</v>
      </c>
      <c r="BB344" s="22">
        <v>334</v>
      </c>
      <c r="BC344" s="22">
        <v>1.5805100000000001</v>
      </c>
      <c r="BD344">
        <f t="shared" si="70"/>
        <v>16.068765432098765</v>
      </c>
      <c r="BE344">
        <f t="shared" si="71"/>
        <v>25.418858661728393</v>
      </c>
    </row>
    <row r="345" spans="6:57">
      <c r="F345" s="9"/>
      <c r="G345" s="22">
        <v>0.17318700000000001</v>
      </c>
      <c r="H345" s="22">
        <v>8.3671100000000003</v>
      </c>
      <c r="I345" s="22">
        <v>-1.5029900000000001E-2</v>
      </c>
      <c r="J345" s="22">
        <v>335</v>
      </c>
      <c r="K345" s="22">
        <v>0.17269899999999999</v>
      </c>
      <c r="L345">
        <f t="shared" si="60"/>
        <v>18.555432098765429</v>
      </c>
      <c r="M345">
        <f t="shared" si="61"/>
        <v>3.2135596188888886</v>
      </c>
      <c r="N345" s="9"/>
      <c r="O345" s="22">
        <v>1.58691</v>
      </c>
      <c r="P345" s="22">
        <v>12.3071</v>
      </c>
      <c r="Q345" s="22">
        <v>-1.25183E-2</v>
      </c>
      <c r="R345" s="22">
        <v>335</v>
      </c>
      <c r="S345" s="22">
        <v>1.58569</v>
      </c>
      <c r="T345">
        <f t="shared" si="62"/>
        <v>15.454691358024689</v>
      </c>
      <c r="U345">
        <f t="shared" si="63"/>
        <v>24.525204262962962</v>
      </c>
      <c r="X345" s="9"/>
      <c r="Y345" s="22">
        <v>0.17318700000000001</v>
      </c>
      <c r="Z345" s="22">
        <v>17.9453</v>
      </c>
      <c r="AA345" s="22">
        <v>-1.51123E-2</v>
      </c>
      <c r="AB345" s="22">
        <v>335</v>
      </c>
      <c r="AC345" s="22">
        <v>0.17269899999999999</v>
      </c>
      <c r="AD345">
        <f t="shared" si="64"/>
        <v>18.65716049382716</v>
      </c>
      <c r="AE345">
        <f t="shared" si="65"/>
        <v>3.2311776544444446</v>
      </c>
      <c r="AF345" s="9"/>
      <c r="AG345" s="22">
        <v>1.58691</v>
      </c>
      <c r="AH345" s="22">
        <v>21.885400000000001</v>
      </c>
      <c r="AI345" s="22">
        <v>-1.2643400000000001E-2</v>
      </c>
      <c r="AJ345" s="22">
        <v>335</v>
      </c>
      <c r="AK345" s="22">
        <v>1.58569</v>
      </c>
      <c r="AL345">
        <f t="shared" si="66"/>
        <v>15.609135802469137</v>
      </c>
      <c r="AM345">
        <f t="shared" si="67"/>
        <v>24.770293696296299</v>
      </c>
      <c r="AP345" s="9"/>
      <c r="AQ345" s="22">
        <v>0.17318700000000001</v>
      </c>
      <c r="AR345" s="22">
        <v>27.518599999999999</v>
      </c>
      <c r="AS345" s="22">
        <v>-1.53168E-2</v>
      </c>
      <c r="AT345" s="22">
        <v>335</v>
      </c>
      <c r="AU345" s="22">
        <v>0.17233299999999999</v>
      </c>
      <c r="AV345">
        <f t="shared" si="68"/>
        <v>18.909629629629627</v>
      </c>
      <c r="AW345">
        <f t="shared" si="69"/>
        <v>3.2749020266666666</v>
      </c>
      <c r="AX345" s="9"/>
      <c r="AY345" s="22">
        <v>1.58691</v>
      </c>
      <c r="AZ345" s="22">
        <v>31.458600000000001</v>
      </c>
      <c r="BA345" s="22">
        <v>-1.29547E-2</v>
      </c>
      <c r="BB345" s="22">
        <v>335</v>
      </c>
      <c r="BC345" s="22">
        <v>1.5853900000000001</v>
      </c>
      <c r="BD345">
        <f t="shared" si="70"/>
        <v>15.993456790123457</v>
      </c>
      <c r="BE345">
        <f t="shared" si="71"/>
        <v>25.380176514814814</v>
      </c>
    </row>
    <row r="346" spans="6:57">
      <c r="F346" s="9"/>
      <c r="G346" s="22">
        <v>0.168152</v>
      </c>
      <c r="H346" s="22">
        <v>8.3771799999999992</v>
      </c>
      <c r="I346" s="22">
        <v>-1.50391E-2</v>
      </c>
      <c r="J346" s="22">
        <v>336</v>
      </c>
      <c r="K346" s="22">
        <v>0.16766400000000001</v>
      </c>
      <c r="L346">
        <f t="shared" si="60"/>
        <v>18.566790123456791</v>
      </c>
      <c r="M346">
        <f t="shared" si="61"/>
        <v>3.1220428928395063</v>
      </c>
      <c r="N346" s="9"/>
      <c r="O346" s="22">
        <v>1.59195</v>
      </c>
      <c r="P346" s="22">
        <v>12.3172</v>
      </c>
      <c r="Q346" s="22">
        <v>-1.2460300000000001E-2</v>
      </c>
      <c r="R346" s="22">
        <v>336</v>
      </c>
      <c r="S346" s="22">
        <v>1.5908800000000001</v>
      </c>
      <c r="T346">
        <f t="shared" si="62"/>
        <v>15.383086419753086</v>
      </c>
      <c r="U346">
        <f t="shared" si="63"/>
        <v>24.489104425925927</v>
      </c>
      <c r="X346" s="9"/>
      <c r="Y346" s="22">
        <v>0.168152</v>
      </c>
      <c r="Z346" s="22">
        <v>17.955400000000001</v>
      </c>
      <c r="AA346" s="22">
        <v>-1.5115399999999999E-2</v>
      </c>
      <c r="AB346" s="22">
        <v>336</v>
      </c>
      <c r="AC346" s="22">
        <v>0.167542</v>
      </c>
      <c r="AD346">
        <f t="shared" si="64"/>
        <v>18.660987654320987</v>
      </c>
      <c r="AE346">
        <f t="shared" si="65"/>
        <v>3.1378823960493825</v>
      </c>
      <c r="AF346" s="9"/>
      <c r="AG346" s="22">
        <v>1.59195</v>
      </c>
      <c r="AH346" s="22">
        <v>21.895399999999999</v>
      </c>
      <c r="AI346" s="22">
        <v>-1.25854E-2</v>
      </c>
      <c r="AJ346" s="22">
        <v>336</v>
      </c>
      <c r="AK346" s="22">
        <v>1.5908800000000001</v>
      </c>
      <c r="AL346">
        <f t="shared" si="66"/>
        <v>15.53753086419753</v>
      </c>
      <c r="AM346">
        <f t="shared" si="67"/>
        <v>24.734972259259258</v>
      </c>
      <c r="AP346" s="9"/>
      <c r="AQ346" s="22">
        <v>0.168152</v>
      </c>
      <c r="AR346" s="22">
        <v>27.528600000000001</v>
      </c>
      <c r="AS346" s="22">
        <v>-1.53229E-2</v>
      </c>
      <c r="AT346" s="22">
        <v>336</v>
      </c>
      <c r="AU346" s="22">
        <v>0.167542</v>
      </c>
      <c r="AV346">
        <f t="shared" si="68"/>
        <v>18.917160493827158</v>
      </c>
      <c r="AW346">
        <f t="shared" si="69"/>
        <v>3.1809583713580243</v>
      </c>
      <c r="AX346" s="9"/>
      <c r="AY346" s="22">
        <v>1.59195</v>
      </c>
      <c r="AZ346" s="22">
        <v>31.468699999999998</v>
      </c>
      <c r="BA346" s="22">
        <v>-1.2899799999999999E-2</v>
      </c>
      <c r="BB346" s="22">
        <v>336</v>
      </c>
      <c r="BC346" s="22">
        <v>1.5911900000000001</v>
      </c>
      <c r="BD346">
        <f t="shared" si="70"/>
        <v>15.925679012345679</v>
      </c>
      <c r="BE346">
        <f t="shared" si="71"/>
        <v>25.352884703703705</v>
      </c>
    </row>
    <row r="347" spans="6:57">
      <c r="F347" s="9"/>
      <c r="G347" s="22">
        <v>0.16311600000000001</v>
      </c>
      <c r="H347" s="22">
        <v>8.3872499999999999</v>
      </c>
      <c r="I347" s="22">
        <v>-1.5048199999999999E-2</v>
      </c>
      <c r="J347" s="22">
        <v>337</v>
      </c>
      <c r="K347" s="22">
        <v>0.16262799999999999</v>
      </c>
      <c r="L347">
        <f t="shared" si="60"/>
        <v>18.578024691358021</v>
      </c>
      <c r="M347">
        <f t="shared" si="61"/>
        <v>3.0303730755555551</v>
      </c>
      <c r="N347" s="9"/>
      <c r="O347" s="22">
        <v>1.5969800000000001</v>
      </c>
      <c r="P347" s="22">
        <v>12.327299999999999</v>
      </c>
      <c r="Q347" s="22">
        <v>-1.23993E-2</v>
      </c>
      <c r="R347" s="22">
        <v>337</v>
      </c>
      <c r="S347" s="22">
        <v>1.5963700000000001</v>
      </c>
      <c r="T347">
        <f t="shared" si="62"/>
        <v>15.307777777777778</v>
      </c>
      <c r="U347">
        <f t="shared" si="63"/>
        <v>24.446214955555558</v>
      </c>
      <c r="X347" s="9"/>
      <c r="Y347" s="22">
        <v>0.16311600000000001</v>
      </c>
      <c r="Z347" s="22">
        <v>17.965499999999999</v>
      </c>
      <c r="AA347" s="22">
        <v>-1.5118400000000001E-2</v>
      </c>
      <c r="AB347" s="22">
        <v>337</v>
      </c>
      <c r="AC347" s="22">
        <v>0.16253699999999999</v>
      </c>
      <c r="AD347">
        <f t="shared" si="64"/>
        <v>18.66469135802469</v>
      </c>
      <c r="AE347">
        <f t="shared" si="65"/>
        <v>3.0445097955555558</v>
      </c>
      <c r="AF347" s="9"/>
      <c r="AG347" s="22">
        <v>1.5969800000000001</v>
      </c>
      <c r="AH347" s="22">
        <v>21.9055</v>
      </c>
      <c r="AI347" s="22">
        <v>-1.2512199999999999E-2</v>
      </c>
      <c r="AJ347" s="22">
        <v>337</v>
      </c>
      <c r="AK347" s="22">
        <v>1.5957600000000001</v>
      </c>
      <c r="AL347">
        <f t="shared" si="66"/>
        <v>15.447160493827159</v>
      </c>
      <c r="AM347">
        <f t="shared" si="67"/>
        <v>24.668806365432097</v>
      </c>
      <c r="AP347" s="9"/>
      <c r="AQ347" s="22">
        <v>0.16311600000000001</v>
      </c>
      <c r="AR347" s="22">
        <v>27.538699999999999</v>
      </c>
      <c r="AS347" s="22">
        <v>-1.53259E-2</v>
      </c>
      <c r="AT347" s="22">
        <v>337</v>
      </c>
      <c r="AU347" s="22">
        <v>0.16256699999999999</v>
      </c>
      <c r="AV347">
        <f t="shared" si="68"/>
        <v>18.920864197530861</v>
      </c>
      <c r="AW347">
        <f t="shared" si="69"/>
        <v>3.086295684444444</v>
      </c>
      <c r="AX347" s="9"/>
      <c r="AY347" s="22">
        <v>1.5969800000000001</v>
      </c>
      <c r="AZ347" s="22">
        <v>31.4787</v>
      </c>
      <c r="BA347" s="22">
        <v>-1.28326E-2</v>
      </c>
      <c r="BB347" s="22">
        <v>337</v>
      </c>
      <c r="BC347" s="22">
        <v>1.5957600000000001</v>
      </c>
      <c r="BD347">
        <f t="shared" si="70"/>
        <v>15.842716049382712</v>
      </c>
      <c r="BE347">
        <f t="shared" si="71"/>
        <v>25.300500676543205</v>
      </c>
    </row>
    <row r="348" spans="6:57">
      <c r="F348" s="9"/>
      <c r="G348" s="22">
        <v>0.158081</v>
      </c>
      <c r="H348" s="22">
        <v>8.3973200000000006</v>
      </c>
      <c r="I348" s="22">
        <v>-1.50604E-2</v>
      </c>
      <c r="J348" s="22">
        <v>338</v>
      </c>
      <c r="K348" s="22">
        <v>0.15753200000000001</v>
      </c>
      <c r="L348">
        <f t="shared" si="60"/>
        <v>18.593086419753085</v>
      </c>
      <c r="M348">
        <f t="shared" si="61"/>
        <v>2.9392136943209874</v>
      </c>
      <c r="N348" s="9"/>
      <c r="O348" s="22">
        <v>1.60202</v>
      </c>
      <c r="P348" s="22">
        <v>12.337400000000001</v>
      </c>
      <c r="Q348" s="22">
        <v>-1.2329100000000001E-2</v>
      </c>
      <c r="R348" s="22">
        <v>338</v>
      </c>
      <c r="S348" s="22">
        <v>1.6009500000000001</v>
      </c>
      <c r="T348">
        <f t="shared" si="62"/>
        <v>15.22111111111111</v>
      </c>
      <c r="U348">
        <f t="shared" si="63"/>
        <v>24.384524422222221</v>
      </c>
      <c r="X348" s="9"/>
      <c r="Y348" s="22">
        <v>0.158081</v>
      </c>
      <c r="Z348" s="22">
        <v>17.9755</v>
      </c>
      <c r="AA348" s="22">
        <v>-1.51215E-2</v>
      </c>
      <c r="AB348" s="22">
        <v>338</v>
      </c>
      <c r="AC348" s="22">
        <v>0.15762300000000001</v>
      </c>
      <c r="AD348">
        <f t="shared" si="64"/>
        <v>18.668518518518518</v>
      </c>
      <c r="AE348">
        <f t="shared" si="65"/>
        <v>2.9511380759259258</v>
      </c>
      <c r="AF348" s="9"/>
      <c r="AG348" s="22">
        <v>1.60202</v>
      </c>
      <c r="AH348" s="22">
        <v>21.915600000000001</v>
      </c>
      <c r="AI348" s="22">
        <v>-1.2439E-2</v>
      </c>
      <c r="AJ348" s="22">
        <v>338</v>
      </c>
      <c r="AK348" s="22">
        <v>1.6006499999999999</v>
      </c>
      <c r="AL348">
        <f t="shared" si="66"/>
        <v>15.35679012345679</v>
      </c>
      <c r="AM348">
        <f t="shared" si="67"/>
        <v>24.601884913580246</v>
      </c>
      <c r="AP348" s="9"/>
      <c r="AQ348" s="22">
        <v>0.158081</v>
      </c>
      <c r="AR348" s="22">
        <v>27.5488</v>
      </c>
      <c r="AS348" s="22">
        <v>-1.5335100000000001E-2</v>
      </c>
      <c r="AT348" s="22">
        <v>338</v>
      </c>
      <c r="AU348" s="22">
        <v>0.15756200000000001</v>
      </c>
      <c r="AV348">
        <f t="shared" si="68"/>
        <v>18.932222222222222</v>
      </c>
      <c r="AW348">
        <f t="shared" si="69"/>
        <v>2.9928246211111111</v>
      </c>
      <c r="AX348" s="9"/>
      <c r="AY348" s="22">
        <v>1.60202</v>
      </c>
      <c r="AZ348" s="22">
        <v>31.488800000000001</v>
      </c>
      <c r="BA348" s="22">
        <v>-1.27686E-2</v>
      </c>
      <c r="BB348" s="22">
        <v>338</v>
      </c>
      <c r="BC348" s="22">
        <v>1.6009500000000001</v>
      </c>
      <c r="BD348">
        <f t="shared" si="70"/>
        <v>15.763703703703703</v>
      </c>
      <c r="BE348">
        <f t="shared" si="71"/>
        <v>25.253768607407405</v>
      </c>
    </row>
    <row r="349" spans="6:57">
      <c r="F349" s="9"/>
      <c r="G349" s="22">
        <v>0.15304599999999999</v>
      </c>
      <c r="H349" s="22">
        <v>8.4073899999999995</v>
      </c>
      <c r="I349" s="22">
        <v>-1.50726E-2</v>
      </c>
      <c r="J349" s="22">
        <v>339</v>
      </c>
      <c r="K349" s="22">
        <v>0.152313</v>
      </c>
      <c r="L349">
        <f t="shared" si="60"/>
        <v>18.60814814814815</v>
      </c>
      <c r="M349">
        <f t="shared" si="61"/>
        <v>2.8479026414814816</v>
      </c>
      <c r="N349" s="9"/>
      <c r="O349" s="22">
        <v>1.6070599999999999</v>
      </c>
      <c r="P349" s="22">
        <v>12.3474</v>
      </c>
      <c r="Q349" s="22">
        <v>-1.2268100000000001E-2</v>
      </c>
      <c r="R349" s="22">
        <v>339</v>
      </c>
      <c r="S349" s="22">
        <v>1.6064499999999999</v>
      </c>
      <c r="T349">
        <f t="shared" si="62"/>
        <v>15.145802469135802</v>
      </c>
      <c r="U349">
        <f t="shared" si="63"/>
        <v>24.340213316049383</v>
      </c>
      <c r="X349" s="9"/>
      <c r="Y349" s="22">
        <v>0.15304599999999999</v>
      </c>
      <c r="Z349" s="22">
        <v>17.985600000000002</v>
      </c>
      <c r="AA349" s="22">
        <v>-1.5124500000000001E-2</v>
      </c>
      <c r="AB349" s="22">
        <v>339</v>
      </c>
      <c r="AC349" s="22">
        <v>0.15240500000000001</v>
      </c>
      <c r="AD349">
        <f t="shared" si="64"/>
        <v>18.672222222222221</v>
      </c>
      <c r="AE349">
        <f t="shared" si="65"/>
        <v>2.8577089222222218</v>
      </c>
      <c r="AF349" s="9"/>
      <c r="AG349" s="22">
        <v>1.6070599999999999</v>
      </c>
      <c r="AH349" s="22">
        <v>21.925699999999999</v>
      </c>
      <c r="AI349" s="22">
        <v>-1.2356600000000001E-2</v>
      </c>
      <c r="AJ349" s="22">
        <v>339</v>
      </c>
      <c r="AK349" s="22">
        <v>1.6067499999999999</v>
      </c>
      <c r="AL349">
        <f t="shared" si="66"/>
        <v>15.255061728395061</v>
      </c>
      <c r="AM349">
        <f t="shared" si="67"/>
        <v>24.515799501234564</v>
      </c>
      <c r="AP349" s="9"/>
      <c r="AQ349" s="22">
        <v>0.15304599999999999</v>
      </c>
      <c r="AR349" s="22">
        <v>27.558800000000002</v>
      </c>
      <c r="AS349" s="22">
        <v>-1.5344200000000001E-2</v>
      </c>
      <c r="AT349" s="22">
        <v>339</v>
      </c>
      <c r="AU349" s="22">
        <v>0.15234400000000001</v>
      </c>
      <c r="AV349">
        <f t="shared" si="68"/>
        <v>18.943456790123456</v>
      </c>
      <c r="AW349">
        <f t="shared" si="69"/>
        <v>2.8992202879012341</v>
      </c>
      <c r="AX349" s="9"/>
      <c r="AY349" s="22">
        <v>1.6070599999999999</v>
      </c>
      <c r="AZ349" s="22">
        <v>31.498899999999999</v>
      </c>
      <c r="BA349" s="22">
        <v>-1.26953E-2</v>
      </c>
      <c r="BB349" s="22">
        <v>339</v>
      </c>
      <c r="BC349" s="22">
        <v>1.6058300000000001</v>
      </c>
      <c r="BD349">
        <f t="shared" si="70"/>
        <v>15.67320987654321</v>
      </c>
      <c r="BE349">
        <f t="shared" si="71"/>
        <v>25.18778866419753</v>
      </c>
    </row>
    <row r="350" spans="6:57">
      <c r="F350" s="9"/>
      <c r="G350" s="22">
        <v>0.14801</v>
      </c>
      <c r="H350" s="22">
        <v>8.4174600000000002</v>
      </c>
      <c r="I350" s="22">
        <v>-1.50787E-2</v>
      </c>
      <c r="J350" s="22">
        <v>340</v>
      </c>
      <c r="K350" s="22">
        <v>0.14715600000000001</v>
      </c>
      <c r="L350">
        <f t="shared" si="60"/>
        <v>18.61567901234568</v>
      </c>
      <c r="M350">
        <f t="shared" si="61"/>
        <v>2.7553066506172841</v>
      </c>
      <c r="N350" s="9"/>
      <c r="O350" s="22">
        <v>1.61209</v>
      </c>
      <c r="P350" s="22">
        <v>12.3575</v>
      </c>
      <c r="Q350" s="22">
        <v>-1.2191799999999999E-2</v>
      </c>
      <c r="R350" s="22">
        <v>340</v>
      </c>
      <c r="S350" s="22">
        <v>1.6110199999999999</v>
      </c>
      <c r="T350">
        <f t="shared" si="62"/>
        <v>15.051604938271602</v>
      </c>
      <c r="U350">
        <f t="shared" si="63"/>
        <v>24.264541804938268</v>
      </c>
      <c r="X350" s="9"/>
      <c r="Y350" s="22">
        <v>0.14801</v>
      </c>
      <c r="Z350" s="22">
        <v>17.995699999999999</v>
      </c>
      <c r="AA350" s="22">
        <v>-1.5130599999999999E-2</v>
      </c>
      <c r="AB350" s="22">
        <v>340</v>
      </c>
      <c r="AC350" s="22">
        <v>0.14776600000000001</v>
      </c>
      <c r="AD350">
        <f t="shared" si="64"/>
        <v>18.679753086419751</v>
      </c>
      <c r="AE350">
        <f t="shared" si="65"/>
        <v>2.7647902543209875</v>
      </c>
      <c r="AF350" s="9"/>
      <c r="AG350" s="22">
        <v>1.61209</v>
      </c>
      <c r="AH350" s="22">
        <v>21.935700000000001</v>
      </c>
      <c r="AI350" s="22">
        <v>-1.22833E-2</v>
      </c>
      <c r="AJ350" s="22">
        <v>340</v>
      </c>
      <c r="AK350" s="22">
        <v>1.6110199999999999</v>
      </c>
      <c r="AL350">
        <f t="shared" si="66"/>
        <v>15.164567901234568</v>
      </c>
      <c r="AM350">
        <f t="shared" si="67"/>
        <v>24.446648267901235</v>
      </c>
      <c r="AP350" s="9"/>
      <c r="AQ350" s="22">
        <v>0.14801</v>
      </c>
      <c r="AR350" s="22">
        <v>27.568899999999999</v>
      </c>
      <c r="AS350" s="22">
        <v>-1.5350300000000001E-2</v>
      </c>
      <c r="AT350" s="22">
        <v>340</v>
      </c>
      <c r="AU350" s="22">
        <v>0.14758299999999999</v>
      </c>
      <c r="AV350">
        <f t="shared" si="68"/>
        <v>18.95098765432099</v>
      </c>
      <c r="AW350">
        <f t="shared" si="69"/>
        <v>2.8049356827160499</v>
      </c>
      <c r="AX350" s="9"/>
      <c r="AY350" s="22">
        <v>1.61209</v>
      </c>
      <c r="AZ350" s="22">
        <v>31.509</v>
      </c>
      <c r="BA350" s="22">
        <v>-1.2622100000000001E-2</v>
      </c>
      <c r="BB350" s="22">
        <v>340</v>
      </c>
      <c r="BC350" s="22">
        <v>1.6113299999999999</v>
      </c>
      <c r="BD350">
        <f t="shared" si="70"/>
        <v>15.582839506172839</v>
      </c>
      <c r="BE350">
        <f t="shared" si="71"/>
        <v>25.120939739506174</v>
      </c>
    </row>
    <row r="351" spans="6:57">
      <c r="F351" s="9"/>
      <c r="G351" s="22">
        <v>0.14297499999999999</v>
      </c>
      <c r="H351" s="22">
        <v>8.4275300000000009</v>
      </c>
      <c r="I351" s="22">
        <v>-1.5081799999999999E-2</v>
      </c>
      <c r="J351" s="22">
        <v>341</v>
      </c>
      <c r="K351" s="22">
        <v>0.142426</v>
      </c>
      <c r="L351">
        <f t="shared" si="60"/>
        <v>18.619506172839504</v>
      </c>
      <c r="M351">
        <f t="shared" si="61"/>
        <v>2.6621238950617281</v>
      </c>
      <c r="N351" s="9"/>
      <c r="O351" s="22">
        <v>1.61713</v>
      </c>
      <c r="P351" s="22">
        <v>12.367599999999999</v>
      </c>
      <c r="Q351" s="22">
        <v>-1.2109399999999999E-2</v>
      </c>
      <c r="R351" s="22">
        <v>341</v>
      </c>
      <c r="S351" s="22">
        <v>1.6168199999999999</v>
      </c>
      <c r="T351">
        <f t="shared" si="62"/>
        <v>14.949876543209875</v>
      </c>
      <c r="U351">
        <f t="shared" si="63"/>
        <v>24.175893854320986</v>
      </c>
      <c r="X351" s="9"/>
      <c r="Y351" s="22">
        <v>0.14297499999999999</v>
      </c>
      <c r="Z351" s="22">
        <v>18.005800000000001</v>
      </c>
      <c r="AA351" s="22">
        <v>-1.51276E-2</v>
      </c>
      <c r="AB351" s="22">
        <v>341</v>
      </c>
      <c r="AC351" s="22">
        <v>0.14239499999999999</v>
      </c>
      <c r="AD351">
        <f t="shared" si="64"/>
        <v>18.676049382716048</v>
      </c>
      <c r="AE351">
        <f t="shared" si="65"/>
        <v>2.6702081604938268</v>
      </c>
      <c r="AF351" s="9"/>
      <c r="AG351" s="22">
        <v>1.61713</v>
      </c>
      <c r="AH351" s="22">
        <v>21.945799999999998</v>
      </c>
      <c r="AI351" s="22">
        <v>-1.2197899999999999E-2</v>
      </c>
      <c r="AJ351" s="22">
        <v>341</v>
      </c>
      <c r="AK351" s="22">
        <v>1.6162099999999999</v>
      </c>
      <c r="AL351">
        <f t="shared" si="66"/>
        <v>15.059135802469134</v>
      </c>
      <c r="AM351">
        <f t="shared" si="67"/>
        <v>24.352580280246912</v>
      </c>
      <c r="AP351" s="9"/>
      <c r="AQ351" s="22">
        <v>0.14297499999999999</v>
      </c>
      <c r="AR351" s="22">
        <v>27.579000000000001</v>
      </c>
      <c r="AS351" s="22">
        <v>-1.5356399999999999E-2</v>
      </c>
      <c r="AT351" s="22">
        <v>341</v>
      </c>
      <c r="AU351" s="22">
        <v>0.14233399999999999</v>
      </c>
      <c r="AV351">
        <f t="shared" si="68"/>
        <v>18.958518518518517</v>
      </c>
      <c r="AW351">
        <f t="shared" si="69"/>
        <v>2.7105941851851849</v>
      </c>
      <c r="AX351" s="9"/>
      <c r="AY351" s="22">
        <v>1.61713</v>
      </c>
      <c r="AZ351" s="22">
        <v>31.518999999999998</v>
      </c>
      <c r="BA351" s="22">
        <v>-1.2545799999999999E-2</v>
      </c>
      <c r="BB351" s="22">
        <v>341</v>
      </c>
      <c r="BC351" s="22">
        <v>1.61591</v>
      </c>
      <c r="BD351">
        <f t="shared" si="70"/>
        <v>15.48864197530864</v>
      </c>
      <c r="BE351">
        <f t="shared" si="71"/>
        <v>25.047147597530859</v>
      </c>
    </row>
    <row r="352" spans="6:57">
      <c r="F352" s="9"/>
      <c r="G352" s="22">
        <v>0.13793900000000001</v>
      </c>
      <c r="H352" s="22">
        <v>8.4375999999999998</v>
      </c>
      <c r="I352" s="22">
        <v>-1.5084800000000001E-2</v>
      </c>
      <c r="J352" s="22">
        <v>342</v>
      </c>
      <c r="K352" s="22">
        <v>0.13736000000000001</v>
      </c>
      <c r="L352">
        <f t="shared" si="60"/>
        <v>18.623209876543207</v>
      </c>
      <c r="M352">
        <f t="shared" si="61"/>
        <v>2.5688669471604935</v>
      </c>
      <c r="N352" s="9"/>
      <c r="O352" s="22">
        <v>1.62216</v>
      </c>
      <c r="P352" s="22">
        <v>12.377599999999999</v>
      </c>
      <c r="Q352" s="22">
        <v>-1.2020899999999999E-2</v>
      </c>
      <c r="R352" s="22">
        <v>342</v>
      </c>
      <c r="S352" s="22">
        <v>1.6216999999999999</v>
      </c>
      <c r="T352">
        <f t="shared" si="62"/>
        <v>14.840617283950616</v>
      </c>
      <c r="U352">
        <f t="shared" si="63"/>
        <v>24.073855733333332</v>
      </c>
      <c r="X352" s="9"/>
      <c r="Y352" s="22">
        <v>0.13793900000000001</v>
      </c>
      <c r="Z352" s="22">
        <v>18.015799999999999</v>
      </c>
      <c r="AA352" s="22">
        <v>-1.51337E-2</v>
      </c>
      <c r="AB352" s="22">
        <v>342</v>
      </c>
      <c r="AC352" s="22">
        <v>0.13742099999999999</v>
      </c>
      <c r="AD352">
        <f t="shared" si="64"/>
        <v>18.683580246913579</v>
      </c>
      <c r="AE352">
        <f t="shared" si="65"/>
        <v>2.5771943756790123</v>
      </c>
      <c r="AF352" s="9"/>
      <c r="AG352" s="22">
        <v>1.62216</v>
      </c>
      <c r="AH352" s="22">
        <v>21.9559</v>
      </c>
      <c r="AI352" s="22">
        <v>-1.2118500000000001E-2</v>
      </c>
      <c r="AJ352" s="22">
        <v>342</v>
      </c>
      <c r="AK352" s="22">
        <v>1.6204799999999999</v>
      </c>
      <c r="AL352">
        <f t="shared" si="66"/>
        <v>14.96111111111111</v>
      </c>
      <c r="AM352">
        <f t="shared" si="67"/>
        <v>24.269316</v>
      </c>
      <c r="AP352" s="9"/>
      <c r="AQ352" s="22">
        <v>0.13793900000000001</v>
      </c>
      <c r="AR352" s="22">
        <v>27.589099999999998</v>
      </c>
      <c r="AS352" s="22">
        <v>-1.5362499999999999E-2</v>
      </c>
      <c r="AT352" s="22">
        <v>342</v>
      </c>
      <c r="AU352" s="22">
        <v>0.13736000000000001</v>
      </c>
      <c r="AV352">
        <f t="shared" si="68"/>
        <v>18.966049382716047</v>
      </c>
      <c r="AW352">
        <f t="shared" si="69"/>
        <v>2.616157885802469</v>
      </c>
      <c r="AX352" s="9"/>
      <c r="AY352" s="22">
        <v>1.62216</v>
      </c>
      <c r="AZ352" s="22">
        <v>31.5291</v>
      </c>
      <c r="BA352" s="22">
        <v>-1.24695E-2</v>
      </c>
      <c r="BB352" s="22">
        <v>342</v>
      </c>
      <c r="BC352" s="22">
        <v>1.6214</v>
      </c>
      <c r="BD352">
        <f t="shared" si="70"/>
        <v>15.394444444444444</v>
      </c>
      <c r="BE352">
        <f t="shared" si="71"/>
        <v>24.972252000000001</v>
      </c>
    </row>
    <row r="353" spans="6:57">
      <c r="F353" s="9"/>
      <c r="G353" s="22">
        <v>0.13290399999999999</v>
      </c>
      <c r="H353" s="22">
        <v>8.4476800000000001</v>
      </c>
      <c r="I353" s="22">
        <v>-1.5084800000000001E-2</v>
      </c>
      <c r="J353" s="22">
        <v>343</v>
      </c>
      <c r="K353" s="22">
        <v>0.132355</v>
      </c>
      <c r="L353">
        <f t="shared" si="60"/>
        <v>18.623209876543207</v>
      </c>
      <c r="M353">
        <f t="shared" si="61"/>
        <v>2.4750990854320984</v>
      </c>
      <c r="N353" s="9"/>
      <c r="O353" s="22">
        <v>1.6272</v>
      </c>
      <c r="P353" s="22">
        <v>12.387700000000001</v>
      </c>
      <c r="Q353" s="22">
        <v>-1.19293E-2</v>
      </c>
      <c r="R353" s="22">
        <v>343</v>
      </c>
      <c r="S353" s="22">
        <v>1.6262799999999999</v>
      </c>
      <c r="T353">
        <f t="shared" si="62"/>
        <v>14.727530864197531</v>
      </c>
      <c r="U353">
        <f t="shared" si="63"/>
        <v>23.964638222222224</v>
      </c>
      <c r="X353" s="9"/>
      <c r="Y353" s="22">
        <v>0.13290399999999999</v>
      </c>
      <c r="Z353" s="22">
        <v>18.0259</v>
      </c>
      <c r="AA353" s="22">
        <v>-1.5136699999999999E-2</v>
      </c>
      <c r="AB353" s="22">
        <v>343</v>
      </c>
      <c r="AC353" s="22">
        <v>0.13244600000000001</v>
      </c>
      <c r="AD353">
        <f t="shared" si="64"/>
        <v>18.687283950617282</v>
      </c>
      <c r="AE353">
        <f t="shared" si="65"/>
        <v>2.483614786172839</v>
      </c>
      <c r="AF353" s="9"/>
      <c r="AG353" s="22">
        <v>1.6272</v>
      </c>
      <c r="AH353" s="22">
        <v>21.965900000000001</v>
      </c>
      <c r="AI353" s="22">
        <v>-1.2026999999999999E-2</v>
      </c>
      <c r="AJ353" s="22">
        <v>343</v>
      </c>
      <c r="AK353" s="22">
        <v>1.62598</v>
      </c>
      <c r="AL353">
        <f t="shared" si="66"/>
        <v>14.848148148148146</v>
      </c>
      <c r="AM353">
        <f t="shared" si="67"/>
        <v>24.160906666666662</v>
      </c>
      <c r="AP353" s="9"/>
      <c r="AQ353" s="22">
        <v>0.13290399999999999</v>
      </c>
      <c r="AR353" s="22">
        <v>27.5991</v>
      </c>
      <c r="AS353" s="22">
        <v>-1.53656E-2</v>
      </c>
      <c r="AT353" s="22">
        <v>343</v>
      </c>
      <c r="AU353" s="22">
        <v>0.132324</v>
      </c>
      <c r="AV353">
        <f t="shared" si="68"/>
        <v>18.969876543209878</v>
      </c>
      <c r="AW353">
        <f t="shared" si="69"/>
        <v>2.5211724720987654</v>
      </c>
      <c r="AX353" s="9"/>
      <c r="AY353" s="22">
        <v>1.6272</v>
      </c>
      <c r="AZ353" s="22">
        <v>31.539200000000001</v>
      </c>
      <c r="BA353" s="22">
        <v>-1.2377900000000001E-2</v>
      </c>
      <c r="BB353" s="22">
        <v>343</v>
      </c>
      <c r="BC353" s="22">
        <v>1.62659</v>
      </c>
      <c r="BD353">
        <f t="shared" si="70"/>
        <v>15.281358024691359</v>
      </c>
      <c r="BE353">
        <f t="shared" si="71"/>
        <v>24.865825777777779</v>
      </c>
    </row>
    <row r="354" spans="6:57">
      <c r="F354" s="9"/>
      <c r="G354" s="22">
        <v>0.12786900000000001</v>
      </c>
      <c r="H354" s="22">
        <v>8.4577500000000008</v>
      </c>
      <c r="I354" s="22">
        <v>-1.5084800000000001E-2</v>
      </c>
      <c r="J354" s="22">
        <v>344</v>
      </c>
      <c r="K354" s="22">
        <v>0.12737999999999999</v>
      </c>
      <c r="L354">
        <f t="shared" si="60"/>
        <v>18.623209876543207</v>
      </c>
      <c r="M354">
        <f t="shared" si="61"/>
        <v>2.3813312237037034</v>
      </c>
      <c r="N354" s="9"/>
      <c r="O354" s="22">
        <v>1.6322300000000001</v>
      </c>
      <c r="P354" s="22">
        <v>12.3978</v>
      </c>
      <c r="Q354" s="22">
        <v>-1.18225E-2</v>
      </c>
      <c r="R354" s="22">
        <v>344</v>
      </c>
      <c r="S354" s="22">
        <v>1.63147</v>
      </c>
      <c r="T354">
        <f t="shared" si="62"/>
        <v>14.595679012345677</v>
      </c>
      <c r="U354">
        <f t="shared" si="63"/>
        <v>23.823505154320987</v>
      </c>
      <c r="X354" s="9"/>
      <c r="Y354" s="22">
        <v>0.12786900000000001</v>
      </c>
      <c r="Z354" s="22">
        <v>18.036000000000001</v>
      </c>
      <c r="AA354" s="22">
        <v>-1.51428E-2</v>
      </c>
      <c r="AB354" s="22">
        <v>344</v>
      </c>
      <c r="AC354" s="22">
        <v>0.127472</v>
      </c>
      <c r="AD354">
        <f t="shared" si="64"/>
        <v>18.694814814814812</v>
      </c>
      <c r="AE354">
        <f t="shared" si="65"/>
        <v>2.3904872755555555</v>
      </c>
      <c r="AF354" s="9"/>
      <c r="AG354" s="22">
        <v>1.6322300000000001</v>
      </c>
      <c r="AH354" s="22">
        <v>21.975999999999999</v>
      </c>
      <c r="AI354" s="22">
        <v>-1.19293E-2</v>
      </c>
      <c r="AJ354" s="22">
        <v>344</v>
      </c>
      <c r="AK354" s="22">
        <v>1.63147</v>
      </c>
      <c r="AL354">
        <f t="shared" si="66"/>
        <v>14.727530864197531</v>
      </c>
      <c r="AM354">
        <f t="shared" si="67"/>
        <v>24.038717702469139</v>
      </c>
      <c r="AP354" s="9"/>
      <c r="AQ354" s="22">
        <v>0.12786900000000001</v>
      </c>
      <c r="AR354" s="22">
        <v>27.609200000000001</v>
      </c>
      <c r="AS354" s="22">
        <v>-1.5368700000000001E-2</v>
      </c>
      <c r="AT354" s="22">
        <v>344</v>
      </c>
      <c r="AU354" s="22">
        <v>0.12734999999999999</v>
      </c>
      <c r="AV354">
        <f t="shared" si="68"/>
        <v>18.973703703703706</v>
      </c>
      <c r="AW354">
        <f t="shared" si="69"/>
        <v>2.4261485188888892</v>
      </c>
      <c r="AX354" s="9"/>
      <c r="AY354" s="22">
        <v>1.6322300000000001</v>
      </c>
      <c r="AZ354" s="22">
        <v>31.549199999999999</v>
      </c>
      <c r="BA354" s="22">
        <v>-1.2295499999999999E-2</v>
      </c>
      <c r="BB354" s="22">
        <v>344</v>
      </c>
      <c r="BC354" s="22">
        <v>1.63147</v>
      </c>
      <c r="BD354">
        <f t="shared" si="70"/>
        <v>15.179629629629629</v>
      </c>
      <c r="BE354">
        <f t="shared" si="71"/>
        <v>24.776646870370371</v>
      </c>
    </row>
    <row r="355" spans="6:57">
      <c r="F355" s="9"/>
      <c r="G355" s="22">
        <v>0.122833</v>
      </c>
      <c r="H355" s="22">
        <v>8.4678199999999997</v>
      </c>
      <c r="I355" s="22">
        <v>-1.5090900000000001E-2</v>
      </c>
      <c r="J355" s="22">
        <v>345</v>
      </c>
      <c r="K355" s="22">
        <v>0.122223</v>
      </c>
      <c r="L355">
        <f t="shared" si="60"/>
        <v>18.630740740740741</v>
      </c>
      <c r="M355">
        <f t="shared" si="61"/>
        <v>2.2884697774074074</v>
      </c>
      <c r="N355" s="9"/>
      <c r="O355" s="22">
        <v>1.63727</v>
      </c>
      <c r="P355" s="22">
        <v>12.4079</v>
      </c>
      <c r="Q355" s="22">
        <v>-1.17188E-2</v>
      </c>
      <c r="R355" s="22">
        <v>345</v>
      </c>
      <c r="S355" s="22">
        <v>1.63635</v>
      </c>
      <c r="T355">
        <f t="shared" si="62"/>
        <v>14.467654320987654</v>
      </c>
      <c r="U355">
        <f t="shared" si="63"/>
        <v>23.687456390123454</v>
      </c>
      <c r="X355" s="9"/>
      <c r="Y355" s="22">
        <v>0.122833</v>
      </c>
      <c r="Z355" s="22">
        <v>18.045999999999999</v>
      </c>
      <c r="AA355" s="22">
        <v>-1.51459E-2</v>
      </c>
      <c r="AB355" s="22">
        <v>345</v>
      </c>
      <c r="AC355" s="22">
        <v>0.122284</v>
      </c>
      <c r="AD355">
        <f t="shared" si="64"/>
        <v>18.698641975308643</v>
      </c>
      <c r="AE355">
        <f t="shared" si="65"/>
        <v>2.2968102897530867</v>
      </c>
      <c r="AF355" s="9"/>
      <c r="AG355" s="22">
        <v>1.63727</v>
      </c>
      <c r="AH355" s="22">
        <v>21.9861</v>
      </c>
      <c r="AI355" s="22">
        <v>-1.1831700000000001E-2</v>
      </c>
      <c r="AJ355" s="22">
        <v>345</v>
      </c>
      <c r="AK355" s="22">
        <v>1.63666</v>
      </c>
      <c r="AL355">
        <f t="shared" si="66"/>
        <v>14.607037037037037</v>
      </c>
      <c r="AM355">
        <f t="shared" si="67"/>
        <v>23.915663529629629</v>
      </c>
      <c r="AP355" s="9"/>
      <c r="AQ355" s="22">
        <v>0.122833</v>
      </c>
      <c r="AR355" s="22">
        <v>27.619299999999999</v>
      </c>
      <c r="AS355" s="22">
        <v>-1.5374799999999999E-2</v>
      </c>
      <c r="AT355" s="22">
        <v>345</v>
      </c>
      <c r="AU355" s="22">
        <v>0.122345</v>
      </c>
      <c r="AV355">
        <f t="shared" si="68"/>
        <v>18.981234567901232</v>
      </c>
      <c r="AW355">
        <f t="shared" si="69"/>
        <v>2.3315219856790121</v>
      </c>
      <c r="AX355" s="9"/>
      <c r="AY355" s="22">
        <v>1.63727</v>
      </c>
      <c r="AZ355" s="22">
        <v>31.5593</v>
      </c>
      <c r="BA355" s="22">
        <v>-1.2197899999999999E-2</v>
      </c>
      <c r="BB355" s="22">
        <v>345</v>
      </c>
      <c r="BC355" s="22">
        <v>1.63544</v>
      </c>
      <c r="BD355">
        <f t="shared" si="70"/>
        <v>15.059135802469134</v>
      </c>
      <c r="BE355">
        <f t="shared" si="71"/>
        <v>24.655871275308641</v>
      </c>
    </row>
    <row r="356" spans="6:57">
      <c r="F356" s="9"/>
      <c r="G356" s="22">
        <v>0.117798</v>
      </c>
      <c r="H356" s="22">
        <v>8.4778900000000004</v>
      </c>
      <c r="I356" s="22">
        <v>-1.5096999999999999E-2</v>
      </c>
      <c r="J356" s="22">
        <v>346</v>
      </c>
      <c r="K356" s="22">
        <v>0.117157</v>
      </c>
      <c r="L356">
        <f t="shared" si="60"/>
        <v>18.638271604938272</v>
      </c>
      <c r="M356">
        <f t="shared" si="61"/>
        <v>2.1955511185185186</v>
      </c>
      <c r="N356" s="9"/>
      <c r="O356" s="22">
        <v>1.6423000000000001</v>
      </c>
      <c r="P356" s="22">
        <v>12.417899999999999</v>
      </c>
      <c r="Q356" s="22">
        <v>-1.16089E-2</v>
      </c>
      <c r="R356" s="22">
        <v>346</v>
      </c>
      <c r="S356" s="22">
        <v>1.64154</v>
      </c>
      <c r="T356">
        <f t="shared" si="62"/>
        <v>14.331975308641976</v>
      </c>
      <c r="U356">
        <f t="shared" si="63"/>
        <v>23.537403049382718</v>
      </c>
      <c r="X356" s="9"/>
      <c r="Y356" s="22">
        <v>0.117798</v>
      </c>
      <c r="Z356" s="22">
        <v>18.056100000000001</v>
      </c>
      <c r="AA356" s="22">
        <v>-1.5152000000000001E-2</v>
      </c>
      <c r="AB356" s="22">
        <v>346</v>
      </c>
      <c r="AC356" s="22">
        <v>0.117157</v>
      </c>
      <c r="AD356">
        <f t="shared" si="64"/>
        <v>18.706172839506173</v>
      </c>
      <c r="AE356">
        <f t="shared" si="65"/>
        <v>2.2035497481481481</v>
      </c>
      <c r="AF356" s="9"/>
      <c r="AG356" s="22">
        <v>1.6423000000000001</v>
      </c>
      <c r="AH356" s="22">
        <v>21.996200000000002</v>
      </c>
      <c r="AI356" s="22">
        <v>-1.1727899999999999E-2</v>
      </c>
      <c r="AJ356" s="22">
        <v>346</v>
      </c>
      <c r="AK356" s="22">
        <v>1.64124</v>
      </c>
      <c r="AL356">
        <f t="shared" si="66"/>
        <v>14.478888888888887</v>
      </c>
      <c r="AM356">
        <f t="shared" si="67"/>
        <v>23.77867922222222</v>
      </c>
      <c r="AP356" s="9"/>
      <c r="AQ356" s="22">
        <v>0.117798</v>
      </c>
      <c r="AR356" s="22">
        <v>27.629300000000001</v>
      </c>
      <c r="AS356" s="22">
        <v>-1.5380899999999999E-2</v>
      </c>
      <c r="AT356" s="22">
        <v>346</v>
      </c>
      <c r="AU356" s="22">
        <v>0.117371</v>
      </c>
      <c r="AV356">
        <f t="shared" si="68"/>
        <v>18.988765432098763</v>
      </c>
      <c r="AW356">
        <f t="shared" si="69"/>
        <v>2.23683859037037</v>
      </c>
      <c r="AX356" s="9"/>
      <c r="AY356" s="22">
        <v>1.6423000000000001</v>
      </c>
      <c r="AZ356" s="22">
        <v>31.569400000000002</v>
      </c>
      <c r="BA356" s="22">
        <v>-1.2097200000000001E-2</v>
      </c>
      <c r="BB356" s="22">
        <v>346</v>
      </c>
      <c r="BC356" s="22">
        <v>1.64185</v>
      </c>
      <c r="BD356">
        <f t="shared" si="70"/>
        <v>14.934814814814814</v>
      </c>
      <c r="BE356">
        <f t="shared" si="71"/>
        <v>24.52744637037037</v>
      </c>
    </row>
    <row r="357" spans="6:57">
      <c r="F357" s="9"/>
      <c r="G357" s="22">
        <v>0.112762</v>
      </c>
      <c r="H357" s="22">
        <v>8.4879599999999993</v>
      </c>
      <c r="I357" s="22">
        <v>-1.51001E-2</v>
      </c>
      <c r="J357" s="22">
        <v>347</v>
      </c>
      <c r="K357" s="22">
        <v>0.112549</v>
      </c>
      <c r="L357">
        <f t="shared" si="60"/>
        <v>18.642098765432099</v>
      </c>
      <c r="M357">
        <f t="shared" si="61"/>
        <v>2.1021203409876543</v>
      </c>
      <c r="N357" s="9"/>
      <c r="O357" s="22">
        <v>1.64734</v>
      </c>
      <c r="P357" s="22">
        <v>12.428000000000001</v>
      </c>
      <c r="Q357" s="22">
        <v>-1.1495999999999999E-2</v>
      </c>
      <c r="R357" s="22">
        <v>347</v>
      </c>
      <c r="S357" s="22">
        <v>1.64703</v>
      </c>
      <c r="T357">
        <f t="shared" si="62"/>
        <v>14.19259259259259</v>
      </c>
      <c r="U357">
        <f t="shared" si="63"/>
        <v>23.380025481481479</v>
      </c>
      <c r="X357" s="9"/>
      <c r="Y357" s="22">
        <v>0.112762</v>
      </c>
      <c r="Z357" s="22">
        <v>18.066199999999998</v>
      </c>
      <c r="AA357" s="22">
        <v>-1.5155E-2</v>
      </c>
      <c r="AB357" s="22">
        <v>347</v>
      </c>
      <c r="AC357" s="22">
        <v>0.112274</v>
      </c>
      <c r="AD357">
        <f t="shared" si="64"/>
        <v>18.709876543209877</v>
      </c>
      <c r="AE357">
        <f t="shared" si="65"/>
        <v>2.1097630987654323</v>
      </c>
      <c r="AF357" s="9"/>
      <c r="AG357" s="22">
        <v>1.64734</v>
      </c>
      <c r="AH357" s="22">
        <v>22.0062</v>
      </c>
      <c r="AI357" s="22">
        <v>-1.16089E-2</v>
      </c>
      <c r="AJ357" s="22">
        <v>347</v>
      </c>
      <c r="AK357" s="22">
        <v>1.64581</v>
      </c>
      <c r="AL357">
        <f t="shared" si="66"/>
        <v>14.331975308641976</v>
      </c>
      <c r="AM357">
        <f t="shared" si="67"/>
        <v>23.609636204938273</v>
      </c>
      <c r="AP357" s="9"/>
      <c r="AQ357" s="22">
        <v>0.112762</v>
      </c>
      <c r="AR357" s="22">
        <v>27.639399999999998</v>
      </c>
      <c r="AS357" s="22">
        <v>-1.5389999999999999E-2</v>
      </c>
      <c r="AT357" s="22">
        <v>347</v>
      </c>
      <c r="AU357" s="22">
        <v>0.112244</v>
      </c>
      <c r="AV357">
        <f t="shared" si="68"/>
        <v>18.999999999999996</v>
      </c>
      <c r="AW357">
        <f t="shared" si="69"/>
        <v>2.1424779999999997</v>
      </c>
      <c r="AX357" s="9"/>
      <c r="AY357" s="22">
        <v>1.64734</v>
      </c>
      <c r="AZ357" s="22">
        <v>31.579499999999999</v>
      </c>
      <c r="BA357" s="22">
        <v>-1.1975100000000001E-2</v>
      </c>
      <c r="BB357" s="22">
        <v>347</v>
      </c>
      <c r="BC357" s="22">
        <v>1.64612</v>
      </c>
      <c r="BD357">
        <f t="shared" si="70"/>
        <v>14.784074074074075</v>
      </c>
      <c r="BE357">
        <f t="shared" si="71"/>
        <v>24.354396585185189</v>
      </c>
    </row>
    <row r="358" spans="6:57">
      <c r="F358" s="9"/>
      <c r="G358" s="22">
        <v>0.107727</v>
      </c>
      <c r="H358" s="22">
        <v>8.49803</v>
      </c>
      <c r="I358" s="22">
        <v>-1.51031E-2</v>
      </c>
      <c r="J358" s="22">
        <v>348</v>
      </c>
      <c r="K358" s="22">
        <v>0.107086</v>
      </c>
      <c r="L358">
        <f t="shared" si="60"/>
        <v>18.645802469135798</v>
      </c>
      <c r="M358">
        <f t="shared" si="61"/>
        <v>2.0086563625925922</v>
      </c>
      <c r="N358" s="9"/>
      <c r="O358" s="22">
        <v>1.6523699999999999</v>
      </c>
      <c r="P358" s="22">
        <v>12.4381</v>
      </c>
      <c r="Q358" s="22">
        <v>-1.1379999999999999E-2</v>
      </c>
      <c r="R358" s="22">
        <v>348</v>
      </c>
      <c r="S358" s="22">
        <v>1.6513100000000001</v>
      </c>
      <c r="T358">
        <f t="shared" si="62"/>
        <v>14.049382716049381</v>
      </c>
      <c r="U358">
        <f t="shared" si="63"/>
        <v>23.214778518518514</v>
      </c>
      <c r="X358" s="9"/>
      <c r="Y358" s="22">
        <v>0.107727</v>
      </c>
      <c r="Z358" s="22">
        <v>18.0763</v>
      </c>
      <c r="AA358" s="22">
        <v>-1.51672E-2</v>
      </c>
      <c r="AB358" s="22">
        <v>348</v>
      </c>
      <c r="AC358" s="22">
        <v>0.10732999999999999</v>
      </c>
      <c r="AD358">
        <f t="shared" si="64"/>
        <v>18.724938271604938</v>
      </c>
      <c r="AE358">
        <f t="shared" si="65"/>
        <v>2.0171814251851852</v>
      </c>
      <c r="AF358" s="9"/>
      <c r="AG358" s="22">
        <v>1.6523699999999999</v>
      </c>
      <c r="AH358" s="22">
        <v>22.016300000000001</v>
      </c>
      <c r="AI358" s="22">
        <v>-1.1495999999999999E-2</v>
      </c>
      <c r="AJ358" s="22">
        <v>348</v>
      </c>
      <c r="AK358" s="22">
        <v>1.651</v>
      </c>
      <c r="AL358">
        <f t="shared" si="66"/>
        <v>14.19259259259259</v>
      </c>
      <c r="AM358">
        <f t="shared" si="67"/>
        <v>23.451414222222215</v>
      </c>
      <c r="AP358" s="9"/>
      <c r="AQ358" s="22">
        <v>0.107727</v>
      </c>
      <c r="AR358" s="22">
        <v>27.6495</v>
      </c>
      <c r="AS358" s="22">
        <v>-1.53931E-2</v>
      </c>
      <c r="AT358" s="22">
        <v>348</v>
      </c>
      <c r="AU358" s="22">
        <v>0.107269</v>
      </c>
      <c r="AV358">
        <f t="shared" si="68"/>
        <v>19.003827160493824</v>
      </c>
      <c r="AW358">
        <f t="shared" si="69"/>
        <v>2.047225288518518</v>
      </c>
      <c r="AX358" s="9"/>
      <c r="AY358" s="22">
        <v>1.6523699999999999</v>
      </c>
      <c r="AZ358" s="22">
        <v>31.589500000000001</v>
      </c>
      <c r="BA358" s="22">
        <v>-1.1859099999999999E-2</v>
      </c>
      <c r="BB358" s="22">
        <v>348</v>
      </c>
      <c r="BC358" s="22">
        <v>1.6513100000000001</v>
      </c>
      <c r="BD358">
        <f t="shared" si="70"/>
        <v>14.640864197530862</v>
      </c>
      <c r="BE358">
        <f t="shared" si="71"/>
        <v>24.192124774074067</v>
      </c>
    </row>
    <row r="359" spans="6:57">
      <c r="F359" s="9"/>
      <c r="G359" s="22">
        <v>0.10269200000000001</v>
      </c>
      <c r="H359" s="22">
        <v>8.5081000000000007</v>
      </c>
      <c r="I359" s="22">
        <v>-1.51062E-2</v>
      </c>
      <c r="J359" s="22">
        <v>349</v>
      </c>
      <c r="K359" s="22">
        <v>0.10241699999999999</v>
      </c>
      <c r="L359">
        <f t="shared" si="60"/>
        <v>18.649629629629626</v>
      </c>
      <c r="M359">
        <f t="shared" si="61"/>
        <v>1.9151677659259256</v>
      </c>
      <c r="N359" s="9"/>
      <c r="O359" s="22">
        <v>1.65741</v>
      </c>
      <c r="P359" s="22">
        <v>12.4481</v>
      </c>
      <c r="Q359" s="22">
        <v>-1.1261E-2</v>
      </c>
      <c r="R359" s="22">
        <v>349</v>
      </c>
      <c r="S359" s="22">
        <v>1.6568000000000001</v>
      </c>
      <c r="T359">
        <f t="shared" si="62"/>
        <v>13.90246913580247</v>
      </c>
      <c r="U359">
        <f t="shared" si="63"/>
        <v>23.042091370370372</v>
      </c>
      <c r="X359" s="9"/>
      <c r="Y359" s="22">
        <v>0.10269200000000001</v>
      </c>
      <c r="Z359" s="22">
        <v>18.086300000000001</v>
      </c>
      <c r="AA359" s="22">
        <v>-1.5173300000000001E-2</v>
      </c>
      <c r="AB359" s="22">
        <v>349</v>
      </c>
      <c r="AC359" s="22">
        <v>0.10202</v>
      </c>
      <c r="AD359">
        <f t="shared" si="64"/>
        <v>18.732469135802468</v>
      </c>
      <c r="AE359">
        <f t="shared" si="65"/>
        <v>1.9236747204938272</v>
      </c>
      <c r="AF359" s="9"/>
      <c r="AG359" s="22">
        <v>1.65741</v>
      </c>
      <c r="AH359" s="22">
        <v>22.026399999999999</v>
      </c>
      <c r="AI359" s="22">
        <v>-1.1367800000000001E-2</v>
      </c>
      <c r="AJ359" s="22">
        <v>349</v>
      </c>
      <c r="AK359" s="22">
        <v>1.65649</v>
      </c>
      <c r="AL359">
        <f t="shared" si="66"/>
        <v>14.03432098765432</v>
      </c>
      <c r="AM359">
        <f t="shared" si="67"/>
        <v>23.260623948148147</v>
      </c>
      <c r="AP359" s="9"/>
      <c r="AQ359" s="22">
        <v>0.10269200000000001</v>
      </c>
      <c r="AR359" s="22">
        <v>27.659600000000001</v>
      </c>
      <c r="AS359" s="22">
        <v>-1.5396099999999999E-2</v>
      </c>
      <c r="AT359" s="22">
        <v>349</v>
      </c>
      <c r="AU359" s="22">
        <v>0.102051</v>
      </c>
      <c r="AV359">
        <f t="shared" si="68"/>
        <v>19.007530864197527</v>
      </c>
      <c r="AW359">
        <f t="shared" si="69"/>
        <v>1.9519213595061726</v>
      </c>
      <c r="AX359" s="9"/>
      <c r="AY359" s="22">
        <v>1.65741</v>
      </c>
      <c r="AZ359" s="22">
        <v>31.599599999999999</v>
      </c>
      <c r="BA359" s="22">
        <v>-1.1734E-2</v>
      </c>
      <c r="BB359" s="22">
        <v>349</v>
      </c>
      <c r="BC359" s="22">
        <v>1.6568000000000001</v>
      </c>
      <c r="BD359">
        <f t="shared" si="70"/>
        <v>14.486419753086418</v>
      </c>
      <c r="BE359">
        <f t="shared" si="71"/>
        <v>24.009936962962961</v>
      </c>
    </row>
    <row r="360" spans="6:57">
      <c r="F360" s="9"/>
      <c r="G360" s="22">
        <v>9.7656300000000001E-2</v>
      </c>
      <c r="H360" s="22">
        <v>8.5181699999999996</v>
      </c>
      <c r="I360" s="22">
        <v>-1.5115399999999999E-2</v>
      </c>
      <c r="J360" s="22">
        <v>350</v>
      </c>
      <c r="K360" s="22">
        <v>9.7320599999999993E-2</v>
      </c>
      <c r="L360">
        <f t="shared" si="60"/>
        <v>18.660987654320987</v>
      </c>
      <c r="M360">
        <f t="shared" si="61"/>
        <v>1.8223630086666667</v>
      </c>
      <c r="N360" s="9"/>
      <c r="O360" s="22">
        <v>1.66245</v>
      </c>
      <c r="P360" s="22">
        <v>12.4582</v>
      </c>
      <c r="Q360" s="22">
        <v>-1.11298E-2</v>
      </c>
      <c r="R360" s="22">
        <v>350</v>
      </c>
      <c r="S360" s="22">
        <v>1.66107</v>
      </c>
      <c r="T360">
        <f t="shared" si="62"/>
        <v>13.740493827160494</v>
      </c>
      <c r="U360">
        <f t="shared" si="63"/>
        <v>22.842883962962961</v>
      </c>
      <c r="X360" s="9"/>
      <c r="Y360" s="22">
        <v>9.7656300000000001E-2</v>
      </c>
      <c r="Z360" s="22">
        <v>18.096399999999999</v>
      </c>
      <c r="AA360" s="22">
        <v>-1.51764E-2</v>
      </c>
      <c r="AB360" s="22">
        <v>350</v>
      </c>
      <c r="AC360" s="22">
        <v>9.7137500000000002E-2</v>
      </c>
      <c r="AD360">
        <f t="shared" si="64"/>
        <v>18.736296296296295</v>
      </c>
      <c r="AE360">
        <f t="shared" si="65"/>
        <v>1.829717372</v>
      </c>
      <c r="AF360" s="9"/>
      <c r="AG360" s="22">
        <v>1.66245</v>
      </c>
      <c r="AH360" s="22">
        <v>22.0364</v>
      </c>
      <c r="AI360" s="22">
        <v>-1.12427E-2</v>
      </c>
      <c r="AJ360" s="22">
        <v>350</v>
      </c>
      <c r="AK360" s="22">
        <v>1.66168</v>
      </c>
      <c r="AL360">
        <f t="shared" si="66"/>
        <v>13.879876543209877</v>
      </c>
      <c r="AM360">
        <f t="shared" si="67"/>
        <v>23.074600759259258</v>
      </c>
      <c r="AP360" s="9"/>
      <c r="AQ360" s="22">
        <v>9.7656300000000001E-2</v>
      </c>
      <c r="AR360" s="22">
        <v>27.669599999999999</v>
      </c>
      <c r="AS360" s="22">
        <v>-1.53992E-2</v>
      </c>
      <c r="AT360" s="22">
        <v>350</v>
      </c>
      <c r="AU360" s="22">
        <v>9.7259499999999999E-2</v>
      </c>
      <c r="AV360">
        <f t="shared" si="68"/>
        <v>19.011358024691354</v>
      </c>
      <c r="AW360">
        <f t="shared" si="69"/>
        <v>1.8565788826666663</v>
      </c>
      <c r="AX360" s="9"/>
      <c r="AY360" s="22">
        <v>1.66245</v>
      </c>
      <c r="AZ360" s="22">
        <v>31.6097</v>
      </c>
      <c r="BA360" s="22">
        <v>-1.1615E-2</v>
      </c>
      <c r="BB360" s="22">
        <v>350</v>
      </c>
      <c r="BC360" s="22">
        <v>1.6613800000000001</v>
      </c>
      <c r="BD360">
        <f t="shared" si="70"/>
        <v>14.339506172839505</v>
      </c>
      <c r="BE360">
        <f t="shared" si="71"/>
        <v>23.838712037037034</v>
      </c>
    </row>
    <row r="361" spans="6:57">
      <c r="F361" s="9"/>
      <c r="G361" s="22">
        <v>9.2620800000000003E-2</v>
      </c>
      <c r="H361" s="22">
        <v>8.5282400000000003</v>
      </c>
      <c r="I361" s="22">
        <v>-1.5118400000000001E-2</v>
      </c>
      <c r="J361" s="22">
        <v>351</v>
      </c>
      <c r="K361" s="22">
        <v>9.2010499999999995E-2</v>
      </c>
      <c r="L361">
        <f t="shared" si="60"/>
        <v>18.66469135802469</v>
      </c>
      <c r="M361">
        <f t="shared" si="61"/>
        <v>1.7287386453333333</v>
      </c>
      <c r="N361" s="9"/>
      <c r="O361" s="22">
        <v>1.6674800000000001</v>
      </c>
      <c r="P361" s="22">
        <v>12.468299999999999</v>
      </c>
      <c r="Q361" s="22">
        <v>-1.0986299999999999E-2</v>
      </c>
      <c r="R361" s="22">
        <v>351</v>
      </c>
      <c r="S361" s="22">
        <v>1.66595</v>
      </c>
      <c r="T361">
        <f t="shared" si="62"/>
        <v>13.563333333333333</v>
      </c>
      <c r="U361">
        <f t="shared" si="63"/>
        <v>22.616587066666668</v>
      </c>
      <c r="X361" s="9"/>
      <c r="Y361" s="22">
        <v>9.2620800000000003E-2</v>
      </c>
      <c r="Z361" s="22">
        <v>18.1065</v>
      </c>
      <c r="AA361" s="22">
        <v>-1.5179399999999999E-2</v>
      </c>
      <c r="AB361" s="22">
        <v>351</v>
      </c>
      <c r="AC361" s="22">
        <v>9.2224100000000003E-2</v>
      </c>
      <c r="AD361">
        <f t="shared" si="64"/>
        <v>18.739999999999995</v>
      </c>
      <c r="AE361">
        <f t="shared" si="65"/>
        <v>1.7357137919999996</v>
      </c>
      <c r="AF361" s="9"/>
      <c r="AG361" s="22">
        <v>1.6674800000000001</v>
      </c>
      <c r="AH361" s="22">
        <v>22.046500000000002</v>
      </c>
      <c r="AI361" s="22">
        <v>-1.10931E-2</v>
      </c>
      <c r="AJ361" s="22">
        <v>351</v>
      </c>
      <c r="AK361" s="22">
        <v>1.6668700000000001</v>
      </c>
      <c r="AL361">
        <f t="shared" si="66"/>
        <v>13.695185185185183</v>
      </c>
      <c r="AM361">
        <f t="shared" si="67"/>
        <v>22.836447392592589</v>
      </c>
      <c r="AP361" s="9"/>
      <c r="AQ361" s="22">
        <v>9.2620800000000003E-2</v>
      </c>
      <c r="AR361" s="22">
        <v>27.6797</v>
      </c>
      <c r="AS361" s="22">
        <v>-1.54053E-2</v>
      </c>
      <c r="AT361" s="22">
        <v>351</v>
      </c>
      <c r="AU361" s="22">
        <v>9.2071500000000001E-2</v>
      </c>
      <c r="AV361">
        <f t="shared" si="68"/>
        <v>19.018888888888888</v>
      </c>
      <c r="AW361">
        <f t="shared" si="69"/>
        <v>1.7615447040000001</v>
      </c>
      <c r="AX361" s="9"/>
      <c r="AY361" s="22">
        <v>1.6674800000000001</v>
      </c>
      <c r="AZ361" s="22">
        <v>31.619700000000002</v>
      </c>
      <c r="BA361" s="22">
        <v>-1.14685E-2</v>
      </c>
      <c r="BB361" s="22">
        <v>351</v>
      </c>
      <c r="BC361" s="22">
        <v>1.6662600000000001</v>
      </c>
      <c r="BD361">
        <f t="shared" si="70"/>
        <v>14.15864197530864</v>
      </c>
      <c r="BE361">
        <f t="shared" si="71"/>
        <v>23.609252320987654</v>
      </c>
    </row>
    <row r="362" spans="6:57">
      <c r="F362" s="9"/>
      <c r="G362" s="22">
        <v>8.7585399999999994E-2</v>
      </c>
      <c r="H362" s="22">
        <v>8.5383099999999992</v>
      </c>
      <c r="I362" s="22">
        <v>-1.51215E-2</v>
      </c>
      <c r="J362" s="22">
        <v>352</v>
      </c>
      <c r="K362" s="22">
        <v>8.6883500000000002E-2</v>
      </c>
      <c r="L362">
        <f t="shared" si="60"/>
        <v>18.668518518518518</v>
      </c>
      <c r="M362">
        <f t="shared" si="61"/>
        <v>1.6350896618518516</v>
      </c>
      <c r="N362" s="9"/>
      <c r="O362" s="22">
        <v>1.67252</v>
      </c>
      <c r="P362" s="22">
        <v>12.478400000000001</v>
      </c>
      <c r="Q362" s="22">
        <v>-1.08337E-2</v>
      </c>
      <c r="R362" s="22">
        <v>352</v>
      </c>
      <c r="S362" s="22">
        <v>1.6714500000000001</v>
      </c>
      <c r="T362">
        <f t="shared" si="62"/>
        <v>13.374938271604938</v>
      </c>
      <c r="U362">
        <f t="shared" si="63"/>
        <v>22.369851758024691</v>
      </c>
      <c r="X362" s="9"/>
      <c r="Y362" s="22">
        <v>8.7585399999999994E-2</v>
      </c>
      <c r="Z362" s="22">
        <v>18.116499999999998</v>
      </c>
      <c r="AA362" s="22">
        <v>-1.5185499999999999E-2</v>
      </c>
      <c r="AB362" s="22">
        <v>352</v>
      </c>
      <c r="AC362" s="22">
        <v>8.7127700000000002E-2</v>
      </c>
      <c r="AD362">
        <f t="shared" si="64"/>
        <v>18.747530864197529</v>
      </c>
      <c r="AE362">
        <f t="shared" si="65"/>
        <v>1.6420099897530862</v>
      </c>
      <c r="AF362" s="9"/>
      <c r="AG362" s="22">
        <v>1.67252</v>
      </c>
      <c r="AH362" s="22">
        <v>22.0566</v>
      </c>
      <c r="AI362" s="22">
        <v>-1.09344E-2</v>
      </c>
      <c r="AJ362" s="22">
        <v>352</v>
      </c>
      <c r="AK362" s="22">
        <v>1.6714500000000001</v>
      </c>
      <c r="AL362">
        <f t="shared" si="66"/>
        <v>13.49925925925926</v>
      </c>
      <c r="AM362">
        <f t="shared" si="67"/>
        <v>22.577781096296299</v>
      </c>
      <c r="AP362" s="9"/>
      <c r="AQ362" s="22">
        <v>8.7585399999999994E-2</v>
      </c>
      <c r="AR362" s="22">
        <v>27.689800000000002</v>
      </c>
      <c r="AS362" s="22">
        <v>-1.54114E-2</v>
      </c>
      <c r="AT362" s="22">
        <v>352</v>
      </c>
      <c r="AU362" s="22">
        <v>8.6944599999999997E-2</v>
      </c>
      <c r="AV362">
        <f t="shared" si="68"/>
        <v>19.026419753086419</v>
      </c>
      <c r="AW362">
        <f t="shared" si="69"/>
        <v>1.6664365846419751</v>
      </c>
      <c r="AX362" s="9"/>
      <c r="AY362" s="22">
        <v>1.67252</v>
      </c>
      <c r="AZ362" s="22">
        <v>31.629799999999999</v>
      </c>
      <c r="BA362" s="22">
        <v>-1.1328100000000001E-2</v>
      </c>
      <c r="BB362" s="22">
        <v>352</v>
      </c>
      <c r="BC362" s="22">
        <v>1.6714500000000001</v>
      </c>
      <c r="BD362">
        <f t="shared" si="70"/>
        <v>13.985308641975308</v>
      </c>
      <c r="BE362">
        <f t="shared" si="71"/>
        <v>23.390708409876542</v>
      </c>
    </row>
    <row r="363" spans="6:57">
      <c r="F363" s="9"/>
      <c r="G363" s="22">
        <v>8.2549999999999998E-2</v>
      </c>
      <c r="H363" s="22">
        <v>8.5483899999999995</v>
      </c>
      <c r="I363" s="22">
        <v>-1.51215E-2</v>
      </c>
      <c r="J363" s="22">
        <v>353</v>
      </c>
      <c r="K363" s="22">
        <v>8.1970199999999993E-2</v>
      </c>
      <c r="L363">
        <f t="shared" si="60"/>
        <v>18.668518518518518</v>
      </c>
      <c r="M363">
        <f t="shared" si="61"/>
        <v>1.5410862037037036</v>
      </c>
      <c r="N363" s="9"/>
      <c r="O363" s="22">
        <v>1.6775500000000001</v>
      </c>
      <c r="P363" s="22">
        <v>12.4884</v>
      </c>
      <c r="Q363" s="22">
        <v>-1.06842E-2</v>
      </c>
      <c r="R363" s="22">
        <v>353</v>
      </c>
      <c r="S363" s="22">
        <v>1.6766399999999999</v>
      </c>
      <c r="T363">
        <f t="shared" si="62"/>
        <v>13.190370370370371</v>
      </c>
      <c r="U363">
        <f t="shared" si="63"/>
        <v>22.127505814814818</v>
      </c>
      <c r="X363" s="9"/>
      <c r="Y363" s="22">
        <v>8.2549999999999998E-2</v>
      </c>
      <c r="Z363" s="22">
        <v>18.1266</v>
      </c>
      <c r="AA363" s="22">
        <v>-1.5191700000000001E-2</v>
      </c>
      <c r="AB363" s="22">
        <v>353</v>
      </c>
      <c r="AC363" s="22">
        <v>8.2031300000000001E-2</v>
      </c>
      <c r="AD363">
        <f t="shared" si="64"/>
        <v>18.755185185185184</v>
      </c>
      <c r="AE363">
        <f t="shared" si="65"/>
        <v>1.5482405370370369</v>
      </c>
      <c r="AF363" s="9"/>
      <c r="AG363" s="22">
        <v>1.6775500000000001</v>
      </c>
      <c r="AH363" s="22">
        <v>22.066600000000001</v>
      </c>
      <c r="AI363" s="22">
        <v>-1.07758E-2</v>
      </c>
      <c r="AJ363" s="22">
        <v>353</v>
      </c>
      <c r="AK363" s="22">
        <v>1.6763300000000001</v>
      </c>
      <c r="AL363">
        <f t="shared" si="66"/>
        <v>13.303456790123457</v>
      </c>
      <c r="AM363">
        <f t="shared" si="67"/>
        <v>22.317213938271607</v>
      </c>
      <c r="AP363" s="9"/>
      <c r="AQ363" s="22">
        <v>8.2549999999999998E-2</v>
      </c>
      <c r="AR363" s="22">
        <v>27.6998</v>
      </c>
      <c r="AS363" s="22">
        <v>-1.54144E-2</v>
      </c>
      <c r="AT363" s="22">
        <v>353</v>
      </c>
      <c r="AU363" s="22">
        <v>8.2000699999999996E-2</v>
      </c>
      <c r="AV363">
        <f t="shared" si="68"/>
        <v>19.030123456790122</v>
      </c>
      <c r="AW363">
        <f t="shared" si="69"/>
        <v>1.5709366913580245</v>
      </c>
      <c r="AX363" s="9"/>
      <c r="AY363" s="22">
        <v>1.6775500000000001</v>
      </c>
      <c r="AZ363" s="22">
        <v>31.639900000000001</v>
      </c>
      <c r="BA363" s="22">
        <v>-1.1169399999999999E-2</v>
      </c>
      <c r="BB363" s="22">
        <v>353</v>
      </c>
      <c r="BC363" s="22">
        <v>1.6766399999999999</v>
      </c>
      <c r="BD363">
        <f t="shared" si="70"/>
        <v>13.789382716049381</v>
      </c>
      <c r="BE363">
        <f t="shared" si="71"/>
        <v>23.13237897530864</v>
      </c>
    </row>
    <row r="364" spans="6:57">
      <c r="F364" s="9"/>
      <c r="G364" s="22">
        <v>7.7514600000000003E-2</v>
      </c>
      <c r="H364" s="22">
        <v>8.5584600000000002</v>
      </c>
      <c r="I364" s="22">
        <v>-1.5124500000000001E-2</v>
      </c>
      <c r="J364" s="22">
        <v>354</v>
      </c>
      <c r="K364" s="22">
        <v>7.6995800000000003E-2</v>
      </c>
      <c r="L364">
        <f t="shared" si="60"/>
        <v>18.672222222222221</v>
      </c>
      <c r="M364">
        <f t="shared" si="61"/>
        <v>1.4473698366666665</v>
      </c>
      <c r="N364" s="9"/>
      <c r="O364" s="22">
        <v>1.68259</v>
      </c>
      <c r="P364" s="22">
        <v>12.4985</v>
      </c>
      <c r="Q364" s="22">
        <v>-1.05042E-2</v>
      </c>
      <c r="R364" s="22">
        <v>354</v>
      </c>
      <c r="S364" s="22">
        <v>1.6818200000000001</v>
      </c>
      <c r="T364">
        <f t="shared" si="62"/>
        <v>12.968148148148147</v>
      </c>
      <c r="U364">
        <f t="shared" si="63"/>
        <v>21.820076392592593</v>
      </c>
      <c r="X364" s="9"/>
      <c r="Y364" s="22">
        <v>7.7514600000000003E-2</v>
      </c>
      <c r="Z364" s="22">
        <v>18.136700000000001</v>
      </c>
      <c r="AA364" s="22">
        <v>-1.52008E-2</v>
      </c>
      <c r="AB364" s="22">
        <v>354</v>
      </c>
      <c r="AC364" s="22">
        <v>7.6904299999999995E-2</v>
      </c>
      <c r="AD364">
        <f t="shared" si="64"/>
        <v>18.766419753086421</v>
      </c>
      <c r="AE364">
        <f t="shared" si="65"/>
        <v>1.4546715205925926</v>
      </c>
      <c r="AF364" s="9"/>
      <c r="AG364" s="22">
        <v>1.68259</v>
      </c>
      <c r="AH364" s="22">
        <v>22.076699999999999</v>
      </c>
      <c r="AI364" s="22">
        <v>-1.0614E-2</v>
      </c>
      <c r="AJ364" s="22">
        <v>354</v>
      </c>
      <c r="AK364" s="22">
        <v>1.6815199999999999</v>
      </c>
      <c r="AL364">
        <f t="shared" si="66"/>
        <v>13.103703703703703</v>
      </c>
      <c r="AM364">
        <f t="shared" si="67"/>
        <v>22.048160814814814</v>
      </c>
      <c r="AP364" s="9"/>
      <c r="AQ364" s="22">
        <v>7.7514600000000003E-2</v>
      </c>
      <c r="AR364" s="22">
        <v>27.709900000000001</v>
      </c>
      <c r="AS364" s="22">
        <v>-1.54205E-2</v>
      </c>
      <c r="AT364" s="22">
        <v>354</v>
      </c>
      <c r="AU364" s="22">
        <v>7.6995800000000003E-2</v>
      </c>
      <c r="AV364">
        <f t="shared" si="68"/>
        <v>19.037654320987656</v>
      </c>
      <c r="AW364">
        <f t="shared" si="69"/>
        <v>1.4756961596296299</v>
      </c>
      <c r="AX364" s="9"/>
      <c r="AY364" s="22">
        <v>1.68259</v>
      </c>
      <c r="AZ364" s="22">
        <v>31.65</v>
      </c>
      <c r="BA364" s="22">
        <v>-1.10016E-2</v>
      </c>
      <c r="BB364" s="22">
        <v>354</v>
      </c>
      <c r="BC364" s="22">
        <v>1.6821299999999999</v>
      </c>
      <c r="BD364">
        <f t="shared" si="70"/>
        <v>13.582222222222221</v>
      </c>
      <c r="BE364">
        <f t="shared" si="71"/>
        <v>22.853311288888886</v>
      </c>
    </row>
    <row r="365" spans="6:57">
      <c r="F365" s="9"/>
      <c r="G365" s="22">
        <v>7.2479199999999994E-2</v>
      </c>
      <c r="H365" s="22">
        <v>8.5685300000000009</v>
      </c>
      <c r="I365" s="22">
        <v>-1.51276E-2</v>
      </c>
      <c r="J365" s="22">
        <v>355</v>
      </c>
      <c r="K365" s="22">
        <v>7.2235099999999997E-2</v>
      </c>
      <c r="L365">
        <f t="shared" si="60"/>
        <v>18.676049382716048</v>
      </c>
      <c r="M365">
        <f t="shared" si="61"/>
        <v>1.353625118419753</v>
      </c>
      <c r="N365" s="9"/>
      <c r="O365" s="22">
        <v>1.6876199999999999</v>
      </c>
      <c r="P365" s="22">
        <v>12.508599999999999</v>
      </c>
      <c r="Q365" s="22">
        <v>-1.03333E-2</v>
      </c>
      <c r="R365" s="22">
        <v>355</v>
      </c>
      <c r="S365" s="22">
        <v>1.6867099999999999</v>
      </c>
      <c r="T365">
        <f t="shared" si="62"/>
        <v>12.757160493827159</v>
      </c>
      <c r="U365">
        <f t="shared" si="63"/>
        <v>21.529239192592591</v>
      </c>
      <c r="X365" s="9"/>
      <c r="Y365" s="22">
        <v>7.2479199999999994E-2</v>
      </c>
      <c r="Z365" s="22">
        <v>18.146699999999999</v>
      </c>
      <c r="AA365" s="22">
        <v>-1.5206900000000001E-2</v>
      </c>
      <c r="AB365" s="22">
        <v>355</v>
      </c>
      <c r="AC365" s="22">
        <v>7.1899400000000002E-2</v>
      </c>
      <c r="AD365">
        <f t="shared" si="64"/>
        <v>18.773950617283951</v>
      </c>
      <c r="AE365">
        <f t="shared" si="65"/>
        <v>1.3607209215802469</v>
      </c>
      <c r="AF365" s="9"/>
      <c r="AG365" s="22">
        <v>1.6876199999999999</v>
      </c>
      <c r="AH365" s="22">
        <v>22.0868</v>
      </c>
      <c r="AI365" s="22">
        <v>-1.04279E-2</v>
      </c>
      <c r="AJ365" s="22">
        <v>355</v>
      </c>
      <c r="AK365" s="22">
        <v>1.6867099999999999</v>
      </c>
      <c r="AL365">
        <f t="shared" si="66"/>
        <v>12.873950617283951</v>
      </c>
      <c r="AM365">
        <f t="shared" si="67"/>
        <v>21.726336540740739</v>
      </c>
      <c r="AP365" s="9"/>
      <c r="AQ365" s="22">
        <v>7.2479199999999994E-2</v>
      </c>
      <c r="AR365" s="22">
        <v>27.72</v>
      </c>
      <c r="AS365" s="22">
        <v>-1.54266E-2</v>
      </c>
      <c r="AT365" s="22">
        <v>355</v>
      </c>
      <c r="AU365" s="22">
        <v>7.1746799999999999E-2</v>
      </c>
      <c r="AV365">
        <f t="shared" si="68"/>
        <v>19.045185185185186</v>
      </c>
      <c r="AW365">
        <f t="shared" si="69"/>
        <v>1.3803797860740741</v>
      </c>
      <c r="AX365" s="9"/>
      <c r="AY365" s="22">
        <v>1.6876199999999999</v>
      </c>
      <c r="AZ365" s="22">
        <v>31.66</v>
      </c>
      <c r="BA365" s="22">
        <v>-1.08124E-2</v>
      </c>
      <c r="BB365" s="22">
        <v>355</v>
      </c>
      <c r="BC365" s="22">
        <v>1.6863999999999999</v>
      </c>
      <c r="BD365">
        <f t="shared" si="70"/>
        <v>13.348641975308642</v>
      </c>
      <c r="BE365">
        <f t="shared" si="71"/>
        <v>22.527435170370367</v>
      </c>
    </row>
    <row r="366" spans="6:57">
      <c r="F366" s="9"/>
      <c r="G366" s="22">
        <v>6.7443799999999998E-2</v>
      </c>
      <c r="H366" s="22">
        <v>8.5785999999999998</v>
      </c>
      <c r="I366" s="22">
        <v>-1.51337E-2</v>
      </c>
      <c r="J366" s="22">
        <v>356</v>
      </c>
      <c r="K366" s="22">
        <v>6.7047099999999998E-2</v>
      </c>
      <c r="L366">
        <f t="shared" si="60"/>
        <v>18.683580246913579</v>
      </c>
      <c r="M366">
        <f t="shared" si="61"/>
        <v>1.26009164945679</v>
      </c>
      <c r="N366" s="9"/>
      <c r="O366" s="22">
        <v>1.6926600000000001</v>
      </c>
      <c r="P366" s="22">
        <v>12.518599999999999</v>
      </c>
      <c r="Q366" s="22">
        <v>-1.0144E-2</v>
      </c>
      <c r="R366" s="22">
        <v>356</v>
      </c>
      <c r="S366" s="22">
        <v>1.6918899999999999</v>
      </c>
      <c r="T366">
        <f t="shared" si="62"/>
        <v>12.523456790123456</v>
      </c>
      <c r="U366">
        <f t="shared" si="63"/>
        <v>21.197954370370368</v>
      </c>
      <c r="X366" s="9"/>
      <c r="Y366" s="22">
        <v>6.7443799999999998E-2</v>
      </c>
      <c r="Z366" s="22">
        <v>18.1568</v>
      </c>
      <c r="AA366" s="22">
        <v>-1.521E-2</v>
      </c>
      <c r="AB366" s="22">
        <v>356</v>
      </c>
      <c r="AC366" s="22">
        <v>6.6894499999999996E-2</v>
      </c>
      <c r="AD366">
        <f t="shared" si="64"/>
        <v>18.777777777777775</v>
      </c>
      <c r="AE366">
        <f t="shared" si="65"/>
        <v>1.2664446888888887</v>
      </c>
      <c r="AF366" s="9"/>
      <c r="AG366" s="22">
        <v>1.6926600000000001</v>
      </c>
      <c r="AH366" s="22">
        <v>22.096900000000002</v>
      </c>
      <c r="AI366" s="22">
        <v>-1.02325E-2</v>
      </c>
      <c r="AJ366" s="22">
        <v>356</v>
      </c>
      <c r="AK366" s="22">
        <v>1.6915899999999999</v>
      </c>
      <c r="AL366">
        <f t="shared" si="66"/>
        <v>12.632716049382715</v>
      </c>
      <c r="AM366">
        <f t="shared" si="67"/>
        <v>21.382893148148145</v>
      </c>
      <c r="AP366" s="9"/>
      <c r="AQ366" s="22">
        <v>6.7443799999999998E-2</v>
      </c>
      <c r="AR366" s="22">
        <v>27.7301</v>
      </c>
      <c r="AS366" s="22">
        <v>-1.5432700000000001E-2</v>
      </c>
      <c r="AT366" s="22">
        <v>356</v>
      </c>
      <c r="AU366" s="22">
        <v>6.6741900000000007E-2</v>
      </c>
      <c r="AV366">
        <f t="shared" si="68"/>
        <v>19.052716049382713</v>
      </c>
      <c r="AW366">
        <f t="shared" si="69"/>
        <v>1.2849875706913578</v>
      </c>
      <c r="AX366" s="9"/>
      <c r="AY366" s="22">
        <v>1.6926600000000001</v>
      </c>
      <c r="AZ366" s="22">
        <v>31.670100000000001</v>
      </c>
      <c r="BA366" s="22">
        <v>-1.0623199999999999E-2</v>
      </c>
      <c r="BB366" s="22">
        <v>356</v>
      </c>
      <c r="BC366" s="22">
        <v>1.6912799999999999</v>
      </c>
      <c r="BD366">
        <f t="shared" si="70"/>
        <v>13.115061728395061</v>
      </c>
      <c r="BE366">
        <f t="shared" si="71"/>
        <v>22.199340385185184</v>
      </c>
    </row>
    <row r="367" spans="6:57">
      <c r="F367" s="9"/>
      <c r="G367" s="22">
        <v>6.2408400000000003E-2</v>
      </c>
      <c r="H367" s="22">
        <v>8.5886700000000005</v>
      </c>
      <c r="I367" s="22">
        <v>-1.51428E-2</v>
      </c>
      <c r="J367" s="22">
        <v>357</v>
      </c>
      <c r="K367" s="22">
        <v>6.2072799999999997E-2</v>
      </c>
      <c r="L367">
        <f t="shared" si="60"/>
        <v>18.694814814814812</v>
      </c>
      <c r="M367">
        <f t="shared" si="61"/>
        <v>1.1667134808888888</v>
      </c>
      <c r="N367" s="9"/>
      <c r="O367" s="22">
        <v>1.6976899999999999</v>
      </c>
      <c r="P367" s="22">
        <v>12.528700000000001</v>
      </c>
      <c r="Q367" s="22">
        <v>-9.9487299999999994E-3</v>
      </c>
      <c r="R367" s="22">
        <v>357</v>
      </c>
      <c r="S367" s="22">
        <v>1.69678</v>
      </c>
      <c r="T367">
        <f t="shared" si="62"/>
        <v>12.282382716049382</v>
      </c>
      <c r="U367">
        <f t="shared" si="63"/>
        <v>20.851678313209874</v>
      </c>
      <c r="X367" s="9"/>
      <c r="Y367" s="22">
        <v>6.2408400000000003E-2</v>
      </c>
      <c r="Z367" s="22">
        <v>18.166899999999998</v>
      </c>
      <c r="AA367" s="22">
        <v>-1.521E-2</v>
      </c>
      <c r="AB367" s="22">
        <v>357</v>
      </c>
      <c r="AC367" s="22">
        <v>6.1889600000000003E-2</v>
      </c>
      <c r="AD367">
        <f t="shared" si="64"/>
        <v>18.777777777777775</v>
      </c>
      <c r="AE367">
        <f t="shared" si="65"/>
        <v>1.1718910666666666</v>
      </c>
      <c r="AF367" s="9"/>
      <c r="AG367" s="22">
        <v>1.6976899999999999</v>
      </c>
      <c r="AH367" s="22">
        <v>22.1069</v>
      </c>
      <c r="AI367" s="22">
        <v>-1.0018900000000001E-2</v>
      </c>
      <c r="AJ367" s="22">
        <v>357</v>
      </c>
      <c r="AK367" s="22">
        <v>1.6970799999999999</v>
      </c>
      <c r="AL367">
        <f t="shared" si="66"/>
        <v>12.369012345679012</v>
      </c>
      <c r="AM367">
        <f t="shared" si="67"/>
        <v>20.998748569135802</v>
      </c>
      <c r="AP367" s="9"/>
      <c r="AQ367" s="22">
        <v>6.2408400000000003E-2</v>
      </c>
      <c r="AR367" s="22">
        <v>27.740100000000002</v>
      </c>
      <c r="AS367" s="22">
        <v>-1.54358E-2</v>
      </c>
      <c r="AT367" s="22">
        <v>357</v>
      </c>
      <c r="AU367" s="22">
        <v>6.2011700000000003E-2</v>
      </c>
      <c r="AV367">
        <f t="shared" si="68"/>
        <v>19.056543209876541</v>
      </c>
      <c r="AW367">
        <f t="shared" si="69"/>
        <v>1.1892883712592592</v>
      </c>
      <c r="AX367" s="9"/>
      <c r="AY367" s="22">
        <v>1.6976899999999999</v>
      </c>
      <c r="AZ367" s="22">
        <v>31.680199999999999</v>
      </c>
      <c r="BA367" s="22">
        <v>-1.0406500000000001E-2</v>
      </c>
      <c r="BB367" s="22">
        <v>357</v>
      </c>
      <c r="BC367" s="22">
        <v>1.6964699999999999</v>
      </c>
      <c r="BD367">
        <f t="shared" si="70"/>
        <v>12.84753086419753</v>
      </c>
      <c r="BE367">
        <f t="shared" si="71"/>
        <v>21.811124672839505</v>
      </c>
    </row>
    <row r="368" spans="6:57">
      <c r="F368" s="9"/>
      <c r="G368" s="22">
        <v>5.7373E-2</v>
      </c>
      <c r="H368" s="22">
        <v>8.5987399999999994</v>
      </c>
      <c r="I368" s="22">
        <v>-1.5152000000000001E-2</v>
      </c>
      <c r="J368" s="22">
        <v>358</v>
      </c>
      <c r="K368" s="22">
        <v>5.6823699999999998E-2</v>
      </c>
      <c r="L368">
        <f t="shared" si="60"/>
        <v>18.706172839506173</v>
      </c>
      <c r="M368">
        <f t="shared" si="61"/>
        <v>1.0732292543209876</v>
      </c>
      <c r="N368" s="9"/>
      <c r="O368" s="22">
        <v>1.7027300000000001</v>
      </c>
      <c r="P368" s="22">
        <v>12.5388</v>
      </c>
      <c r="Q368" s="22">
        <v>-9.7259500000000006E-3</v>
      </c>
      <c r="R368" s="22">
        <v>358</v>
      </c>
      <c r="S368" s="22">
        <v>1.70197</v>
      </c>
      <c r="T368">
        <f t="shared" si="62"/>
        <v>12.007345679012346</v>
      </c>
      <c r="U368">
        <f t="shared" si="63"/>
        <v>20.445267708024694</v>
      </c>
      <c r="X368" s="9"/>
      <c r="Y368" s="22">
        <v>5.7373E-2</v>
      </c>
      <c r="Z368" s="22">
        <v>18.177</v>
      </c>
      <c r="AA368" s="22">
        <v>-1.5213000000000001E-2</v>
      </c>
      <c r="AB368" s="22">
        <v>358</v>
      </c>
      <c r="AC368" s="22">
        <v>5.6762699999999999E-2</v>
      </c>
      <c r="AD368">
        <f t="shared" si="64"/>
        <v>18.781481481481482</v>
      </c>
      <c r="AE368">
        <f t="shared" si="65"/>
        <v>1.0775499370370372</v>
      </c>
      <c r="AF368" s="9"/>
      <c r="AG368" s="22">
        <v>1.7027300000000001</v>
      </c>
      <c r="AH368" s="22">
        <v>22.117000000000001</v>
      </c>
      <c r="AI368" s="22">
        <v>-9.8022500000000002E-3</v>
      </c>
      <c r="AJ368" s="22">
        <v>358</v>
      </c>
      <c r="AK368" s="22">
        <v>1.7013499999999999</v>
      </c>
      <c r="AL368">
        <f t="shared" si="66"/>
        <v>12.101543209876542</v>
      </c>
      <c r="AM368">
        <f t="shared" si="67"/>
        <v>20.605660669753085</v>
      </c>
      <c r="AP368" s="9"/>
      <c r="AQ368" s="22">
        <v>5.7373E-2</v>
      </c>
      <c r="AR368" s="22">
        <v>27.7502</v>
      </c>
      <c r="AS368" s="22">
        <v>-1.5438800000000001E-2</v>
      </c>
      <c r="AT368" s="22">
        <v>358</v>
      </c>
      <c r="AU368" s="22">
        <v>5.6945799999999998E-2</v>
      </c>
      <c r="AV368">
        <f t="shared" si="68"/>
        <v>19.060246913580247</v>
      </c>
      <c r="AW368">
        <f t="shared" si="69"/>
        <v>1.0935435461728396</v>
      </c>
      <c r="AX368" s="9"/>
      <c r="AY368" s="22">
        <v>1.7027300000000001</v>
      </c>
      <c r="AZ368" s="22">
        <v>31.690200000000001</v>
      </c>
      <c r="BA368" s="22">
        <v>-1.0195900000000001E-2</v>
      </c>
      <c r="BB368" s="22">
        <v>358</v>
      </c>
      <c r="BC368" s="22">
        <v>1.70197</v>
      </c>
      <c r="BD368">
        <f t="shared" si="70"/>
        <v>12.587530864197531</v>
      </c>
      <c r="BE368">
        <f t="shared" si="71"/>
        <v>21.433166428395062</v>
      </c>
    </row>
    <row r="369" spans="6:57">
      <c r="F369" s="9"/>
      <c r="G369" s="22">
        <v>5.2337599999999998E-2</v>
      </c>
      <c r="H369" s="22">
        <v>8.6088100000000001</v>
      </c>
      <c r="I369" s="22">
        <v>-1.5158100000000001E-2</v>
      </c>
      <c r="J369" s="22">
        <v>359</v>
      </c>
      <c r="K369" s="22">
        <v>5.1818799999999998E-2</v>
      </c>
      <c r="L369">
        <f t="shared" si="60"/>
        <v>18.713703703703704</v>
      </c>
      <c r="M369">
        <f t="shared" si="61"/>
        <v>0.97943033896296294</v>
      </c>
      <c r="N369" s="9"/>
      <c r="O369" s="22">
        <v>1.7077599999999999</v>
      </c>
      <c r="P369" s="22">
        <v>12.5489</v>
      </c>
      <c r="Q369" s="22">
        <v>-9.4879200000000004E-3</v>
      </c>
      <c r="R369" s="22">
        <v>359</v>
      </c>
      <c r="S369" s="22">
        <v>1.7065399999999999</v>
      </c>
      <c r="T369">
        <f t="shared" si="62"/>
        <v>11.71348148148148</v>
      </c>
      <c r="U369">
        <f t="shared" si="63"/>
        <v>20.003815134814811</v>
      </c>
      <c r="X369" s="9"/>
      <c r="Y369" s="22">
        <v>5.2337599999999998E-2</v>
      </c>
      <c r="Z369" s="22">
        <v>18.187000000000001</v>
      </c>
      <c r="AA369" s="22">
        <v>-1.52161E-2</v>
      </c>
      <c r="AB369" s="22">
        <v>359</v>
      </c>
      <c r="AC369" s="22">
        <v>5.1666299999999998E-2</v>
      </c>
      <c r="AD369">
        <f t="shared" si="64"/>
        <v>18.785308641975305</v>
      </c>
      <c r="AE369">
        <f t="shared" si="65"/>
        <v>0.98317796958024672</v>
      </c>
      <c r="AF369" s="9"/>
      <c r="AG369" s="22">
        <v>1.7077599999999999</v>
      </c>
      <c r="AH369" s="22">
        <v>22.127099999999999</v>
      </c>
      <c r="AI369" s="22">
        <v>-9.5611600000000008E-3</v>
      </c>
      <c r="AJ369" s="22">
        <v>359</v>
      </c>
      <c r="AK369" s="22">
        <v>1.7071499999999999</v>
      </c>
      <c r="AL369">
        <f t="shared" si="66"/>
        <v>11.803901234567903</v>
      </c>
      <c r="AM369">
        <f t="shared" si="67"/>
        <v>20.158230372345681</v>
      </c>
      <c r="AP369" s="9"/>
      <c r="AQ369" s="22">
        <v>5.2337599999999998E-2</v>
      </c>
      <c r="AR369" s="22">
        <v>27.760300000000001</v>
      </c>
      <c r="AS369" s="22">
        <v>-1.5448E-2</v>
      </c>
      <c r="AT369" s="22">
        <v>359</v>
      </c>
      <c r="AU369" s="22">
        <v>5.1666299999999998E-2</v>
      </c>
      <c r="AV369">
        <f t="shared" si="68"/>
        <v>19.071604938271605</v>
      </c>
      <c r="AW369">
        <f t="shared" si="69"/>
        <v>0.99816203061728392</v>
      </c>
      <c r="AX369" s="9"/>
      <c r="AY369" s="22">
        <v>1.7077599999999999</v>
      </c>
      <c r="AZ369" s="22">
        <v>31.700299999999999</v>
      </c>
      <c r="BA369" s="22">
        <v>-9.9456800000000001E-3</v>
      </c>
      <c r="BB369" s="22">
        <v>359</v>
      </c>
      <c r="BC369" s="22">
        <v>1.70685</v>
      </c>
      <c r="BD369">
        <f t="shared" si="70"/>
        <v>12.278617283950616</v>
      </c>
      <c r="BE369">
        <f t="shared" si="71"/>
        <v>20.968931452839502</v>
      </c>
    </row>
    <row r="370" spans="6:57">
      <c r="F370" s="9"/>
      <c r="G370" s="22">
        <v>4.7302200000000003E-2</v>
      </c>
      <c r="H370" s="22">
        <v>8.6188800000000008</v>
      </c>
      <c r="I370" s="22">
        <v>-1.51611E-2</v>
      </c>
      <c r="J370" s="22">
        <v>360</v>
      </c>
      <c r="K370" s="22">
        <v>4.72992E-2</v>
      </c>
      <c r="L370">
        <f t="shared" si="60"/>
        <v>18.717407407407403</v>
      </c>
      <c r="M370">
        <f t="shared" si="61"/>
        <v>0.88537454866666654</v>
      </c>
      <c r="N370" s="9"/>
      <c r="O370" s="22">
        <v>1.7128000000000001</v>
      </c>
      <c r="P370" s="22">
        <v>12.5589</v>
      </c>
      <c r="Q370" s="22">
        <v>-9.2407199999999991E-3</v>
      </c>
      <c r="R370" s="22">
        <v>360</v>
      </c>
      <c r="S370" s="22">
        <v>1.71173</v>
      </c>
      <c r="T370">
        <f t="shared" si="62"/>
        <v>11.408296296296294</v>
      </c>
      <c r="U370">
        <f t="shared" si="63"/>
        <v>19.540129896296293</v>
      </c>
      <c r="X370" s="9"/>
      <c r="Y370" s="22">
        <v>4.7302200000000003E-2</v>
      </c>
      <c r="Z370" s="22">
        <v>18.197099999999999</v>
      </c>
      <c r="AA370" s="22">
        <v>-1.52222E-2</v>
      </c>
      <c r="AB370" s="22">
        <v>360</v>
      </c>
      <c r="AC370" s="22">
        <v>4.7222899999999998E-2</v>
      </c>
      <c r="AD370">
        <f t="shared" si="64"/>
        <v>18.792839506172839</v>
      </c>
      <c r="AE370">
        <f t="shared" si="65"/>
        <v>0.88894265288888896</v>
      </c>
      <c r="AF370" s="9"/>
      <c r="AG370" s="22">
        <v>1.7128000000000001</v>
      </c>
      <c r="AH370" s="22">
        <v>22.1371</v>
      </c>
      <c r="AI370" s="22">
        <v>-9.3170200000000005E-3</v>
      </c>
      <c r="AJ370" s="22">
        <v>360</v>
      </c>
      <c r="AK370" s="22">
        <v>1.71234</v>
      </c>
      <c r="AL370">
        <f t="shared" si="66"/>
        <v>11.502493827160494</v>
      </c>
      <c r="AM370">
        <f t="shared" si="67"/>
        <v>19.701471427160495</v>
      </c>
      <c r="AP370" s="9"/>
      <c r="AQ370" s="22">
        <v>4.7302200000000003E-2</v>
      </c>
      <c r="AR370" s="22">
        <v>27.770299999999999</v>
      </c>
      <c r="AS370" s="22">
        <v>-1.54541E-2</v>
      </c>
      <c r="AT370" s="22">
        <v>360</v>
      </c>
      <c r="AU370" s="22">
        <v>4.7189300000000003E-2</v>
      </c>
      <c r="AV370">
        <f t="shared" si="68"/>
        <v>19.079135802469132</v>
      </c>
      <c r="AW370">
        <f t="shared" si="69"/>
        <v>0.90248509755555539</v>
      </c>
      <c r="AX370" s="9"/>
      <c r="AY370" s="22">
        <v>1.7128000000000001</v>
      </c>
      <c r="AZ370" s="22">
        <v>31.7104</v>
      </c>
      <c r="BA370" s="22">
        <v>-9.6954299999999997E-3</v>
      </c>
      <c r="BB370" s="22">
        <v>360</v>
      </c>
      <c r="BC370" s="22">
        <v>1.71204</v>
      </c>
      <c r="BD370">
        <f t="shared" si="70"/>
        <v>11.969666666666665</v>
      </c>
      <c r="BE370">
        <f t="shared" si="71"/>
        <v>20.501645066666665</v>
      </c>
    </row>
    <row r="371" spans="6:57">
      <c r="F371" s="9"/>
      <c r="G371" s="22">
        <v>4.22668E-2</v>
      </c>
      <c r="H371" s="22">
        <v>8.6289499999999997</v>
      </c>
      <c r="I371" s="22">
        <v>-1.51672E-2</v>
      </c>
      <c r="J371" s="22">
        <v>361</v>
      </c>
      <c r="K371" s="22">
        <v>4.2309600000000003E-2</v>
      </c>
      <c r="L371">
        <f t="shared" si="60"/>
        <v>18.724938271604938</v>
      </c>
      <c r="M371">
        <f t="shared" si="61"/>
        <v>0.79144322093827157</v>
      </c>
      <c r="N371" s="9"/>
      <c r="O371" s="22">
        <v>1.71783</v>
      </c>
      <c r="P371" s="22">
        <v>12.569000000000001</v>
      </c>
      <c r="Q371" s="22">
        <v>-8.9752200000000008E-3</v>
      </c>
      <c r="R371" s="22">
        <v>361</v>
      </c>
      <c r="S371" s="22">
        <v>1.71661</v>
      </c>
      <c r="T371">
        <f t="shared" si="62"/>
        <v>11.080518518518518</v>
      </c>
      <c r="U371">
        <f t="shared" si="63"/>
        <v>19.034447126666667</v>
      </c>
      <c r="X371" s="9"/>
      <c r="Y371" s="22">
        <v>4.22668E-2</v>
      </c>
      <c r="Z371" s="22">
        <v>18.2072</v>
      </c>
      <c r="AA371" s="22">
        <v>-1.5225199999999999E-2</v>
      </c>
      <c r="AB371" s="22">
        <v>361</v>
      </c>
      <c r="AC371" s="22">
        <v>4.2132599999999999E-2</v>
      </c>
      <c r="AD371">
        <f t="shared" si="64"/>
        <v>18.796543209876543</v>
      </c>
      <c r="AE371">
        <f t="shared" si="65"/>
        <v>0.79446973254320985</v>
      </c>
      <c r="AF371" s="9"/>
      <c r="AG371" s="22">
        <v>1.71783</v>
      </c>
      <c r="AH371" s="22">
        <v>22.147200000000002</v>
      </c>
      <c r="AI371" s="22">
        <v>-9.0423599999999993E-3</v>
      </c>
      <c r="AJ371" s="22">
        <v>361</v>
      </c>
      <c r="AK371" s="22">
        <v>1.71692</v>
      </c>
      <c r="AL371">
        <f t="shared" si="66"/>
        <v>11.163407407407407</v>
      </c>
      <c r="AM371">
        <f t="shared" si="67"/>
        <v>19.176836146666666</v>
      </c>
      <c r="AP371" s="9"/>
      <c r="AQ371" s="22">
        <v>4.22668E-2</v>
      </c>
      <c r="AR371" s="22">
        <v>27.7804</v>
      </c>
      <c r="AS371" s="22">
        <v>-1.54602E-2</v>
      </c>
      <c r="AT371" s="22">
        <v>361</v>
      </c>
      <c r="AU371" s="22">
        <v>4.2395000000000002E-2</v>
      </c>
      <c r="AV371">
        <f t="shared" si="68"/>
        <v>19.086666666666666</v>
      </c>
      <c r="AW371">
        <f t="shared" si="69"/>
        <v>0.80673232266666661</v>
      </c>
      <c r="AX371" s="9"/>
      <c r="AY371" s="22">
        <v>1.71783</v>
      </c>
      <c r="AZ371" s="22">
        <v>31.720500000000001</v>
      </c>
      <c r="BA371" s="22">
        <v>-9.4085699999999998E-3</v>
      </c>
      <c r="BB371" s="22">
        <v>361</v>
      </c>
      <c r="BC371" s="22">
        <v>1.71722</v>
      </c>
      <c r="BD371">
        <f t="shared" si="70"/>
        <v>11.615518518518519</v>
      </c>
      <c r="BE371">
        <f t="shared" si="71"/>
        <v>19.953486176666665</v>
      </c>
    </row>
    <row r="372" spans="6:57">
      <c r="F372" s="9"/>
      <c r="G372" s="22">
        <v>3.7231399999999998E-2</v>
      </c>
      <c r="H372" s="22">
        <v>8.6390200000000004</v>
      </c>
      <c r="I372" s="22">
        <v>-1.5170299999999999E-2</v>
      </c>
      <c r="J372" s="22">
        <v>362</v>
      </c>
      <c r="K372" s="22">
        <v>3.71948E-2</v>
      </c>
      <c r="L372">
        <f t="shared" si="60"/>
        <v>18.728765432098765</v>
      </c>
      <c r="M372">
        <f t="shared" si="61"/>
        <v>0.69729815730864186</v>
      </c>
      <c r="N372" s="9"/>
      <c r="O372" s="22">
        <v>1.7228699999999999</v>
      </c>
      <c r="P372" s="22">
        <v>12.5791</v>
      </c>
      <c r="Q372" s="22">
        <v>-8.6944599999999993E-3</v>
      </c>
      <c r="R372" s="22">
        <v>362</v>
      </c>
      <c r="S372" s="22">
        <v>1.72241</v>
      </c>
      <c r="T372">
        <f t="shared" si="62"/>
        <v>10.733901234567901</v>
      </c>
      <c r="U372">
        <f t="shared" si="63"/>
        <v>18.493116419999996</v>
      </c>
      <c r="X372" s="9"/>
      <c r="Y372" s="22">
        <v>3.7231399999999998E-2</v>
      </c>
      <c r="Z372" s="22">
        <v>18.217199999999998</v>
      </c>
      <c r="AA372" s="22">
        <v>-1.52344E-2</v>
      </c>
      <c r="AB372" s="22">
        <v>362</v>
      </c>
      <c r="AC372" s="22">
        <v>3.7121599999999998E-2</v>
      </c>
      <c r="AD372">
        <f t="shared" si="64"/>
        <v>18.8079012345679</v>
      </c>
      <c r="AE372">
        <f t="shared" si="65"/>
        <v>0.70024449402469124</v>
      </c>
      <c r="AF372" s="9"/>
      <c r="AG372" s="22">
        <v>1.7228699999999999</v>
      </c>
      <c r="AH372" s="22">
        <v>22.157299999999999</v>
      </c>
      <c r="AI372" s="22">
        <v>-8.7585400000000004E-3</v>
      </c>
      <c r="AJ372" s="22">
        <v>362</v>
      </c>
      <c r="AK372" s="22">
        <v>1.72211</v>
      </c>
      <c r="AL372">
        <f t="shared" si="66"/>
        <v>10.813012345679011</v>
      </c>
      <c r="AM372">
        <f t="shared" si="67"/>
        <v>18.629414579999999</v>
      </c>
      <c r="AP372" s="9"/>
      <c r="AQ372" s="22">
        <v>3.7231399999999998E-2</v>
      </c>
      <c r="AR372" s="22">
        <v>27.790500000000002</v>
      </c>
      <c r="AS372" s="22">
        <v>-1.5463299999999999E-2</v>
      </c>
      <c r="AT372" s="22">
        <v>362</v>
      </c>
      <c r="AU372" s="22">
        <v>3.7155199999999999E-2</v>
      </c>
      <c r="AV372">
        <f t="shared" si="68"/>
        <v>19.090493827160493</v>
      </c>
      <c r="AW372">
        <f t="shared" si="69"/>
        <v>0.7107658118765432</v>
      </c>
      <c r="AX372" s="9"/>
      <c r="AY372" s="22">
        <v>1.7228699999999999</v>
      </c>
      <c r="AZ372" s="22">
        <v>31.730499999999999</v>
      </c>
      <c r="BA372" s="22">
        <v>-9.1186500000000007E-3</v>
      </c>
      <c r="BB372" s="22">
        <v>362</v>
      </c>
      <c r="BC372" s="22">
        <v>1.7218</v>
      </c>
      <c r="BD372">
        <f t="shared" si="70"/>
        <v>11.257592592592593</v>
      </c>
      <c r="BE372">
        <f t="shared" si="71"/>
        <v>19.395368550000001</v>
      </c>
    </row>
    <row r="373" spans="6:57">
      <c r="F373" s="9"/>
      <c r="G373" s="22">
        <v>3.2196000000000002E-2</v>
      </c>
      <c r="H373" s="22">
        <v>8.6491000000000007</v>
      </c>
      <c r="I373" s="22">
        <v>-1.5173300000000001E-2</v>
      </c>
      <c r="J373" s="22">
        <v>363</v>
      </c>
      <c r="K373" s="22">
        <v>3.2098399999999999E-2</v>
      </c>
      <c r="L373">
        <f t="shared" si="60"/>
        <v>18.732469135802468</v>
      </c>
      <c r="M373">
        <f t="shared" si="61"/>
        <v>0.60311057629629627</v>
      </c>
      <c r="N373" s="9"/>
      <c r="O373" s="22">
        <v>1.7279100000000001</v>
      </c>
      <c r="P373" s="22">
        <v>12.5891</v>
      </c>
      <c r="Q373" s="22">
        <v>-8.3892800000000007E-3</v>
      </c>
      <c r="R373" s="22">
        <v>363</v>
      </c>
      <c r="S373" s="22">
        <v>1.72699</v>
      </c>
      <c r="T373">
        <f t="shared" si="62"/>
        <v>10.357135802469136</v>
      </c>
      <c r="U373">
        <f t="shared" si="63"/>
        <v>17.896198524444447</v>
      </c>
      <c r="X373" s="9"/>
      <c r="Y373" s="22">
        <v>3.2196000000000002E-2</v>
      </c>
      <c r="Z373" s="22">
        <v>18.2273</v>
      </c>
      <c r="AA373" s="22">
        <v>-1.52435E-2</v>
      </c>
      <c r="AB373" s="22">
        <v>363</v>
      </c>
      <c r="AC373" s="22">
        <v>3.2134999999999997E-2</v>
      </c>
      <c r="AD373">
        <f t="shared" si="64"/>
        <v>18.819135802469134</v>
      </c>
      <c r="AE373">
        <f t="shared" si="65"/>
        <v>0.60590089629629629</v>
      </c>
      <c r="AF373" s="9"/>
      <c r="AG373" s="22">
        <v>1.7279100000000001</v>
      </c>
      <c r="AH373" s="22">
        <v>22.167400000000001</v>
      </c>
      <c r="AI373" s="22">
        <v>-8.4350599999999994E-3</v>
      </c>
      <c r="AJ373" s="22">
        <v>363</v>
      </c>
      <c r="AK373" s="22">
        <v>1.72668</v>
      </c>
      <c r="AL373">
        <f t="shared" si="66"/>
        <v>10.413654320987654</v>
      </c>
      <c r="AM373">
        <f t="shared" si="67"/>
        <v>17.993857437777777</v>
      </c>
      <c r="AP373" s="9"/>
      <c r="AQ373" s="22">
        <v>3.2196000000000002E-2</v>
      </c>
      <c r="AR373" s="22">
        <v>27.800599999999999</v>
      </c>
      <c r="AS373" s="22">
        <v>-1.5469399999999999E-2</v>
      </c>
      <c r="AT373" s="22">
        <v>363</v>
      </c>
      <c r="AU373" s="22">
        <v>3.20007E-2</v>
      </c>
      <c r="AV373">
        <f t="shared" si="68"/>
        <v>19.09802469135802</v>
      </c>
      <c r="AW373">
        <f t="shared" si="69"/>
        <v>0.61488000296296286</v>
      </c>
      <c r="AX373" s="9"/>
      <c r="AY373" s="22">
        <v>1.7279100000000001</v>
      </c>
      <c r="AZ373" s="22">
        <v>31.740600000000001</v>
      </c>
      <c r="BA373" s="22">
        <v>-8.7829599999999994E-3</v>
      </c>
      <c r="BB373" s="22">
        <v>363</v>
      </c>
      <c r="BC373" s="22">
        <v>1.72729</v>
      </c>
      <c r="BD373">
        <f t="shared" si="70"/>
        <v>10.84316049382716</v>
      </c>
      <c r="BE373">
        <f t="shared" si="71"/>
        <v>18.736005448888889</v>
      </c>
    </row>
    <row r="374" spans="6:57">
      <c r="F374" s="9"/>
      <c r="G374" s="22">
        <v>2.71606E-2</v>
      </c>
      <c r="H374" s="22">
        <v>8.6591699999999996</v>
      </c>
      <c r="I374" s="22">
        <v>-1.5173300000000001E-2</v>
      </c>
      <c r="J374" s="22">
        <v>364</v>
      </c>
      <c r="K374" s="22">
        <v>2.7191199999999999E-2</v>
      </c>
      <c r="L374">
        <f t="shared" si="60"/>
        <v>18.732469135802468</v>
      </c>
      <c r="M374">
        <f t="shared" si="61"/>
        <v>0.50878510120987652</v>
      </c>
      <c r="N374" s="9"/>
      <c r="O374" s="22">
        <v>1.7329399999999999</v>
      </c>
      <c r="P374" s="22">
        <v>12.5992</v>
      </c>
      <c r="Q374" s="22">
        <v>-8.0566400000000003E-3</v>
      </c>
      <c r="R374" s="22">
        <v>364</v>
      </c>
      <c r="S374" s="22">
        <v>1.73248</v>
      </c>
      <c r="T374">
        <f t="shared" si="62"/>
        <v>9.9464691358024702</v>
      </c>
      <c r="U374">
        <f t="shared" si="63"/>
        <v>17.23663422419753</v>
      </c>
      <c r="X374" s="9"/>
      <c r="Y374" s="22">
        <v>2.71606E-2</v>
      </c>
      <c r="Z374" s="22">
        <v>18.237400000000001</v>
      </c>
      <c r="AA374" s="22">
        <v>-1.5246600000000001E-2</v>
      </c>
      <c r="AB374" s="22">
        <v>364</v>
      </c>
      <c r="AC374" s="22">
        <v>2.7114900000000001E-2</v>
      </c>
      <c r="AD374">
        <f t="shared" si="64"/>
        <v>18.822962962962961</v>
      </c>
      <c r="AE374">
        <f t="shared" si="65"/>
        <v>0.51124296785185186</v>
      </c>
      <c r="AF374" s="9"/>
      <c r="AG374" s="22">
        <v>1.7329399999999999</v>
      </c>
      <c r="AH374" s="22">
        <v>22.177399999999999</v>
      </c>
      <c r="AI374" s="22">
        <v>-8.0871599999999995E-3</v>
      </c>
      <c r="AJ374" s="22">
        <v>364</v>
      </c>
      <c r="AK374" s="22">
        <v>1.7321800000000001</v>
      </c>
      <c r="AL374">
        <f t="shared" si="66"/>
        <v>9.9841481481481473</v>
      </c>
      <c r="AM374">
        <f t="shared" si="67"/>
        <v>17.30192969185185</v>
      </c>
      <c r="AP374" s="9"/>
      <c r="AQ374" s="22">
        <v>2.71606E-2</v>
      </c>
      <c r="AR374" s="22">
        <v>27.810600000000001</v>
      </c>
      <c r="AS374" s="22">
        <v>-1.54755E-2</v>
      </c>
      <c r="AT374" s="22">
        <v>364</v>
      </c>
      <c r="AU374" s="22">
        <v>2.72156E-2</v>
      </c>
      <c r="AV374">
        <f t="shared" si="68"/>
        <v>19.105555555555554</v>
      </c>
      <c r="AW374">
        <f t="shared" si="69"/>
        <v>0.51891835222222216</v>
      </c>
      <c r="AX374" s="9"/>
      <c r="AY374" s="22">
        <v>1.7329399999999999</v>
      </c>
      <c r="AZ374" s="22">
        <v>31.750699999999998</v>
      </c>
      <c r="BA374" s="22">
        <v>-8.4350599999999994E-3</v>
      </c>
      <c r="BB374" s="22">
        <v>364</v>
      </c>
      <c r="BC374" s="22">
        <v>1.73187</v>
      </c>
      <c r="BD374">
        <f t="shared" si="70"/>
        <v>10.413654320987654</v>
      </c>
      <c r="BE374">
        <f t="shared" si="71"/>
        <v>18.046238119012344</v>
      </c>
    </row>
    <row r="375" spans="6:57">
      <c r="F375" s="9"/>
      <c r="G375" s="22">
        <v>2.2125200000000001E-2</v>
      </c>
      <c r="H375" s="22">
        <v>8.6692400000000003</v>
      </c>
      <c r="I375" s="22">
        <v>-1.5179399999999999E-2</v>
      </c>
      <c r="J375" s="22">
        <v>365</v>
      </c>
      <c r="K375" s="22">
        <v>2.1991E-2</v>
      </c>
      <c r="L375">
        <f t="shared" si="60"/>
        <v>18.739999999999995</v>
      </c>
      <c r="M375">
        <f t="shared" si="61"/>
        <v>0.41462624799999992</v>
      </c>
      <c r="N375" s="9"/>
      <c r="O375" s="22">
        <v>1.7379800000000001</v>
      </c>
      <c r="P375" s="22">
        <v>12.609299999999999</v>
      </c>
      <c r="Q375" s="22">
        <v>-7.69653E-3</v>
      </c>
      <c r="R375" s="22">
        <v>365</v>
      </c>
      <c r="S375" s="22">
        <v>1.7373700000000001</v>
      </c>
      <c r="T375">
        <f t="shared" si="62"/>
        <v>9.5018888888888871</v>
      </c>
      <c r="U375">
        <f t="shared" si="63"/>
        <v>16.514092851111108</v>
      </c>
      <c r="X375" s="9"/>
      <c r="Y375" s="22">
        <v>2.2125200000000001E-2</v>
      </c>
      <c r="Z375" s="22">
        <v>18.247499999999999</v>
      </c>
      <c r="AA375" s="22">
        <v>-1.5252699999999999E-2</v>
      </c>
      <c r="AB375" s="22">
        <v>365</v>
      </c>
      <c r="AC375" s="22">
        <v>2.1920800000000001E-2</v>
      </c>
      <c r="AD375">
        <f t="shared" si="64"/>
        <v>18.830493827160492</v>
      </c>
      <c r="AE375">
        <f t="shared" si="65"/>
        <v>0.41662844202469135</v>
      </c>
      <c r="AF375" s="9"/>
      <c r="AG375" s="22">
        <v>1.7379800000000001</v>
      </c>
      <c r="AH375" s="22">
        <v>22.1875</v>
      </c>
      <c r="AI375" s="22">
        <v>-7.7056900000000003E-3</v>
      </c>
      <c r="AJ375" s="22">
        <v>365</v>
      </c>
      <c r="AK375" s="22">
        <v>1.7367600000000001</v>
      </c>
      <c r="AL375">
        <f t="shared" si="66"/>
        <v>9.5131975308641969</v>
      </c>
      <c r="AM375">
        <f t="shared" si="67"/>
        <v>16.533747044691356</v>
      </c>
      <c r="AP375" s="9"/>
      <c r="AQ375" s="22">
        <v>2.2125200000000001E-2</v>
      </c>
      <c r="AR375" s="22">
        <v>27.820699999999999</v>
      </c>
      <c r="AS375" s="22">
        <v>-1.54816E-2</v>
      </c>
      <c r="AT375" s="22">
        <v>365</v>
      </c>
      <c r="AU375" s="22">
        <v>2.2027600000000001E-2</v>
      </c>
      <c r="AV375">
        <f t="shared" si="68"/>
        <v>19.113086419753085</v>
      </c>
      <c r="AW375">
        <f t="shared" si="69"/>
        <v>0.42288085965432098</v>
      </c>
      <c r="AX375" s="9"/>
      <c r="AY375" s="22">
        <v>1.7379800000000001</v>
      </c>
      <c r="AZ375" s="22">
        <v>31.7607</v>
      </c>
      <c r="BA375" s="22">
        <v>-8.0322299999999996E-3</v>
      </c>
      <c r="BB375" s="22">
        <v>365</v>
      </c>
      <c r="BC375" s="22">
        <v>1.73706</v>
      </c>
      <c r="BD375">
        <f t="shared" si="70"/>
        <v>9.9163333333333323</v>
      </c>
      <c r="BE375">
        <f t="shared" si="71"/>
        <v>17.234389006666667</v>
      </c>
    </row>
    <row r="376" spans="6:57">
      <c r="F376" s="9"/>
      <c r="G376" s="22">
        <v>1.7089799999999999E-2</v>
      </c>
      <c r="H376" s="22">
        <v>8.6793099999999992</v>
      </c>
      <c r="I376" s="22">
        <v>-1.5185499999999999E-2</v>
      </c>
      <c r="J376" s="22">
        <v>366</v>
      </c>
      <c r="K376" s="22">
        <v>1.6986100000000001E-2</v>
      </c>
      <c r="L376">
        <f t="shared" si="60"/>
        <v>18.747530864197529</v>
      </c>
      <c r="M376">
        <f t="shared" si="61"/>
        <v>0.3203915529629629</v>
      </c>
      <c r="N376" s="9"/>
      <c r="O376" s="22">
        <v>1.7430099999999999</v>
      </c>
      <c r="P376" s="22">
        <v>12.619300000000001</v>
      </c>
      <c r="Q376" s="22">
        <v>-7.3242200000000002E-3</v>
      </c>
      <c r="R376" s="22">
        <v>366</v>
      </c>
      <c r="S376" s="22">
        <v>1.7422500000000001</v>
      </c>
      <c r="T376">
        <f t="shared" si="62"/>
        <v>9.0422469135802466</v>
      </c>
      <c r="U376">
        <f t="shared" si="63"/>
        <v>15.760726792839504</v>
      </c>
      <c r="X376" s="9"/>
      <c r="Y376" s="22">
        <v>1.7089799999999999E-2</v>
      </c>
      <c r="Z376" s="22">
        <v>18.2575</v>
      </c>
      <c r="AA376" s="22">
        <v>-1.5255700000000001E-2</v>
      </c>
      <c r="AB376" s="22">
        <v>366</v>
      </c>
      <c r="AC376" s="22">
        <v>1.71906E-2</v>
      </c>
      <c r="AD376">
        <f t="shared" si="64"/>
        <v>18.834197530864198</v>
      </c>
      <c r="AE376">
        <f t="shared" si="65"/>
        <v>0.32187266896296296</v>
      </c>
      <c r="AF376" s="9"/>
      <c r="AG376" s="22">
        <v>1.7430099999999999</v>
      </c>
      <c r="AH376" s="22">
        <v>22.197600000000001</v>
      </c>
      <c r="AI376" s="22">
        <v>-7.2967500000000003E-3</v>
      </c>
      <c r="AJ376" s="22">
        <v>366</v>
      </c>
      <c r="AK376" s="22">
        <v>1.74194</v>
      </c>
      <c r="AL376">
        <f t="shared" si="66"/>
        <v>9.0083333333333329</v>
      </c>
      <c r="AM376">
        <f t="shared" si="67"/>
        <v>15.701615083333332</v>
      </c>
      <c r="AP376" s="9"/>
      <c r="AQ376" s="22">
        <v>1.7089799999999999E-2</v>
      </c>
      <c r="AR376" s="22">
        <v>27.8308</v>
      </c>
      <c r="AS376" s="22">
        <v>-1.5484599999999999E-2</v>
      </c>
      <c r="AT376" s="22">
        <v>366</v>
      </c>
      <c r="AU376" s="22">
        <v>1.6964699999999999E-2</v>
      </c>
      <c r="AV376">
        <f t="shared" si="68"/>
        <v>19.116790123456788</v>
      </c>
      <c r="AW376">
        <f t="shared" si="69"/>
        <v>0.32670211985185177</v>
      </c>
      <c r="AX376" s="9"/>
      <c r="AY376" s="22">
        <v>1.7430099999999999</v>
      </c>
      <c r="AZ376" s="22">
        <v>31.770800000000001</v>
      </c>
      <c r="BA376" s="22">
        <v>-7.6171900000000002E-3</v>
      </c>
      <c r="BB376" s="22">
        <v>366</v>
      </c>
      <c r="BC376" s="22">
        <v>1.74194</v>
      </c>
      <c r="BD376">
        <f t="shared" si="70"/>
        <v>9.4039382716049396</v>
      </c>
      <c r="BE376">
        <f t="shared" si="71"/>
        <v>16.391158446790126</v>
      </c>
    </row>
    <row r="377" spans="6:57">
      <c r="F377" s="9"/>
      <c r="G377" s="22">
        <v>1.20544E-2</v>
      </c>
      <c r="H377" s="22">
        <v>8.6893799999999999</v>
      </c>
      <c r="I377" s="22">
        <v>-1.5191700000000001E-2</v>
      </c>
      <c r="J377" s="22">
        <v>367</v>
      </c>
      <c r="K377" s="22">
        <v>1.1920200000000001E-2</v>
      </c>
      <c r="L377">
        <f t="shared" si="60"/>
        <v>18.755185185185184</v>
      </c>
      <c r="M377">
        <f t="shared" si="61"/>
        <v>0.22608250429629628</v>
      </c>
      <c r="N377" s="9"/>
      <c r="O377" s="22">
        <v>1.7480500000000001</v>
      </c>
      <c r="P377" s="22">
        <v>12.6294</v>
      </c>
      <c r="Q377" s="22">
        <v>-6.8939200000000004E-3</v>
      </c>
      <c r="R377" s="22">
        <v>367</v>
      </c>
      <c r="S377" s="22">
        <v>1.7471300000000001</v>
      </c>
      <c r="T377">
        <f t="shared" si="62"/>
        <v>8.5110123456790117</v>
      </c>
      <c r="U377">
        <f t="shared" si="63"/>
        <v>14.877675130864198</v>
      </c>
      <c r="X377" s="9"/>
      <c r="Y377" s="22">
        <v>1.20544E-2</v>
      </c>
      <c r="Z377" s="22">
        <v>18.267600000000002</v>
      </c>
      <c r="AA377" s="22">
        <v>-1.5258799999999999E-2</v>
      </c>
      <c r="AB377" s="22">
        <v>367</v>
      </c>
      <c r="AC377" s="22">
        <v>1.21338E-2</v>
      </c>
      <c r="AD377">
        <f t="shared" si="64"/>
        <v>18.838024691358022</v>
      </c>
      <c r="AE377">
        <f t="shared" si="65"/>
        <v>0.22708108483950615</v>
      </c>
      <c r="AF377" s="9"/>
      <c r="AG377" s="22">
        <v>1.7480500000000001</v>
      </c>
      <c r="AH377" s="22">
        <v>22.207599999999999</v>
      </c>
      <c r="AI377" s="22">
        <v>-6.8450899999999999E-3</v>
      </c>
      <c r="AJ377" s="22">
        <v>367</v>
      </c>
      <c r="AK377" s="22">
        <v>1.7474400000000001</v>
      </c>
      <c r="AL377">
        <f t="shared" si="66"/>
        <v>8.4507283950617271</v>
      </c>
      <c r="AM377">
        <f t="shared" si="67"/>
        <v>14.772295770987652</v>
      </c>
      <c r="AP377" s="9"/>
      <c r="AQ377" s="22">
        <v>1.20544E-2</v>
      </c>
      <c r="AR377" s="22">
        <v>27.840800000000002</v>
      </c>
      <c r="AS377" s="22">
        <v>-1.54938E-2</v>
      </c>
      <c r="AT377" s="22">
        <v>367</v>
      </c>
      <c r="AU377" s="22">
        <v>1.19598E-2</v>
      </c>
      <c r="AV377">
        <f t="shared" si="68"/>
        <v>19.128148148148149</v>
      </c>
      <c r="AW377">
        <f t="shared" si="69"/>
        <v>0.23057834903703706</v>
      </c>
      <c r="AX377" s="9"/>
      <c r="AY377" s="22">
        <v>1.7480500000000001</v>
      </c>
      <c r="AZ377" s="22">
        <v>31.780899999999999</v>
      </c>
      <c r="BA377" s="22">
        <v>-7.14417E-3</v>
      </c>
      <c r="BB377" s="22">
        <v>367</v>
      </c>
      <c r="BC377" s="22">
        <v>1.7471300000000001</v>
      </c>
      <c r="BD377">
        <f t="shared" si="70"/>
        <v>8.8199629629629612</v>
      </c>
      <c r="BE377">
        <f t="shared" si="71"/>
        <v>15.417736257407405</v>
      </c>
    </row>
    <row r="378" spans="6:57">
      <c r="F378" s="9"/>
      <c r="G378" s="22">
        <v>7.0190399999999998E-3</v>
      </c>
      <c r="H378" s="22">
        <v>8.6994500000000006</v>
      </c>
      <c r="I378" s="22">
        <v>-1.51947E-2</v>
      </c>
      <c r="J378" s="22">
        <v>368</v>
      </c>
      <c r="K378" s="22">
        <v>6.7230199999999997E-3</v>
      </c>
      <c r="L378">
        <f t="shared" si="60"/>
        <v>18.758888888888887</v>
      </c>
      <c r="M378">
        <f t="shared" si="61"/>
        <v>0.13166939146666665</v>
      </c>
      <c r="N378" s="9"/>
      <c r="O378" s="22">
        <v>1.75308</v>
      </c>
      <c r="P378" s="22">
        <v>12.6395</v>
      </c>
      <c r="Q378" s="22">
        <v>-6.4392099999999999E-3</v>
      </c>
      <c r="R378" s="22">
        <v>368</v>
      </c>
      <c r="S378" s="22">
        <v>1.7520100000000001</v>
      </c>
      <c r="T378">
        <f t="shared" si="62"/>
        <v>7.9496419753086416</v>
      </c>
      <c r="U378">
        <f t="shared" si="63"/>
        <v>13.936358354074073</v>
      </c>
      <c r="X378" s="9"/>
      <c r="Y378" s="22">
        <v>7.0190399999999998E-3</v>
      </c>
      <c r="Z378" s="22">
        <v>18.277699999999999</v>
      </c>
      <c r="AA378" s="22">
        <v>-1.5261800000000001E-2</v>
      </c>
      <c r="AB378" s="22">
        <v>368</v>
      </c>
      <c r="AC378" s="22">
        <v>6.9122300000000001E-3</v>
      </c>
      <c r="AD378">
        <f t="shared" si="64"/>
        <v>18.841728395061729</v>
      </c>
      <c r="AE378">
        <f t="shared" si="65"/>
        <v>0.13225084527407407</v>
      </c>
      <c r="AF378" s="9"/>
      <c r="AG378" s="22">
        <v>1.75308</v>
      </c>
      <c r="AH378" s="22">
        <v>22.217700000000001</v>
      </c>
      <c r="AI378" s="22">
        <v>-6.3659700000000003E-3</v>
      </c>
      <c r="AJ378" s="22">
        <v>368</v>
      </c>
      <c r="AK378" s="22">
        <v>1.7520100000000001</v>
      </c>
      <c r="AL378">
        <f t="shared" si="66"/>
        <v>7.8592222222222219</v>
      </c>
      <c r="AM378">
        <f t="shared" si="67"/>
        <v>13.777845293333332</v>
      </c>
      <c r="AP378" s="9"/>
      <c r="AQ378" s="22">
        <v>7.0190399999999998E-3</v>
      </c>
      <c r="AR378" s="22">
        <v>27.850899999999999</v>
      </c>
      <c r="AS378" s="22">
        <v>-1.54999E-2</v>
      </c>
      <c r="AT378" s="22">
        <v>368</v>
      </c>
      <c r="AU378" s="22">
        <v>6.7901599999999999E-3</v>
      </c>
      <c r="AV378">
        <f t="shared" si="68"/>
        <v>19.13567901234568</v>
      </c>
      <c r="AW378">
        <f t="shared" si="69"/>
        <v>0.13431409641481482</v>
      </c>
      <c r="AX378" s="9"/>
      <c r="AY378" s="22">
        <v>1.75308</v>
      </c>
      <c r="AZ378" s="22">
        <v>31.790900000000001</v>
      </c>
      <c r="BA378" s="22">
        <v>-6.67419E-3</v>
      </c>
      <c r="BB378" s="22">
        <v>368</v>
      </c>
      <c r="BC378" s="22">
        <v>1.7526200000000001</v>
      </c>
      <c r="BD378">
        <f t="shared" si="70"/>
        <v>8.239740740740741</v>
      </c>
      <c r="BE378">
        <f t="shared" si="71"/>
        <v>14.444924697777777</v>
      </c>
    </row>
    <row r="379" spans="6:57">
      <c r="F379" s="9"/>
      <c r="G379" s="22">
        <v>1.9836400000000001E-3</v>
      </c>
      <c r="H379" s="22">
        <v>8.7095199999999995</v>
      </c>
      <c r="I379" s="22">
        <v>-1.51947E-2</v>
      </c>
      <c r="J379" s="22">
        <v>369</v>
      </c>
      <c r="K379" s="22">
        <v>1.74866E-3</v>
      </c>
      <c r="L379">
        <f t="shared" si="60"/>
        <v>18.758888888888887</v>
      </c>
      <c r="M379">
        <f t="shared" si="61"/>
        <v>3.7210882355555551E-2</v>
      </c>
      <c r="N379" s="9"/>
      <c r="O379" s="22">
        <v>1.7581199999999999</v>
      </c>
      <c r="P379" s="22">
        <v>12.6496</v>
      </c>
      <c r="Q379" s="22">
        <v>-5.9021000000000004E-3</v>
      </c>
      <c r="R379" s="22">
        <v>369</v>
      </c>
      <c r="S379" s="22">
        <v>1.7575099999999999</v>
      </c>
      <c r="T379">
        <f t="shared" si="62"/>
        <v>7.2865432098765437</v>
      </c>
      <c r="U379">
        <f t="shared" si="63"/>
        <v>12.810617348148149</v>
      </c>
      <c r="X379" s="9"/>
      <c r="Y379" s="22">
        <v>1.9836400000000001E-3</v>
      </c>
      <c r="Z379" s="22">
        <v>18.287700000000001</v>
      </c>
      <c r="AA379" s="22">
        <v>-1.5267899999999999E-2</v>
      </c>
      <c r="AB379" s="22">
        <v>369</v>
      </c>
      <c r="AC379" s="22">
        <v>1.6509999999999999E-3</v>
      </c>
      <c r="AD379">
        <f t="shared" si="64"/>
        <v>18.849259259259256</v>
      </c>
      <c r="AE379">
        <f t="shared" si="65"/>
        <v>3.7390144637037034E-2</v>
      </c>
      <c r="AF379" s="9"/>
      <c r="AG379" s="22">
        <v>1.7581199999999999</v>
      </c>
      <c r="AH379" s="22">
        <v>22.227799999999998</v>
      </c>
      <c r="AI379" s="22">
        <v>-5.83191E-3</v>
      </c>
      <c r="AJ379" s="22">
        <v>369</v>
      </c>
      <c r="AK379" s="22">
        <v>1.7572000000000001</v>
      </c>
      <c r="AL379">
        <f t="shared" si="66"/>
        <v>7.1998888888888883</v>
      </c>
      <c r="AM379">
        <f t="shared" si="67"/>
        <v>12.658268653333332</v>
      </c>
      <c r="AP379" s="9"/>
      <c r="AQ379" s="22">
        <v>1.9836400000000001E-3</v>
      </c>
      <c r="AR379" s="22">
        <v>27.861000000000001</v>
      </c>
      <c r="AS379" s="22">
        <v>-1.5506000000000001E-2</v>
      </c>
      <c r="AT379" s="22">
        <v>369</v>
      </c>
      <c r="AU379" s="22">
        <v>1.9134499999999999E-3</v>
      </c>
      <c r="AV379">
        <f t="shared" si="68"/>
        <v>19.14320987654321</v>
      </c>
      <c r="AW379">
        <f t="shared" si="69"/>
        <v>3.7973236839506173E-2</v>
      </c>
      <c r="AX379" s="9"/>
      <c r="AY379" s="22">
        <v>1.7581199999999999</v>
      </c>
      <c r="AZ379" s="22">
        <v>31.800999999999998</v>
      </c>
      <c r="BA379" s="22">
        <v>-6.1248800000000001E-3</v>
      </c>
      <c r="BB379" s="22">
        <v>369</v>
      </c>
      <c r="BC379" s="22">
        <v>1.7575099999999999</v>
      </c>
      <c r="BD379">
        <f t="shared" si="70"/>
        <v>7.5615802469135796</v>
      </c>
      <c r="BE379">
        <f t="shared" si="71"/>
        <v>13.294165463703703</v>
      </c>
    </row>
    <row r="380" spans="6:57">
      <c r="F380" s="9"/>
      <c r="G380" s="22">
        <v>-3.0517600000000001E-3</v>
      </c>
      <c r="H380" s="22">
        <v>8.7195900000000002</v>
      </c>
      <c r="I380" s="22">
        <v>-1.5197799999999999E-2</v>
      </c>
      <c r="J380" s="22">
        <v>370</v>
      </c>
      <c r="K380" s="22">
        <v>-3.00293E-3</v>
      </c>
      <c r="L380">
        <f t="shared" si="60"/>
        <v>18.762716049382714</v>
      </c>
      <c r="M380">
        <f t="shared" si="61"/>
        <v>-5.7259306330864193E-2</v>
      </c>
      <c r="N380" s="9"/>
      <c r="O380" s="22">
        <v>1.76315</v>
      </c>
      <c r="P380" s="22">
        <v>12.659599999999999</v>
      </c>
      <c r="Q380" s="22">
        <v>-5.3710900000000002E-3</v>
      </c>
      <c r="R380" s="22">
        <v>370</v>
      </c>
      <c r="S380" s="22">
        <v>1.7626999999999999</v>
      </c>
      <c r="T380">
        <f t="shared" si="62"/>
        <v>6.6309753086419754</v>
      </c>
      <c r="U380">
        <f t="shared" si="63"/>
        <v>11.691404115432098</v>
      </c>
      <c r="X380" s="9"/>
      <c r="Y380" s="22">
        <v>-3.0517600000000001E-3</v>
      </c>
      <c r="Z380" s="22">
        <v>18.297799999999999</v>
      </c>
      <c r="AA380" s="22">
        <v>-1.5273999999999999E-2</v>
      </c>
      <c r="AB380" s="22">
        <v>370</v>
      </c>
      <c r="AC380" s="22">
        <v>-3.25012E-3</v>
      </c>
      <c r="AD380">
        <f t="shared" si="64"/>
        <v>18.85679012345679</v>
      </c>
      <c r="AE380">
        <f t="shared" si="65"/>
        <v>-5.7546397827160499E-2</v>
      </c>
      <c r="AF380" s="9"/>
      <c r="AG380" s="22">
        <v>1.76315</v>
      </c>
      <c r="AH380" s="22">
        <v>22.2379</v>
      </c>
      <c r="AI380" s="22">
        <v>-5.2703899999999998E-3</v>
      </c>
      <c r="AJ380" s="22">
        <v>370</v>
      </c>
      <c r="AK380" s="22">
        <v>1.7626999999999999</v>
      </c>
      <c r="AL380">
        <f t="shared" si="66"/>
        <v>6.5066543209876535</v>
      </c>
      <c r="AM380">
        <f t="shared" si="67"/>
        <v>11.472207566049381</v>
      </c>
      <c r="AP380" s="9"/>
      <c r="AQ380" s="22">
        <v>-3.0517600000000001E-3</v>
      </c>
      <c r="AR380" s="22">
        <v>27.870999999999999</v>
      </c>
      <c r="AS380" s="22">
        <v>-1.5512099999999999E-2</v>
      </c>
      <c r="AT380" s="22">
        <v>370</v>
      </c>
      <c r="AU380" s="22">
        <v>-3.1890899999999999E-3</v>
      </c>
      <c r="AV380">
        <f t="shared" si="68"/>
        <v>19.150740740740741</v>
      </c>
      <c r="AW380">
        <f t="shared" si="69"/>
        <v>-5.8443464562962968E-2</v>
      </c>
      <c r="AX380" s="9"/>
      <c r="AY380" s="22">
        <v>1.76315</v>
      </c>
      <c r="AZ380" s="22">
        <v>31.8111</v>
      </c>
      <c r="BA380" s="22">
        <v>-5.5633499999999999E-3</v>
      </c>
      <c r="BB380" s="22">
        <v>370</v>
      </c>
      <c r="BC380" s="22">
        <v>1.7620800000000001</v>
      </c>
      <c r="BD380">
        <f t="shared" si="70"/>
        <v>6.8683333333333332</v>
      </c>
      <c r="BE380">
        <f t="shared" si="71"/>
        <v>12.109901916666667</v>
      </c>
    </row>
    <row r="381" spans="6:57">
      <c r="F381" s="9"/>
      <c r="G381" s="22">
        <v>-8.0871599999999995E-3</v>
      </c>
      <c r="H381" s="22">
        <v>8.7296600000000009</v>
      </c>
      <c r="I381" s="22">
        <v>-1.5203899999999999E-2</v>
      </c>
      <c r="J381" s="22">
        <v>371</v>
      </c>
      <c r="K381" s="22">
        <v>-8.4381100000000004E-3</v>
      </c>
      <c r="L381">
        <f t="shared" si="60"/>
        <v>18.770246913580245</v>
      </c>
      <c r="M381">
        <f t="shared" si="61"/>
        <v>-0.1517979900296296</v>
      </c>
      <c r="N381" s="9"/>
      <c r="O381" s="22">
        <v>1.7681899999999999</v>
      </c>
      <c r="P381" s="22">
        <v>12.669700000000001</v>
      </c>
      <c r="Q381" s="22">
        <v>-4.7631799999999997E-3</v>
      </c>
      <c r="R381" s="22">
        <v>371</v>
      </c>
      <c r="S381" s="22">
        <v>1.7675799999999999</v>
      </c>
      <c r="T381">
        <f t="shared" si="62"/>
        <v>5.8804691358024685</v>
      </c>
      <c r="U381">
        <f t="shared" si="63"/>
        <v>10.397786721234567</v>
      </c>
      <c r="X381" s="9"/>
      <c r="Y381" s="22">
        <v>-8.0871599999999995E-3</v>
      </c>
      <c r="Z381" s="22">
        <v>18.3079</v>
      </c>
      <c r="AA381" s="22">
        <v>-1.52771E-2</v>
      </c>
      <c r="AB381" s="22">
        <v>371</v>
      </c>
      <c r="AC381" s="22">
        <v>-8.2336400000000004E-3</v>
      </c>
      <c r="AD381">
        <f t="shared" si="64"/>
        <v>18.860617283950617</v>
      </c>
      <c r="AE381">
        <f t="shared" si="65"/>
        <v>-0.15252882967407405</v>
      </c>
      <c r="AF381" s="9"/>
      <c r="AG381" s="22">
        <v>1.7681899999999999</v>
      </c>
      <c r="AH381" s="22">
        <v>22.247900000000001</v>
      </c>
      <c r="AI381" s="22">
        <v>-4.6148700000000001E-3</v>
      </c>
      <c r="AJ381" s="22">
        <v>371</v>
      </c>
      <c r="AK381" s="22">
        <v>1.7669699999999999</v>
      </c>
      <c r="AL381">
        <f t="shared" si="66"/>
        <v>5.6973703703703702</v>
      </c>
      <c r="AM381">
        <f t="shared" si="67"/>
        <v>10.074033315185185</v>
      </c>
      <c r="AP381" s="9"/>
      <c r="AQ381" s="22">
        <v>-8.0871599999999995E-3</v>
      </c>
      <c r="AR381" s="22">
        <v>27.8811</v>
      </c>
      <c r="AS381" s="22">
        <v>-1.5518199999999999E-2</v>
      </c>
      <c r="AT381" s="22">
        <v>371</v>
      </c>
      <c r="AU381" s="22">
        <v>-8.1939700000000001E-3</v>
      </c>
      <c r="AV381">
        <f t="shared" si="68"/>
        <v>19.158271604938271</v>
      </c>
      <c r="AW381">
        <f t="shared" si="69"/>
        <v>-0.15493600779259259</v>
      </c>
      <c r="AX381" s="9"/>
      <c r="AY381" s="22">
        <v>1.7681899999999999</v>
      </c>
      <c r="AZ381" s="22">
        <v>31.821200000000001</v>
      </c>
      <c r="BA381" s="22">
        <v>-4.8883099999999999E-3</v>
      </c>
      <c r="BB381" s="22">
        <v>371</v>
      </c>
      <c r="BC381" s="22">
        <v>1.7672699999999999</v>
      </c>
      <c r="BD381">
        <f t="shared" si="70"/>
        <v>6.0349506172839504</v>
      </c>
      <c r="BE381">
        <f t="shared" si="71"/>
        <v>10.670939331975308</v>
      </c>
    </row>
    <row r="382" spans="6:57">
      <c r="F382" s="9"/>
      <c r="G382" s="22">
        <v>-1.31226E-2</v>
      </c>
      <c r="H382" s="22">
        <v>8.7397299999999998</v>
      </c>
      <c r="I382" s="22">
        <v>-1.5206900000000001E-2</v>
      </c>
      <c r="J382" s="22">
        <v>372</v>
      </c>
      <c r="K382" s="22">
        <v>-1.3235500000000001E-2</v>
      </c>
      <c r="L382">
        <f t="shared" si="60"/>
        <v>18.773950617283951</v>
      </c>
      <c r="M382">
        <f t="shared" si="61"/>
        <v>-0.24636304437037038</v>
      </c>
      <c r="N382" s="9"/>
      <c r="O382" s="22">
        <v>1.77322</v>
      </c>
      <c r="P382" s="22">
        <v>12.6798</v>
      </c>
      <c r="Q382" s="22">
        <v>-4.12781E-3</v>
      </c>
      <c r="R382" s="22">
        <v>372</v>
      </c>
      <c r="S382" s="22">
        <v>1.7724599999999999</v>
      </c>
      <c r="T382">
        <f t="shared" si="62"/>
        <v>5.0960617283950613</v>
      </c>
      <c r="U382">
        <f t="shared" si="63"/>
        <v>9.0364385780246899</v>
      </c>
      <c r="X382" s="9"/>
      <c r="Y382" s="22">
        <v>-1.31226E-2</v>
      </c>
      <c r="Z382" s="22">
        <v>18.318000000000001</v>
      </c>
      <c r="AA382" s="22">
        <v>-1.5280200000000001E-2</v>
      </c>
      <c r="AB382" s="22">
        <v>372</v>
      </c>
      <c r="AC382" s="22">
        <v>-1.3284300000000001E-2</v>
      </c>
      <c r="AD382">
        <f t="shared" si="64"/>
        <v>18.864444444444445</v>
      </c>
      <c r="AE382">
        <f t="shared" si="65"/>
        <v>-0.24755055866666667</v>
      </c>
      <c r="AF382" s="9"/>
      <c r="AG382" s="22">
        <v>1.77322</v>
      </c>
      <c r="AH382" s="22">
        <v>22.257999999999999</v>
      </c>
      <c r="AI382" s="22">
        <v>-3.9050299999999999E-3</v>
      </c>
      <c r="AJ382" s="22">
        <v>372</v>
      </c>
      <c r="AK382" s="22">
        <v>1.77216</v>
      </c>
      <c r="AL382">
        <f t="shared" si="66"/>
        <v>4.8210246913580237</v>
      </c>
      <c r="AM382">
        <f t="shared" si="67"/>
        <v>8.5487374032098753</v>
      </c>
      <c r="AP382" s="9"/>
      <c r="AQ382" s="22">
        <v>-1.31226E-2</v>
      </c>
      <c r="AR382" s="22">
        <v>27.891200000000001</v>
      </c>
      <c r="AS382" s="22">
        <v>-1.55243E-2</v>
      </c>
      <c r="AT382" s="22">
        <v>372</v>
      </c>
      <c r="AU382" s="22">
        <v>-1.31989E-2</v>
      </c>
      <c r="AV382">
        <f t="shared" si="68"/>
        <v>19.165802469135802</v>
      </c>
      <c r="AW382">
        <f t="shared" si="69"/>
        <v>-0.25150515948148144</v>
      </c>
      <c r="AX382" s="9"/>
      <c r="AY382" s="22">
        <v>1.77322</v>
      </c>
      <c r="AZ382" s="22">
        <v>31.831199999999999</v>
      </c>
      <c r="BA382" s="22">
        <v>-4.1867099999999997E-3</v>
      </c>
      <c r="BB382" s="22">
        <v>372</v>
      </c>
      <c r="BC382" s="22">
        <v>1.77277</v>
      </c>
      <c r="BD382">
        <f t="shared" si="70"/>
        <v>5.1687777777777777</v>
      </c>
      <c r="BE382">
        <f t="shared" si="71"/>
        <v>9.1653801311111103</v>
      </c>
    </row>
    <row r="383" spans="6:57">
      <c r="F383" s="9"/>
      <c r="G383" s="22">
        <v>-1.8158000000000001E-2</v>
      </c>
      <c r="H383" s="22">
        <v>8.7498100000000001</v>
      </c>
      <c r="I383" s="22">
        <v>-1.521E-2</v>
      </c>
      <c r="J383" s="22">
        <v>373</v>
      </c>
      <c r="K383" s="22">
        <v>-1.8478399999999999E-2</v>
      </c>
      <c r="L383">
        <f t="shared" si="60"/>
        <v>18.777777777777775</v>
      </c>
      <c r="M383">
        <f t="shared" si="61"/>
        <v>-0.34096688888888887</v>
      </c>
      <c r="N383" s="9"/>
      <c r="O383" s="22">
        <v>1.77826</v>
      </c>
      <c r="P383" s="22">
        <v>12.6898</v>
      </c>
      <c r="Q383" s="22">
        <v>-3.4130900000000001E-3</v>
      </c>
      <c r="R383" s="22">
        <v>373</v>
      </c>
      <c r="S383" s="22">
        <v>1.7773399999999999</v>
      </c>
      <c r="T383">
        <f t="shared" si="62"/>
        <v>4.2136913580246906</v>
      </c>
      <c r="U383">
        <f t="shared" si="63"/>
        <v>7.4930387943209862</v>
      </c>
      <c r="X383" s="9"/>
      <c r="Y383" s="22">
        <v>-1.8158000000000001E-2</v>
      </c>
      <c r="Z383" s="22">
        <v>18.327999999999999</v>
      </c>
      <c r="AA383" s="22">
        <v>-1.52832E-2</v>
      </c>
      <c r="AB383" s="22">
        <v>373</v>
      </c>
      <c r="AC383" s="22">
        <v>-1.8197600000000001E-2</v>
      </c>
      <c r="AD383">
        <f t="shared" si="64"/>
        <v>18.868148148148148</v>
      </c>
      <c r="AE383">
        <f t="shared" si="65"/>
        <v>-0.34260783407407408</v>
      </c>
      <c r="AF383" s="9"/>
      <c r="AG383" s="22">
        <v>1.77826</v>
      </c>
      <c r="AH383" s="22">
        <v>22.2681</v>
      </c>
      <c r="AI383" s="22">
        <v>-3.1079100000000002E-3</v>
      </c>
      <c r="AJ383" s="22">
        <v>373</v>
      </c>
      <c r="AK383" s="22">
        <v>1.7773399999999999</v>
      </c>
      <c r="AL383">
        <f t="shared" si="66"/>
        <v>3.8369259259259261</v>
      </c>
      <c r="AM383">
        <f t="shared" si="67"/>
        <v>6.8230518970370371</v>
      </c>
      <c r="AP383" s="9"/>
      <c r="AQ383" s="22">
        <v>-1.8158000000000001E-2</v>
      </c>
      <c r="AR383" s="22">
        <v>27.901299999999999</v>
      </c>
      <c r="AS383" s="22">
        <v>-1.55304E-2</v>
      </c>
      <c r="AT383" s="22">
        <v>373</v>
      </c>
      <c r="AU383" s="22">
        <v>-1.84753E-2</v>
      </c>
      <c r="AV383">
        <f t="shared" si="68"/>
        <v>19.173333333333332</v>
      </c>
      <c r="AW383">
        <f t="shared" si="69"/>
        <v>-0.34814938666666667</v>
      </c>
      <c r="AX383" s="9"/>
      <c r="AY383" s="22">
        <v>1.77826</v>
      </c>
      <c r="AZ383" s="22">
        <v>31.8413</v>
      </c>
      <c r="BA383" s="22">
        <v>-3.3596799999999999E-3</v>
      </c>
      <c r="BB383" s="22">
        <v>373</v>
      </c>
      <c r="BC383" s="22">
        <v>1.7773399999999999</v>
      </c>
      <c r="BD383">
        <f t="shared" si="70"/>
        <v>4.1477530864197529</v>
      </c>
      <c r="BE383">
        <f t="shared" si="71"/>
        <v>7.37578340345679</v>
      </c>
    </row>
    <row r="384" spans="6:57">
      <c r="F384" s="9"/>
      <c r="G384" s="22">
        <v>-2.3193399999999999E-2</v>
      </c>
      <c r="H384" s="22">
        <v>8.7598800000000008</v>
      </c>
      <c r="I384" s="22">
        <v>-1.52161E-2</v>
      </c>
      <c r="J384" s="22">
        <v>374</v>
      </c>
      <c r="K384" s="22">
        <v>-2.3309300000000002E-2</v>
      </c>
      <c r="L384">
        <f t="shared" si="60"/>
        <v>18.785308641975305</v>
      </c>
      <c r="M384">
        <f t="shared" si="61"/>
        <v>-0.43569517745679004</v>
      </c>
      <c r="N384" s="9"/>
      <c r="O384" s="22">
        <v>1.78329</v>
      </c>
      <c r="P384" s="22">
        <v>12.6999</v>
      </c>
      <c r="Q384" s="22">
        <v>-2.6083399999999998E-3</v>
      </c>
      <c r="R384" s="22">
        <v>374</v>
      </c>
      <c r="S384" s="22">
        <v>1.7825299999999999</v>
      </c>
      <c r="T384">
        <f t="shared" si="62"/>
        <v>3.2201728395061724</v>
      </c>
      <c r="U384">
        <f t="shared" si="63"/>
        <v>5.7425020229629622</v>
      </c>
      <c r="X384" s="9"/>
      <c r="Y384" s="22">
        <v>-2.3193399999999999E-2</v>
      </c>
      <c r="Z384" s="22">
        <v>18.338100000000001</v>
      </c>
      <c r="AA384" s="22">
        <v>-1.5286299999999999E-2</v>
      </c>
      <c r="AB384" s="22">
        <v>374</v>
      </c>
      <c r="AC384" s="22">
        <v>-2.33826E-2</v>
      </c>
      <c r="AD384">
        <f t="shared" si="64"/>
        <v>18.871975308641971</v>
      </c>
      <c r="AE384">
        <f t="shared" si="65"/>
        <v>-0.43770527212345667</v>
      </c>
      <c r="AF384" s="9"/>
      <c r="AG384" s="22">
        <v>1.78329</v>
      </c>
      <c r="AH384" s="22">
        <v>22.278099999999998</v>
      </c>
      <c r="AI384" s="22">
        <v>-2.24274E-3</v>
      </c>
      <c r="AJ384" s="22">
        <v>374</v>
      </c>
      <c r="AK384" s="22">
        <v>1.7825299999999999</v>
      </c>
      <c r="AL384">
        <f t="shared" si="66"/>
        <v>2.7688148148148146</v>
      </c>
      <c r="AM384">
        <f t="shared" si="67"/>
        <v>4.9375997711111106</v>
      </c>
      <c r="AP384" s="9"/>
      <c r="AQ384" s="22">
        <v>-2.3193399999999999E-2</v>
      </c>
      <c r="AR384" s="22">
        <v>27.911300000000001</v>
      </c>
      <c r="AS384" s="22">
        <v>-1.55365E-2</v>
      </c>
      <c r="AT384" s="22">
        <v>374</v>
      </c>
      <c r="AU384" s="22">
        <v>-2.3269700000000001E-2</v>
      </c>
      <c r="AV384">
        <f t="shared" si="68"/>
        <v>19.180864197530862</v>
      </c>
      <c r="AW384">
        <f t="shared" si="69"/>
        <v>-0.44486945567901232</v>
      </c>
      <c r="AX384" s="9"/>
      <c r="AY384" s="22">
        <v>1.78329</v>
      </c>
      <c r="AZ384" s="22">
        <v>31.851400000000002</v>
      </c>
      <c r="BA384" s="22">
        <v>-2.4893200000000002E-3</v>
      </c>
      <c r="BB384" s="22">
        <v>374</v>
      </c>
      <c r="BC384" s="22">
        <v>1.78284</v>
      </c>
      <c r="BD384">
        <f t="shared" si="70"/>
        <v>3.0732345679012343</v>
      </c>
      <c r="BE384">
        <f t="shared" si="71"/>
        <v>5.4804684725925918</v>
      </c>
    </row>
    <row r="385" spans="6:57">
      <c r="F385" s="9"/>
      <c r="G385" s="22">
        <v>-2.8228799999999998E-2</v>
      </c>
      <c r="H385" s="22">
        <v>8.7699499999999997</v>
      </c>
      <c r="I385" s="22">
        <v>-1.5219099999999999E-2</v>
      </c>
      <c r="J385" s="22">
        <v>375</v>
      </c>
      <c r="K385" s="22">
        <v>-2.83051E-2</v>
      </c>
      <c r="L385">
        <f t="shared" si="60"/>
        <v>18.789012345679012</v>
      </c>
      <c r="M385">
        <f t="shared" si="61"/>
        <v>-0.5303912717037037</v>
      </c>
      <c r="N385" s="9"/>
      <c r="O385" s="22">
        <v>1.78833</v>
      </c>
      <c r="P385" s="22">
        <v>12.71</v>
      </c>
      <c r="Q385" s="22">
        <v>-1.6861000000000001E-3</v>
      </c>
      <c r="R385" s="22">
        <v>375</v>
      </c>
      <c r="S385" s="22">
        <v>1.78772</v>
      </c>
      <c r="T385">
        <f t="shared" si="62"/>
        <v>2.0816049382716049</v>
      </c>
      <c r="U385">
        <f t="shared" si="63"/>
        <v>3.7225965592592591</v>
      </c>
      <c r="X385" s="9"/>
      <c r="Y385" s="22">
        <v>-2.8228799999999998E-2</v>
      </c>
      <c r="Z385" s="22">
        <v>18.348199999999999</v>
      </c>
      <c r="AA385" s="22">
        <v>-1.5292399999999999E-2</v>
      </c>
      <c r="AB385" s="22">
        <v>375</v>
      </c>
      <c r="AC385" s="22">
        <v>-2.8424100000000001E-2</v>
      </c>
      <c r="AD385">
        <f t="shared" si="64"/>
        <v>18.879506172839505</v>
      </c>
      <c r="AE385">
        <f t="shared" si="65"/>
        <v>-0.53294580385185175</v>
      </c>
      <c r="AF385" s="9"/>
      <c r="AG385" s="22">
        <v>1.78833</v>
      </c>
      <c r="AH385" s="22">
        <v>22.2882</v>
      </c>
      <c r="AI385" s="22">
        <v>-1.2335200000000001E-3</v>
      </c>
      <c r="AJ385" s="22">
        <v>375</v>
      </c>
      <c r="AK385" s="22">
        <v>1.78711</v>
      </c>
      <c r="AL385">
        <f t="shared" si="66"/>
        <v>1.5228641975308641</v>
      </c>
      <c r="AM385">
        <f t="shared" si="67"/>
        <v>2.7233837303703701</v>
      </c>
      <c r="AP385" s="9"/>
      <c r="AQ385" s="22">
        <v>-2.8228799999999998E-2</v>
      </c>
      <c r="AR385" s="22">
        <v>27.921399999999998</v>
      </c>
      <c r="AS385" s="22">
        <v>-1.55426E-2</v>
      </c>
      <c r="AT385" s="22">
        <v>375</v>
      </c>
      <c r="AU385" s="22">
        <v>-2.8527799999999999E-2</v>
      </c>
      <c r="AV385">
        <f t="shared" si="68"/>
        <v>19.188395061728393</v>
      </c>
      <c r="AW385">
        <f t="shared" si="69"/>
        <v>-0.54166536651851838</v>
      </c>
      <c r="AX385" s="9"/>
      <c r="AY385" s="22">
        <v>1.78833</v>
      </c>
      <c r="AZ385" s="22">
        <v>31.8614</v>
      </c>
      <c r="BA385" s="22">
        <v>-1.43921E-3</v>
      </c>
      <c r="BB385" s="22">
        <v>375</v>
      </c>
      <c r="BC385" s="22">
        <v>1.78772</v>
      </c>
      <c r="BD385">
        <f t="shared" si="70"/>
        <v>1.7768024691358024</v>
      </c>
      <c r="BE385">
        <f t="shared" si="71"/>
        <v>3.1775091596296297</v>
      </c>
    </row>
    <row r="386" spans="6:57">
      <c r="F386" s="9"/>
      <c r="G386" s="22">
        <v>-3.3264200000000001E-2</v>
      </c>
      <c r="H386" s="22">
        <v>8.7800200000000004</v>
      </c>
      <c r="I386" s="22">
        <v>-1.52222E-2</v>
      </c>
      <c r="J386" s="22">
        <v>376</v>
      </c>
      <c r="K386" s="22">
        <v>-3.2486000000000001E-2</v>
      </c>
      <c r="L386">
        <f t="shared" si="60"/>
        <v>18.792839506172839</v>
      </c>
      <c r="M386">
        <f t="shared" si="61"/>
        <v>-0.62512877190123461</v>
      </c>
      <c r="N386" s="9"/>
      <c r="O386" s="22">
        <v>1.7933699999999999</v>
      </c>
      <c r="P386" s="22">
        <v>12.7201</v>
      </c>
      <c r="Q386" s="22">
        <v>-6.3964800000000004E-4</v>
      </c>
      <c r="R386" s="22">
        <v>376</v>
      </c>
      <c r="S386" s="22">
        <v>1.79291</v>
      </c>
      <c r="T386">
        <f t="shared" si="62"/>
        <v>0.78968888888888888</v>
      </c>
      <c r="U386">
        <f t="shared" si="63"/>
        <v>1.4162043626666665</v>
      </c>
      <c r="X386" s="9"/>
      <c r="Y386" s="22">
        <v>-3.3264200000000001E-2</v>
      </c>
      <c r="Z386" s="22">
        <v>18.3582</v>
      </c>
      <c r="AA386" s="22">
        <v>-1.5295400000000001E-2</v>
      </c>
      <c r="AB386" s="22">
        <v>376</v>
      </c>
      <c r="AC386" s="22">
        <v>-3.3548000000000001E-2</v>
      </c>
      <c r="AD386">
        <f t="shared" si="64"/>
        <v>18.883209876543212</v>
      </c>
      <c r="AE386">
        <f t="shared" si="65"/>
        <v>-0.62813486997530876</v>
      </c>
      <c r="AF386" s="9"/>
      <c r="AG386" s="22">
        <v>1.7933699999999999</v>
      </c>
      <c r="AH386" s="22">
        <v>22.298300000000001</v>
      </c>
      <c r="AI386" s="22">
        <v>-1.53046E-4</v>
      </c>
      <c r="AJ386" s="22">
        <v>376</v>
      </c>
      <c r="AK386" s="22">
        <v>1.79291</v>
      </c>
      <c r="AL386">
        <f t="shared" si="66"/>
        <v>0.18894567901234566</v>
      </c>
      <c r="AM386">
        <f t="shared" si="67"/>
        <v>0.33884951237037031</v>
      </c>
      <c r="AP386" s="9"/>
      <c r="AQ386" s="22">
        <v>-3.3264200000000001E-2</v>
      </c>
      <c r="AR386" s="22">
        <v>27.9315</v>
      </c>
      <c r="AS386" s="22">
        <v>-1.5545700000000001E-2</v>
      </c>
      <c r="AT386" s="22">
        <v>376</v>
      </c>
      <c r="AU386" s="22">
        <v>-3.3596800000000003E-2</v>
      </c>
      <c r="AV386">
        <f t="shared" si="68"/>
        <v>19.19222222222222</v>
      </c>
      <c r="AW386">
        <f t="shared" si="69"/>
        <v>-0.63841391844444439</v>
      </c>
      <c r="AX386" s="9"/>
      <c r="AY386" s="22">
        <v>1.7933699999999999</v>
      </c>
      <c r="AZ386" s="22">
        <v>31.871500000000001</v>
      </c>
      <c r="BA386" s="22">
        <v>-3.1350699999999998E-4</v>
      </c>
      <c r="BB386" s="22">
        <v>376</v>
      </c>
      <c r="BC386" s="22">
        <v>1.7926</v>
      </c>
      <c r="BD386">
        <f t="shared" si="70"/>
        <v>0.3870456790123456</v>
      </c>
      <c r="BE386">
        <f t="shared" si="71"/>
        <v>0.69411610937037016</v>
      </c>
    </row>
    <row r="387" spans="6:57">
      <c r="F387" s="9"/>
      <c r="G387" s="22">
        <v>-3.8299600000000003E-2</v>
      </c>
      <c r="H387" s="22">
        <v>8.7900899999999993</v>
      </c>
      <c r="I387" s="22">
        <v>-1.5225199999999999E-2</v>
      </c>
      <c r="J387" s="22">
        <v>377</v>
      </c>
      <c r="K387" s="22">
        <v>-3.8595600000000001E-2</v>
      </c>
      <c r="L387">
        <f t="shared" si="60"/>
        <v>18.796543209876543</v>
      </c>
      <c r="M387">
        <f t="shared" si="61"/>
        <v>-0.71990008632098768</v>
      </c>
      <c r="N387" s="9"/>
      <c r="O387" s="22">
        <v>1.7984</v>
      </c>
      <c r="P387" s="22">
        <v>12.7301</v>
      </c>
      <c r="Q387" s="22">
        <v>5.4260300000000001E-4</v>
      </c>
      <c r="R387" s="22">
        <v>377</v>
      </c>
      <c r="S387" s="22">
        <v>1.79779</v>
      </c>
      <c r="T387">
        <f t="shared" si="62"/>
        <v>-0.66988024691358017</v>
      </c>
      <c r="U387">
        <f t="shared" si="63"/>
        <v>-1.2047126360493825</v>
      </c>
      <c r="X387" s="9"/>
      <c r="Y387" s="22">
        <v>-3.8299600000000003E-2</v>
      </c>
      <c r="Z387" s="22">
        <v>18.368300000000001</v>
      </c>
      <c r="AA387" s="22">
        <v>-1.5301500000000001E-2</v>
      </c>
      <c r="AB387" s="22">
        <v>377</v>
      </c>
      <c r="AC387" s="22">
        <v>-3.8714600000000002E-2</v>
      </c>
      <c r="AD387">
        <f t="shared" si="64"/>
        <v>18.890740740740739</v>
      </c>
      <c r="AE387">
        <f t="shared" si="65"/>
        <v>-0.72350781407407405</v>
      </c>
      <c r="AF387" s="9"/>
      <c r="AG387" s="22">
        <v>1.7984</v>
      </c>
      <c r="AH387" s="22">
        <v>22.308399999999999</v>
      </c>
      <c r="AI387" s="22">
        <v>1.10352E-3</v>
      </c>
      <c r="AJ387" s="22">
        <v>377</v>
      </c>
      <c r="AK387" s="22">
        <v>1.79749</v>
      </c>
      <c r="AL387">
        <f t="shared" si="66"/>
        <v>-1.3623703703703702</v>
      </c>
      <c r="AM387">
        <f t="shared" si="67"/>
        <v>-2.4500868740740738</v>
      </c>
      <c r="AP387" s="9"/>
      <c r="AQ387" s="22">
        <v>-3.8299600000000003E-2</v>
      </c>
      <c r="AR387" s="22">
        <v>27.941500000000001</v>
      </c>
      <c r="AS387" s="22">
        <v>-1.5551799999999999E-2</v>
      </c>
      <c r="AT387" s="22">
        <v>377</v>
      </c>
      <c r="AU387" s="22">
        <v>-3.8403300000000001E-2</v>
      </c>
      <c r="AV387">
        <f t="shared" si="68"/>
        <v>19.199753086419751</v>
      </c>
      <c r="AW387">
        <f t="shared" si="69"/>
        <v>-0.73534286330864196</v>
      </c>
      <c r="AX387" s="9"/>
      <c r="AY387" s="22">
        <v>1.7984</v>
      </c>
      <c r="AZ387" s="22">
        <v>31.881599999999999</v>
      </c>
      <c r="BA387" s="22">
        <v>1.0595699999999999E-3</v>
      </c>
      <c r="BB387" s="22">
        <v>377</v>
      </c>
      <c r="BC387" s="22">
        <v>1.79718</v>
      </c>
      <c r="BD387">
        <f t="shared" si="70"/>
        <v>-1.308111111111111</v>
      </c>
      <c r="BE387">
        <f t="shared" si="71"/>
        <v>-2.352507022222222</v>
      </c>
    </row>
    <row r="388" spans="6:57">
      <c r="F388" s="9"/>
      <c r="G388" s="22">
        <v>-4.3334999999999999E-2</v>
      </c>
      <c r="H388" s="22">
        <v>8.80016</v>
      </c>
      <c r="I388" s="22">
        <v>-1.52283E-2</v>
      </c>
      <c r="J388" s="22">
        <v>378</v>
      </c>
      <c r="K388" s="22">
        <v>-4.3466200000000003E-2</v>
      </c>
      <c r="L388">
        <f t="shared" si="60"/>
        <v>18.80037037037037</v>
      </c>
      <c r="M388">
        <f t="shared" si="61"/>
        <v>-0.81471404999999997</v>
      </c>
      <c r="N388" s="9"/>
      <c r="O388" s="22">
        <v>1.8034399999999999</v>
      </c>
      <c r="P388" s="22">
        <v>12.7402</v>
      </c>
      <c r="Q388" s="22">
        <v>1.7813099999999999E-3</v>
      </c>
      <c r="R388" s="22">
        <v>378</v>
      </c>
      <c r="S388" s="22">
        <v>1.80328</v>
      </c>
      <c r="T388">
        <f t="shared" si="62"/>
        <v>-2.1991481481481481</v>
      </c>
      <c r="U388">
        <f t="shared" si="63"/>
        <v>-3.966031736296296</v>
      </c>
      <c r="X388" s="9"/>
      <c r="Y388" s="22">
        <v>-4.3334999999999999E-2</v>
      </c>
      <c r="Z388" s="22">
        <v>18.378399999999999</v>
      </c>
      <c r="AA388" s="22">
        <v>-1.53107E-2</v>
      </c>
      <c r="AB388" s="22">
        <v>378</v>
      </c>
      <c r="AC388" s="22">
        <v>-4.3579100000000003E-2</v>
      </c>
      <c r="AD388">
        <f t="shared" si="64"/>
        <v>18.9020987654321</v>
      </c>
      <c r="AE388">
        <f t="shared" si="65"/>
        <v>-0.81912245000000006</v>
      </c>
      <c r="AF388" s="9"/>
      <c r="AG388" s="22">
        <v>1.8034399999999999</v>
      </c>
      <c r="AH388" s="22">
        <v>22.3184</v>
      </c>
      <c r="AI388" s="22">
        <v>2.4563599999999999E-3</v>
      </c>
      <c r="AJ388" s="22">
        <v>378</v>
      </c>
      <c r="AK388" s="22">
        <v>1.80267</v>
      </c>
      <c r="AL388">
        <f t="shared" si="66"/>
        <v>-3.0325432098765428</v>
      </c>
      <c r="AM388">
        <f t="shared" si="67"/>
        <v>-5.4690097264197526</v>
      </c>
      <c r="AP388" s="9"/>
      <c r="AQ388" s="22">
        <v>-4.3334999999999999E-2</v>
      </c>
      <c r="AR388" s="22">
        <v>27.951599999999999</v>
      </c>
      <c r="AS388" s="22">
        <v>-1.5554800000000001E-2</v>
      </c>
      <c r="AT388" s="22">
        <v>378</v>
      </c>
      <c r="AU388" s="22">
        <v>-4.3743900000000002E-2</v>
      </c>
      <c r="AV388">
        <f t="shared" si="68"/>
        <v>19.203456790123457</v>
      </c>
      <c r="AW388">
        <f t="shared" si="69"/>
        <v>-0.83218179999999997</v>
      </c>
      <c r="AX388" s="9"/>
      <c r="AY388" s="22">
        <v>1.8034399999999999</v>
      </c>
      <c r="AZ388" s="22">
        <v>31.8917</v>
      </c>
      <c r="BA388" s="22">
        <v>2.5351000000000002E-3</v>
      </c>
      <c r="BB388" s="22">
        <v>378</v>
      </c>
      <c r="BC388" s="22">
        <v>1.80389</v>
      </c>
      <c r="BD388">
        <f t="shared" si="70"/>
        <v>-3.1297530864197531</v>
      </c>
      <c r="BE388">
        <f t="shared" si="71"/>
        <v>-5.6443219061728396</v>
      </c>
    </row>
    <row r="389" spans="6:57">
      <c r="F389" s="9"/>
      <c r="G389" s="22">
        <v>-4.8370400000000001E-2</v>
      </c>
      <c r="H389" s="22">
        <v>8.8102300000000007</v>
      </c>
      <c r="I389" s="22">
        <v>-1.5240500000000001E-2</v>
      </c>
      <c r="J389" s="22">
        <v>379</v>
      </c>
      <c r="K389" s="22">
        <v>-4.8910500000000003E-2</v>
      </c>
      <c r="L389">
        <f t="shared" si="60"/>
        <v>18.815432098765431</v>
      </c>
      <c r="M389">
        <f t="shared" si="61"/>
        <v>-0.9101099767901234</v>
      </c>
      <c r="N389" s="9"/>
      <c r="O389" s="22">
        <v>1.80847</v>
      </c>
      <c r="P389" s="22">
        <v>12.750299999999999</v>
      </c>
      <c r="Q389" s="22">
        <v>3.3358799999999998E-3</v>
      </c>
      <c r="R389" s="22">
        <v>379</v>
      </c>
      <c r="S389" s="22">
        <v>1.80725</v>
      </c>
      <c r="T389">
        <f t="shared" si="62"/>
        <v>-4.1183703703703705</v>
      </c>
      <c r="U389">
        <f t="shared" si="63"/>
        <v>-7.4479492637037037</v>
      </c>
      <c r="X389" s="9"/>
      <c r="Y389" s="22">
        <v>-4.8370400000000001E-2</v>
      </c>
      <c r="Z389" s="22">
        <v>18.388500000000001</v>
      </c>
      <c r="AA389" s="22">
        <v>-1.53137E-2</v>
      </c>
      <c r="AB389" s="22">
        <v>379</v>
      </c>
      <c r="AC389" s="22">
        <v>-4.8507700000000001E-2</v>
      </c>
      <c r="AD389">
        <f t="shared" si="64"/>
        <v>18.9058024691358</v>
      </c>
      <c r="AE389">
        <f t="shared" si="65"/>
        <v>-0.91448122775308627</v>
      </c>
      <c r="AF389" s="9"/>
      <c r="AG389" s="22">
        <v>1.80847</v>
      </c>
      <c r="AH389" s="22">
        <v>22.328499999999998</v>
      </c>
      <c r="AI389" s="22">
        <v>4.0008500000000002E-3</v>
      </c>
      <c r="AJ389" s="22">
        <v>379</v>
      </c>
      <c r="AK389" s="22">
        <v>1.80786</v>
      </c>
      <c r="AL389">
        <f t="shared" si="66"/>
        <v>-4.9393209876543205</v>
      </c>
      <c r="AM389">
        <f t="shared" si="67"/>
        <v>-8.9326138265432089</v>
      </c>
      <c r="AP389" s="9"/>
      <c r="AQ389" s="22">
        <v>-4.8370400000000001E-2</v>
      </c>
      <c r="AR389" s="22">
        <v>27.9617</v>
      </c>
      <c r="AS389" s="22">
        <v>-1.5554800000000001E-2</v>
      </c>
      <c r="AT389" s="22">
        <v>379</v>
      </c>
      <c r="AU389" s="22">
        <v>-4.87152E-2</v>
      </c>
      <c r="AV389">
        <f t="shared" si="68"/>
        <v>19.203456790123457</v>
      </c>
      <c r="AW389">
        <f t="shared" si="69"/>
        <v>-0.9288788863209877</v>
      </c>
      <c r="AX389" s="9"/>
      <c r="AY389" s="22">
        <v>1.80847</v>
      </c>
      <c r="AZ389" s="22">
        <v>31.901700000000002</v>
      </c>
      <c r="BA389" s="22">
        <v>4.2379799999999997E-3</v>
      </c>
      <c r="BB389" s="22">
        <v>379</v>
      </c>
      <c r="BC389" s="22">
        <v>1.80786</v>
      </c>
      <c r="BD389">
        <f t="shared" si="70"/>
        <v>-5.232074074074073</v>
      </c>
      <c r="BE389">
        <f t="shared" si="71"/>
        <v>-9.4620490007407394</v>
      </c>
    </row>
    <row r="390" spans="6:57">
      <c r="F390" s="9"/>
      <c r="G390" s="22">
        <v>-5.3405800000000003E-2</v>
      </c>
      <c r="H390" s="22">
        <v>8.8202999999999996</v>
      </c>
      <c r="I390" s="22">
        <v>-1.52435E-2</v>
      </c>
      <c r="J390" s="22">
        <v>380</v>
      </c>
      <c r="K390" s="22">
        <v>-5.4016099999999997E-2</v>
      </c>
      <c r="L390">
        <f t="shared" si="60"/>
        <v>18.819135802469134</v>
      </c>
      <c r="M390">
        <f t="shared" si="61"/>
        <v>-1.0050510028395061</v>
      </c>
      <c r="N390" s="9"/>
      <c r="O390" s="22">
        <v>1.81351</v>
      </c>
      <c r="P390" s="22">
        <v>12.760300000000001</v>
      </c>
      <c r="Q390" s="22">
        <v>4.7738600000000004E-3</v>
      </c>
      <c r="R390" s="22">
        <v>380</v>
      </c>
      <c r="S390" s="22">
        <v>1.8130500000000001</v>
      </c>
      <c r="T390">
        <f t="shared" si="62"/>
        <v>-5.8936543209876548</v>
      </c>
      <c r="U390">
        <f t="shared" si="63"/>
        <v>-10.688201047654323</v>
      </c>
      <c r="X390" s="9"/>
      <c r="Y390" s="22">
        <v>-5.3405800000000003E-2</v>
      </c>
      <c r="Z390" s="22">
        <v>18.398499999999999</v>
      </c>
      <c r="AA390" s="22">
        <v>-1.53168E-2</v>
      </c>
      <c r="AB390" s="22">
        <v>380</v>
      </c>
      <c r="AC390" s="22">
        <v>-5.3893999999999997E-2</v>
      </c>
      <c r="AD390">
        <f t="shared" si="64"/>
        <v>18.909629629629627</v>
      </c>
      <c r="AE390">
        <f t="shared" si="65"/>
        <v>-1.0098838980740741</v>
      </c>
      <c r="AF390" s="9"/>
      <c r="AG390" s="22">
        <v>1.81351</v>
      </c>
      <c r="AH390" s="22">
        <v>22.3386</v>
      </c>
      <c r="AI390" s="22">
        <v>5.6732199999999997E-3</v>
      </c>
      <c r="AJ390" s="22">
        <v>380</v>
      </c>
      <c r="AK390" s="22">
        <v>1.8124400000000001</v>
      </c>
      <c r="AL390">
        <f t="shared" si="66"/>
        <v>-7.0039753086419747</v>
      </c>
      <c r="AM390">
        <f t="shared" si="67"/>
        <v>-12.701779261975307</v>
      </c>
      <c r="AP390" s="9"/>
      <c r="AQ390" s="22">
        <v>-5.3405800000000003E-2</v>
      </c>
      <c r="AR390" s="22">
        <v>27.971800000000002</v>
      </c>
      <c r="AS390" s="22">
        <v>-1.55579E-2</v>
      </c>
      <c r="AT390" s="22">
        <v>380</v>
      </c>
      <c r="AU390" s="22">
        <v>-5.3772E-2</v>
      </c>
      <c r="AV390">
        <f t="shared" si="68"/>
        <v>19.207283950617281</v>
      </c>
      <c r="AW390">
        <f t="shared" si="69"/>
        <v>-1.0257803652098765</v>
      </c>
      <c r="AX390" s="9"/>
      <c r="AY390" s="22">
        <v>1.81351</v>
      </c>
      <c r="AZ390" s="22">
        <v>31.911799999999999</v>
      </c>
      <c r="BA390" s="22">
        <v>6.0302699999999999E-3</v>
      </c>
      <c r="BB390" s="22">
        <v>380</v>
      </c>
      <c r="BC390" s="22">
        <v>1.81213</v>
      </c>
      <c r="BD390">
        <f t="shared" si="70"/>
        <v>-7.4447777777777775</v>
      </c>
      <c r="BE390">
        <f t="shared" si="71"/>
        <v>-13.501178947777777</v>
      </c>
    </row>
    <row r="391" spans="6:57">
      <c r="F391" s="9"/>
      <c r="G391" s="22">
        <v>-5.8441199999999999E-2</v>
      </c>
      <c r="H391" s="22">
        <v>8.8303700000000003</v>
      </c>
      <c r="I391" s="22">
        <v>-1.52435E-2</v>
      </c>
      <c r="J391" s="22">
        <v>381</v>
      </c>
      <c r="K391" s="22">
        <v>-5.8959999999999999E-2</v>
      </c>
      <c r="L391">
        <f t="shared" si="60"/>
        <v>18.819135802469134</v>
      </c>
      <c r="M391">
        <f t="shared" si="61"/>
        <v>-1.0998128792592592</v>
      </c>
      <c r="N391" s="9"/>
      <c r="O391" s="22">
        <v>1.81854</v>
      </c>
      <c r="P391" s="22">
        <v>12.7704</v>
      </c>
      <c r="Q391" s="22">
        <v>6.4300499999999997E-3</v>
      </c>
      <c r="R391" s="22">
        <v>381</v>
      </c>
      <c r="S391" s="22">
        <v>1.81793</v>
      </c>
      <c r="T391">
        <f t="shared" si="62"/>
        <v>-7.9383333333333317</v>
      </c>
      <c r="U391">
        <f t="shared" si="63"/>
        <v>-14.436176699999997</v>
      </c>
      <c r="X391" s="9"/>
      <c r="Y391" s="22">
        <v>-5.8441199999999999E-2</v>
      </c>
      <c r="Z391" s="22">
        <v>18.4086</v>
      </c>
      <c r="AA391" s="22">
        <v>-1.53198E-2</v>
      </c>
      <c r="AB391" s="22">
        <v>381</v>
      </c>
      <c r="AC391" s="22">
        <v>-5.8746300000000001E-2</v>
      </c>
      <c r="AD391">
        <f t="shared" si="64"/>
        <v>18.91333333333333</v>
      </c>
      <c r="AE391">
        <f t="shared" si="65"/>
        <v>-1.1053178959999999</v>
      </c>
      <c r="AF391" s="9"/>
      <c r="AG391" s="22">
        <v>1.81854</v>
      </c>
      <c r="AH391" s="22">
        <v>22.348600000000001</v>
      </c>
      <c r="AI391" s="22">
        <v>7.6110800000000001E-3</v>
      </c>
      <c r="AJ391" s="22">
        <v>381</v>
      </c>
      <c r="AK391" s="22">
        <v>1.81793</v>
      </c>
      <c r="AL391">
        <f t="shared" si="66"/>
        <v>-9.3963950617283949</v>
      </c>
      <c r="AM391">
        <f t="shared" si="67"/>
        <v>-17.087720275555554</v>
      </c>
      <c r="AP391" s="9"/>
      <c r="AQ391" s="22">
        <v>-5.8441199999999999E-2</v>
      </c>
      <c r="AR391" s="22">
        <v>27.9818</v>
      </c>
      <c r="AS391" s="22">
        <v>-1.5564E-2</v>
      </c>
      <c r="AT391" s="22">
        <v>381</v>
      </c>
      <c r="AU391" s="22">
        <v>-5.8898899999999997E-2</v>
      </c>
      <c r="AV391">
        <f t="shared" si="68"/>
        <v>19.214814814814812</v>
      </c>
      <c r="AW391">
        <f t="shared" si="69"/>
        <v>-1.1229368355555553</v>
      </c>
      <c r="AX391" s="9"/>
      <c r="AY391" s="22">
        <v>1.81854</v>
      </c>
      <c r="AZ391" s="22">
        <v>31.921900000000001</v>
      </c>
      <c r="BA391" s="22">
        <v>8.1085199999999993E-3</v>
      </c>
      <c r="BB391" s="22">
        <v>381</v>
      </c>
      <c r="BC391" s="22">
        <v>1.8176300000000001</v>
      </c>
      <c r="BD391">
        <f t="shared" si="70"/>
        <v>-10.010518518518518</v>
      </c>
      <c r="BE391">
        <f t="shared" si="71"/>
        <v>-18.204528346666667</v>
      </c>
    </row>
    <row r="392" spans="6:57">
      <c r="F392" s="9"/>
      <c r="G392" s="22">
        <v>-6.3476599999999994E-2</v>
      </c>
      <c r="H392" s="22">
        <v>8.8404399999999992</v>
      </c>
      <c r="I392" s="22">
        <v>-1.5246600000000001E-2</v>
      </c>
      <c r="J392" s="22">
        <v>382</v>
      </c>
      <c r="K392" s="22">
        <v>-6.4025899999999997E-2</v>
      </c>
      <c r="L392">
        <f t="shared" si="60"/>
        <v>18.822962962962961</v>
      </c>
      <c r="M392">
        <f t="shared" si="61"/>
        <v>-1.1948176908148147</v>
      </c>
      <c r="N392" s="9"/>
      <c r="O392" s="22">
        <v>1.82358</v>
      </c>
      <c r="P392" s="22">
        <v>12.7805</v>
      </c>
      <c r="Q392" s="22">
        <v>8.5937500000000007E-3</v>
      </c>
      <c r="R392" s="22">
        <v>382</v>
      </c>
      <c r="S392" s="22">
        <v>1.8225100000000001</v>
      </c>
      <c r="T392">
        <f t="shared" si="62"/>
        <v>-10.609567901234568</v>
      </c>
      <c r="U392">
        <f t="shared" si="63"/>
        <v>-19.347395833333334</v>
      </c>
      <c r="X392" s="9"/>
      <c r="Y392" s="22">
        <v>-6.3476599999999994E-2</v>
      </c>
      <c r="Z392" s="22">
        <v>18.418700000000001</v>
      </c>
      <c r="AA392" s="22">
        <v>-1.53259E-2</v>
      </c>
      <c r="AB392" s="22">
        <v>382</v>
      </c>
      <c r="AC392" s="22">
        <v>-6.4209000000000002E-2</v>
      </c>
      <c r="AD392">
        <f t="shared" si="64"/>
        <v>18.920864197530861</v>
      </c>
      <c r="AE392">
        <f t="shared" si="65"/>
        <v>-1.2010321283209873</v>
      </c>
      <c r="AF392" s="9"/>
      <c r="AG392" s="22">
        <v>1.82358</v>
      </c>
      <c r="AH392" s="22">
        <v>22.358699999999999</v>
      </c>
      <c r="AI392" s="22">
        <v>9.70764E-3</v>
      </c>
      <c r="AJ392" s="22">
        <v>382</v>
      </c>
      <c r="AK392" s="22">
        <v>1.82281</v>
      </c>
      <c r="AL392">
        <f t="shared" si="66"/>
        <v>-11.98474074074074</v>
      </c>
      <c r="AM392">
        <f t="shared" si="67"/>
        <v>-21.855133519999999</v>
      </c>
      <c r="AP392" s="9"/>
      <c r="AQ392" s="22">
        <v>-6.3476599999999994E-2</v>
      </c>
      <c r="AR392" s="22">
        <v>27.991900000000001</v>
      </c>
      <c r="AS392" s="22">
        <v>-1.5573099999999999E-2</v>
      </c>
      <c r="AT392" s="22">
        <v>382</v>
      </c>
      <c r="AU392" s="22">
        <v>-6.3903799999999997E-2</v>
      </c>
      <c r="AV392">
        <f t="shared" si="68"/>
        <v>19.226049382716049</v>
      </c>
      <c r="AW392">
        <f t="shared" si="69"/>
        <v>-1.2204042462469133</v>
      </c>
      <c r="AX392" s="9"/>
      <c r="AY392" s="22">
        <v>1.82358</v>
      </c>
      <c r="AZ392" s="22">
        <v>31.931899999999999</v>
      </c>
      <c r="BA392" s="22">
        <v>1.03088E-2</v>
      </c>
      <c r="BB392" s="22">
        <v>382</v>
      </c>
      <c r="BC392" s="22">
        <v>1.8231200000000001</v>
      </c>
      <c r="BD392">
        <f t="shared" si="70"/>
        <v>-12.726913580246912</v>
      </c>
      <c r="BE392">
        <f t="shared" si="71"/>
        <v>-23.208545066666662</v>
      </c>
    </row>
    <row r="393" spans="6:57">
      <c r="F393" s="9"/>
      <c r="G393" s="22">
        <v>-6.8512000000000003E-2</v>
      </c>
      <c r="H393" s="22">
        <v>8.8505199999999995</v>
      </c>
      <c r="I393" s="22">
        <v>-1.52496E-2</v>
      </c>
      <c r="J393" s="22">
        <v>383</v>
      </c>
      <c r="K393" s="22">
        <v>-6.9000199999999998E-2</v>
      </c>
      <c r="L393">
        <f t="shared" si="60"/>
        <v>18.826666666666664</v>
      </c>
      <c r="M393">
        <f t="shared" si="61"/>
        <v>-1.2898525866666666</v>
      </c>
      <c r="N393" s="9"/>
      <c r="O393" s="22">
        <v>1.8286100000000001</v>
      </c>
      <c r="P393" s="22">
        <v>12.7906</v>
      </c>
      <c r="Q393" s="22">
        <v>1.10016E-2</v>
      </c>
      <c r="R393" s="22">
        <v>383</v>
      </c>
      <c r="S393" s="22">
        <v>1.8286100000000001</v>
      </c>
      <c r="T393">
        <f t="shared" si="62"/>
        <v>-13.582222222222221</v>
      </c>
      <c r="U393">
        <f t="shared" si="63"/>
        <v>-24.836587377777775</v>
      </c>
      <c r="X393" s="9"/>
      <c r="Y393" s="22">
        <v>-6.8512000000000003E-2</v>
      </c>
      <c r="Z393" s="22">
        <v>18.428699999999999</v>
      </c>
      <c r="AA393" s="22">
        <v>-1.5332E-2</v>
      </c>
      <c r="AB393" s="22">
        <v>383</v>
      </c>
      <c r="AC393" s="22">
        <v>-6.8969699999999995E-2</v>
      </c>
      <c r="AD393">
        <f t="shared" si="64"/>
        <v>18.928395061728395</v>
      </c>
      <c r="AE393">
        <f t="shared" si="65"/>
        <v>-1.2968222024691358</v>
      </c>
      <c r="AF393" s="9"/>
      <c r="AG393" s="22">
        <v>1.8286100000000001</v>
      </c>
      <c r="AH393" s="22">
        <v>22.3688</v>
      </c>
      <c r="AI393" s="22">
        <v>1.21216E-2</v>
      </c>
      <c r="AJ393" s="22">
        <v>383</v>
      </c>
      <c r="AK393" s="22">
        <v>1.8280000000000001</v>
      </c>
      <c r="AL393">
        <f t="shared" si="66"/>
        <v>-14.964938271604938</v>
      </c>
      <c r="AM393">
        <f t="shared" si="67"/>
        <v>-27.365035772839505</v>
      </c>
      <c r="AP393" s="9"/>
      <c r="AQ393" s="22">
        <v>-6.8512000000000003E-2</v>
      </c>
      <c r="AR393" s="22">
        <v>28.001999999999999</v>
      </c>
      <c r="AS393" s="22">
        <v>-1.55762E-2</v>
      </c>
      <c r="AT393" s="22">
        <v>383</v>
      </c>
      <c r="AU393" s="22">
        <v>-6.91528E-2</v>
      </c>
      <c r="AV393">
        <f t="shared" si="68"/>
        <v>19.229876543209876</v>
      </c>
      <c r="AW393">
        <f t="shared" si="69"/>
        <v>-1.3174773017283952</v>
      </c>
      <c r="AX393" s="9"/>
      <c r="AY393" s="22">
        <v>1.8286100000000001</v>
      </c>
      <c r="AZ393" s="22">
        <v>31.942</v>
      </c>
      <c r="BA393" s="22">
        <v>1.2814300000000001E-2</v>
      </c>
      <c r="BB393" s="22">
        <v>383</v>
      </c>
      <c r="BC393" s="22">
        <v>1.8283100000000001</v>
      </c>
      <c r="BD393">
        <f t="shared" si="70"/>
        <v>-15.820123456790125</v>
      </c>
      <c r="BE393">
        <f t="shared" si="71"/>
        <v>-28.928835954320991</v>
      </c>
    </row>
    <row r="394" spans="6:57">
      <c r="F394" s="9"/>
      <c r="G394" s="22">
        <v>-7.3547399999999999E-2</v>
      </c>
      <c r="H394" s="22">
        <v>8.8605900000000002</v>
      </c>
      <c r="I394" s="22">
        <v>-1.5252699999999999E-2</v>
      </c>
      <c r="J394" s="22">
        <v>384</v>
      </c>
      <c r="K394" s="22">
        <v>-7.3913599999999996E-2</v>
      </c>
      <c r="L394">
        <f t="shared" si="60"/>
        <v>18.830493827160492</v>
      </c>
      <c r="M394">
        <f t="shared" si="61"/>
        <v>-1.3849338617037035</v>
      </c>
      <c r="N394" s="9"/>
      <c r="O394" s="22">
        <v>1.83365</v>
      </c>
      <c r="P394" s="22">
        <v>12.800599999999999</v>
      </c>
      <c r="Q394" s="22">
        <v>1.4047199999999999E-2</v>
      </c>
      <c r="R394" s="22">
        <v>384</v>
      </c>
      <c r="S394" s="22">
        <v>1.8331900000000001</v>
      </c>
      <c r="T394">
        <f t="shared" si="62"/>
        <v>-17.342222222222222</v>
      </c>
      <c r="U394">
        <f t="shared" si="63"/>
        <v>-31.799565777777779</v>
      </c>
      <c r="X394" s="9"/>
      <c r="Y394" s="22">
        <v>-7.3547399999999999E-2</v>
      </c>
      <c r="Z394" s="22">
        <v>18.438800000000001</v>
      </c>
      <c r="AA394" s="22">
        <v>-1.5332E-2</v>
      </c>
      <c r="AB394" s="22">
        <v>384</v>
      </c>
      <c r="AC394" s="22">
        <v>-7.4005100000000004E-2</v>
      </c>
      <c r="AD394">
        <f t="shared" si="64"/>
        <v>18.928395061728395</v>
      </c>
      <c r="AE394">
        <f t="shared" si="65"/>
        <v>-1.3921342429629628</v>
      </c>
      <c r="AF394" s="9"/>
      <c r="AG394" s="22">
        <v>1.83365</v>
      </c>
      <c r="AH394" s="22">
        <v>22.378799999999998</v>
      </c>
      <c r="AI394" s="22">
        <v>1.4736900000000001E-2</v>
      </c>
      <c r="AJ394" s="22">
        <v>384</v>
      </c>
      <c r="AK394" s="22">
        <v>1.8322799999999999</v>
      </c>
      <c r="AL394">
        <f t="shared" si="66"/>
        <v>-18.193703703703704</v>
      </c>
      <c r="AM394">
        <f t="shared" si="67"/>
        <v>-33.360884796296297</v>
      </c>
      <c r="AP394" s="9"/>
      <c r="AQ394" s="22">
        <v>-7.3547399999999999E-2</v>
      </c>
      <c r="AR394" s="22">
        <v>28.012</v>
      </c>
      <c r="AS394" s="22">
        <v>-1.55853E-2</v>
      </c>
      <c r="AT394" s="22">
        <v>384</v>
      </c>
      <c r="AU394" s="22">
        <v>-7.4127200000000004E-2</v>
      </c>
      <c r="AV394">
        <f t="shared" si="68"/>
        <v>19.24111111111111</v>
      </c>
      <c r="AW394">
        <f t="shared" si="69"/>
        <v>-1.4151336953333331</v>
      </c>
      <c r="AX394" s="9"/>
      <c r="AY394" s="22">
        <v>1.83365</v>
      </c>
      <c r="AZ394" s="22">
        <v>31.952100000000002</v>
      </c>
      <c r="BA394" s="22">
        <v>1.5518199999999999E-2</v>
      </c>
      <c r="BB394" s="22">
        <v>384</v>
      </c>
      <c r="BC394" s="22">
        <v>1.8328899999999999</v>
      </c>
      <c r="BD394">
        <f t="shared" si="70"/>
        <v>-19.158271604938271</v>
      </c>
      <c r="BE394">
        <f t="shared" si="71"/>
        <v>-35.12956472839506</v>
      </c>
    </row>
    <row r="395" spans="6:57">
      <c r="F395" s="9"/>
      <c r="G395" s="22">
        <v>-7.8582799999999994E-2</v>
      </c>
      <c r="H395" s="22">
        <v>8.8706600000000009</v>
      </c>
      <c r="I395" s="22">
        <v>-1.5258799999999999E-2</v>
      </c>
      <c r="J395" s="22">
        <v>385</v>
      </c>
      <c r="K395" s="22">
        <v>-7.8857399999999994E-2</v>
      </c>
      <c r="L395">
        <f t="shared" si="60"/>
        <v>18.838024691358022</v>
      </c>
      <c r="M395">
        <f t="shared" si="61"/>
        <v>-1.480344726716049</v>
      </c>
      <c r="N395" s="9"/>
      <c r="O395" s="22">
        <v>1.8386800000000001</v>
      </c>
      <c r="P395" s="22">
        <v>12.810700000000001</v>
      </c>
      <c r="Q395" s="22">
        <v>1.6467300000000001E-2</v>
      </c>
      <c r="R395" s="22">
        <v>385</v>
      </c>
      <c r="S395" s="22">
        <v>1.8377699999999999</v>
      </c>
      <c r="T395">
        <f t="shared" si="62"/>
        <v>-20.330000000000002</v>
      </c>
      <c r="U395">
        <f t="shared" si="63"/>
        <v>-37.380364400000005</v>
      </c>
      <c r="X395" s="9"/>
      <c r="Y395" s="22">
        <v>-7.8582799999999994E-2</v>
      </c>
      <c r="Z395" s="22">
        <v>18.448899999999998</v>
      </c>
      <c r="AA395" s="22">
        <v>-1.5335100000000001E-2</v>
      </c>
      <c r="AB395" s="22">
        <v>385</v>
      </c>
      <c r="AC395" s="22">
        <v>-7.9193100000000002E-2</v>
      </c>
      <c r="AD395">
        <f t="shared" si="64"/>
        <v>18.932222222222222</v>
      </c>
      <c r="AE395">
        <f t="shared" si="65"/>
        <v>-1.4877470324444444</v>
      </c>
      <c r="AF395" s="9"/>
      <c r="AG395" s="22">
        <v>1.8386800000000001</v>
      </c>
      <c r="AH395" s="22">
        <v>22.3889</v>
      </c>
      <c r="AI395" s="22">
        <v>1.77643E-2</v>
      </c>
      <c r="AJ395" s="22">
        <v>385</v>
      </c>
      <c r="AK395" s="22">
        <v>1.8371599999999999</v>
      </c>
      <c r="AL395">
        <f t="shared" si="66"/>
        <v>-21.931234567901235</v>
      </c>
      <c r="AM395">
        <f t="shared" si="67"/>
        <v>-40.324522375308646</v>
      </c>
      <c r="AP395" s="9"/>
      <c r="AQ395" s="22">
        <v>-7.8582799999999994E-2</v>
      </c>
      <c r="AR395" s="22">
        <v>28.022099999999998</v>
      </c>
      <c r="AS395" s="22">
        <v>-1.55914E-2</v>
      </c>
      <c r="AT395" s="22">
        <v>385</v>
      </c>
      <c r="AU395" s="22">
        <v>-7.8979499999999994E-2</v>
      </c>
      <c r="AV395">
        <f t="shared" si="68"/>
        <v>19.24864197530864</v>
      </c>
      <c r="AW395">
        <f t="shared" si="69"/>
        <v>-1.5126121826172838</v>
      </c>
      <c r="AX395" s="9"/>
      <c r="AY395" s="22">
        <v>1.8386800000000001</v>
      </c>
      <c r="AZ395" s="22">
        <v>31.962199999999999</v>
      </c>
      <c r="BA395" s="22">
        <v>1.8631000000000002E-2</v>
      </c>
      <c r="BB395" s="22">
        <v>385</v>
      </c>
      <c r="BC395" s="22">
        <v>1.8383799999999999</v>
      </c>
      <c r="BD395">
        <f t="shared" si="70"/>
        <v>-23.001234567901236</v>
      </c>
      <c r="BE395">
        <f t="shared" si="71"/>
        <v>-42.291909975308648</v>
      </c>
    </row>
    <row r="396" spans="6:57">
      <c r="F396" s="9"/>
      <c r="G396" s="22">
        <v>-8.3618200000000004E-2</v>
      </c>
      <c r="H396" s="22">
        <v>8.8807299999999998</v>
      </c>
      <c r="I396" s="22">
        <v>-1.5267899999999999E-2</v>
      </c>
      <c r="J396" s="22">
        <v>386</v>
      </c>
      <c r="K396" s="22">
        <v>-8.3740200000000001E-2</v>
      </c>
      <c r="L396">
        <f t="shared" ref="L396:L400" si="72">-I396/$F$2*1000</f>
        <v>18.849259259259256</v>
      </c>
      <c r="M396">
        <f t="shared" ref="M396:M400" si="73">L396*G396</f>
        <v>-1.5761411305925923</v>
      </c>
      <c r="N396" s="9"/>
      <c r="O396" s="22">
        <v>1.84372</v>
      </c>
      <c r="P396" s="22">
        <v>12.8208</v>
      </c>
      <c r="Q396" s="22">
        <v>1.9546500000000001E-2</v>
      </c>
      <c r="R396" s="22">
        <v>386</v>
      </c>
      <c r="S396" s="22">
        <v>1.8435699999999999</v>
      </c>
      <c r="T396">
        <f t="shared" ref="T396:T400" si="74">-Q396/$F$2*1000</f>
        <v>-24.131481481481483</v>
      </c>
      <c r="U396">
        <f t="shared" ref="U396:U400" si="75">T396*O396</f>
        <v>-44.49169503703704</v>
      </c>
      <c r="X396" s="9"/>
      <c r="Y396" s="22">
        <v>-8.3618200000000004E-2</v>
      </c>
      <c r="Z396" s="22">
        <v>18.4589</v>
      </c>
      <c r="AA396" s="22">
        <v>-1.53381E-2</v>
      </c>
      <c r="AB396" s="22">
        <v>386</v>
      </c>
      <c r="AC396" s="22">
        <v>-8.4228499999999998E-2</v>
      </c>
      <c r="AD396">
        <f t="shared" ref="AD396:AD400" si="76">-AA396/$F$2*1000</f>
        <v>18.935925925925925</v>
      </c>
      <c r="AE396">
        <f t="shared" ref="AE396:AE400" si="77">AD396*Y396</f>
        <v>-1.5833880412592594</v>
      </c>
      <c r="AF396" s="9"/>
      <c r="AG396" s="22">
        <v>1.84372</v>
      </c>
      <c r="AH396" s="22">
        <v>22.399000000000001</v>
      </c>
      <c r="AI396" s="22">
        <v>2.0986899999999999E-2</v>
      </c>
      <c r="AJ396" s="22">
        <v>386</v>
      </c>
      <c r="AK396" s="22">
        <v>1.8429599999999999</v>
      </c>
      <c r="AL396">
        <f t="shared" ref="AL396:AL400" si="78">-AI396/$F$2*1000</f>
        <v>-25.909753086419752</v>
      </c>
      <c r="AM396">
        <f t="shared" ref="AM396:AM400" si="79">AL396*AG396</f>
        <v>-47.770329960493825</v>
      </c>
      <c r="AP396" s="9"/>
      <c r="AQ396" s="22">
        <v>-8.3618200000000004E-2</v>
      </c>
      <c r="AR396" s="22">
        <v>28.0322</v>
      </c>
      <c r="AS396" s="22">
        <v>-1.55975E-2</v>
      </c>
      <c r="AT396" s="22">
        <v>386</v>
      </c>
      <c r="AU396" s="22">
        <v>-8.3831799999999998E-2</v>
      </c>
      <c r="AV396">
        <f t="shared" ref="AV396:AV400" si="80">-AS396/$F$2*1000</f>
        <v>19.256172839506171</v>
      </c>
      <c r="AW396">
        <f t="shared" ref="AW396:AW400" si="81">AV396*AQ396</f>
        <v>-1.610166511728395</v>
      </c>
      <c r="AX396" s="9"/>
      <c r="AY396" s="22">
        <v>1.84372</v>
      </c>
      <c r="AZ396" s="22">
        <v>31.972200000000001</v>
      </c>
      <c r="BA396" s="22">
        <v>2.1878100000000001E-2</v>
      </c>
      <c r="BB396" s="22">
        <v>386</v>
      </c>
      <c r="BC396" s="22">
        <v>1.8432599999999999</v>
      </c>
      <c r="BD396">
        <f t="shared" ref="BD396:BD400" si="82">-BA396/$F$2*1000</f>
        <v>-27.009999999999998</v>
      </c>
      <c r="BE396">
        <f t="shared" ref="BE396:BE400" si="83">BD396*AY396</f>
        <v>-49.7988772</v>
      </c>
    </row>
    <row r="397" spans="6:57">
      <c r="F397" s="9"/>
      <c r="G397" s="22">
        <v>-8.8653599999999999E-2</v>
      </c>
      <c r="H397" s="22">
        <v>8.8908000000000005</v>
      </c>
      <c r="I397" s="22">
        <v>-1.52771E-2</v>
      </c>
      <c r="J397" s="22">
        <v>387</v>
      </c>
      <c r="K397" s="22">
        <v>-8.9111300000000004E-2</v>
      </c>
      <c r="L397">
        <f t="shared" si="72"/>
        <v>18.860617283950617</v>
      </c>
      <c r="M397">
        <f t="shared" si="73"/>
        <v>-1.6720616204444445</v>
      </c>
      <c r="N397" s="9"/>
      <c r="O397" s="22">
        <v>1.8487499999999999</v>
      </c>
      <c r="P397" s="22">
        <v>12.8308</v>
      </c>
      <c r="Q397" s="22">
        <v>2.3391700000000001E-2</v>
      </c>
      <c r="R397" s="22">
        <v>387</v>
      </c>
      <c r="S397" s="22">
        <v>1.8490599999999999</v>
      </c>
      <c r="T397">
        <f t="shared" si="74"/>
        <v>-28.878641975308643</v>
      </c>
      <c r="U397">
        <f t="shared" si="75"/>
        <v>-53.389389351851847</v>
      </c>
      <c r="X397" s="9"/>
      <c r="Y397" s="22">
        <v>-8.8653599999999999E-2</v>
      </c>
      <c r="Z397" s="22">
        <v>18.469000000000001</v>
      </c>
      <c r="AA397" s="22">
        <v>-1.5347299999999999E-2</v>
      </c>
      <c r="AB397" s="22">
        <v>387</v>
      </c>
      <c r="AC397" s="22">
        <v>-8.9141799999999993E-2</v>
      </c>
      <c r="AD397">
        <f t="shared" si="76"/>
        <v>18.947283950617283</v>
      </c>
      <c r="AE397">
        <f t="shared" si="77"/>
        <v>-1.6797449324444444</v>
      </c>
      <c r="AF397" s="9"/>
      <c r="AG397" s="22">
        <v>1.8487499999999999</v>
      </c>
      <c r="AH397" s="22">
        <v>22.409099999999999</v>
      </c>
      <c r="AI397" s="22">
        <v>2.4700900000000001E-2</v>
      </c>
      <c r="AJ397" s="22">
        <v>387</v>
      </c>
      <c r="AK397" s="22">
        <v>1.8487499999999999</v>
      </c>
      <c r="AL397">
        <f t="shared" si="78"/>
        <v>-30.494938271604941</v>
      </c>
      <c r="AM397">
        <f t="shared" si="79"/>
        <v>-56.377517129629631</v>
      </c>
      <c r="AP397" s="9"/>
      <c r="AQ397" s="22">
        <v>-8.8653599999999999E-2</v>
      </c>
      <c r="AR397" s="22">
        <v>28.042300000000001</v>
      </c>
      <c r="AS397" s="22">
        <v>-1.5600599999999999E-2</v>
      </c>
      <c r="AT397" s="22">
        <v>387</v>
      </c>
      <c r="AU397" s="22">
        <v>-8.9202900000000002E-2</v>
      </c>
      <c r="AV397">
        <f t="shared" si="80"/>
        <v>19.259999999999998</v>
      </c>
      <c r="AW397">
        <f t="shared" si="81"/>
        <v>-1.7074683359999998</v>
      </c>
      <c r="AX397" s="9"/>
      <c r="AY397" s="22">
        <v>1.8487499999999999</v>
      </c>
      <c r="AZ397" s="22">
        <v>31.982299999999999</v>
      </c>
      <c r="BA397" s="22">
        <v>2.5677499999999999E-2</v>
      </c>
      <c r="BB397" s="22">
        <v>387</v>
      </c>
      <c r="BC397" s="22">
        <v>1.8484499999999999</v>
      </c>
      <c r="BD397">
        <f t="shared" si="82"/>
        <v>-31.700617283950614</v>
      </c>
      <c r="BE397">
        <f t="shared" si="83"/>
        <v>-58.606516203703691</v>
      </c>
    </row>
    <row r="398" spans="6:57">
      <c r="F398" s="9"/>
      <c r="G398" s="22">
        <v>-9.3688999999999995E-2</v>
      </c>
      <c r="H398" s="22">
        <v>8.9008699999999994</v>
      </c>
      <c r="I398" s="22">
        <v>-1.5280200000000001E-2</v>
      </c>
      <c r="J398" s="22">
        <v>388</v>
      </c>
      <c r="K398" s="22">
        <v>-9.4299300000000003E-2</v>
      </c>
      <c r="L398">
        <f t="shared" si="72"/>
        <v>18.864444444444445</v>
      </c>
      <c r="M398">
        <f t="shared" si="73"/>
        <v>-1.7673909355555555</v>
      </c>
      <c r="N398" s="9"/>
      <c r="O398" s="22">
        <v>1.85379</v>
      </c>
      <c r="P398" s="22">
        <v>12.8409</v>
      </c>
      <c r="Q398" s="22">
        <v>3.7725799999999997E-2</v>
      </c>
      <c r="R398" s="22">
        <v>388</v>
      </c>
      <c r="S398" s="22">
        <v>1.85364</v>
      </c>
      <c r="T398">
        <f t="shared" si="74"/>
        <v>-46.575061728395056</v>
      </c>
      <c r="U398">
        <f t="shared" si="75"/>
        <v>-86.34038368148147</v>
      </c>
      <c r="X398" s="9"/>
      <c r="Y398" s="22">
        <v>-9.3688999999999995E-2</v>
      </c>
      <c r="Z398" s="22">
        <v>18.479099999999999</v>
      </c>
      <c r="AA398" s="22">
        <v>-1.53534E-2</v>
      </c>
      <c r="AB398" s="22">
        <v>388</v>
      </c>
      <c r="AC398" s="22">
        <v>-9.4207799999999994E-2</v>
      </c>
      <c r="AD398">
        <f t="shared" si="76"/>
        <v>18.954814814814814</v>
      </c>
      <c r="AE398">
        <f t="shared" si="77"/>
        <v>-1.7758576451851851</v>
      </c>
      <c r="AF398" s="9"/>
      <c r="AG398" s="22">
        <v>1.85379</v>
      </c>
      <c r="AH398" s="22">
        <v>22.4191</v>
      </c>
      <c r="AI398" s="22">
        <v>2.8662099999999999E-2</v>
      </c>
      <c r="AJ398" s="22">
        <v>388</v>
      </c>
      <c r="AK398" s="22">
        <v>1.85303</v>
      </c>
      <c r="AL398">
        <f t="shared" si="78"/>
        <v>-35.385308641975307</v>
      </c>
      <c r="AM398">
        <f t="shared" si="79"/>
        <v>-65.596931307407402</v>
      </c>
      <c r="AP398" s="9"/>
      <c r="AQ398" s="22">
        <v>-9.3688999999999995E-2</v>
      </c>
      <c r="AR398" s="22">
        <v>28.052299999999999</v>
      </c>
      <c r="AS398" s="22">
        <v>-1.56036E-2</v>
      </c>
      <c r="AT398" s="22">
        <v>388</v>
      </c>
      <c r="AU398" s="22">
        <v>-9.42688E-2</v>
      </c>
      <c r="AV398">
        <f t="shared" si="80"/>
        <v>19.263703703703705</v>
      </c>
      <c r="AW398">
        <f t="shared" si="81"/>
        <v>-1.8047971362962962</v>
      </c>
      <c r="AX398" s="9"/>
      <c r="AY398" s="22">
        <v>1.85379</v>
      </c>
      <c r="AZ398" s="22">
        <v>31.9924</v>
      </c>
      <c r="BA398" s="22">
        <v>2.9458600000000001E-2</v>
      </c>
      <c r="BB398" s="22">
        <v>388</v>
      </c>
      <c r="BC398" s="22">
        <v>1.85242</v>
      </c>
      <c r="BD398">
        <f t="shared" si="82"/>
        <v>-36.368641975308641</v>
      </c>
      <c r="BE398">
        <f t="shared" si="83"/>
        <v>-67.419824807407409</v>
      </c>
    </row>
    <row r="399" spans="6:57">
      <c r="F399" s="9"/>
      <c r="G399" s="22">
        <v>-9.8724400000000004E-2</v>
      </c>
      <c r="H399" s="22">
        <v>8.9109400000000001</v>
      </c>
      <c r="I399" s="22">
        <v>-1.52832E-2</v>
      </c>
      <c r="J399" s="22">
        <v>389</v>
      </c>
      <c r="K399" s="22">
        <v>-9.9365200000000001E-2</v>
      </c>
      <c r="L399">
        <f t="shared" si="72"/>
        <v>18.868148148148148</v>
      </c>
      <c r="M399">
        <f t="shared" si="73"/>
        <v>-1.8627466050370372</v>
      </c>
      <c r="N399" s="9"/>
      <c r="O399" s="22">
        <v>1.85883</v>
      </c>
      <c r="P399" s="22">
        <v>12.851000000000001</v>
      </c>
      <c r="Q399" s="22">
        <v>3.7692299999999998E-2</v>
      </c>
      <c r="R399" s="22">
        <v>389</v>
      </c>
      <c r="S399" s="22">
        <v>1.85791</v>
      </c>
      <c r="T399">
        <f t="shared" si="74"/>
        <v>-46.533703703703694</v>
      </c>
      <c r="U399">
        <f t="shared" si="75"/>
        <v>-86.498244455555536</v>
      </c>
      <c r="X399" s="9"/>
      <c r="Y399" s="22">
        <v>-9.8724400000000004E-2</v>
      </c>
      <c r="Z399" s="22">
        <v>18.4892</v>
      </c>
      <c r="AA399" s="22">
        <v>-1.5362499999999999E-2</v>
      </c>
      <c r="AB399" s="22">
        <v>389</v>
      </c>
      <c r="AC399" s="22">
        <v>-9.9212599999999998E-2</v>
      </c>
      <c r="AD399">
        <f t="shared" si="76"/>
        <v>18.966049382716047</v>
      </c>
      <c r="AE399">
        <f t="shared" si="77"/>
        <v>-1.8724118456790122</v>
      </c>
      <c r="AF399" s="9"/>
      <c r="AG399" s="22">
        <v>1.85883</v>
      </c>
      <c r="AH399" s="22">
        <v>22.429200000000002</v>
      </c>
      <c r="AI399" s="22">
        <v>3.3194000000000001E-2</v>
      </c>
      <c r="AJ399" s="22">
        <v>389</v>
      </c>
      <c r="AK399" s="22">
        <v>1.8575999999999999</v>
      </c>
      <c r="AL399">
        <f t="shared" si="78"/>
        <v>-40.980246913580245</v>
      </c>
      <c r="AM399">
        <f t="shared" si="79"/>
        <v>-76.175312370370364</v>
      </c>
      <c r="AP399" s="9"/>
      <c r="AQ399" s="22">
        <v>-9.8724400000000004E-2</v>
      </c>
      <c r="AR399" s="22">
        <v>28.0624</v>
      </c>
      <c r="AS399" s="22">
        <v>-1.5609700000000001E-2</v>
      </c>
      <c r="AT399" s="22">
        <v>389</v>
      </c>
      <c r="AU399" s="22">
        <v>-9.9060099999999998E-2</v>
      </c>
      <c r="AV399">
        <f t="shared" si="80"/>
        <v>19.271234567901235</v>
      </c>
      <c r="AW399">
        <f t="shared" si="81"/>
        <v>-1.9025410699753087</v>
      </c>
      <c r="AX399" s="9"/>
      <c r="AY399" s="22">
        <v>1.85883</v>
      </c>
      <c r="AZ399" s="22">
        <v>32.002400000000002</v>
      </c>
      <c r="BA399" s="22">
        <v>3.41003E-2</v>
      </c>
      <c r="BB399" s="22">
        <v>389</v>
      </c>
      <c r="BC399" s="22">
        <v>1.8585199999999999</v>
      </c>
      <c r="BD399">
        <f t="shared" si="82"/>
        <v>-42.099135802469135</v>
      </c>
      <c r="BE399">
        <f t="shared" si="83"/>
        <v>-78.255136603703704</v>
      </c>
    </row>
    <row r="400" spans="6:57">
      <c r="F400" s="9"/>
      <c r="G400" s="22">
        <v>-0.10376000000000001</v>
      </c>
      <c r="H400" s="22">
        <v>8.9210100000000008</v>
      </c>
      <c r="I400" s="22">
        <v>-1.5286299999999999E-2</v>
      </c>
      <c r="J400" s="22">
        <v>390</v>
      </c>
      <c r="K400" s="22">
        <v>-0.10394299999999999</v>
      </c>
      <c r="L400">
        <f t="shared" si="72"/>
        <v>18.871975308641971</v>
      </c>
      <c r="M400">
        <f t="shared" si="73"/>
        <v>-1.9581561580246911</v>
      </c>
      <c r="N400" s="9"/>
      <c r="O400" s="22">
        <v>1.8638600000000001</v>
      </c>
      <c r="P400" s="22">
        <v>12.8611</v>
      </c>
      <c r="Q400" s="22">
        <v>3.6889600000000002E-2</v>
      </c>
      <c r="R400" s="22">
        <v>390</v>
      </c>
      <c r="S400" s="22">
        <v>1.8621799999999999</v>
      </c>
      <c r="T400">
        <f t="shared" si="74"/>
        <v>-45.542716049382719</v>
      </c>
      <c r="U400">
        <f t="shared" si="75"/>
        <v>-84.885246735802482</v>
      </c>
      <c r="X400" s="9"/>
      <c r="Y400" s="22">
        <v>-0.10376000000000001</v>
      </c>
      <c r="Z400" s="22">
        <v>18.499199999999998</v>
      </c>
      <c r="AA400" s="22">
        <v>-1.53656E-2</v>
      </c>
      <c r="AB400" s="22">
        <v>390</v>
      </c>
      <c r="AC400" s="22">
        <v>-0.104279</v>
      </c>
      <c r="AD400">
        <f t="shared" si="76"/>
        <v>18.969876543209878</v>
      </c>
      <c r="AE400">
        <f t="shared" si="77"/>
        <v>-1.968314390123457</v>
      </c>
      <c r="AF400" s="9"/>
      <c r="AG400" s="22">
        <v>1.8638600000000001</v>
      </c>
      <c r="AH400" s="22">
        <v>22.439299999999999</v>
      </c>
      <c r="AI400" s="22">
        <v>3.7985199999999997E-2</v>
      </c>
      <c r="AJ400" s="22">
        <v>390</v>
      </c>
      <c r="AK400" s="22">
        <v>1.8631</v>
      </c>
      <c r="AL400">
        <f t="shared" si="78"/>
        <v>-46.895308641975305</v>
      </c>
      <c r="AM400">
        <f t="shared" si="79"/>
        <v>-87.406289965432094</v>
      </c>
      <c r="AP400" s="9"/>
      <c r="AQ400" s="22">
        <v>-0.10376000000000001</v>
      </c>
      <c r="AR400" s="22">
        <v>28.072500000000002</v>
      </c>
      <c r="AS400" s="22">
        <v>-1.5615800000000001E-2</v>
      </c>
      <c r="AT400" s="22">
        <v>390</v>
      </c>
      <c r="AU400" s="22">
        <v>-0.104065</v>
      </c>
      <c r="AV400">
        <f t="shared" si="80"/>
        <v>19.278765432098766</v>
      </c>
      <c r="AW400">
        <f t="shared" si="81"/>
        <v>-2.000364701234568</v>
      </c>
      <c r="AX400" s="9"/>
      <c r="AY400" s="22">
        <v>1.8638600000000001</v>
      </c>
      <c r="AZ400" s="22">
        <v>32.012500000000003</v>
      </c>
      <c r="BA400" s="22">
        <v>3.8763400000000003E-2</v>
      </c>
      <c r="BB400" s="22">
        <v>390</v>
      </c>
      <c r="BC400" s="22">
        <v>1.86249</v>
      </c>
      <c r="BD400">
        <f t="shared" si="82"/>
        <v>-47.856049382716051</v>
      </c>
      <c r="BE400">
        <f t="shared" si="83"/>
        <v>-89.196976202469145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T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451.93157608696441</v>
      </c>
      <c r="H2" s="2"/>
      <c r="I2" s="6" t="s">
        <v>12</v>
      </c>
      <c r="J2" s="2"/>
      <c r="K2" s="7" t="s">
        <v>13</v>
      </c>
      <c r="L2" s="3">
        <f>L4*I6*L9/100*100</f>
        <v>25.087109682716047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666.60875409839628</v>
      </c>
      <c r="Z2" s="2"/>
      <c r="AA2" s="6" t="s">
        <v>12</v>
      </c>
      <c r="AB2" s="2"/>
      <c r="AC2" s="7" t="s">
        <v>13</v>
      </c>
      <c r="AD2" s="3">
        <f>AD4*AA6*AD9/100*100</f>
        <v>25.092935719753086</v>
      </c>
      <c r="AE2" s="8" t="s">
        <v>14</v>
      </c>
      <c r="AF2" s="9"/>
      <c r="AG2" s="2">
        <f>ABS(AK7-AK6)/ABS(AL7-AL6)*1000</f>
        <v>1338.8246999999287</v>
      </c>
      <c r="AH2" s="2"/>
      <c r="AI2" s="6" t="s">
        <v>15</v>
      </c>
      <c r="AJ2" s="2"/>
      <c r="AK2" s="7" t="s">
        <v>13</v>
      </c>
      <c r="AL2" s="3">
        <f>AL4*AI6*AL9/100*100</f>
        <v>24.811764039506169</v>
      </c>
      <c r="AM2" s="8" t="s">
        <v>14</v>
      </c>
      <c r="AP2" s="9"/>
      <c r="AQ2" s="2">
        <f>ABS(AU7-AU6)/ABS(AV7-AV6)*1000</f>
        <v>657.28844262298594</v>
      </c>
      <c r="AR2" s="2"/>
      <c r="AS2" s="6" t="s">
        <v>12</v>
      </c>
      <c r="AT2" s="2"/>
      <c r="AU2" s="7" t="s">
        <v>13</v>
      </c>
      <c r="AV2" s="3">
        <f>AV4*AS6*AV9/100*100</f>
        <v>25.11656555555556</v>
      </c>
      <c r="AW2" s="8" t="s">
        <v>14</v>
      </c>
      <c r="AX2" s="9"/>
      <c r="AY2" s="2">
        <f>ABS(BC7-BC6)/ABS(BD7-BD6)*1000</f>
        <v>458.3804967392818</v>
      </c>
      <c r="AZ2" s="2"/>
      <c r="BA2" s="6" t="s">
        <v>15</v>
      </c>
      <c r="BB2" s="2"/>
      <c r="BC2" s="7" t="s">
        <v>13</v>
      </c>
      <c r="BD2" s="3">
        <f>BD4*BA6*BD9/100*100</f>
        <v>24.762100185185183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-0.60206296296296291</v>
      </c>
      <c r="L3" s="35" t="s">
        <v>16</v>
      </c>
      <c r="M3" s="11">
        <f>M9</f>
        <v>25.087109682716047</v>
      </c>
      <c r="N3" s="9"/>
      <c r="O3" s="2" t="s">
        <v>44</v>
      </c>
      <c r="P3" s="2"/>
      <c r="Q3" s="2">
        <f>INDEX(S11:S1056,MATCH(0,T11:T1056,-1))</f>
        <v>1.7926</v>
      </c>
      <c r="R3" s="2"/>
      <c r="S3" s="10">
        <f>INDEX(T11:T1056,MATCH(Q3,S11:S1056,0))</f>
        <v>0.67364691358024686</v>
      </c>
      <c r="T3" s="35" t="s">
        <v>16</v>
      </c>
      <c r="U3" s="11">
        <f>U9</f>
        <v>24.804881681481479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-1.6867530864197529</v>
      </c>
      <c r="AD3" s="35" t="s">
        <v>16</v>
      </c>
      <c r="AE3" s="11">
        <f>AE9</f>
        <v>25.092935719753083</v>
      </c>
      <c r="AF3" s="9"/>
      <c r="AG3" s="2" t="s">
        <v>44</v>
      </c>
      <c r="AH3" s="2"/>
      <c r="AI3" s="2">
        <f>INDEX(AK11:AK1056,MATCH(0,AL11:AL1056,-1))</f>
        <v>1.78833</v>
      </c>
      <c r="AJ3" s="2"/>
      <c r="AK3" s="10">
        <f>INDEX(AL11:AL1056,MATCH(AI3,AK11:AK1056,0))</f>
        <v>1.1016469135802469</v>
      </c>
      <c r="AL3" s="35" t="s">
        <v>16</v>
      </c>
      <c r="AM3" s="11">
        <f>AM9</f>
        <v>24.811764039506169</v>
      </c>
      <c r="AP3" s="9"/>
      <c r="AQ3" s="2" t="s">
        <v>44</v>
      </c>
      <c r="AR3" s="2"/>
      <c r="AS3" s="2">
        <f>INDEX(AU11:AU856,MATCH(0,AV11:AV856,1))</f>
        <v>1.81396</v>
      </c>
      <c r="AT3" s="2"/>
      <c r="AU3" s="10">
        <f>INDEX(AV11:AV1056,MATCH(AS3,AU11:AU1056,0))</f>
        <v>-0.89668888888888876</v>
      </c>
      <c r="AV3" s="35" t="s">
        <v>16</v>
      </c>
      <c r="AW3" s="11">
        <f>AW9</f>
        <v>25.116565555555553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0.30219876543209878</v>
      </c>
      <c r="BD3" s="35" t="s">
        <v>16</v>
      </c>
      <c r="BE3" s="11">
        <f>BE9</f>
        <v>24.762100185185187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2.9165799690987706</v>
      </c>
      <c r="H4" s="2"/>
      <c r="I4" s="2">
        <f>INDEX(K11:K1000,1+MATCH(0,L11:L856,1))</f>
        <v>1.8188500000000001</v>
      </c>
      <c r="J4" s="2"/>
      <c r="K4" s="10">
        <f>INDEX(L11:L1056,MATCH(I4,K11:K1056,0))</f>
        <v>1.0711296296296295</v>
      </c>
      <c r="L4" s="34">
        <f>M3/(I6*L9)</f>
        <v>0.74705831340398332</v>
      </c>
      <c r="M4" s="8" t="s">
        <v>17</v>
      </c>
      <c r="N4" s="9"/>
      <c r="O4" s="2">
        <f>ABS(Q3-Q4)/ABS(S3-S4)*1000</f>
        <v>3.1266144861920284</v>
      </c>
      <c r="P4" s="2"/>
      <c r="Q4" s="2">
        <f>INDEX(S11:S856,1+MATCH(0,T11:T856,-1))</f>
        <v>1.79718</v>
      </c>
      <c r="R4" s="2"/>
      <c r="S4" s="10">
        <f>INDEX(T11:T856,MATCH(Q4,S11:S856,0))</f>
        <v>-0.79119629629629618</v>
      </c>
      <c r="T4" s="34" t="e">
        <f>U3/(Q6*T9)</f>
        <v>#DIV/0!</v>
      </c>
      <c r="U4" s="8" t="s">
        <v>17</v>
      </c>
      <c r="X4" s="9"/>
      <c r="Y4" s="2">
        <f>ABS(AA3-AA4)/ABS(AC3-AC4)*1000</f>
        <v>2.7035739252852466</v>
      </c>
      <c r="Z4" s="2"/>
      <c r="AA4" s="2">
        <f>INDEX(AC11:AC1000,1+MATCH(0,AD11:AD856,1))</f>
        <v>1.81366</v>
      </c>
      <c r="AB4" s="2"/>
      <c r="AC4" s="10">
        <f>INDEX(AD11:AD1056,MATCH(AA4,AC11:AC1056,0))</f>
        <v>0.11826506172839507</v>
      </c>
      <c r="AD4" s="34">
        <f>AE3/(AA6*AD9)</f>
        <v>0.74750859236347367</v>
      </c>
      <c r="AE4" s="8" t="s">
        <v>17</v>
      </c>
      <c r="AF4" s="9"/>
      <c r="AG4" s="2">
        <f>ABS(AI3-AI4)/ABS(AK3-AK4)*1000</f>
        <v>2.9975585848632234</v>
      </c>
      <c r="AH4" s="2"/>
      <c r="AI4" s="2">
        <f>INDEX(AK11:AK856,1+MATCH(0,AL11:AL856,-1))</f>
        <v>1.7926</v>
      </c>
      <c r="AJ4" s="2"/>
      <c r="AK4" s="10">
        <f>INDEX(AL11:AL856,MATCH(AI4,AK11:AK856,0))</f>
        <v>-0.32284567901234562</v>
      </c>
      <c r="AL4" s="34">
        <f>AM3/(AI6*AL9)</f>
        <v>0.75012947987485545</v>
      </c>
      <c r="AM4" s="8" t="s">
        <v>17</v>
      </c>
      <c r="AP4" s="9"/>
      <c r="AQ4" s="2">
        <f>ABS(AS3-AS4)/ABS(AU3-AU4)*1000</f>
        <v>3.2576804822676926</v>
      </c>
      <c r="AR4" s="2"/>
      <c r="AS4" s="2">
        <f>INDEX(AU11:AU1000,1+MATCH(0,AV11:AV856,1))</f>
        <v>1.80847</v>
      </c>
      <c r="AT4" s="2"/>
      <c r="AU4" s="10">
        <f>INDEX(AV11:AV1056,MATCH(AS4,AU11:AU1056,0))</f>
        <v>0.78855925925925918</v>
      </c>
      <c r="AV4" s="34">
        <f>AW3/(AS6*AV9)</f>
        <v>0.74927533224674836</v>
      </c>
      <c r="AW4" s="8" t="s">
        <v>17</v>
      </c>
      <c r="AX4" s="9"/>
      <c r="AY4" s="2">
        <f>ABS(BA3-BA4)/ABS(BC3-BC4)*1000</f>
        <v>3.116114709442356</v>
      </c>
      <c r="AZ4" s="2"/>
      <c r="BA4" s="2">
        <f>INDEX(BC11:BC856,1+MATCH(0,BD11:BD856,-1))</f>
        <v>1.7923</v>
      </c>
      <c r="BB4" s="2"/>
      <c r="BC4" s="10">
        <f>INDEX(BD11:BD856,MATCH(BA4,BC11:BC856,0))</f>
        <v>-1.1675802469135801</v>
      </c>
      <c r="BD4" s="34">
        <f>BE3/(BA6*BD9)</f>
        <v>0.74830602725728723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15.94827160493827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15.985925925925924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15.951975308641973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16.042469135802467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15.865432098765432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15.906790123456791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1.8219740352220861</v>
      </c>
      <c r="J6" s="34"/>
      <c r="K6" s="13">
        <f>INDEX(K11:K1056,MATCH(L6,L11:L1056,0))</f>
        <v>1.77612E-3</v>
      </c>
      <c r="L6" s="10">
        <f>INDEX(L11:L1056,MATCH(0,K11:K1056,-1))</f>
        <v>18.427283950617284</v>
      </c>
      <c r="M6" s="8" t="s">
        <v>22</v>
      </c>
      <c r="N6" s="9"/>
      <c r="O6" s="2"/>
      <c r="P6" s="2"/>
      <c r="Q6" s="36">
        <f>(Q3-Q4)/(S3-S4)*(-S4)+Q4</f>
        <v>1.7947062341985784</v>
      </c>
      <c r="R6" s="36"/>
      <c r="S6" s="13">
        <f>INDEX(S11:S1056,MATCH(T6,T11:T1056,0))</f>
        <v>-1.4556899999999999E-2</v>
      </c>
      <c r="T6" s="10">
        <f>INDEX(T11:T1056,MATCH(0,S11:S1056,1))</f>
        <v>18.438641975308641</v>
      </c>
      <c r="U6" s="8" t="s">
        <v>22</v>
      </c>
      <c r="X6" s="9"/>
      <c r="Y6" s="2"/>
      <c r="Z6" s="2"/>
      <c r="AA6" s="34">
        <f>(AA3-AA4)/(AC3-AC4)*(-AC4)+AA4</f>
        <v>1.8139797383371612</v>
      </c>
      <c r="AB6" s="34"/>
      <c r="AC6" s="13">
        <f>INDEX(AC11:AC1056,MATCH(AD6,AD11:AD1056,0))</f>
        <v>1.9134499999999999E-3</v>
      </c>
      <c r="AD6" s="10">
        <f>INDEX(AD11:AD1056,MATCH(0,AC11:AC1056,-1))</f>
        <v>18.502716049382713</v>
      </c>
      <c r="AE6" s="8" t="s">
        <v>22</v>
      </c>
      <c r="AF6" s="9"/>
      <c r="AG6" s="2"/>
      <c r="AH6" s="2"/>
      <c r="AI6" s="36">
        <f>(AI3-AI4)/(AK3-AK4)*(-AK4)+AI4</f>
        <v>1.7916322511632905</v>
      </c>
      <c r="AJ6" s="36"/>
      <c r="AK6" s="13">
        <f>INDEX(AK11:AK1056,MATCH(AL6,AL11:AL1056,0))</f>
        <v>-4.4525099999999998E-3</v>
      </c>
      <c r="AL6" s="10">
        <f>INDEX(AL11:AL1056,MATCH(0,AK11:AK1056,1))</f>
        <v>18.46506172839506</v>
      </c>
      <c r="AM6" s="8" t="s">
        <v>22</v>
      </c>
      <c r="AP6" s="9"/>
      <c r="AQ6" s="2"/>
      <c r="AR6" s="2"/>
      <c r="AS6" s="34">
        <f>(AS3-AS4)/(AU3-AU4)*(-AU4)+AS4</f>
        <v>1.8110388741080004</v>
      </c>
      <c r="AT6" s="34"/>
      <c r="AU6" s="13">
        <f>INDEX(AU11:AU1056,MATCH(AV6,AV11:AV1056,0))</f>
        <v>1.9226099999999999E-3</v>
      </c>
      <c r="AV6" s="10">
        <f>INDEX(AV11:AV1056,MATCH(0,AU11:AU1056,-1))</f>
        <v>18.506419753086419</v>
      </c>
      <c r="AW6" s="8" t="s">
        <v>22</v>
      </c>
      <c r="AX6" s="9"/>
      <c r="AY6" s="2"/>
      <c r="AZ6" s="2"/>
      <c r="BA6" s="36">
        <f>(BA3-BA4)/(BC3-BC4)*(-BC4)+BA4</f>
        <v>1.7886616860181384</v>
      </c>
      <c r="BB6" s="36"/>
      <c r="BC6" s="13">
        <f>INDEX(BC11:BC1056,MATCH(BD6,BD11:BD1056,0))</f>
        <v>-4.5349099999999996E-3</v>
      </c>
      <c r="BD6" s="10">
        <f>INDEX(BD11:BD1056,MATCH(0,BC11:BC1056,1))</f>
        <v>18.510246913580243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-3.3569300000000002E-3</v>
      </c>
      <c r="L7" s="10">
        <f>INDEX(L11:L856,1+MATCH(0,K11:K856,-1))</f>
        <v>18.438641975308641</v>
      </c>
      <c r="M7" s="12">
        <f>INDEX(K11:K1056,MATCH(M9,M11:M1056,0))</f>
        <v>1.57257</v>
      </c>
      <c r="N7" s="9"/>
      <c r="O7" s="2"/>
      <c r="P7" s="2"/>
      <c r="Q7" s="2"/>
      <c r="R7" s="2"/>
      <c r="S7" s="13">
        <f>INDEX(S11:S1056,MATCH(T7,T11:T1056,0))</f>
        <v>-1.4556899999999999E-2</v>
      </c>
      <c r="T7" s="10">
        <f>INDEX(T11:T1056,1+MATCH(0,S11:S1056,1))</f>
        <v>18.438641975308641</v>
      </c>
      <c r="U7" s="12">
        <f>INDEX(S11:S1056,MATCH(U9,U11:U1056,0))</f>
        <v>1.5508999999999999</v>
      </c>
      <c r="X7" s="9"/>
      <c r="Y7" s="2"/>
      <c r="Z7" s="2"/>
      <c r="AA7" s="2"/>
      <c r="AB7" s="2"/>
      <c r="AC7" s="13">
        <f>INDEX(AC11:AC856,MATCH(AD7,AD11:AD856,1))</f>
        <v>-3.1066900000000001E-3</v>
      </c>
      <c r="AD7" s="10">
        <f>INDEX(AD11:AD856,1+MATCH(0,AC11:AC856,-1))</f>
        <v>18.510246913580243</v>
      </c>
      <c r="AE7" s="12">
        <f>INDEX(AC11:AC1056,MATCH(AE9,AE11:AE1056,0))</f>
        <v>1.57196</v>
      </c>
      <c r="AF7" s="9"/>
      <c r="AG7" s="2"/>
      <c r="AH7" s="2"/>
      <c r="AI7" s="2"/>
      <c r="AJ7" s="2"/>
      <c r="AK7" s="13">
        <f>INDEX(AK11:AK1056,MATCH(AL7,AL11:AL1056,0))</f>
        <v>6.7138699999999996E-4</v>
      </c>
      <c r="AL7" s="10">
        <f>INDEX(AL11:AL1056,1+MATCH(0,AK11:AK1056,1))</f>
        <v>18.461234567901233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-3.0273399999999999E-3</v>
      </c>
      <c r="AV7" s="10">
        <f>INDEX(AV11:AV856,1+MATCH(0,AU11:AU856,-1))</f>
        <v>18.51395061728395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18.498888888888889</v>
      </c>
      <c r="BE7" s="12">
        <f>INDEX(BC11:BC1056,MATCH(BE9,BE11:BE1056,0))</f>
        <v>1.55609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18.431214014578245</v>
      </c>
      <c r="M9" s="16">
        <f>MAX(M11:M1056)</f>
        <v>25.087109682716047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24.804881681481479</v>
      </c>
      <c r="X9" s="9"/>
      <c r="Y9" s="2"/>
      <c r="Z9" s="2"/>
      <c r="AA9" s="15">
        <f>(MAX(AD2,AL2)-MIN(AD2,AL2))/MAX(AD2,AL2)%</f>
        <v>1.1205212629847037</v>
      </c>
      <c r="AB9" s="2"/>
      <c r="AC9" s="2"/>
      <c r="AD9" s="3">
        <f>(AD6-AD7)/(AC6-AC7)*(-AC7)+AD7</f>
        <v>18.505586473733182</v>
      </c>
      <c r="AE9" s="16">
        <f>MAX(AE11:AE1056)</f>
        <v>25.092935719753083</v>
      </c>
      <c r="AF9" s="9"/>
      <c r="AG9" s="2"/>
      <c r="AH9" s="2"/>
      <c r="AI9" s="2"/>
      <c r="AJ9" s="2"/>
      <c r="AK9" s="2"/>
      <c r="AL9" s="3">
        <f>(AL6-AL7)/(AK6-AK7)*(-AK7)+AL7</f>
        <v>18.461736042814266</v>
      </c>
      <c r="AM9" s="16">
        <f>MAX(AM11:AM1056)</f>
        <v>24.811764039506169</v>
      </c>
      <c r="AP9" s="9"/>
      <c r="AQ9" s="2"/>
      <c r="AR9" s="2"/>
      <c r="AS9" s="15">
        <f>(MAX(AV2,BD2)-MIN(AV2,BD2))/MAX(AV2,BD2)%</f>
        <v>1.4112812103483341</v>
      </c>
      <c r="AT9" s="2"/>
      <c r="AU9" s="2"/>
      <c r="AV9" s="3">
        <f>(AV6-AV7)/(AU6-AU7)*(-AU7)+AV7</f>
        <v>18.509344815928429</v>
      </c>
      <c r="AW9" s="16">
        <f>MAX(AW11:AW1056)</f>
        <v>25.116565555555553</v>
      </c>
      <c r="AX9" s="9"/>
      <c r="AY9" s="2"/>
      <c r="AZ9" s="2"/>
      <c r="BA9" s="2"/>
      <c r="BB9" s="2"/>
      <c r="BC9" s="2"/>
      <c r="BD9" s="3">
        <f>(BD6-BD7)/(BC6-BC7)*(-BC7)+BD7</f>
        <v>18.500353582532654</v>
      </c>
      <c r="BE9" s="16">
        <f>MAX(BE11:BE1056)</f>
        <v>24.762100185185187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1.8219740352220861</v>
      </c>
      <c r="B11" s="19">
        <f>IFERROR(L9,0)</f>
        <v>18.431214014578245</v>
      </c>
      <c r="C11" s="20">
        <f>IFERROR(L4,0)</f>
        <v>0.74705831340398332</v>
      </c>
      <c r="D11" s="21">
        <f>IFERROR(L2,0)</f>
        <v>25.087109682716047</v>
      </c>
      <c r="E11" s="21">
        <f>IFERROR(I9,0)</f>
        <v>0</v>
      </c>
      <c r="F11" s="9"/>
      <c r="G11" s="22">
        <v>1.84494</v>
      </c>
      <c r="H11" s="22">
        <v>5.2043999999999997</v>
      </c>
      <c r="I11" s="22">
        <v>8.6822500000000007E-3</v>
      </c>
      <c r="J11" s="22">
        <v>1</v>
      </c>
      <c r="K11" s="22">
        <v>1.8435699999999999</v>
      </c>
      <c r="L11">
        <f>-I11/$F$2*1000</f>
        <v>-10.718827160493827</v>
      </c>
      <c r="M11">
        <f>L11*G11</f>
        <v>-19.775592981481481</v>
      </c>
      <c r="N11" s="9"/>
      <c r="O11" s="22">
        <v>-9.49097E-2</v>
      </c>
      <c r="P11" s="22">
        <v>9.1242999999999999</v>
      </c>
      <c r="Q11" s="22">
        <v>-1.50055E-2</v>
      </c>
      <c r="R11" s="22">
        <v>1</v>
      </c>
      <c r="S11" s="22">
        <v>-9.5397899999999994E-2</v>
      </c>
      <c r="T11">
        <f>-Q11/$F$2*1000</f>
        <v>18.525308641975307</v>
      </c>
      <c r="U11">
        <f>T11*O11</f>
        <v>-1.7582314856172838</v>
      </c>
      <c r="V11" s="23"/>
      <c r="W11" s="24"/>
      <c r="X11" s="9"/>
      <c r="Y11" s="22">
        <v>1.84494</v>
      </c>
      <c r="Z11" s="22">
        <v>14.669600000000001</v>
      </c>
      <c r="AA11" s="22">
        <v>1.38306E-2</v>
      </c>
      <c r="AB11" s="22">
        <v>1</v>
      </c>
      <c r="AC11" s="22">
        <v>1.8438699999999999</v>
      </c>
      <c r="AD11">
        <f>-AA11/$F$2*1000</f>
        <v>-17.074814814814815</v>
      </c>
      <c r="AE11">
        <f>AD11*Y11</f>
        <v>-31.502008844444443</v>
      </c>
      <c r="AF11" s="9"/>
      <c r="AG11" s="22">
        <v>-9.49097E-2</v>
      </c>
      <c r="AH11" s="22">
        <v>18.589500000000001</v>
      </c>
      <c r="AI11" s="22">
        <v>-1.50543E-2</v>
      </c>
      <c r="AJ11" s="22">
        <v>1</v>
      </c>
      <c r="AK11" s="22">
        <v>-9.5367400000000005E-2</v>
      </c>
      <c r="AL11">
        <f>-AI11/$F$2*1000</f>
        <v>18.585555555555555</v>
      </c>
      <c r="AM11">
        <f>AL11*AG11</f>
        <v>-1.7639495021111111</v>
      </c>
      <c r="AP11" s="9"/>
      <c r="AQ11" s="22">
        <v>1.84494</v>
      </c>
      <c r="AR11" s="22">
        <v>24.152799999999999</v>
      </c>
      <c r="AS11" s="22">
        <v>1.61041E-2</v>
      </c>
      <c r="AT11" s="22">
        <v>1</v>
      </c>
      <c r="AU11" s="22">
        <v>1.8441799999999999</v>
      </c>
      <c r="AV11">
        <f>-AS11/$F$2*1000</f>
        <v>-19.881604938271604</v>
      </c>
      <c r="AW11">
        <f>AV11*AQ11</f>
        <v>-36.680368214814813</v>
      </c>
      <c r="AX11" s="9"/>
      <c r="AY11" s="22">
        <v>-9.49097E-2</v>
      </c>
      <c r="AZ11" s="22">
        <v>28.072700000000001</v>
      </c>
      <c r="BA11" s="22">
        <v>-1.5084800000000001E-2</v>
      </c>
      <c r="BB11" s="22">
        <v>1</v>
      </c>
      <c r="BC11" s="22">
        <v>-9.5336900000000002E-2</v>
      </c>
      <c r="BD11">
        <f>-BA11/$F$2*1000</f>
        <v>18.623209876543207</v>
      </c>
      <c r="BE11">
        <f>BD11*AY11</f>
        <v>-1.7675232624197528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1.7947062341985784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1.8399000000000001</v>
      </c>
      <c r="H12" s="22">
        <v>5.2144700000000004</v>
      </c>
      <c r="I12" s="22">
        <v>6.1737099999999998E-3</v>
      </c>
      <c r="J12" s="22">
        <v>2</v>
      </c>
      <c r="K12" s="22">
        <v>1.8392900000000001</v>
      </c>
      <c r="L12">
        <f t="shared" ref="L12:L75" si="0">-I12/$F$2*1000</f>
        <v>-7.6218641975308632</v>
      </c>
      <c r="M12">
        <f t="shared" ref="M12:M75" si="1">L12*G12</f>
        <v>-14.023467937037037</v>
      </c>
      <c r="N12" s="9"/>
      <c r="O12" s="22">
        <v>-8.9874300000000004E-2</v>
      </c>
      <c r="P12" s="22">
        <v>9.1343700000000005</v>
      </c>
      <c r="Q12" s="22">
        <v>-1.50055E-2</v>
      </c>
      <c r="R12" s="22">
        <v>2</v>
      </c>
      <c r="S12" s="22">
        <v>-9.0393100000000004E-2</v>
      </c>
      <c r="T12">
        <f t="shared" ref="T12:T75" si="2">-Q12/$F$2*1000</f>
        <v>18.525308641975307</v>
      </c>
      <c r="U12">
        <f t="shared" ref="U12:U75" si="3">T12*O12</f>
        <v>-1.6649491464814814</v>
      </c>
      <c r="V12" s="23"/>
      <c r="W12" s="24"/>
      <c r="X12" s="9"/>
      <c r="Y12" s="22">
        <v>1.8399000000000001</v>
      </c>
      <c r="Z12" s="22">
        <v>14.6797</v>
      </c>
      <c r="AA12" s="22">
        <v>1.03943E-2</v>
      </c>
      <c r="AB12" s="22">
        <v>2</v>
      </c>
      <c r="AC12" s="22">
        <v>1.8392900000000001</v>
      </c>
      <c r="AD12">
        <f t="shared" ref="AD12:AD75" si="4">-AA12/$F$2*1000</f>
        <v>-12.832469135802469</v>
      </c>
      <c r="AE12">
        <f t="shared" ref="AE12:AE75" si="5">AD12*Y12</f>
        <v>-23.610459962962963</v>
      </c>
      <c r="AF12" s="9"/>
      <c r="AG12" s="22">
        <v>-8.9874300000000004E-2</v>
      </c>
      <c r="AH12" s="22">
        <v>18.599599999999999</v>
      </c>
      <c r="AI12" s="22">
        <v>-1.5048199999999999E-2</v>
      </c>
      <c r="AJ12" s="22">
        <v>2</v>
      </c>
      <c r="AK12" s="22">
        <v>-9.0362499999999998E-2</v>
      </c>
      <c r="AL12">
        <f t="shared" ref="AL12:AL75" si="6">-AI12/$F$2*1000</f>
        <v>18.578024691358021</v>
      </c>
      <c r="AM12">
        <f t="shared" ref="AM12:AM75" si="7">AL12*AG12</f>
        <v>-1.6696869645185182</v>
      </c>
      <c r="AP12" s="9"/>
      <c r="AQ12" s="22">
        <v>1.8399000000000001</v>
      </c>
      <c r="AR12" s="22">
        <v>24.1629</v>
      </c>
      <c r="AS12" s="22">
        <v>1.23657E-2</v>
      </c>
      <c r="AT12" s="22">
        <v>2</v>
      </c>
      <c r="AU12" s="22">
        <v>1.8389899999999999</v>
      </c>
      <c r="AV12">
        <f t="shared" ref="AV12:AV75" si="8">-AS12/$F$2*1000</f>
        <v>-15.266296296296295</v>
      </c>
      <c r="AW12">
        <f t="shared" ref="AW12:AW75" si="9">AV12*AQ12</f>
        <v>-28.088458555555555</v>
      </c>
      <c r="AX12" s="9"/>
      <c r="AY12" s="22">
        <v>-8.9874300000000004E-2</v>
      </c>
      <c r="AZ12" s="22">
        <v>28.082799999999999</v>
      </c>
      <c r="BA12" s="22">
        <v>-1.5081799999999999E-2</v>
      </c>
      <c r="BB12" s="22">
        <v>2</v>
      </c>
      <c r="BC12" s="22">
        <v>-9.0393100000000004E-2</v>
      </c>
      <c r="BD12">
        <f t="shared" ref="BD12:BD75" si="10">-BA12/$F$2*1000</f>
        <v>18.619506172839504</v>
      </c>
      <c r="BE12">
        <f t="shared" ref="BE12:BE75" si="11">BD12*AY12</f>
        <v>-1.6734150836296295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1.8139797383371612</v>
      </c>
      <c r="B13" s="19">
        <f>IFERROR(AD9,0)</f>
        <v>18.505586473733182</v>
      </c>
      <c r="C13" s="20">
        <f>IFERROR(AD4,0)</f>
        <v>0.74750859236347367</v>
      </c>
      <c r="D13" s="21">
        <f>IFERROR(AD2,0)</f>
        <v>25.092935719753086</v>
      </c>
      <c r="E13" s="21">
        <f>IFERROR(AA9,0)</f>
        <v>1.1205212629847037</v>
      </c>
      <c r="F13" s="9"/>
      <c r="G13" s="22">
        <v>1.83487</v>
      </c>
      <c r="H13" s="22">
        <v>5.2245400000000002</v>
      </c>
      <c r="I13" s="22">
        <v>3.9434800000000001E-3</v>
      </c>
      <c r="J13" s="22">
        <v>3</v>
      </c>
      <c r="K13" s="22">
        <v>1.8334999999999999</v>
      </c>
      <c r="L13">
        <f t="shared" si="0"/>
        <v>-4.8684938271604938</v>
      </c>
      <c r="M13">
        <f t="shared" si="1"/>
        <v>-8.9330532686419755</v>
      </c>
      <c r="N13" s="9"/>
      <c r="O13" s="22">
        <v>-8.4838899999999995E-2</v>
      </c>
      <c r="P13" s="22">
        <v>9.1444399999999995</v>
      </c>
      <c r="Q13" s="22">
        <v>-1.5002400000000001E-2</v>
      </c>
      <c r="R13" s="22">
        <v>3</v>
      </c>
      <c r="S13" s="22">
        <v>-8.5510299999999997E-2</v>
      </c>
      <c r="T13">
        <f t="shared" si="2"/>
        <v>18.521481481481484</v>
      </c>
      <c r="U13">
        <f t="shared" si="3"/>
        <v>-1.5713421152592593</v>
      </c>
      <c r="V13" s="23"/>
      <c r="W13" s="24"/>
      <c r="X13" s="9"/>
      <c r="Y13" s="22">
        <v>1.83487</v>
      </c>
      <c r="Z13" s="22">
        <v>14.6898</v>
      </c>
      <c r="AA13" s="22">
        <v>7.57751E-3</v>
      </c>
      <c r="AB13" s="22">
        <v>3</v>
      </c>
      <c r="AC13" s="22">
        <v>1.8338000000000001</v>
      </c>
      <c r="AD13">
        <f t="shared" si="4"/>
        <v>-9.3549506172839507</v>
      </c>
      <c r="AE13">
        <f t="shared" si="5"/>
        <v>-17.165118239135804</v>
      </c>
      <c r="AF13" s="9"/>
      <c r="AG13" s="22">
        <v>-8.4838899999999995E-2</v>
      </c>
      <c r="AH13" s="22">
        <v>18.6097</v>
      </c>
      <c r="AI13" s="22">
        <v>-1.50452E-2</v>
      </c>
      <c r="AJ13" s="22">
        <v>3</v>
      </c>
      <c r="AK13" s="22">
        <v>-8.5327100000000003E-2</v>
      </c>
      <c r="AL13">
        <f t="shared" si="6"/>
        <v>18.574320987654321</v>
      </c>
      <c r="AM13">
        <f t="shared" si="7"/>
        <v>-1.5758249608395061</v>
      </c>
      <c r="AP13" s="9"/>
      <c r="AQ13" s="22">
        <v>1.83487</v>
      </c>
      <c r="AR13" s="22">
        <v>24.172999999999998</v>
      </c>
      <c r="AS13" s="22">
        <v>9.1674800000000004E-3</v>
      </c>
      <c r="AT13" s="22">
        <v>3</v>
      </c>
      <c r="AU13" s="22">
        <v>1.8334999999999999</v>
      </c>
      <c r="AV13">
        <f t="shared" si="8"/>
        <v>-11.317876543209875</v>
      </c>
      <c r="AW13">
        <f t="shared" si="9"/>
        <v>-20.766832132839504</v>
      </c>
      <c r="AX13" s="9"/>
      <c r="AY13" s="22">
        <v>-8.4838899999999995E-2</v>
      </c>
      <c r="AZ13" s="22">
        <v>28.0929</v>
      </c>
      <c r="BA13" s="22">
        <v>-1.5075699999999999E-2</v>
      </c>
      <c r="BB13" s="22">
        <v>3</v>
      </c>
      <c r="BC13" s="22">
        <v>-8.5266099999999997E-2</v>
      </c>
      <c r="BD13">
        <f t="shared" si="10"/>
        <v>18.611975308641973</v>
      </c>
      <c r="BE13">
        <f t="shared" si="11"/>
        <v>-1.5790195120123454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1.7916322511632905</v>
      </c>
      <c r="B14" s="19">
        <f>IFERROR(AL9,0)</f>
        <v>18.461736042814266</v>
      </c>
      <c r="C14" s="20">
        <f>IFERROR(AL4,0)</f>
        <v>0.75012947987485545</v>
      </c>
      <c r="D14" s="21">
        <f>IFERROR(AL2,0)</f>
        <v>24.811764039506169</v>
      </c>
      <c r="E14" s="21"/>
      <c r="F14" s="9"/>
      <c r="G14" s="22">
        <v>1.8298300000000001</v>
      </c>
      <c r="H14" s="22">
        <v>5.23461</v>
      </c>
      <c r="I14" s="22">
        <v>2.1041900000000001E-3</v>
      </c>
      <c r="J14" s="22">
        <v>4</v>
      </c>
      <c r="K14" s="22">
        <v>1.8283100000000001</v>
      </c>
      <c r="L14">
        <f t="shared" si="0"/>
        <v>-2.5977654320987655</v>
      </c>
      <c r="M14">
        <f t="shared" si="1"/>
        <v>-4.7534691206172841</v>
      </c>
      <c r="N14" s="9"/>
      <c r="O14" s="22">
        <v>-7.9803499999999999E-2</v>
      </c>
      <c r="P14" s="22">
        <v>9.1545100000000001</v>
      </c>
      <c r="Q14" s="22">
        <v>-1.49994E-2</v>
      </c>
      <c r="R14" s="22">
        <v>4</v>
      </c>
      <c r="S14" s="22">
        <v>-8.0291699999999994E-2</v>
      </c>
      <c r="T14">
        <f t="shared" si="2"/>
        <v>18.517777777777777</v>
      </c>
      <c r="U14">
        <f t="shared" si="3"/>
        <v>-1.4777834788888888</v>
      </c>
      <c r="V14" s="23"/>
      <c r="W14" s="24"/>
      <c r="X14" s="9"/>
      <c r="Y14" s="22">
        <v>1.8298300000000001</v>
      </c>
      <c r="Z14" s="22">
        <v>14.6998</v>
      </c>
      <c r="AA14" s="22">
        <v>5.1330600000000001E-3</v>
      </c>
      <c r="AB14" s="22">
        <v>4</v>
      </c>
      <c r="AC14" s="22">
        <v>1.8286100000000001</v>
      </c>
      <c r="AD14">
        <f t="shared" si="4"/>
        <v>-6.3371111111111107</v>
      </c>
      <c r="AE14">
        <f t="shared" si="5"/>
        <v>-11.595836024444445</v>
      </c>
      <c r="AF14" s="9"/>
      <c r="AG14" s="22">
        <v>-7.9803499999999999E-2</v>
      </c>
      <c r="AH14" s="22">
        <v>18.619800000000001</v>
      </c>
      <c r="AI14" s="22">
        <v>-1.50391E-2</v>
      </c>
      <c r="AJ14" s="22">
        <v>4</v>
      </c>
      <c r="AK14" s="22">
        <v>-8.0291699999999994E-2</v>
      </c>
      <c r="AL14">
        <f t="shared" si="6"/>
        <v>18.566790123456791</v>
      </c>
      <c r="AM14">
        <f t="shared" si="7"/>
        <v>-1.4816948356172839</v>
      </c>
      <c r="AP14" s="9"/>
      <c r="AQ14" s="22">
        <v>1.8298300000000001</v>
      </c>
      <c r="AR14" s="22">
        <v>24.1831</v>
      </c>
      <c r="AS14" s="22">
        <v>6.5643300000000002E-3</v>
      </c>
      <c r="AT14" s="22">
        <v>4</v>
      </c>
      <c r="AU14" s="22">
        <v>1.8286100000000001</v>
      </c>
      <c r="AV14">
        <f t="shared" si="8"/>
        <v>-8.104111111111111</v>
      </c>
      <c r="AW14">
        <f t="shared" si="9"/>
        <v>-14.829145634444444</v>
      </c>
      <c r="AX14" s="9"/>
      <c r="AY14" s="22">
        <v>-7.9803499999999999E-2</v>
      </c>
      <c r="AZ14" s="22">
        <v>28.103000000000002</v>
      </c>
      <c r="BA14" s="22">
        <v>-1.5063500000000001E-2</v>
      </c>
      <c r="BB14" s="22">
        <v>4</v>
      </c>
      <c r="BC14" s="22">
        <v>-8.0383300000000005E-2</v>
      </c>
      <c r="BD14">
        <f t="shared" si="10"/>
        <v>18.596913580246913</v>
      </c>
      <c r="BE14">
        <f t="shared" si="11"/>
        <v>-1.4840987929012344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1.8110388741080004</v>
      </c>
      <c r="B15" s="19">
        <f>IFERROR(AV9,0)</f>
        <v>18.509344815928429</v>
      </c>
      <c r="C15" s="20">
        <f>IFERROR(AV4,0)</f>
        <v>0.74927533224674836</v>
      </c>
      <c r="D15" s="21">
        <f>IFERROR(AV2,0)</f>
        <v>25.11656555555556</v>
      </c>
      <c r="E15" s="21">
        <f>IFERROR(AS9,0)</f>
        <v>1.4112812103483341</v>
      </c>
      <c r="F15" s="9"/>
      <c r="G15" s="22">
        <v>1.8248</v>
      </c>
      <c r="H15" s="22">
        <v>5.2446799999999998</v>
      </c>
      <c r="I15" s="22">
        <v>4.8767100000000001E-4</v>
      </c>
      <c r="J15" s="22">
        <v>5</v>
      </c>
      <c r="K15" s="22">
        <v>1.8237300000000001</v>
      </c>
      <c r="L15">
        <f t="shared" si="0"/>
        <v>-0.60206296296296291</v>
      </c>
      <c r="M15">
        <f t="shared" si="1"/>
        <v>-1.0986444948148146</v>
      </c>
      <c r="N15" s="9"/>
      <c r="O15" s="22">
        <v>-7.4768100000000004E-2</v>
      </c>
      <c r="P15" s="22">
        <v>9.1645800000000008</v>
      </c>
      <c r="Q15" s="22">
        <v>-1.4996300000000001E-2</v>
      </c>
      <c r="R15" s="22">
        <v>5</v>
      </c>
      <c r="S15" s="22">
        <v>-7.5164800000000004E-2</v>
      </c>
      <c r="T15">
        <f t="shared" si="2"/>
        <v>18.51395061728395</v>
      </c>
      <c r="U15">
        <f t="shared" si="3"/>
        <v>-1.3842529111481481</v>
      </c>
      <c r="V15" s="23"/>
      <c r="W15" s="24"/>
      <c r="X15" s="9"/>
      <c r="Y15" s="22">
        <v>1.8248</v>
      </c>
      <c r="Z15" s="22">
        <v>14.709899999999999</v>
      </c>
      <c r="AA15" s="22">
        <v>3.1308E-3</v>
      </c>
      <c r="AB15" s="22">
        <v>5</v>
      </c>
      <c r="AC15" s="22">
        <v>1.8237300000000001</v>
      </c>
      <c r="AD15">
        <f t="shared" si="4"/>
        <v>-3.8651851851851848</v>
      </c>
      <c r="AE15">
        <f t="shared" si="5"/>
        <v>-7.053189925925925</v>
      </c>
      <c r="AF15" s="9"/>
      <c r="AG15" s="22">
        <v>-7.4768100000000004E-2</v>
      </c>
      <c r="AH15" s="22">
        <v>18.629799999999999</v>
      </c>
      <c r="AI15" s="22">
        <v>-1.50391E-2</v>
      </c>
      <c r="AJ15" s="22">
        <v>5</v>
      </c>
      <c r="AK15" s="22">
        <v>-7.5225799999999995E-2</v>
      </c>
      <c r="AL15">
        <f t="shared" si="6"/>
        <v>18.566790123456791</v>
      </c>
      <c r="AM15">
        <f t="shared" si="7"/>
        <v>-1.3882036206296298</v>
      </c>
      <c r="AP15" s="9"/>
      <c r="AQ15" s="22">
        <v>1.8248</v>
      </c>
      <c r="AR15" s="22">
        <v>24.193100000000001</v>
      </c>
      <c r="AS15" s="22">
        <v>4.2987099999999999E-3</v>
      </c>
      <c r="AT15" s="22">
        <v>5</v>
      </c>
      <c r="AU15" s="22">
        <v>1.8237300000000001</v>
      </c>
      <c r="AV15">
        <f t="shared" si="8"/>
        <v>-5.3070493827160492</v>
      </c>
      <c r="AW15">
        <f t="shared" si="9"/>
        <v>-9.6843037135802472</v>
      </c>
      <c r="AX15" s="9"/>
      <c r="AY15" s="22">
        <v>-7.4768100000000004E-2</v>
      </c>
      <c r="AZ15" s="22">
        <v>28.113</v>
      </c>
      <c r="BA15" s="22">
        <v>-1.50604E-2</v>
      </c>
      <c r="BB15" s="22">
        <v>5</v>
      </c>
      <c r="BC15" s="22">
        <v>-7.5256299999999998E-2</v>
      </c>
      <c r="BD15">
        <f t="shared" si="10"/>
        <v>18.593086419753085</v>
      </c>
      <c r="BE15">
        <f t="shared" si="11"/>
        <v>-1.3901697447407406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1.7886616860181384</v>
      </c>
      <c r="B16" s="19">
        <f>IFERROR(BD9,0)</f>
        <v>18.500353582532654</v>
      </c>
      <c r="C16" s="20">
        <f>IFERROR(BD4,0)</f>
        <v>0.74830602725728723</v>
      </c>
      <c r="D16" s="21">
        <f>IFERROR(BD2,0)</f>
        <v>24.762100185185183</v>
      </c>
      <c r="E16" s="21"/>
      <c r="F16" s="9"/>
      <c r="G16" s="22">
        <v>1.81976</v>
      </c>
      <c r="H16" s="22">
        <v>5.2547499999999996</v>
      </c>
      <c r="I16" s="22">
        <v>-8.6761499999999997E-4</v>
      </c>
      <c r="J16" s="22">
        <v>6</v>
      </c>
      <c r="K16" s="22">
        <v>1.8188500000000001</v>
      </c>
      <c r="L16">
        <f t="shared" si="0"/>
        <v>1.0711296296296295</v>
      </c>
      <c r="M16">
        <f t="shared" si="1"/>
        <v>1.9491988548148147</v>
      </c>
      <c r="N16" s="9"/>
      <c r="O16" s="22">
        <v>-6.9732699999999995E-2</v>
      </c>
      <c r="P16" s="22">
        <v>9.1746499999999997</v>
      </c>
      <c r="Q16" s="22">
        <v>-1.4993299999999999E-2</v>
      </c>
      <c r="R16" s="22">
        <v>6</v>
      </c>
      <c r="S16" s="22">
        <v>-7.0068400000000003E-2</v>
      </c>
      <c r="T16">
        <f t="shared" si="2"/>
        <v>18.510246913580243</v>
      </c>
      <c r="U16">
        <f t="shared" si="3"/>
        <v>-1.290769494950617</v>
      </c>
      <c r="V16" s="23"/>
      <c r="W16" s="24"/>
      <c r="X16" s="9"/>
      <c r="Y16" s="22">
        <v>1.81976</v>
      </c>
      <c r="Z16" s="22">
        <v>14.72</v>
      </c>
      <c r="AA16" s="22">
        <v>1.3662699999999999E-3</v>
      </c>
      <c r="AB16" s="22">
        <v>6</v>
      </c>
      <c r="AC16" s="22">
        <v>1.81854</v>
      </c>
      <c r="AD16">
        <f t="shared" si="4"/>
        <v>-1.6867530864197529</v>
      </c>
      <c r="AE16">
        <f t="shared" si="5"/>
        <v>-3.0694857965432094</v>
      </c>
      <c r="AF16" s="9"/>
      <c r="AG16" s="22">
        <v>-6.9732699999999995E-2</v>
      </c>
      <c r="AH16" s="22">
        <v>18.639900000000001</v>
      </c>
      <c r="AI16" s="22">
        <v>-1.5036000000000001E-2</v>
      </c>
      <c r="AJ16" s="22">
        <v>6</v>
      </c>
      <c r="AK16" s="22">
        <v>-7.0129399999999995E-2</v>
      </c>
      <c r="AL16">
        <f t="shared" si="6"/>
        <v>18.562962962962963</v>
      </c>
      <c r="AM16">
        <f t="shared" si="7"/>
        <v>-1.2944455274074074</v>
      </c>
      <c r="AP16" s="9"/>
      <c r="AQ16" s="22">
        <v>1.81976</v>
      </c>
      <c r="AR16" s="22">
        <v>24.203199999999999</v>
      </c>
      <c r="AS16" s="22">
        <v>2.4093600000000001E-3</v>
      </c>
      <c r="AT16" s="22">
        <v>6</v>
      </c>
      <c r="AU16" s="22">
        <v>1.81976</v>
      </c>
      <c r="AV16">
        <f t="shared" si="8"/>
        <v>-2.9745185185185186</v>
      </c>
      <c r="AW16">
        <f t="shared" si="9"/>
        <v>-5.4129098192592595</v>
      </c>
      <c r="AX16" s="9"/>
      <c r="AY16" s="22">
        <v>-6.9732699999999995E-2</v>
      </c>
      <c r="AZ16" s="22">
        <v>28.123100000000001</v>
      </c>
      <c r="BA16" s="22">
        <v>-1.50574E-2</v>
      </c>
      <c r="BB16" s="22">
        <v>6</v>
      </c>
      <c r="BC16" s="22">
        <v>-7.0068400000000003E-2</v>
      </c>
      <c r="BD16">
        <f t="shared" si="10"/>
        <v>18.589382716049382</v>
      </c>
      <c r="BE16">
        <f t="shared" si="11"/>
        <v>-1.2962878481234565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5.2648200000000003</v>
      </c>
      <c r="I17" s="22">
        <v>-2.07581E-3</v>
      </c>
      <c r="J17" s="22">
        <v>7</v>
      </c>
      <c r="K17" s="22">
        <v>1.81396</v>
      </c>
      <c r="L17">
        <f t="shared" si="0"/>
        <v>2.5627283950617286</v>
      </c>
      <c r="M17">
        <f t="shared" si="1"/>
        <v>4.6506601003703709</v>
      </c>
      <c r="N17" s="9"/>
      <c r="O17" s="22">
        <v>-6.4697299999999999E-2</v>
      </c>
      <c r="P17" s="22">
        <v>9.1847200000000004</v>
      </c>
      <c r="Q17" s="22">
        <v>-1.4987199999999999E-2</v>
      </c>
      <c r="R17" s="22">
        <v>7</v>
      </c>
      <c r="S17" s="22">
        <v>-6.5093999999999999E-2</v>
      </c>
      <c r="T17">
        <f t="shared" si="2"/>
        <v>18.502716049382713</v>
      </c>
      <c r="U17">
        <f t="shared" si="3"/>
        <v>-1.1970757710617281</v>
      </c>
      <c r="V17" s="23"/>
      <c r="W17" s="24"/>
      <c r="X17" s="9"/>
      <c r="Y17" s="22">
        <v>1.81473</v>
      </c>
      <c r="Z17" s="22">
        <v>14.73</v>
      </c>
      <c r="AA17" s="25">
        <v>-9.5794700000000006E-5</v>
      </c>
      <c r="AB17" s="22">
        <v>7</v>
      </c>
      <c r="AC17" s="22">
        <v>1.81366</v>
      </c>
      <c r="AD17">
        <f t="shared" si="4"/>
        <v>0.11826506172839507</v>
      </c>
      <c r="AE17">
        <f t="shared" si="5"/>
        <v>0.21461915547037039</v>
      </c>
      <c r="AF17" s="9"/>
      <c r="AG17" s="22">
        <v>-6.4697299999999999E-2</v>
      </c>
      <c r="AH17" s="22">
        <v>18.649999999999999</v>
      </c>
      <c r="AI17" s="22">
        <v>-1.5032999999999999E-2</v>
      </c>
      <c r="AJ17" s="22">
        <v>7</v>
      </c>
      <c r="AK17" s="22">
        <v>-6.5063499999999996E-2</v>
      </c>
      <c r="AL17">
        <f t="shared" si="6"/>
        <v>18.559259259259257</v>
      </c>
      <c r="AM17">
        <f t="shared" si="7"/>
        <v>-1.200733964074074</v>
      </c>
      <c r="AP17" s="9"/>
      <c r="AQ17" s="22">
        <v>1.81473</v>
      </c>
      <c r="AR17" s="22">
        <v>24.2133</v>
      </c>
      <c r="AS17" s="22">
        <v>7.2631799999999999E-4</v>
      </c>
      <c r="AT17" s="22">
        <v>7</v>
      </c>
      <c r="AU17" s="22">
        <v>1.81396</v>
      </c>
      <c r="AV17">
        <f t="shared" si="8"/>
        <v>-0.89668888888888876</v>
      </c>
      <c r="AW17">
        <f t="shared" si="9"/>
        <v>-1.6272482273333331</v>
      </c>
      <c r="AX17" s="9"/>
      <c r="AY17" s="22">
        <v>-6.4697299999999999E-2</v>
      </c>
      <c r="AZ17" s="22">
        <v>28.133199999999999</v>
      </c>
      <c r="BA17" s="22">
        <v>-1.50513E-2</v>
      </c>
      <c r="BB17" s="22">
        <v>7</v>
      </c>
      <c r="BC17" s="22">
        <v>-6.5093999999999999E-2</v>
      </c>
      <c r="BD17">
        <f t="shared" si="10"/>
        <v>18.581851851851848</v>
      </c>
      <c r="BE17">
        <f t="shared" si="11"/>
        <v>-1.2021956438148145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5.2748900000000001</v>
      </c>
      <c r="I18" s="22">
        <v>-3.07281E-3</v>
      </c>
      <c r="J18" s="22">
        <v>8</v>
      </c>
      <c r="K18" s="22">
        <v>1.8087800000000001</v>
      </c>
      <c r="L18">
        <f t="shared" si="0"/>
        <v>3.7935925925925922</v>
      </c>
      <c r="M18">
        <f t="shared" si="1"/>
        <v>6.8652265788888887</v>
      </c>
      <c r="N18" s="9"/>
      <c r="O18" s="22">
        <v>-5.9661899999999997E-2</v>
      </c>
      <c r="P18" s="22">
        <v>9.1947899999999994</v>
      </c>
      <c r="Q18" s="22">
        <v>-1.49841E-2</v>
      </c>
      <c r="R18" s="22">
        <v>8</v>
      </c>
      <c r="S18" s="22">
        <v>-6.0119600000000002E-2</v>
      </c>
      <c r="T18">
        <f t="shared" si="2"/>
        <v>18.498888888888889</v>
      </c>
      <c r="U18">
        <f t="shared" si="3"/>
        <v>-1.103678859</v>
      </c>
      <c r="V18" s="23"/>
      <c r="W18" s="24"/>
      <c r="X18" s="9"/>
      <c r="Y18" s="22">
        <v>1.80969</v>
      </c>
      <c r="Z18" s="22">
        <v>14.7401</v>
      </c>
      <c r="AA18" s="22">
        <v>-1.41266E-3</v>
      </c>
      <c r="AB18" s="22">
        <v>8</v>
      </c>
      <c r="AC18" s="22">
        <v>1.8087800000000001</v>
      </c>
      <c r="AD18">
        <f t="shared" si="4"/>
        <v>1.7440246913580246</v>
      </c>
      <c r="AE18">
        <f t="shared" si="5"/>
        <v>3.1561440437037036</v>
      </c>
      <c r="AF18" s="9"/>
      <c r="AG18" s="22">
        <v>-5.9661899999999997E-2</v>
      </c>
      <c r="AH18" s="22">
        <v>18.66</v>
      </c>
      <c r="AI18" s="22">
        <v>-1.5029900000000001E-2</v>
      </c>
      <c r="AJ18" s="22">
        <v>8</v>
      </c>
      <c r="AK18" s="22">
        <v>-6.0119600000000002E-2</v>
      </c>
      <c r="AL18">
        <f t="shared" si="6"/>
        <v>18.555432098765429</v>
      </c>
      <c r="AM18">
        <f t="shared" si="7"/>
        <v>-1.1070523343333332</v>
      </c>
      <c r="AP18" s="9"/>
      <c r="AQ18" s="22">
        <v>1.80969</v>
      </c>
      <c r="AR18" s="22">
        <v>24.223299999999998</v>
      </c>
      <c r="AS18" s="22">
        <v>-6.3873300000000005E-4</v>
      </c>
      <c r="AT18" s="22">
        <v>8</v>
      </c>
      <c r="AU18" s="22">
        <v>1.80847</v>
      </c>
      <c r="AV18">
        <f t="shared" si="8"/>
        <v>0.78855925925925918</v>
      </c>
      <c r="AW18">
        <f t="shared" si="9"/>
        <v>1.4270478058888887</v>
      </c>
      <c r="AX18" s="9"/>
      <c r="AY18" s="22">
        <v>-5.9661899999999997E-2</v>
      </c>
      <c r="AZ18" s="22">
        <v>28.1432</v>
      </c>
      <c r="BA18" s="22">
        <v>-1.5048199999999999E-2</v>
      </c>
      <c r="BB18" s="22">
        <v>8</v>
      </c>
      <c r="BC18" s="22">
        <v>-6.0028100000000001E-2</v>
      </c>
      <c r="BD18">
        <f t="shared" si="10"/>
        <v>18.578024691358021</v>
      </c>
      <c r="BE18">
        <f t="shared" si="11"/>
        <v>-1.1084002513333331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5.2849599999999999</v>
      </c>
      <c r="I19" s="22">
        <v>-3.9892599999999997E-3</v>
      </c>
      <c r="J19" s="22">
        <v>9</v>
      </c>
      <c r="K19" s="22">
        <v>1.80359</v>
      </c>
      <c r="L19">
        <f t="shared" si="0"/>
        <v>4.9250123456790114</v>
      </c>
      <c r="M19">
        <f t="shared" si="1"/>
        <v>8.8879727797530848</v>
      </c>
      <c r="N19" s="9"/>
      <c r="O19" s="22">
        <v>-5.4626500000000001E-2</v>
      </c>
      <c r="P19" s="22">
        <v>9.20486</v>
      </c>
      <c r="Q19" s="22">
        <v>-1.4978E-2</v>
      </c>
      <c r="R19" s="22">
        <v>9</v>
      </c>
      <c r="S19" s="22">
        <v>-5.5267299999999998E-2</v>
      </c>
      <c r="T19">
        <f t="shared" si="2"/>
        <v>18.491358024691355</v>
      </c>
      <c r="U19">
        <f t="shared" si="3"/>
        <v>-1.0101181691358023</v>
      </c>
      <c r="V19" s="23"/>
      <c r="W19" s="24"/>
      <c r="X19" s="9"/>
      <c r="Y19" s="22">
        <v>1.8046599999999999</v>
      </c>
      <c r="Z19" s="22">
        <v>14.7502</v>
      </c>
      <c r="AA19" s="22">
        <v>-2.5006099999999999E-3</v>
      </c>
      <c r="AB19" s="22">
        <v>9</v>
      </c>
      <c r="AC19" s="22">
        <v>1.80389</v>
      </c>
      <c r="AD19">
        <f t="shared" si="4"/>
        <v>3.0871728395061724</v>
      </c>
      <c r="AE19">
        <f t="shared" si="5"/>
        <v>5.5712973365432088</v>
      </c>
      <c r="AF19" s="9"/>
      <c r="AG19" s="22">
        <v>-5.4626500000000001E-2</v>
      </c>
      <c r="AH19" s="22">
        <v>18.670100000000001</v>
      </c>
      <c r="AI19" s="22">
        <v>-1.50238E-2</v>
      </c>
      <c r="AJ19" s="22">
        <v>9</v>
      </c>
      <c r="AK19" s="22">
        <v>-5.4840100000000003E-2</v>
      </c>
      <c r="AL19">
        <f t="shared" si="6"/>
        <v>18.547901234567902</v>
      </c>
      <c r="AM19">
        <f t="shared" si="7"/>
        <v>-1.0132069267901236</v>
      </c>
      <c r="AP19" s="9"/>
      <c r="AQ19" s="22">
        <v>1.8046599999999999</v>
      </c>
      <c r="AR19" s="22">
        <v>24.2334</v>
      </c>
      <c r="AS19" s="22">
        <v>-1.8844599999999999E-3</v>
      </c>
      <c r="AT19" s="22">
        <v>9</v>
      </c>
      <c r="AU19" s="22">
        <v>1.80359</v>
      </c>
      <c r="AV19">
        <f t="shared" si="8"/>
        <v>2.3264938271604936</v>
      </c>
      <c r="AW19">
        <f t="shared" si="9"/>
        <v>4.1985303501234563</v>
      </c>
      <c r="AX19" s="9"/>
      <c r="AY19" s="22">
        <v>-5.4626500000000001E-2</v>
      </c>
      <c r="AZ19" s="22">
        <v>28.153300000000002</v>
      </c>
      <c r="BA19" s="22">
        <v>-1.50391E-2</v>
      </c>
      <c r="BB19" s="22">
        <v>9</v>
      </c>
      <c r="BC19" s="22">
        <v>-5.5053699999999997E-2</v>
      </c>
      <c r="BD19">
        <f t="shared" si="10"/>
        <v>18.566790123456791</v>
      </c>
      <c r="BE19">
        <f t="shared" si="11"/>
        <v>-1.0142387606790124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5.2950299999999997</v>
      </c>
      <c r="I20" s="22">
        <v>-4.74487E-3</v>
      </c>
      <c r="J20" s="22">
        <v>10</v>
      </c>
      <c r="K20" s="22">
        <v>1.7984</v>
      </c>
      <c r="L20">
        <f t="shared" si="0"/>
        <v>5.8578641975308638</v>
      </c>
      <c r="M20">
        <f t="shared" si="1"/>
        <v>10.541929567160492</v>
      </c>
      <c r="N20" s="9"/>
      <c r="O20" s="22">
        <v>-4.9591099999999999E-2</v>
      </c>
      <c r="P20" s="22">
        <v>9.2149400000000004</v>
      </c>
      <c r="Q20" s="22">
        <v>-1.4975E-2</v>
      </c>
      <c r="R20" s="22">
        <v>10</v>
      </c>
      <c r="S20" s="22">
        <v>-5.0018300000000002E-2</v>
      </c>
      <c r="T20">
        <f t="shared" si="2"/>
        <v>18.487654320987652</v>
      </c>
      <c r="U20">
        <f t="shared" si="3"/>
        <v>-0.91682311419753071</v>
      </c>
      <c r="V20" s="23"/>
      <c r="W20" s="24"/>
      <c r="X20" s="9"/>
      <c r="Y20" s="22">
        <v>1.79962</v>
      </c>
      <c r="Z20" s="22">
        <v>14.760300000000001</v>
      </c>
      <c r="AA20" s="22">
        <v>-3.4991499999999999E-3</v>
      </c>
      <c r="AB20" s="22">
        <v>10</v>
      </c>
      <c r="AC20" s="22">
        <v>1.79871</v>
      </c>
      <c r="AD20">
        <f t="shared" si="4"/>
        <v>4.3199382716049382</v>
      </c>
      <c r="AE20">
        <f t="shared" si="5"/>
        <v>7.774247312345679</v>
      </c>
      <c r="AF20" s="9"/>
      <c r="AG20" s="22">
        <v>-4.9591099999999999E-2</v>
      </c>
      <c r="AH20" s="22">
        <v>18.680199999999999</v>
      </c>
      <c r="AI20" s="22">
        <v>-1.5020800000000001E-2</v>
      </c>
      <c r="AJ20" s="22">
        <v>10</v>
      </c>
      <c r="AK20" s="22">
        <v>-4.99268E-2</v>
      </c>
      <c r="AL20">
        <f t="shared" si="6"/>
        <v>18.544197530864199</v>
      </c>
      <c r="AM20">
        <f t="shared" si="7"/>
        <v>-0.91962715417283958</v>
      </c>
      <c r="AP20" s="9"/>
      <c r="AQ20" s="22">
        <v>1.79962</v>
      </c>
      <c r="AR20" s="22">
        <v>24.243500000000001</v>
      </c>
      <c r="AS20" s="22">
        <v>-2.90588E-3</v>
      </c>
      <c r="AT20" s="22">
        <v>10</v>
      </c>
      <c r="AU20" s="22">
        <v>1.7981</v>
      </c>
      <c r="AV20">
        <f t="shared" si="8"/>
        <v>3.5875061728395061</v>
      </c>
      <c r="AW20">
        <f t="shared" si="9"/>
        <v>6.4561478587654317</v>
      </c>
      <c r="AX20" s="9"/>
      <c r="AY20" s="22">
        <v>-4.9591099999999999E-2</v>
      </c>
      <c r="AZ20" s="22">
        <v>28.163399999999999</v>
      </c>
      <c r="BA20" s="22">
        <v>-1.5036000000000001E-2</v>
      </c>
      <c r="BB20" s="22">
        <v>10</v>
      </c>
      <c r="BC20" s="22">
        <v>-5.0262500000000002E-2</v>
      </c>
      <c r="BD20">
        <f t="shared" si="10"/>
        <v>18.562962962962963</v>
      </c>
      <c r="BE20">
        <f t="shared" si="11"/>
        <v>-0.92055775259259265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5.30511</v>
      </c>
      <c r="I21" s="22">
        <v>-5.45044E-3</v>
      </c>
      <c r="J21" s="22">
        <v>11</v>
      </c>
      <c r="K21" s="22">
        <v>1.79382</v>
      </c>
      <c r="L21">
        <f t="shared" si="0"/>
        <v>6.728938271604938</v>
      </c>
      <c r="M21">
        <f t="shared" si="1"/>
        <v>12.075685332839505</v>
      </c>
      <c r="N21" s="9"/>
      <c r="O21" s="22">
        <v>-4.4555699999999997E-2</v>
      </c>
      <c r="P21" s="22">
        <v>9.2250099999999993</v>
      </c>
      <c r="Q21" s="22">
        <v>-1.49689E-2</v>
      </c>
      <c r="R21" s="22">
        <v>11</v>
      </c>
      <c r="S21" s="22">
        <v>-4.4647199999999998E-2</v>
      </c>
      <c r="T21">
        <f t="shared" si="2"/>
        <v>18.480123456790125</v>
      </c>
      <c r="U21">
        <f t="shared" si="3"/>
        <v>-0.82339483670370373</v>
      </c>
      <c r="V21" s="23"/>
      <c r="W21" s="24"/>
      <c r="X21" s="9"/>
      <c r="Y21" s="22">
        <v>1.7945899999999999</v>
      </c>
      <c r="Z21" s="22">
        <v>14.770300000000001</v>
      </c>
      <c r="AA21" s="22">
        <v>-4.3264799999999997E-3</v>
      </c>
      <c r="AB21" s="22">
        <v>11</v>
      </c>
      <c r="AC21" s="22">
        <v>1.79382</v>
      </c>
      <c r="AD21">
        <f t="shared" si="4"/>
        <v>5.3413333333333322</v>
      </c>
      <c r="AE21">
        <f t="shared" si="5"/>
        <v>9.5855033866666641</v>
      </c>
      <c r="AF21" s="9"/>
      <c r="AG21" s="22">
        <v>-4.4555699999999997E-2</v>
      </c>
      <c r="AH21" s="22">
        <v>18.690300000000001</v>
      </c>
      <c r="AI21" s="22">
        <v>-1.50177E-2</v>
      </c>
      <c r="AJ21" s="22">
        <v>11</v>
      </c>
      <c r="AK21" s="22">
        <v>-4.4903600000000002E-2</v>
      </c>
      <c r="AL21">
        <f t="shared" si="6"/>
        <v>18.540370370370372</v>
      </c>
      <c r="AM21">
        <f t="shared" si="7"/>
        <v>-0.82607918011111114</v>
      </c>
      <c r="AP21" s="9"/>
      <c r="AQ21" s="22">
        <v>1.7945899999999999</v>
      </c>
      <c r="AR21" s="22">
        <v>24.253599999999999</v>
      </c>
      <c r="AS21" s="22">
        <v>-3.86383E-3</v>
      </c>
      <c r="AT21" s="22">
        <v>11</v>
      </c>
      <c r="AU21" s="22">
        <v>1.79352</v>
      </c>
      <c r="AV21">
        <f t="shared" si="8"/>
        <v>4.7701604938271602</v>
      </c>
      <c r="AW21">
        <f t="shared" si="9"/>
        <v>8.5604823206172824</v>
      </c>
      <c r="AX21" s="9"/>
      <c r="AY21" s="22">
        <v>-4.4555699999999997E-2</v>
      </c>
      <c r="AZ21" s="22">
        <v>28.173500000000001</v>
      </c>
      <c r="BA21" s="22">
        <v>-1.5032999999999999E-2</v>
      </c>
      <c r="BB21" s="22">
        <v>11</v>
      </c>
      <c r="BC21" s="22">
        <v>-4.4860799999999999E-2</v>
      </c>
      <c r="BD21">
        <f t="shared" si="10"/>
        <v>18.559259259259257</v>
      </c>
      <c r="BE21">
        <f t="shared" si="11"/>
        <v>-0.82692078777777756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5.3151799999999998</v>
      </c>
      <c r="I22" s="22">
        <v>-6.0394300000000001E-3</v>
      </c>
      <c r="J22" s="22">
        <v>12</v>
      </c>
      <c r="K22" s="22">
        <v>1.78894</v>
      </c>
      <c r="L22">
        <f t="shared" si="0"/>
        <v>7.4560864197530865</v>
      </c>
      <c r="M22">
        <f t="shared" si="1"/>
        <v>13.343039452469135</v>
      </c>
      <c r="N22" s="9"/>
      <c r="O22" s="22">
        <v>-3.9520300000000001E-2</v>
      </c>
      <c r="P22" s="22">
        <v>9.23508</v>
      </c>
      <c r="Q22" s="22">
        <v>-1.49658E-2</v>
      </c>
      <c r="R22" s="22">
        <v>12</v>
      </c>
      <c r="S22" s="22">
        <v>-3.9706400000000003E-2</v>
      </c>
      <c r="T22">
        <f t="shared" si="2"/>
        <v>18.476296296296297</v>
      </c>
      <c r="U22">
        <f t="shared" si="3"/>
        <v>-0.73018877251851855</v>
      </c>
      <c r="V22" s="23"/>
      <c r="W22" s="24"/>
      <c r="X22" s="9"/>
      <c r="Y22" s="22">
        <v>1.78955</v>
      </c>
      <c r="Z22" s="22">
        <v>14.7804</v>
      </c>
      <c r="AA22" s="22">
        <v>-5.0903299999999997E-3</v>
      </c>
      <c r="AB22" s="22">
        <v>12</v>
      </c>
      <c r="AC22" s="22">
        <v>1.78833</v>
      </c>
      <c r="AD22">
        <f t="shared" si="4"/>
        <v>6.2843580246913566</v>
      </c>
      <c r="AE22">
        <f t="shared" si="5"/>
        <v>11.246172903086418</v>
      </c>
      <c r="AF22" s="9"/>
      <c r="AG22" s="22">
        <v>-3.9520300000000001E-2</v>
      </c>
      <c r="AH22" s="22">
        <v>18.700299999999999</v>
      </c>
      <c r="AI22" s="22">
        <v>-1.5008499999999999E-2</v>
      </c>
      <c r="AJ22" s="22">
        <v>12</v>
      </c>
      <c r="AK22" s="22">
        <v>-3.9846800000000002E-2</v>
      </c>
      <c r="AL22">
        <f t="shared" si="6"/>
        <v>18.529012345679011</v>
      </c>
      <c r="AM22">
        <f t="shared" si="7"/>
        <v>-0.73227212660493823</v>
      </c>
      <c r="AP22" s="9"/>
      <c r="AQ22" s="22">
        <v>1.78955</v>
      </c>
      <c r="AR22" s="22">
        <v>24.2636</v>
      </c>
      <c r="AS22" s="22">
        <v>-4.6374500000000004E-3</v>
      </c>
      <c r="AT22" s="22">
        <v>12</v>
      </c>
      <c r="AU22" s="22">
        <v>1.78833</v>
      </c>
      <c r="AV22">
        <f t="shared" si="8"/>
        <v>5.7252469135802473</v>
      </c>
      <c r="AW22">
        <f t="shared" si="9"/>
        <v>10.245615614197531</v>
      </c>
      <c r="AX22" s="9"/>
      <c r="AY22" s="22">
        <v>-3.9520300000000001E-2</v>
      </c>
      <c r="AZ22" s="22">
        <v>28.183499999999999</v>
      </c>
      <c r="BA22" s="22">
        <v>-1.5032999999999999E-2</v>
      </c>
      <c r="BB22" s="22">
        <v>12</v>
      </c>
      <c r="BC22" s="22">
        <v>-3.9743000000000001E-2</v>
      </c>
      <c r="BD22">
        <f t="shared" si="10"/>
        <v>18.559259259259257</v>
      </c>
      <c r="BE22">
        <f t="shared" si="11"/>
        <v>-0.73346749370370368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5.3252499999999996</v>
      </c>
      <c r="I23" s="22">
        <v>-6.6009500000000004E-3</v>
      </c>
      <c r="J23" s="22">
        <v>13</v>
      </c>
      <c r="K23" s="22">
        <v>1.78345</v>
      </c>
      <c r="L23">
        <f t="shared" si="0"/>
        <v>8.1493209876543204</v>
      </c>
      <c r="M23">
        <f t="shared" si="1"/>
        <v>14.542626288888888</v>
      </c>
      <c r="N23" s="9"/>
      <c r="O23" s="22">
        <v>-3.4484899999999999E-2</v>
      </c>
      <c r="P23" s="22">
        <v>9.2451500000000006</v>
      </c>
      <c r="Q23" s="22">
        <v>-1.4959699999999999E-2</v>
      </c>
      <c r="R23" s="22">
        <v>13</v>
      </c>
      <c r="S23" s="22">
        <v>-3.4704600000000002E-2</v>
      </c>
      <c r="T23">
        <f t="shared" si="2"/>
        <v>18.468765432098763</v>
      </c>
      <c r="U23">
        <f t="shared" si="3"/>
        <v>-0.63689352904938257</v>
      </c>
      <c r="V23" s="23"/>
      <c r="W23" s="24"/>
      <c r="X23" s="9"/>
      <c r="Y23" s="22">
        <v>1.7845200000000001</v>
      </c>
      <c r="Z23" s="22">
        <v>14.7905</v>
      </c>
      <c r="AA23" s="22">
        <v>-5.7220500000000002E-3</v>
      </c>
      <c r="AB23" s="22">
        <v>13</v>
      </c>
      <c r="AC23" s="22">
        <v>1.7837499999999999</v>
      </c>
      <c r="AD23">
        <f t="shared" si="4"/>
        <v>7.0642592592592592</v>
      </c>
      <c r="AE23">
        <f t="shared" si="5"/>
        <v>12.606311933333334</v>
      </c>
      <c r="AF23" s="9"/>
      <c r="AG23" s="22">
        <v>-3.4484899999999999E-2</v>
      </c>
      <c r="AH23" s="22">
        <v>18.7104</v>
      </c>
      <c r="AI23" s="22">
        <v>-1.49994E-2</v>
      </c>
      <c r="AJ23" s="22">
        <v>13</v>
      </c>
      <c r="AK23" s="22">
        <v>-3.4762599999999998E-2</v>
      </c>
      <c r="AL23">
        <f t="shared" si="6"/>
        <v>18.517777777777777</v>
      </c>
      <c r="AM23">
        <f t="shared" si="7"/>
        <v>-0.63858371488888888</v>
      </c>
      <c r="AP23" s="9"/>
      <c r="AQ23" s="22">
        <v>1.7845200000000001</v>
      </c>
      <c r="AR23" s="22">
        <v>24.273700000000002</v>
      </c>
      <c r="AS23" s="22">
        <v>-5.3772000000000004E-3</v>
      </c>
      <c r="AT23" s="22">
        <v>13</v>
      </c>
      <c r="AU23" s="22">
        <v>1.78345</v>
      </c>
      <c r="AV23">
        <f t="shared" si="8"/>
        <v>6.6385185185185183</v>
      </c>
      <c r="AW23">
        <f t="shared" si="9"/>
        <v>11.846569066666667</v>
      </c>
      <c r="AX23" s="9"/>
      <c r="AY23" s="22">
        <v>-3.4484899999999999E-2</v>
      </c>
      <c r="AZ23" s="22">
        <v>28.1936</v>
      </c>
      <c r="BA23" s="22">
        <v>-1.5026899999999999E-2</v>
      </c>
      <c r="BB23" s="22">
        <v>13</v>
      </c>
      <c r="BC23" s="22">
        <v>-3.47137E-2</v>
      </c>
      <c r="BD23">
        <f t="shared" si="10"/>
        <v>18.551728395061726</v>
      </c>
      <c r="BE23">
        <f t="shared" si="11"/>
        <v>-0.63975449853086408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5.3353200000000003</v>
      </c>
      <c r="I24" s="22">
        <v>-7.0800799999999999E-3</v>
      </c>
      <c r="J24" s="22">
        <v>14</v>
      </c>
      <c r="K24" s="22">
        <v>1.7785599999999999</v>
      </c>
      <c r="L24">
        <f t="shared" si="0"/>
        <v>8.7408395061728381</v>
      </c>
      <c r="M24">
        <f t="shared" si="1"/>
        <v>15.554149084444441</v>
      </c>
      <c r="N24" s="9"/>
      <c r="O24" s="22">
        <v>-2.94495E-2</v>
      </c>
      <c r="P24" s="22">
        <v>9.2552199999999996</v>
      </c>
      <c r="Q24" s="22">
        <v>-1.4953599999999999E-2</v>
      </c>
      <c r="R24" s="22">
        <v>14</v>
      </c>
      <c r="S24" s="22">
        <v>-2.96814E-2</v>
      </c>
      <c r="T24">
        <f t="shared" si="2"/>
        <v>18.461234567901233</v>
      </c>
      <c r="U24">
        <f t="shared" si="3"/>
        <v>-0.54367412740740739</v>
      </c>
      <c r="V24" s="23"/>
      <c r="W24" s="24"/>
      <c r="X24" s="9"/>
      <c r="Y24" s="22">
        <v>1.77948</v>
      </c>
      <c r="Z24" s="22">
        <v>14.8005</v>
      </c>
      <c r="AA24" s="22">
        <v>-6.3201899999999998E-3</v>
      </c>
      <c r="AB24" s="22">
        <v>14</v>
      </c>
      <c r="AC24" s="22">
        <v>1.7785599999999999</v>
      </c>
      <c r="AD24">
        <f t="shared" si="4"/>
        <v>7.8027037037037035</v>
      </c>
      <c r="AE24">
        <f t="shared" si="5"/>
        <v>13.884755186666666</v>
      </c>
      <c r="AF24" s="9"/>
      <c r="AG24" s="22">
        <v>-2.94495E-2</v>
      </c>
      <c r="AH24" s="22">
        <v>18.720500000000001</v>
      </c>
      <c r="AI24" s="22">
        <v>-1.4993299999999999E-2</v>
      </c>
      <c r="AJ24" s="22">
        <v>14</v>
      </c>
      <c r="AK24" s="22">
        <v>-2.96539E-2</v>
      </c>
      <c r="AL24">
        <f t="shared" si="6"/>
        <v>18.510246913580243</v>
      </c>
      <c r="AM24">
        <f t="shared" si="7"/>
        <v>-0.54511751648148132</v>
      </c>
      <c r="AP24" s="9"/>
      <c r="AQ24" s="22">
        <v>1.77948</v>
      </c>
      <c r="AR24" s="22">
        <v>24.283799999999999</v>
      </c>
      <c r="AS24" s="22">
        <v>-5.9722899999999999E-3</v>
      </c>
      <c r="AT24" s="22">
        <v>14</v>
      </c>
      <c r="AU24" s="22">
        <v>1.7785599999999999</v>
      </c>
      <c r="AV24">
        <f t="shared" si="8"/>
        <v>7.3731975308641973</v>
      </c>
      <c r="AW24">
        <f t="shared" si="9"/>
        <v>13.120457542222221</v>
      </c>
      <c r="AX24" s="9"/>
      <c r="AY24" s="22">
        <v>-2.94495E-2</v>
      </c>
      <c r="AZ24" s="22">
        <v>28.203700000000001</v>
      </c>
      <c r="BA24" s="22">
        <v>-1.50238E-2</v>
      </c>
      <c r="BB24" s="22">
        <v>14</v>
      </c>
      <c r="BC24" s="22">
        <v>-2.96387E-2</v>
      </c>
      <c r="BD24">
        <f t="shared" si="10"/>
        <v>18.547901234567902</v>
      </c>
      <c r="BE24">
        <f t="shared" si="11"/>
        <v>-0.54622641740740741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5.3453900000000001</v>
      </c>
      <c r="I25" s="22">
        <v>-7.5439499999999998E-3</v>
      </c>
      <c r="J25" s="22">
        <v>15</v>
      </c>
      <c r="K25" s="22">
        <v>1.7736799999999999</v>
      </c>
      <c r="L25">
        <f t="shared" si="0"/>
        <v>9.3135185185185172</v>
      </c>
      <c r="M25">
        <f t="shared" si="1"/>
        <v>16.526279799999998</v>
      </c>
      <c r="N25" s="9"/>
      <c r="O25" s="22">
        <v>-2.4414100000000001E-2</v>
      </c>
      <c r="P25" s="22">
        <v>9.2652900000000002</v>
      </c>
      <c r="Q25" s="22">
        <v>-1.4944499999999999E-2</v>
      </c>
      <c r="R25" s="22">
        <v>15</v>
      </c>
      <c r="S25" s="22">
        <v>-2.4600199999999999E-2</v>
      </c>
      <c r="T25">
        <f t="shared" si="2"/>
        <v>18.45</v>
      </c>
      <c r="U25">
        <f t="shared" si="3"/>
        <v>-0.45044014500000001</v>
      </c>
      <c r="V25" s="23"/>
      <c r="W25" s="24"/>
      <c r="X25" s="9"/>
      <c r="Y25" s="22">
        <v>1.77444</v>
      </c>
      <c r="Z25" s="22">
        <v>14.810600000000001</v>
      </c>
      <c r="AA25" s="22">
        <v>-6.8176299999999999E-3</v>
      </c>
      <c r="AB25" s="22">
        <v>15</v>
      </c>
      <c r="AC25" s="22">
        <v>1.77399</v>
      </c>
      <c r="AD25">
        <f t="shared" si="4"/>
        <v>8.4168271604938258</v>
      </c>
      <c r="AE25">
        <f t="shared" si="5"/>
        <v>14.935154786666665</v>
      </c>
      <c r="AF25" s="9"/>
      <c r="AG25" s="22">
        <v>-2.4414100000000001E-2</v>
      </c>
      <c r="AH25" s="22">
        <v>18.730499999999999</v>
      </c>
      <c r="AI25" s="22">
        <v>-1.4981100000000001E-2</v>
      </c>
      <c r="AJ25" s="22">
        <v>15</v>
      </c>
      <c r="AK25" s="22">
        <v>-2.4484300000000001E-2</v>
      </c>
      <c r="AL25">
        <f t="shared" si="6"/>
        <v>18.495185185185186</v>
      </c>
      <c r="AM25">
        <f t="shared" si="7"/>
        <v>-0.45154330062962966</v>
      </c>
      <c r="AP25" s="9"/>
      <c r="AQ25" s="22">
        <v>1.77444</v>
      </c>
      <c r="AR25" s="22">
        <v>24.293800000000001</v>
      </c>
      <c r="AS25" s="22">
        <v>-6.5490699999999997E-3</v>
      </c>
      <c r="AT25" s="22">
        <v>15</v>
      </c>
      <c r="AU25" s="22">
        <v>1.77338</v>
      </c>
      <c r="AV25">
        <f t="shared" si="8"/>
        <v>8.0852716049382707</v>
      </c>
      <c r="AW25">
        <f t="shared" si="9"/>
        <v>14.346829346666665</v>
      </c>
      <c r="AX25" s="9"/>
      <c r="AY25" s="22">
        <v>-2.4414100000000001E-2</v>
      </c>
      <c r="AZ25" s="22">
        <v>28.213699999999999</v>
      </c>
      <c r="BA25" s="22">
        <v>-1.5020800000000001E-2</v>
      </c>
      <c r="BB25" s="22">
        <v>15</v>
      </c>
      <c r="BC25" s="22">
        <v>-2.46124E-2</v>
      </c>
      <c r="BD25">
        <f t="shared" si="10"/>
        <v>18.544197530864199</v>
      </c>
      <c r="BE25">
        <f t="shared" si="11"/>
        <v>-0.45273989293827166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5.3554599999999999</v>
      </c>
      <c r="I26" s="22">
        <v>-7.92847E-3</v>
      </c>
      <c r="J26" s="22">
        <v>16</v>
      </c>
      <c r="K26" s="22">
        <v>1.7684899999999999</v>
      </c>
      <c r="L26">
        <f t="shared" si="0"/>
        <v>9.7882345679012346</v>
      </c>
      <c r="M26">
        <f t="shared" si="1"/>
        <v>17.319400126790121</v>
      </c>
      <c r="N26" s="9"/>
      <c r="O26" s="22">
        <v>-1.9378699999999999E-2</v>
      </c>
      <c r="P26" s="22">
        <v>9.2753599999999992</v>
      </c>
      <c r="Q26" s="22">
        <v>-1.4941400000000001E-2</v>
      </c>
      <c r="R26" s="22">
        <v>16</v>
      </c>
      <c r="S26" s="22">
        <v>-1.95526E-2</v>
      </c>
      <c r="T26">
        <f t="shared" si="2"/>
        <v>18.446172839506172</v>
      </c>
      <c r="U26">
        <f t="shared" si="3"/>
        <v>-0.35746284960493824</v>
      </c>
      <c r="V26" s="23"/>
      <c r="W26" s="24"/>
      <c r="X26" s="9"/>
      <c r="Y26" s="22">
        <v>1.7694099999999999</v>
      </c>
      <c r="Z26" s="22">
        <v>14.8207</v>
      </c>
      <c r="AA26" s="22">
        <v>-7.2845499999999999E-3</v>
      </c>
      <c r="AB26" s="22">
        <v>16</v>
      </c>
      <c r="AC26" s="22">
        <v>1.7681899999999999</v>
      </c>
      <c r="AD26">
        <f t="shared" si="4"/>
        <v>8.9932716049382702</v>
      </c>
      <c r="AE26">
        <f t="shared" si="5"/>
        <v>15.912784710493824</v>
      </c>
      <c r="AF26" s="9"/>
      <c r="AG26" s="22">
        <v>-1.9378699999999999E-2</v>
      </c>
      <c r="AH26" s="22">
        <v>18.740600000000001</v>
      </c>
      <c r="AI26" s="22">
        <v>-1.4975E-2</v>
      </c>
      <c r="AJ26" s="22">
        <v>16</v>
      </c>
      <c r="AK26" s="22">
        <v>-1.97845E-2</v>
      </c>
      <c r="AL26">
        <f t="shared" si="6"/>
        <v>18.487654320987652</v>
      </c>
      <c r="AM26">
        <f t="shared" si="7"/>
        <v>-0.3582667067901234</v>
      </c>
      <c r="AP26" s="9"/>
      <c r="AQ26" s="22">
        <v>1.7694099999999999</v>
      </c>
      <c r="AR26" s="22">
        <v>24.303899999999999</v>
      </c>
      <c r="AS26" s="22">
        <v>-7.0373500000000004E-3</v>
      </c>
      <c r="AT26" s="22">
        <v>16</v>
      </c>
      <c r="AU26" s="22">
        <v>1.7684899999999999</v>
      </c>
      <c r="AV26">
        <f t="shared" si="8"/>
        <v>8.6880864197530858</v>
      </c>
      <c r="AW26">
        <f t="shared" si="9"/>
        <v>15.372786991975307</v>
      </c>
      <c r="AX26" s="9"/>
      <c r="AY26" s="22">
        <v>-1.9378699999999999E-2</v>
      </c>
      <c r="AZ26" s="22">
        <v>28.223800000000001</v>
      </c>
      <c r="BA26" s="22">
        <v>-1.50116E-2</v>
      </c>
      <c r="BB26" s="22">
        <v>16</v>
      </c>
      <c r="BC26" s="22">
        <v>-1.9616700000000001E-2</v>
      </c>
      <c r="BD26">
        <f t="shared" si="10"/>
        <v>18.532839506172838</v>
      </c>
      <c r="BE26">
        <f t="shared" si="11"/>
        <v>-0.35914233693827158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5.3655299999999997</v>
      </c>
      <c r="I27" s="22">
        <v>-8.2977299999999997E-3</v>
      </c>
      <c r="J27" s="22">
        <v>17</v>
      </c>
      <c r="K27" s="22">
        <v>1.7633099999999999</v>
      </c>
      <c r="L27">
        <f t="shared" si="0"/>
        <v>10.24411111111111</v>
      </c>
      <c r="M27">
        <f t="shared" si="1"/>
        <v>18.074402321111108</v>
      </c>
      <c r="N27" s="9"/>
      <c r="O27" s="22">
        <v>-1.43433E-2</v>
      </c>
      <c r="P27" s="22">
        <v>9.2854299999999999</v>
      </c>
      <c r="Q27" s="22">
        <v>-1.49353E-2</v>
      </c>
      <c r="R27" s="22">
        <v>17</v>
      </c>
      <c r="S27" s="22">
        <v>-1.4556899999999999E-2</v>
      </c>
      <c r="T27">
        <f t="shared" si="2"/>
        <v>18.438641975308641</v>
      </c>
      <c r="U27">
        <f t="shared" si="3"/>
        <v>-0.26447097344444442</v>
      </c>
      <c r="X27" s="9"/>
      <c r="Y27" s="22">
        <v>1.76437</v>
      </c>
      <c r="Z27" s="22">
        <v>14.8308</v>
      </c>
      <c r="AA27" s="22">
        <v>-7.69653E-3</v>
      </c>
      <c r="AB27" s="22">
        <v>17</v>
      </c>
      <c r="AC27" s="22">
        <v>1.7636099999999999</v>
      </c>
      <c r="AD27">
        <f t="shared" si="4"/>
        <v>9.5018888888888871</v>
      </c>
      <c r="AE27">
        <f t="shared" si="5"/>
        <v>16.764847698888886</v>
      </c>
      <c r="AF27" s="9"/>
      <c r="AG27" s="22">
        <v>-1.43433E-2</v>
      </c>
      <c r="AH27" s="22">
        <v>18.750699999999998</v>
      </c>
      <c r="AI27" s="22">
        <v>-1.49719E-2</v>
      </c>
      <c r="AJ27" s="22">
        <v>17</v>
      </c>
      <c r="AK27" s="22">
        <v>-1.45355E-2</v>
      </c>
      <c r="AL27">
        <f t="shared" si="6"/>
        <v>18.483827160493824</v>
      </c>
      <c r="AM27">
        <f t="shared" si="7"/>
        <v>-0.26511907811111107</v>
      </c>
      <c r="AP27" s="9"/>
      <c r="AQ27" s="22">
        <v>1.76437</v>
      </c>
      <c r="AR27" s="22">
        <v>24.314</v>
      </c>
      <c r="AS27" s="22">
        <v>-7.5134299999999998E-3</v>
      </c>
      <c r="AT27" s="22">
        <v>17</v>
      </c>
      <c r="AU27" s="22">
        <v>1.7633099999999999</v>
      </c>
      <c r="AV27">
        <f t="shared" si="8"/>
        <v>9.2758395061728383</v>
      </c>
      <c r="AW27">
        <f t="shared" si="9"/>
        <v>16.366012949506171</v>
      </c>
      <c r="AX27" s="9"/>
      <c r="AY27" s="22">
        <v>-1.43433E-2</v>
      </c>
      <c r="AZ27" s="22">
        <v>28.233899999999998</v>
      </c>
      <c r="BA27" s="22">
        <v>-1.5002400000000001E-2</v>
      </c>
      <c r="BB27" s="22">
        <v>17</v>
      </c>
      <c r="BC27" s="22">
        <v>-1.4559900000000001E-2</v>
      </c>
      <c r="BD27">
        <f t="shared" si="10"/>
        <v>18.521481481481484</v>
      </c>
      <c r="BE27">
        <f t="shared" si="11"/>
        <v>-0.26565916533333334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5.3756000000000004</v>
      </c>
      <c r="I28" s="22">
        <v>-8.6151100000000005E-3</v>
      </c>
      <c r="J28" s="22">
        <v>18</v>
      </c>
      <c r="K28" s="22">
        <v>1.7584200000000001</v>
      </c>
      <c r="L28">
        <f t="shared" si="0"/>
        <v>10.635938271604937</v>
      </c>
      <c r="M28">
        <f t="shared" si="1"/>
        <v>18.712231638765427</v>
      </c>
      <c r="N28" s="9"/>
      <c r="O28" s="22">
        <v>-9.3078599999999994E-3</v>
      </c>
      <c r="P28" s="22">
        <v>9.2955000000000005</v>
      </c>
      <c r="Q28" s="22">
        <v>-1.49353E-2</v>
      </c>
      <c r="R28" s="22">
        <v>18</v>
      </c>
      <c r="S28" s="22">
        <v>-9.50317E-3</v>
      </c>
      <c r="T28">
        <f t="shared" si="2"/>
        <v>18.438641975308641</v>
      </c>
      <c r="U28">
        <f t="shared" si="3"/>
        <v>-0.17162429809629628</v>
      </c>
      <c r="X28" s="9"/>
      <c r="Y28" s="22">
        <v>1.7593399999999999</v>
      </c>
      <c r="Z28" s="22">
        <v>14.8408</v>
      </c>
      <c r="AA28" s="22">
        <v>-8.0932599999999997E-3</v>
      </c>
      <c r="AB28" s="22">
        <v>18</v>
      </c>
      <c r="AC28" s="22">
        <v>1.7581199999999999</v>
      </c>
      <c r="AD28">
        <f t="shared" si="4"/>
        <v>9.9916790123456778</v>
      </c>
      <c r="AE28">
        <f t="shared" si="5"/>
        <v>17.578760553580242</v>
      </c>
      <c r="AF28" s="9"/>
      <c r="AG28" s="22">
        <v>-9.3078599999999994E-3</v>
      </c>
      <c r="AH28" s="22">
        <v>18.7608</v>
      </c>
      <c r="AI28" s="22">
        <v>-1.49628E-2</v>
      </c>
      <c r="AJ28" s="22">
        <v>18</v>
      </c>
      <c r="AK28" s="22">
        <v>-9.5245399999999997E-3</v>
      </c>
      <c r="AL28">
        <f t="shared" si="6"/>
        <v>18.472592592592594</v>
      </c>
      <c r="AM28">
        <f t="shared" si="7"/>
        <v>-0.17194030568888891</v>
      </c>
      <c r="AP28" s="9"/>
      <c r="AQ28" s="22">
        <v>1.7593399999999999</v>
      </c>
      <c r="AR28" s="22">
        <v>24.324100000000001</v>
      </c>
      <c r="AS28" s="22">
        <v>-7.9162599999999996E-3</v>
      </c>
      <c r="AT28" s="22">
        <v>18</v>
      </c>
      <c r="AU28" s="22">
        <v>1.7593399999999999</v>
      </c>
      <c r="AV28">
        <f t="shared" si="8"/>
        <v>9.7731604938271595</v>
      </c>
      <c r="AW28">
        <f t="shared" si="9"/>
        <v>17.194312183209874</v>
      </c>
      <c r="AX28" s="9"/>
      <c r="AY28" s="22">
        <v>-9.3078599999999994E-3</v>
      </c>
      <c r="AZ28" s="22">
        <v>28.244</v>
      </c>
      <c r="BA28" s="22">
        <v>-1.4996300000000001E-2</v>
      </c>
      <c r="BB28" s="22">
        <v>18</v>
      </c>
      <c r="BC28" s="22">
        <v>-9.6099900000000005E-3</v>
      </c>
      <c r="BD28">
        <f t="shared" si="10"/>
        <v>18.51395061728395</v>
      </c>
      <c r="BE28">
        <f t="shared" si="11"/>
        <v>-0.17232526039259258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5.3856700000000002</v>
      </c>
      <c r="I29" s="22">
        <v>-8.9355500000000004E-3</v>
      </c>
      <c r="J29" s="22">
        <v>19</v>
      </c>
      <c r="K29" s="22">
        <v>1.7538499999999999</v>
      </c>
      <c r="L29">
        <f t="shared" si="0"/>
        <v>11.031543209876542</v>
      </c>
      <c r="M29">
        <f t="shared" si="1"/>
        <v>19.352636253086416</v>
      </c>
      <c r="N29" s="9"/>
      <c r="O29" s="22">
        <v>-4.2724599999999996E-3</v>
      </c>
      <c r="P29" s="22">
        <v>9.3055699999999995</v>
      </c>
      <c r="Q29" s="22">
        <v>-1.49353E-2</v>
      </c>
      <c r="R29" s="22">
        <v>19</v>
      </c>
      <c r="S29" s="22">
        <v>-4.4189499999999996E-3</v>
      </c>
      <c r="T29">
        <f t="shared" si="2"/>
        <v>18.438641975308641</v>
      </c>
      <c r="U29">
        <f t="shared" si="3"/>
        <v>-7.8778360293827149E-2</v>
      </c>
      <c r="X29" s="9"/>
      <c r="Y29" s="22">
        <v>1.7543</v>
      </c>
      <c r="Z29" s="22">
        <v>14.850899999999999</v>
      </c>
      <c r="AA29" s="22">
        <v>-8.4503200000000007E-3</v>
      </c>
      <c r="AB29" s="22">
        <v>19</v>
      </c>
      <c r="AC29" s="22">
        <v>1.7532300000000001</v>
      </c>
      <c r="AD29">
        <f t="shared" si="4"/>
        <v>10.432493827160494</v>
      </c>
      <c r="AE29">
        <f t="shared" si="5"/>
        <v>18.301723920987655</v>
      </c>
      <c r="AF29" s="9"/>
      <c r="AG29" s="22">
        <v>-4.2724599999999996E-3</v>
      </c>
      <c r="AH29" s="22">
        <v>18.770800000000001</v>
      </c>
      <c r="AI29" s="22">
        <v>-1.49567E-2</v>
      </c>
      <c r="AJ29" s="22">
        <v>19</v>
      </c>
      <c r="AK29" s="22">
        <v>-4.4525099999999998E-3</v>
      </c>
      <c r="AL29">
        <f t="shared" si="6"/>
        <v>18.46506172839506</v>
      </c>
      <c r="AM29">
        <f t="shared" si="7"/>
        <v>-7.8891237632098751E-2</v>
      </c>
      <c r="AP29" s="9"/>
      <c r="AQ29" s="22">
        <v>1.7543</v>
      </c>
      <c r="AR29" s="22">
        <v>24.334099999999999</v>
      </c>
      <c r="AS29" s="22">
        <v>-8.3068800000000009E-3</v>
      </c>
      <c r="AT29" s="22">
        <v>19</v>
      </c>
      <c r="AU29" s="22">
        <v>1.7538499999999999</v>
      </c>
      <c r="AV29">
        <f t="shared" si="8"/>
        <v>10.255407407407407</v>
      </c>
      <c r="AW29">
        <f t="shared" si="9"/>
        <v>17.991061214814813</v>
      </c>
      <c r="AX29" s="9"/>
      <c r="AY29" s="22">
        <v>-4.2724599999999996E-3</v>
      </c>
      <c r="AZ29" s="22">
        <v>28.254000000000001</v>
      </c>
      <c r="BA29" s="22">
        <v>-1.4993299999999999E-2</v>
      </c>
      <c r="BB29" s="22">
        <v>19</v>
      </c>
      <c r="BC29" s="22">
        <v>-4.5349099999999996E-3</v>
      </c>
      <c r="BD29">
        <f t="shared" si="10"/>
        <v>18.510246913580243</v>
      </c>
      <c r="BE29">
        <f t="shared" si="11"/>
        <v>-7.9084289528395038E-2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5.39574</v>
      </c>
      <c r="I30" s="22">
        <v>-9.2040999999999998E-3</v>
      </c>
      <c r="J30" s="22">
        <v>20</v>
      </c>
      <c r="K30" s="22">
        <v>1.7480500000000001</v>
      </c>
      <c r="L30">
        <f t="shared" si="0"/>
        <v>11.363086419753087</v>
      </c>
      <c r="M30">
        <f t="shared" si="1"/>
        <v>19.877106181481484</v>
      </c>
      <c r="N30" s="9"/>
      <c r="O30" s="22">
        <v>7.6293900000000002E-4</v>
      </c>
      <c r="P30" s="22">
        <v>9.3156499999999998</v>
      </c>
      <c r="Q30" s="22">
        <v>-1.49353E-2</v>
      </c>
      <c r="R30" s="22">
        <v>20</v>
      </c>
      <c r="S30" s="22">
        <v>7.1716300000000005E-4</v>
      </c>
      <c r="T30">
        <f t="shared" si="2"/>
        <v>18.438641975308641</v>
      </c>
      <c r="U30">
        <f t="shared" si="3"/>
        <v>1.4067559069999999E-2</v>
      </c>
      <c r="X30" s="9"/>
      <c r="Y30" s="22">
        <v>1.7492700000000001</v>
      </c>
      <c r="Z30" s="22">
        <v>14.861000000000001</v>
      </c>
      <c r="AA30" s="22">
        <v>-8.7799100000000001E-3</v>
      </c>
      <c r="AB30" s="22">
        <v>20</v>
      </c>
      <c r="AC30" s="22">
        <v>1.7486600000000001</v>
      </c>
      <c r="AD30">
        <f t="shared" si="4"/>
        <v>10.839395061728395</v>
      </c>
      <c r="AE30">
        <f t="shared" si="5"/>
        <v>18.961028599629628</v>
      </c>
      <c r="AF30" s="9"/>
      <c r="AG30" s="22">
        <v>7.6293900000000002E-4</v>
      </c>
      <c r="AH30" s="22">
        <v>18.780899999999999</v>
      </c>
      <c r="AI30" s="22">
        <v>-1.4953599999999999E-2</v>
      </c>
      <c r="AJ30" s="22">
        <v>20</v>
      </c>
      <c r="AK30" s="22">
        <v>6.7138699999999996E-4</v>
      </c>
      <c r="AL30">
        <f t="shared" si="6"/>
        <v>18.461234567901233</v>
      </c>
      <c r="AM30">
        <f t="shared" si="7"/>
        <v>1.4084795839999999E-2</v>
      </c>
      <c r="AP30" s="9"/>
      <c r="AQ30" s="22">
        <v>1.7492700000000001</v>
      </c>
      <c r="AR30" s="22">
        <v>24.344200000000001</v>
      </c>
      <c r="AS30" s="22">
        <v>-8.6425800000000004E-3</v>
      </c>
      <c r="AT30" s="22">
        <v>20</v>
      </c>
      <c r="AU30" s="22">
        <v>1.7483500000000001</v>
      </c>
      <c r="AV30">
        <f t="shared" si="8"/>
        <v>10.669851851851853</v>
      </c>
      <c r="AW30">
        <f t="shared" si="9"/>
        <v>18.66445174888889</v>
      </c>
      <c r="AX30" s="9"/>
      <c r="AY30" s="22">
        <v>7.6293900000000002E-4</v>
      </c>
      <c r="AZ30" s="22">
        <v>28.264099999999999</v>
      </c>
      <c r="BA30" s="22">
        <v>-1.49841E-2</v>
      </c>
      <c r="BB30" s="22">
        <v>20</v>
      </c>
      <c r="BC30" s="22">
        <v>6.7138699999999996E-4</v>
      </c>
      <c r="BD30">
        <f t="shared" si="10"/>
        <v>18.498888888888889</v>
      </c>
      <c r="BE30">
        <f t="shared" si="11"/>
        <v>1.4113523790000001E-2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5.4058200000000003</v>
      </c>
      <c r="I31" s="22">
        <v>-9.4787599999999993E-3</v>
      </c>
      <c r="J31" s="22">
        <v>21</v>
      </c>
      <c r="K31" s="22">
        <v>1.7434700000000001</v>
      </c>
      <c r="L31">
        <f t="shared" si="0"/>
        <v>11.702172839506172</v>
      </c>
      <c r="M31">
        <f t="shared" si="1"/>
        <v>20.411280931851849</v>
      </c>
      <c r="N31" s="9"/>
      <c r="O31" s="22">
        <v>5.7983399999999999E-3</v>
      </c>
      <c r="P31" s="22">
        <v>9.3257200000000005</v>
      </c>
      <c r="Q31" s="22">
        <v>-1.4932300000000001E-2</v>
      </c>
      <c r="R31" s="22">
        <v>21</v>
      </c>
      <c r="S31" s="22">
        <v>5.50842E-3</v>
      </c>
      <c r="T31">
        <f t="shared" si="2"/>
        <v>18.434938271604938</v>
      </c>
      <c r="U31">
        <f t="shared" si="3"/>
        <v>0.10689203997777778</v>
      </c>
      <c r="X31" s="9"/>
      <c r="Y31" s="22">
        <v>1.7442299999999999</v>
      </c>
      <c r="Z31" s="22">
        <v>14.871</v>
      </c>
      <c r="AA31" s="22">
        <v>-9.0820299999999996E-3</v>
      </c>
      <c r="AB31" s="22">
        <v>21</v>
      </c>
      <c r="AC31" s="22">
        <v>1.74316</v>
      </c>
      <c r="AD31">
        <f t="shared" si="4"/>
        <v>11.212382716049381</v>
      </c>
      <c r="AE31">
        <f t="shared" si="5"/>
        <v>19.556974304814812</v>
      </c>
      <c r="AF31" s="9"/>
      <c r="AG31" s="22">
        <v>5.7983399999999999E-3</v>
      </c>
      <c r="AH31" s="22">
        <v>18.791</v>
      </c>
      <c r="AI31" s="22">
        <v>-1.49506E-2</v>
      </c>
      <c r="AJ31" s="22">
        <v>21</v>
      </c>
      <c r="AK31" s="22">
        <v>5.6366000000000003E-3</v>
      </c>
      <c r="AL31">
        <f t="shared" si="6"/>
        <v>18.45753086419753</v>
      </c>
      <c r="AM31">
        <f t="shared" si="7"/>
        <v>0.1070230395111111</v>
      </c>
      <c r="AP31" s="9"/>
      <c r="AQ31" s="22">
        <v>1.7442299999999999</v>
      </c>
      <c r="AR31" s="22">
        <v>24.354299999999999</v>
      </c>
      <c r="AS31" s="22">
        <v>-8.9599599999999995E-3</v>
      </c>
      <c r="AT31" s="22">
        <v>21</v>
      </c>
      <c r="AU31" s="22">
        <v>1.74316</v>
      </c>
      <c r="AV31">
        <f t="shared" si="8"/>
        <v>11.061679012345678</v>
      </c>
      <c r="AW31">
        <f t="shared" si="9"/>
        <v>19.294112383703702</v>
      </c>
      <c r="AX31" s="9"/>
      <c r="AY31" s="22">
        <v>5.7983399999999999E-3</v>
      </c>
      <c r="AZ31" s="22">
        <v>28.2742</v>
      </c>
      <c r="BA31" s="22">
        <v>-1.4978E-2</v>
      </c>
      <c r="BB31" s="22">
        <v>21</v>
      </c>
      <c r="BC31" s="22">
        <v>5.5786100000000003E-3</v>
      </c>
      <c r="BD31">
        <f t="shared" si="10"/>
        <v>18.491358024691355</v>
      </c>
      <c r="BE31">
        <f t="shared" si="11"/>
        <v>0.10721918088888886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5.4158900000000001</v>
      </c>
      <c r="I32" s="22">
        <v>-9.7167999999999994E-3</v>
      </c>
      <c r="J32" s="22">
        <v>22</v>
      </c>
      <c r="K32" s="22">
        <v>1.73828</v>
      </c>
      <c r="L32">
        <f t="shared" si="0"/>
        <v>11.996049382716048</v>
      </c>
      <c r="M32">
        <f t="shared" si="1"/>
        <v>20.863529086419753</v>
      </c>
      <c r="N32" s="9"/>
      <c r="O32" s="22">
        <v>1.08337E-2</v>
      </c>
      <c r="P32" s="22">
        <v>9.3357899999999994</v>
      </c>
      <c r="Q32" s="22">
        <v>-1.49292E-2</v>
      </c>
      <c r="R32" s="22">
        <v>22</v>
      </c>
      <c r="S32" s="22">
        <v>1.0705599999999999E-2</v>
      </c>
      <c r="T32">
        <f t="shared" si="2"/>
        <v>18.431111111111111</v>
      </c>
      <c r="U32">
        <f t="shared" si="3"/>
        <v>0.19967712844444443</v>
      </c>
      <c r="X32" s="9"/>
      <c r="Y32" s="22">
        <v>1.7392000000000001</v>
      </c>
      <c r="Z32" s="22">
        <v>14.8811</v>
      </c>
      <c r="AA32" s="22">
        <v>-9.3597400000000001E-3</v>
      </c>
      <c r="AB32" s="22">
        <v>22</v>
      </c>
      <c r="AC32" s="22">
        <v>1.7379800000000001</v>
      </c>
      <c r="AD32">
        <f t="shared" si="4"/>
        <v>11.555234567901234</v>
      </c>
      <c r="AE32">
        <f t="shared" si="5"/>
        <v>20.096863960493828</v>
      </c>
      <c r="AF32" s="9"/>
      <c r="AG32" s="22">
        <v>1.08337E-2</v>
      </c>
      <c r="AH32" s="22">
        <v>18.800999999999998</v>
      </c>
      <c r="AI32" s="22">
        <v>-1.49506E-2</v>
      </c>
      <c r="AJ32" s="22">
        <v>22</v>
      </c>
      <c r="AK32" s="22">
        <v>1.05042E-2</v>
      </c>
      <c r="AL32">
        <f t="shared" si="6"/>
        <v>18.45753086419753</v>
      </c>
      <c r="AM32">
        <f t="shared" si="7"/>
        <v>0.19996335212345678</v>
      </c>
      <c r="AP32" s="9"/>
      <c r="AQ32" s="22">
        <v>1.7392000000000001</v>
      </c>
      <c r="AR32" s="22">
        <v>24.3643</v>
      </c>
      <c r="AS32" s="22">
        <v>-9.2407199999999991E-3</v>
      </c>
      <c r="AT32" s="22">
        <v>22</v>
      </c>
      <c r="AU32" s="22">
        <v>1.73767</v>
      </c>
      <c r="AV32">
        <f t="shared" si="8"/>
        <v>11.408296296296294</v>
      </c>
      <c r="AW32">
        <f t="shared" si="9"/>
        <v>19.841308918518514</v>
      </c>
      <c r="AX32" s="9"/>
      <c r="AY32" s="22">
        <v>1.08337E-2</v>
      </c>
      <c r="AZ32" s="22">
        <v>28.284199999999998</v>
      </c>
      <c r="BA32" s="22">
        <v>-1.4975E-2</v>
      </c>
      <c r="BB32" s="22">
        <v>22</v>
      </c>
      <c r="BC32" s="22">
        <v>1.07758E-2</v>
      </c>
      <c r="BD32">
        <f t="shared" si="10"/>
        <v>18.487654320987652</v>
      </c>
      <c r="BE32">
        <f t="shared" si="11"/>
        <v>0.20028970061728393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5.4259599999999999</v>
      </c>
      <c r="I33" s="22">
        <v>-9.9395799999999999E-3</v>
      </c>
      <c r="J33" s="22">
        <v>23</v>
      </c>
      <c r="K33" s="22">
        <v>1.73309</v>
      </c>
      <c r="L33">
        <f t="shared" si="0"/>
        <v>12.271086419753086</v>
      </c>
      <c r="M33">
        <f t="shared" si="1"/>
        <v>21.28002722567901</v>
      </c>
      <c r="N33" s="9"/>
      <c r="O33" s="22">
        <v>1.5869100000000001E-2</v>
      </c>
      <c r="P33" s="22">
        <v>9.3458600000000001</v>
      </c>
      <c r="Q33" s="22">
        <v>-1.4917E-2</v>
      </c>
      <c r="R33" s="22">
        <v>23</v>
      </c>
      <c r="S33" s="22">
        <v>1.59241E-2</v>
      </c>
      <c r="T33">
        <f t="shared" si="2"/>
        <v>18.416049382716047</v>
      </c>
      <c r="U33">
        <f t="shared" si="3"/>
        <v>0.29224612925925925</v>
      </c>
      <c r="X33" s="9"/>
      <c r="Y33" s="22">
        <v>1.7341599999999999</v>
      </c>
      <c r="Z33" s="22">
        <v>14.8912</v>
      </c>
      <c r="AA33" s="22">
        <v>-9.6160900000000007E-3</v>
      </c>
      <c r="AB33" s="22">
        <v>23</v>
      </c>
      <c r="AC33" s="22">
        <v>1.7334000000000001</v>
      </c>
      <c r="AD33">
        <f t="shared" si="4"/>
        <v>11.871716049382716</v>
      </c>
      <c r="AE33">
        <f t="shared" si="5"/>
        <v>20.587455104197531</v>
      </c>
      <c r="AF33" s="9"/>
      <c r="AG33" s="22">
        <v>1.5869100000000001E-2</v>
      </c>
      <c r="AH33" s="22">
        <v>18.8111</v>
      </c>
      <c r="AI33" s="22">
        <v>-1.49506E-2</v>
      </c>
      <c r="AJ33" s="22">
        <v>23</v>
      </c>
      <c r="AK33" s="22">
        <v>1.5670799999999999E-2</v>
      </c>
      <c r="AL33">
        <f t="shared" si="6"/>
        <v>18.45753086419753</v>
      </c>
      <c r="AM33">
        <f t="shared" si="7"/>
        <v>0.29290440303703702</v>
      </c>
      <c r="AP33" s="9"/>
      <c r="AQ33" s="22">
        <v>1.7341599999999999</v>
      </c>
      <c r="AR33" s="22">
        <v>24.374400000000001</v>
      </c>
      <c r="AS33" s="22">
        <v>-9.4940200000000006E-3</v>
      </c>
      <c r="AT33" s="22">
        <v>23</v>
      </c>
      <c r="AU33" s="22">
        <v>1.7327900000000001</v>
      </c>
      <c r="AV33">
        <f t="shared" si="8"/>
        <v>11.721012345679013</v>
      </c>
      <c r="AW33">
        <f t="shared" si="9"/>
        <v>20.326110769382716</v>
      </c>
      <c r="AX33" s="9"/>
      <c r="AY33" s="22">
        <v>1.5869100000000001E-2</v>
      </c>
      <c r="AZ33" s="22">
        <v>28.2943</v>
      </c>
      <c r="BA33" s="22">
        <v>-1.49719E-2</v>
      </c>
      <c r="BB33" s="22">
        <v>23</v>
      </c>
      <c r="BC33" s="22">
        <v>1.5670799999999999E-2</v>
      </c>
      <c r="BD33">
        <f t="shared" si="10"/>
        <v>18.483827160493824</v>
      </c>
      <c r="BE33">
        <f t="shared" si="11"/>
        <v>0.29332170159259258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5.4360299999999997</v>
      </c>
      <c r="I34" s="22">
        <v>-1.0141000000000001E-2</v>
      </c>
      <c r="J34" s="22">
        <v>24</v>
      </c>
      <c r="K34" s="22">
        <v>1.72821</v>
      </c>
      <c r="L34">
        <f t="shared" si="0"/>
        <v>12.519753086419753</v>
      </c>
      <c r="M34">
        <f t="shared" si="1"/>
        <v>21.648280654320988</v>
      </c>
      <c r="N34" s="9"/>
      <c r="O34" s="22">
        <v>2.0904499999999999E-2</v>
      </c>
      <c r="P34" s="22">
        <v>9.3559300000000007</v>
      </c>
      <c r="Q34" s="22">
        <v>-1.49109E-2</v>
      </c>
      <c r="R34" s="22">
        <v>24</v>
      </c>
      <c r="S34" s="22">
        <v>2.0745799999999998E-2</v>
      </c>
      <c r="T34">
        <f t="shared" si="2"/>
        <v>18.408518518518516</v>
      </c>
      <c r="U34">
        <f t="shared" si="3"/>
        <v>0.3848208753703703</v>
      </c>
      <c r="X34" s="9"/>
      <c r="Y34" s="22">
        <v>1.7291300000000001</v>
      </c>
      <c r="Z34" s="22">
        <v>14.901199999999999</v>
      </c>
      <c r="AA34" s="22">
        <v>-9.8541299999999991E-3</v>
      </c>
      <c r="AB34" s="22">
        <v>24</v>
      </c>
      <c r="AC34" s="22">
        <v>1.72821</v>
      </c>
      <c r="AD34">
        <f t="shared" si="4"/>
        <v>12.16559259259259</v>
      </c>
      <c r="AE34">
        <f t="shared" si="5"/>
        <v>21.035891119629625</v>
      </c>
      <c r="AF34" s="9"/>
      <c r="AG34" s="22">
        <v>2.0904499999999999E-2</v>
      </c>
      <c r="AH34" s="22">
        <v>18.821200000000001</v>
      </c>
      <c r="AI34" s="22">
        <v>-1.49506E-2</v>
      </c>
      <c r="AJ34" s="22">
        <v>24</v>
      </c>
      <c r="AK34" s="22">
        <v>2.0871000000000001E-2</v>
      </c>
      <c r="AL34">
        <f t="shared" si="6"/>
        <v>18.45753086419753</v>
      </c>
      <c r="AM34">
        <f t="shared" si="7"/>
        <v>0.38584545395061726</v>
      </c>
      <c r="AP34" s="9"/>
      <c r="AQ34" s="22">
        <v>1.7291300000000001</v>
      </c>
      <c r="AR34" s="22">
        <v>24.384499999999999</v>
      </c>
      <c r="AS34" s="22">
        <v>-9.7351099999999999E-3</v>
      </c>
      <c r="AT34" s="22">
        <v>24</v>
      </c>
      <c r="AU34" s="22">
        <v>1.7285200000000001</v>
      </c>
      <c r="AV34">
        <f t="shared" si="8"/>
        <v>12.018654320987654</v>
      </c>
      <c r="AW34">
        <f t="shared" si="9"/>
        <v>20.781815746049382</v>
      </c>
      <c r="AX34" s="9"/>
      <c r="AY34" s="22">
        <v>2.0904499999999999E-2</v>
      </c>
      <c r="AZ34" s="22">
        <v>28.304400000000001</v>
      </c>
      <c r="BA34" s="22">
        <v>-1.49719E-2</v>
      </c>
      <c r="BB34" s="22">
        <v>24</v>
      </c>
      <c r="BC34" s="22">
        <v>2.0794699999999999E-2</v>
      </c>
      <c r="BD34">
        <f t="shared" si="10"/>
        <v>18.483827160493824</v>
      </c>
      <c r="BE34">
        <f t="shared" si="11"/>
        <v>0.38639516487654313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5.4461000000000004</v>
      </c>
      <c r="I35" s="22">
        <v>-1.03333E-2</v>
      </c>
      <c r="J35" s="22">
        <v>25</v>
      </c>
      <c r="K35" s="22">
        <v>1.72363</v>
      </c>
      <c r="L35">
        <f t="shared" si="0"/>
        <v>12.757160493827159</v>
      </c>
      <c r="M35">
        <f t="shared" si="1"/>
        <v>21.994492835802465</v>
      </c>
      <c r="N35" s="9"/>
      <c r="O35" s="22">
        <v>2.5939899999999998E-2</v>
      </c>
      <c r="P35" s="22">
        <v>9.3659999999999997</v>
      </c>
      <c r="Q35" s="22">
        <v>-1.49017E-2</v>
      </c>
      <c r="R35" s="22">
        <v>25</v>
      </c>
      <c r="S35" s="22">
        <v>2.5720199999999999E-2</v>
      </c>
      <c r="T35">
        <f t="shared" si="2"/>
        <v>18.397160493827158</v>
      </c>
      <c r="U35">
        <f t="shared" si="3"/>
        <v>0.47722050349382705</v>
      </c>
      <c r="X35" s="9"/>
      <c r="Y35" s="22">
        <v>1.7240899999999999</v>
      </c>
      <c r="Z35" s="22">
        <v>14.911300000000001</v>
      </c>
      <c r="AA35" s="22">
        <v>-1.00739E-2</v>
      </c>
      <c r="AB35" s="22">
        <v>25</v>
      </c>
      <c r="AC35" s="22">
        <v>1.72333</v>
      </c>
      <c r="AD35">
        <f t="shared" si="4"/>
        <v>12.436913580246914</v>
      </c>
      <c r="AE35">
        <f t="shared" si="5"/>
        <v>21.442358334567903</v>
      </c>
      <c r="AF35" s="9"/>
      <c r="AG35" s="22">
        <v>2.5939899999999998E-2</v>
      </c>
      <c r="AH35" s="22">
        <v>18.831299999999999</v>
      </c>
      <c r="AI35" s="22">
        <v>-1.4947500000000001E-2</v>
      </c>
      <c r="AJ35" s="22">
        <v>25</v>
      </c>
      <c r="AK35" s="22">
        <v>2.5964399999999999E-2</v>
      </c>
      <c r="AL35">
        <f t="shared" si="6"/>
        <v>18.453703703703706</v>
      </c>
      <c r="AM35">
        <f t="shared" si="7"/>
        <v>0.47868722870370373</v>
      </c>
      <c r="AP35" s="9"/>
      <c r="AQ35" s="22">
        <v>1.7240899999999999</v>
      </c>
      <c r="AR35" s="22">
        <v>24.394600000000001</v>
      </c>
      <c r="AS35" s="22">
        <v>-9.9609399999999997E-3</v>
      </c>
      <c r="AT35" s="22">
        <v>25</v>
      </c>
      <c r="AU35" s="22">
        <v>1.72272</v>
      </c>
      <c r="AV35">
        <f t="shared" si="8"/>
        <v>12.297456790123457</v>
      </c>
      <c r="AW35">
        <f t="shared" si="9"/>
        <v>21.201922277283948</v>
      </c>
      <c r="AX35" s="9"/>
      <c r="AY35" s="22">
        <v>2.5939899999999998E-2</v>
      </c>
      <c r="AZ35" s="22">
        <v>28.314399999999999</v>
      </c>
      <c r="BA35" s="22">
        <v>-1.49689E-2</v>
      </c>
      <c r="BB35" s="22">
        <v>25</v>
      </c>
      <c r="BC35" s="22">
        <v>2.5772099999999999E-2</v>
      </c>
      <c r="BD35">
        <f t="shared" si="10"/>
        <v>18.480123456790125</v>
      </c>
      <c r="BE35">
        <f t="shared" si="11"/>
        <v>0.47937255445679011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5.4561700000000002</v>
      </c>
      <c r="I36" s="22">
        <v>-1.05072E-2</v>
      </c>
      <c r="J36" s="22">
        <v>26</v>
      </c>
      <c r="K36" s="22">
        <v>1.71814</v>
      </c>
      <c r="L36">
        <f t="shared" si="0"/>
        <v>12.97185185185185</v>
      </c>
      <c r="M36">
        <f t="shared" si="1"/>
        <v>22.299391644444441</v>
      </c>
      <c r="N36" s="9"/>
      <c r="O36" s="22">
        <v>3.0975300000000001E-2</v>
      </c>
      <c r="P36" s="22">
        <v>9.3760700000000003</v>
      </c>
      <c r="Q36" s="22">
        <v>-1.4898700000000001E-2</v>
      </c>
      <c r="R36" s="22">
        <v>26</v>
      </c>
      <c r="S36" s="22">
        <v>3.1015000000000001E-2</v>
      </c>
      <c r="T36">
        <f t="shared" si="2"/>
        <v>18.393456790123455</v>
      </c>
      <c r="U36">
        <f t="shared" si="3"/>
        <v>0.56974284211111104</v>
      </c>
      <c r="X36" s="9"/>
      <c r="Y36" s="22">
        <v>1.71906</v>
      </c>
      <c r="Z36" s="22">
        <v>14.9214</v>
      </c>
      <c r="AA36" s="22">
        <v>-1.026E-2</v>
      </c>
      <c r="AB36" s="22">
        <v>26</v>
      </c>
      <c r="AC36" s="22">
        <v>1.71783</v>
      </c>
      <c r="AD36">
        <f t="shared" si="4"/>
        <v>12.666666666666666</v>
      </c>
      <c r="AE36">
        <f t="shared" si="5"/>
        <v>21.774760000000001</v>
      </c>
      <c r="AF36" s="9"/>
      <c r="AG36" s="22">
        <v>3.0975300000000001E-2</v>
      </c>
      <c r="AH36" s="22">
        <v>18.8413</v>
      </c>
      <c r="AI36" s="22">
        <v>-1.4947500000000001E-2</v>
      </c>
      <c r="AJ36" s="22">
        <v>26</v>
      </c>
      <c r="AK36" s="22">
        <v>3.0902099999999998E-2</v>
      </c>
      <c r="AL36">
        <f t="shared" si="6"/>
        <v>18.453703703703706</v>
      </c>
      <c r="AM36">
        <f t="shared" si="7"/>
        <v>0.57160900833333339</v>
      </c>
      <c r="AP36" s="9"/>
      <c r="AQ36" s="22">
        <v>1.71906</v>
      </c>
      <c r="AR36" s="22">
        <v>24.404599999999999</v>
      </c>
      <c r="AS36" s="22">
        <v>-1.0180700000000001E-2</v>
      </c>
      <c r="AT36" s="22">
        <v>26</v>
      </c>
      <c r="AU36" s="22">
        <v>1.71814</v>
      </c>
      <c r="AV36">
        <f t="shared" si="8"/>
        <v>12.568765432098765</v>
      </c>
      <c r="AW36">
        <f t="shared" si="9"/>
        <v>21.606461903703703</v>
      </c>
      <c r="AX36" s="9"/>
      <c r="AY36" s="22">
        <v>3.0975300000000001E-2</v>
      </c>
      <c r="AZ36" s="22">
        <v>28.3245</v>
      </c>
      <c r="BA36" s="22">
        <v>-1.49658E-2</v>
      </c>
      <c r="BB36" s="22">
        <v>26</v>
      </c>
      <c r="BC36" s="22">
        <v>3.0953999999999999E-2</v>
      </c>
      <c r="BD36">
        <f t="shared" si="10"/>
        <v>18.476296296296297</v>
      </c>
      <c r="BE36">
        <f t="shared" si="11"/>
        <v>0.57230882066666666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5.46624</v>
      </c>
      <c r="I37" s="22">
        <v>-1.06812E-2</v>
      </c>
      <c r="J37" s="22">
        <v>27</v>
      </c>
      <c r="K37" s="22">
        <v>1.71295</v>
      </c>
      <c r="L37">
        <f t="shared" si="0"/>
        <v>13.186666666666666</v>
      </c>
      <c r="M37">
        <f t="shared" si="1"/>
        <v>22.602210400000001</v>
      </c>
      <c r="N37" s="9"/>
      <c r="O37" s="22">
        <v>3.60107E-2</v>
      </c>
      <c r="P37" s="22">
        <v>9.3861399999999993</v>
      </c>
      <c r="Q37" s="22">
        <v>-1.48956E-2</v>
      </c>
      <c r="R37" s="22">
        <v>27</v>
      </c>
      <c r="S37" s="22">
        <v>3.5864300000000002E-2</v>
      </c>
      <c r="T37">
        <f t="shared" si="2"/>
        <v>18.389629629629628</v>
      </c>
      <c r="U37">
        <f t="shared" si="3"/>
        <v>0.66222343570370368</v>
      </c>
      <c r="X37" s="9"/>
      <c r="Y37" s="22">
        <v>1.7140200000000001</v>
      </c>
      <c r="Z37" s="22">
        <v>14.9315</v>
      </c>
      <c r="AA37" s="22">
        <v>-1.0446199999999999E-2</v>
      </c>
      <c r="AB37" s="22">
        <v>27</v>
      </c>
      <c r="AC37" s="22">
        <v>1.71356</v>
      </c>
      <c r="AD37">
        <f t="shared" si="4"/>
        <v>12.896543209876542</v>
      </c>
      <c r="AE37">
        <f t="shared" si="5"/>
        <v>22.104932992592591</v>
      </c>
      <c r="AF37" s="9"/>
      <c r="AG37" s="22">
        <v>3.60107E-2</v>
      </c>
      <c r="AH37" s="22">
        <v>18.851400000000002</v>
      </c>
      <c r="AI37" s="22">
        <v>-1.4944499999999999E-2</v>
      </c>
      <c r="AJ37" s="22">
        <v>27</v>
      </c>
      <c r="AK37" s="22">
        <v>3.5833700000000003E-2</v>
      </c>
      <c r="AL37">
        <f t="shared" si="6"/>
        <v>18.45</v>
      </c>
      <c r="AM37">
        <f t="shared" si="7"/>
        <v>0.66439741499999994</v>
      </c>
      <c r="AP37" s="9"/>
      <c r="AQ37" s="22">
        <v>1.7140200000000001</v>
      </c>
      <c r="AR37" s="22">
        <v>24.4147</v>
      </c>
      <c r="AS37" s="22">
        <v>-1.0378999999999999E-2</v>
      </c>
      <c r="AT37" s="22">
        <v>27</v>
      </c>
      <c r="AU37" s="22">
        <v>1.71234</v>
      </c>
      <c r="AV37">
        <f t="shared" si="8"/>
        <v>12.813580246913578</v>
      </c>
      <c r="AW37">
        <f t="shared" si="9"/>
        <v>21.96273281481481</v>
      </c>
      <c r="AX37" s="9"/>
      <c r="AY37" s="22">
        <v>3.60107E-2</v>
      </c>
      <c r="AZ37" s="22">
        <v>28.334599999999998</v>
      </c>
      <c r="BA37" s="22">
        <v>-1.4959699999999999E-2</v>
      </c>
      <c r="BB37" s="22">
        <v>27</v>
      </c>
      <c r="BC37" s="22">
        <v>3.6013799999999999E-2</v>
      </c>
      <c r="BD37">
        <f t="shared" si="10"/>
        <v>18.468765432098763</v>
      </c>
      <c r="BE37">
        <f t="shared" si="11"/>
        <v>0.66507317134567889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5.4763099999999998</v>
      </c>
      <c r="I38" s="22">
        <v>-1.08398E-2</v>
      </c>
      <c r="J38" s="22">
        <v>28</v>
      </c>
      <c r="K38" s="22">
        <v>1.70807</v>
      </c>
      <c r="L38">
        <f t="shared" si="0"/>
        <v>13.38246913580247</v>
      </c>
      <c r="M38">
        <f t="shared" si="1"/>
        <v>22.870372103703705</v>
      </c>
      <c r="N38" s="9"/>
      <c r="O38" s="22">
        <v>4.1046100000000002E-2</v>
      </c>
      <c r="P38" s="22">
        <v>9.39621</v>
      </c>
      <c r="Q38" s="22">
        <v>-1.48895E-2</v>
      </c>
      <c r="R38" s="22">
        <v>28</v>
      </c>
      <c r="S38" s="22">
        <v>4.08875E-2</v>
      </c>
      <c r="T38">
        <f t="shared" si="2"/>
        <v>18.382098765432101</v>
      </c>
      <c r="U38">
        <f t="shared" si="3"/>
        <v>0.75451346413580256</v>
      </c>
      <c r="X38" s="9"/>
      <c r="Y38" s="22">
        <v>1.7089799999999999</v>
      </c>
      <c r="Z38" s="22">
        <v>14.9415</v>
      </c>
      <c r="AA38" s="22">
        <v>-1.0611000000000001E-2</v>
      </c>
      <c r="AB38" s="22">
        <v>28</v>
      </c>
      <c r="AC38" s="22">
        <v>1.70746</v>
      </c>
      <c r="AD38">
        <f t="shared" si="4"/>
        <v>13.100000000000001</v>
      </c>
      <c r="AE38">
        <f t="shared" si="5"/>
        <v>22.387638000000003</v>
      </c>
      <c r="AF38" s="9"/>
      <c r="AG38" s="22">
        <v>4.1046100000000002E-2</v>
      </c>
      <c r="AH38" s="22">
        <v>18.861499999999999</v>
      </c>
      <c r="AI38" s="22">
        <v>-1.4941400000000001E-2</v>
      </c>
      <c r="AJ38" s="22">
        <v>28</v>
      </c>
      <c r="AK38" s="22">
        <v>4.1171300000000001E-2</v>
      </c>
      <c r="AL38">
        <f t="shared" si="6"/>
        <v>18.446172839506172</v>
      </c>
      <c r="AM38">
        <f t="shared" si="7"/>
        <v>0.75714345498765434</v>
      </c>
      <c r="AP38" s="9"/>
      <c r="AQ38" s="22">
        <v>1.7089799999999999</v>
      </c>
      <c r="AR38" s="22">
        <v>24.424800000000001</v>
      </c>
      <c r="AS38" s="22">
        <v>-1.05713E-2</v>
      </c>
      <c r="AT38" s="22">
        <v>28</v>
      </c>
      <c r="AU38" s="22">
        <v>1.70807</v>
      </c>
      <c r="AV38">
        <f t="shared" si="8"/>
        <v>13.050987654320988</v>
      </c>
      <c r="AW38">
        <f t="shared" si="9"/>
        <v>22.303876881481482</v>
      </c>
      <c r="AX38" s="9"/>
      <c r="AY38" s="22">
        <v>4.1046100000000002E-2</v>
      </c>
      <c r="AZ38" s="22">
        <v>28.3447</v>
      </c>
      <c r="BA38" s="22">
        <v>-1.49567E-2</v>
      </c>
      <c r="BB38" s="22">
        <v>28</v>
      </c>
      <c r="BC38" s="22">
        <v>4.0920999999999999E-2</v>
      </c>
      <c r="BD38">
        <f t="shared" si="10"/>
        <v>18.46506172839506</v>
      </c>
      <c r="BE38">
        <f t="shared" si="11"/>
        <v>0.75791877020987652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5.4863799999999996</v>
      </c>
      <c r="I39" s="22">
        <v>-1.0986299999999999E-2</v>
      </c>
      <c r="J39" s="22">
        <v>29</v>
      </c>
      <c r="K39" s="22">
        <v>1.70258</v>
      </c>
      <c r="L39">
        <f t="shared" si="0"/>
        <v>13.563333333333333</v>
      </c>
      <c r="M39">
        <f t="shared" si="1"/>
        <v>23.111241833333334</v>
      </c>
      <c r="N39" s="9"/>
      <c r="O39" s="22">
        <v>4.6081499999999997E-2</v>
      </c>
      <c r="P39" s="22">
        <v>9.4062800000000006</v>
      </c>
      <c r="Q39" s="22">
        <v>-1.48804E-2</v>
      </c>
      <c r="R39" s="22">
        <v>29</v>
      </c>
      <c r="S39" s="22">
        <v>4.6157799999999999E-2</v>
      </c>
      <c r="T39">
        <f t="shared" si="2"/>
        <v>18.370864197530864</v>
      </c>
      <c r="U39">
        <f t="shared" si="3"/>
        <v>0.84655697851851841</v>
      </c>
      <c r="X39" s="9"/>
      <c r="Y39" s="22">
        <v>1.7039500000000001</v>
      </c>
      <c r="Z39" s="22">
        <v>14.951599999999999</v>
      </c>
      <c r="AA39" s="22">
        <v>-1.07758E-2</v>
      </c>
      <c r="AB39" s="22">
        <v>29</v>
      </c>
      <c r="AC39" s="22">
        <v>1.7034899999999999</v>
      </c>
      <c r="AD39">
        <f t="shared" si="4"/>
        <v>13.303456790123457</v>
      </c>
      <c r="AE39">
        <f t="shared" si="5"/>
        <v>22.668425197530865</v>
      </c>
      <c r="AF39" s="9"/>
      <c r="AG39" s="22">
        <v>4.6081499999999997E-2</v>
      </c>
      <c r="AH39" s="22">
        <v>18.871500000000001</v>
      </c>
      <c r="AI39" s="22">
        <v>-1.49353E-2</v>
      </c>
      <c r="AJ39" s="22">
        <v>29</v>
      </c>
      <c r="AK39" s="22">
        <v>4.5999100000000001E-2</v>
      </c>
      <c r="AL39">
        <f t="shared" si="6"/>
        <v>18.438641975308641</v>
      </c>
      <c r="AM39">
        <f t="shared" si="7"/>
        <v>0.84968028018518515</v>
      </c>
      <c r="AP39" s="9"/>
      <c r="AQ39" s="22">
        <v>1.7039500000000001</v>
      </c>
      <c r="AR39" s="22">
        <v>24.434799999999999</v>
      </c>
      <c r="AS39" s="22">
        <v>-1.07361E-2</v>
      </c>
      <c r="AT39" s="22">
        <v>29</v>
      </c>
      <c r="AU39" s="22">
        <v>1.7034899999999999</v>
      </c>
      <c r="AV39">
        <f t="shared" si="8"/>
        <v>13.254444444444443</v>
      </c>
      <c r="AW39">
        <f t="shared" si="9"/>
        <v>22.584910611111109</v>
      </c>
      <c r="AX39" s="9"/>
      <c r="AY39" s="22">
        <v>4.6081499999999997E-2</v>
      </c>
      <c r="AZ39" s="22">
        <v>28.354700000000001</v>
      </c>
      <c r="BA39" s="22">
        <v>-1.49506E-2</v>
      </c>
      <c r="BB39" s="22">
        <v>29</v>
      </c>
      <c r="BC39" s="22">
        <v>4.5813E-2</v>
      </c>
      <c r="BD39">
        <f t="shared" si="10"/>
        <v>18.45753086419753</v>
      </c>
      <c r="BE39">
        <f t="shared" si="11"/>
        <v>0.85055070851851844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5.4964500000000003</v>
      </c>
      <c r="I40" s="22">
        <v>-1.11237E-2</v>
      </c>
      <c r="J40" s="22">
        <v>30</v>
      </c>
      <c r="K40" s="22">
        <v>1.6976899999999999</v>
      </c>
      <c r="L40">
        <f t="shared" si="0"/>
        <v>13.732962962962963</v>
      </c>
      <c r="M40">
        <f t="shared" si="1"/>
        <v>23.331068107407408</v>
      </c>
      <c r="N40" s="9"/>
      <c r="O40" s="22">
        <v>5.11169E-2</v>
      </c>
      <c r="P40" s="22">
        <v>9.4163599999999992</v>
      </c>
      <c r="Q40" s="22">
        <v>-1.48743E-2</v>
      </c>
      <c r="R40" s="22">
        <v>30</v>
      </c>
      <c r="S40" s="22">
        <v>5.0982699999999999E-2</v>
      </c>
      <c r="T40">
        <f t="shared" si="2"/>
        <v>18.363333333333333</v>
      </c>
      <c r="U40">
        <f t="shared" si="3"/>
        <v>0.93867667366666663</v>
      </c>
      <c r="X40" s="9"/>
      <c r="Y40" s="22">
        <v>1.6989099999999999</v>
      </c>
      <c r="Z40" s="22">
        <v>14.9617</v>
      </c>
      <c r="AA40" s="22">
        <v>-1.09222E-2</v>
      </c>
      <c r="AB40" s="22">
        <v>30</v>
      </c>
      <c r="AC40" s="22">
        <v>1.6976899999999999</v>
      </c>
      <c r="AD40">
        <f t="shared" si="4"/>
        <v>13.484197530864197</v>
      </c>
      <c r="AE40">
        <f t="shared" si="5"/>
        <v>22.908438027160493</v>
      </c>
      <c r="AF40" s="9"/>
      <c r="AG40" s="22">
        <v>5.11169E-2</v>
      </c>
      <c r="AH40" s="22">
        <v>18.881599999999999</v>
      </c>
      <c r="AI40" s="22">
        <v>-1.4926099999999999E-2</v>
      </c>
      <c r="AJ40" s="22">
        <v>30</v>
      </c>
      <c r="AK40" s="22">
        <v>5.0689699999999997E-2</v>
      </c>
      <c r="AL40">
        <f t="shared" si="6"/>
        <v>18.427283950617284</v>
      </c>
      <c r="AM40">
        <f t="shared" si="7"/>
        <v>0.94194563097530859</v>
      </c>
      <c r="AP40" s="9"/>
      <c r="AQ40" s="22">
        <v>1.6989099999999999</v>
      </c>
      <c r="AR40" s="22">
        <v>24.444900000000001</v>
      </c>
      <c r="AS40" s="22">
        <v>-1.09009E-2</v>
      </c>
      <c r="AT40" s="22">
        <v>30</v>
      </c>
      <c r="AU40" s="22">
        <v>1.698</v>
      </c>
      <c r="AV40">
        <f t="shared" si="8"/>
        <v>13.457901234567899</v>
      </c>
      <c r="AW40">
        <f t="shared" si="9"/>
        <v>22.863762986419747</v>
      </c>
      <c r="AX40" s="9"/>
      <c r="AY40" s="22">
        <v>5.11169E-2</v>
      </c>
      <c r="AZ40" s="22">
        <v>28.364799999999999</v>
      </c>
      <c r="BA40" s="22">
        <v>-1.4944499999999999E-2</v>
      </c>
      <c r="BB40" s="22">
        <v>30</v>
      </c>
      <c r="BC40" s="22">
        <v>5.1156600000000003E-2</v>
      </c>
      <c r="BD40">
        <f t="shared" si="10"/>
        <v>18.45</v>
      </c>
      <c r="BE40">
        <f t="shared" si="11"/>
        <v>0.94310680499999999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5.5065299999999997</v>
      </c>
      <c r="I41" s="22">
        <v>-1.1251799999999999E-2</v>
      </c>
      <c r="J41" s="22">
        <v>31</v>
      </c>
      <c r="K41" s="22">
        <v>1.6928099999999999</v>
      </c>
      <c r="L41">
        <f t="shared" si="0"/>
        <v>13.89111111111111</v>
      </c>
      <c r="M41">
        <f t="shared" si="1"/>
        <v>23.529875288888888</v>
      </c>
      <c r="N41" s="9"/>
      <c r="O41" s="22">
        <v>5.6152300000000002E-2</v>
      </c>
      <c r="P41" s="22">
        <v>9.4264299999999999</v>
      </c>
      <c r="Q41" s="22">
        <v>-1.48743E-2</v>
      </c>
      <c r="R41" s="22">
        <v>31</v>
      </c>
      <c r="S41" s="22">
        <v>5.5694599999999997E-2</v>
      </c>
      <c r="T41">
        <f t="shared" si="2"/>
        <v>18.363333333333333</v>
      </c>
      <c r="U41">
        <f t="shared" si="3"/>
        <v>1.0311434023333335</v>
      </c>
      <c r="X41" s="9"/>
      <c r="Y41" s="22">
        <v>1.6938800000000001</v>
      </c>
      <c r="Z41" s="22">
        <v>14.9717</v>
      </c>
      <c r="AA41" s="22">
        <v>-1.10718E-2</v>
      </c>
      <c r="AB41" s="22">
        <v>31</v>
      </c>
      <c r="AC41" s="22">
        <v>1.6928099999999999</v>
      </c>
      <c r="AD41">
        <f t="shared" si="4"/>
        <v>13.668888888888889</v>
      </c>
      <c r="AE41">
        <f t="shared" si="5"/>
        <v>23.15345751111111</v>
      </c>
      <c r="AF41" s="9"/>
      <c r="AG41" s="22">
        <v>5.6152300000000002E-2</v>
      </c>
      <c r="AH41" s="22">
        <v>18.8917</v>
      </c>
      <c r="AI41" s="22">
        <v>-1.4919999999999999E-2</v>
      </c>
      <c r="AJ41" s="22">
        <v>31</v>
      </c>
      <c r="AK41" s="22">
        <v>5.5542000000000001E-2</v>
      </c>
      <c r="AL41">
        <f t="shared" si="6"/>
        <v>18.41975308641975</v>
      </c>
      <c r="AM41">
        <f t="shared" si="7"/>
        <v>1.0343115012345678</v>
      </c>
      <c r="AP41" s="9"/>
      <c r="AQ41" s="22">
        <v>1.6938800000000001</v>
      </c>
      <c r="AR41" s="22">
        <v>24.454999999999998</v>
      </c>
      <c r="AS41" s="22">
        <v>-1.10413E-2</v>
      </c>
      <c r="AT41" s="22">
        <v>31</v>
      </c>
      <c r="AU41" s="22">
        <v>1.6924999999999999</v>
      </c>
      <c r="AV41">
        <f t="shared" si="8"/>
        <v>13.631234567901235</v>
      </c>
      <c r="AW41">
        <f t="shared" si="9"/>
        <v>23.089675609876544</v>
      </c>
      <c r="AX41" s="9"/>
      <c r="AY41" s="22">
        <v>5.6152300000000002E-2</v>
      </c>
      <c r="AZ41" s="22">
        <v>28.3749</v>
      </c>
      <c r="BA41" s="22">
        <v>-1.49353E-2</v>
      </c>
      <c r="BB41" s="22">
        <v>31</v>
      </c>
      <c r="BC41" s="22">
        <v>5.5633500000000002E-2</v>
      </c>
      <c r="BD41">
        <f t="shared" si="10"/>
        <v>18.438641975308641</v>
      </c>
      <c r="BE41">
        <f t="shared" si="11"/>
        <v>1.0353721557901234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5.5166000000000004</v>
      </c>
      <c r="I42" s="22">
        <v>-1.1373899999999999E-2</v>
      </c>
      <c r="J42" s="22">
        <v>32</v>
      </c>
      <c r="K42" s="22">
        <v>1.6876199999999999</v>
      </c>
      <c r="L42">
        <f t="shared" si="0"/>
        <v>14.041851851851851</v>
      </c>
      <c r="M42">
        <f t="shared" si="1"/>
        <v>23.714441081481478</v>
      </c>
      <c r="N42" s="9"/>
      <c r="O42" s="22">
        <v>6.1187699999999998E-2</v>
      </c>
      <c r="P42" s="22">
        <v>9.4365000000000006</v>
      </c>
      <c r="Q42" s="22">
        <v>-1.4871199999999999E-2</v>
      </c>
      <c r="R42" s="22">
        <v>32</v>
      </c>
      <c r="S42" s="22">
        <v>6.0577400000000003E-2</v>
      </c>
      <c r="T42">
        <f t="shared" si="2"/>
        <v>18.359506172839506</v>
      </c>
      <c r="U42">
        <f t="shared" si="3"/>
        <v>1.1233759558518519</v>
      </c>
      <c r="X42" s="9"/>
      <c r="Y42" s="22">
        <v>1.6888399999999999</v>
      </c>
      <c r="Z42" s="22">
        <v>14.9818</v>
      </c>
      <c r="AA42" s="22">
        <v>-1.12E-2</v>
      </c>
      <c r="AB42" s="22">
        <v>32</v>
      </c>
      <c r="AC42" s="22">
        <v>1.6879299999999999</v>
      </c>
      <c r="AD42">
        <f t="shared" si="4"/>
        <v>13.82716049382716</v>
      </c>
      <c r="AE42">
        <f t="shared" si="5"/>
        <v>23.351861728395058</v>
      </c>
      <c r="AF42" s="9"/>
      <c r="AG42" s="22">
        <v>6.1187699999999998E-2</v>
      </c>
      <c r="AH42" s="22">
        <v>18.901800000000001</v>
      </c>
      <c r="AI42" s="22">
        <v>-1.4913900000000001E-2</v>
      </c>
      <c r="AJ42" s="22">
        <v>32</v>
      </c>
      <c r="AK42" s="22">
        <v>6.0699500000000003E-2</v>
      </c>
      <c r="AL42">
        <f t="shared" si="6"/>
        <v>18.412222222222223</v>
      </c>
      <c r="AM42">
        <f t="shared" si="7"/>
        <v>1.1266015296666667</v>
      </c>
      <c r="AP42" s="9"/>
      <c r="AQ42" s="22">
        <v>1.6888399999999999</v>
      </c>
      <c r="AR42" s="22">
        <v>24.465</v>
      </c>
      <c r="AS42" s="22">
        <v>-1.11786E-2</v>
      </c>
      <c r="AT42" s="22">
        <v>32</v>
      </c>
      <c r="AU42" s="22">
        <v>1.6879299999999999</v>
      </c>
      <c r="AV42">
        <f t="shared" si="8"/>
        <v>13.800740740740741</v>
      </c>
      <c r="AW42">
        <f t="shared" si="9"/>
        <v>23.307242992592592</v>
      </c>
      <c r="AX42" s="9"/>
      <c r="AY42" s="22">
        <v>6.1187699999999998E-2</v>
      </c>
      <c r="AZ42" s="22">
        <v>28.384899999999998</v>
      </c>
      <c r="BA42" s="22">
        <v>-1.4932300000000001E-2</v>
      </c>
      <c r="BB42" s="22">
        <v>32</v>
      </c>
      <c r="BC42" s="22">
        <v>6.0790999999999998E-2</v>
      </c>
      <c r="BD42">
        <f t="shared" si="10"/>
        <v>18.434938271604938</v>
      </c>
      <c r="BE42">
        <f t="shared" si="11"/>
        <v>1.1279914724814815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5.5266700000000002</v>
      </c>
      <c r="I43" s="22">
        <v>-1.14777E-2</v>
      </c>
      <c r="J43" s="22">
        <v>33</v>
      </c>
      <c r="K43" s="22">
        <v>1.6830400000000001</v>
      </c>
      <c r="L43">
        <f t="shared" si="0"/>
        <v>14.17</v>
      </c>
      <c r="M43">
        <f t="shared" si="1"/>
        <v>23.859587699999999</v>
      </c>
      <c r="N43" s="9"/>
      <c r="O43" s="22">
        <v>6.6223099999999993E-2</v>
      </c>
      <c r="P43" s="22">
        <v>9.4465699999999995</v>
      </c>
      <c r="Q43" s="22">
        <v>-1.4871199999999999E-2</v>
      </c>
      <c r="R43" s="22">
        <v>33</v>
      </c>
      <c r="S43" s="22">
        <v>6.5612799999999999E-2</v>
      </c>
      <c r="T43">
        <f t="shared" si="2"/>
        <v>18.359506172839506</v>
      </c>
      <c r="U43">
        <f t="shared" si="3"/>
        <v>1.2158234132345678</v>
      </c>
      <c r="X43" s="9"/>
      <c r="Y43" s="22">
        <v>1.68381</v>
      </c>
      <c r="Z43" s="22">
        <v>14.991899999999999</v>
      </c>
      <c r="AA43" s="22">
        <v>-1.1325099999999999E-2</v>
      </c>
      <c r="AB43" s="22">
        <v>33</v>
      </c>
      <c r="AC43" s="22">
        <v>1.6824300000000001</v>
      </c>
      <c r="AD43">
        <f t="shared" si="4"/>
        <v>13.981604938271603</v>
      </c>
      <c r="AE43">
        <f t="shared" si="5"/>
        <v>23.542366211111108</v>
      </c>
      <c r="AF43" s="9"/>
      <c r="AG43" s="22">
        <v>6.6223099999999993E-2</v>
      </c>
      <c r="AH43" s="22">
        <v>18.911799999999999</v>
      </c>
      <c r="AI43" s="22">
        <v>-1.49109E-2</v>
      </c>
      <c r="AJ43" s="22">
        <v>33</v>
      </c>
      <c r="AK43" s="22">
        <v>6.5918000000000004E-2</v>
      </c>
      <c r="AL43">
        <f t="shared" si="6"/>
        <v>18.408518518518516</v>
      </c>
      <c r="AM43">
        <f t="shared" si="7"/>
        <v>1.2190691627037034</v>
      </c>
      <c r="AP43" s="9"/>
      <c r="AQ43" s="22">
        <v>1.68381</v>
      </c>
      <c r="AR43" s="22">
        <v>24.475100000000001</v>
      </c>
      <c r="AS43" s="22">
        <v>-1.13037E-2</v>
      </c>
      <c r="AT43" s="22">
        <v>33</v>
      </c>
      <c r="AU43" s="22">
        <v>1.6827399999999999</v>
      </c>
      <c r="AV43">
        <f t="shared" si="8"/>
        <v>13.955185185185183</v>
      </c>
      <c r="AW43">
        <f t="shared" si="9"/>
        <v>23.497880366666664</v>
      </c>
      <c r="AX43" s="9"/>
      <c r="AY43" s="22">
        <v>6.6223099999999993E-2</v>
      </c>
      <c r="AZ43" s="22">
        <v>28.395</v>
      </c>
      <c r="BA43" s="22">
        <v>-1.49292E-2</v>
      </c>
      <c r="BB43" s="22">
        <v>33</v>
      </c>
      <c r="BC43" s="22">
        <v>6.5887500000000002E-2</v>
      </c>
      <c r="BD43">
        <f t="shared" si="10"/>
        <v>18.431111111111111</v>
      </c>
      <c r="BE43">
        <f t="shared" si="11"/>
        <v>1.2205653142222221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5.53674</v>
      </c>
      <c r="I44" s="22">
        <v>-1.1587500000000001E-2</v>
      </c>
      <c r="J44" s="22">
        <v>34</v>
      </c>
      <c r="K44" s="22">
        <v>1.6781600000000001</v>
      </c>
      <c r="L44">
        <f t="shared" si="0"/>
        <v>14.305555555555555</v>
      </c>
      <c r="M44">
        <f t="shared" si="1"/>
        <v>24.0157375</v>
      </c>
      <c r="N44" s="9"/>
      <c r="O44" s="22">
        <v>7.1258500000000002E-2</v>
      </c>
      <c r="P44" s="22">
        <v>9.4566400000000002</v>
      </c>
      <c r="Q44" s="22">
        <v>-1.48682E-2</v>
      </c>
      <c r="R44" s="22">
        <v>34</v>
      </c>
      <c r="S44" s="22">
        <v>7.08313E-2</v>
      </c>
      <c r="T44">
        <f t="shared" si="2"/>
        <v>18.355802469135799</v>
      </c>
      <c r="U44">
        <f t="shared" si="3"/>
        <v>1.3080069502469134</v>
      </c>
      <c r="X44" s="9"/>
      <c r="Y44" s="22">
        <v>1.6787700000000001</v>
      </c>
      <c r="Z44" s="22">
        <v>15.002000000000001</v>
      </c>
      <c r="AA44" s="22">
        <v>-1.1441E-2</v>
      </c>
      <c r="AB44" s="22">
        <v>34</v>
      </c>
      <c r="AC44" s="22">
        <v>1.6772499999999999</v>
      </c>
      <c r="AD44">
        <f t="shared" si="4"/>
        <v>14.124691358024689</v>
      </c>
      <c r="AE44">
        <f t="shared" si="5"/>
        <v>23.71210811111111</v>
      </c>
      <c r="AF44" s="9"/>
      <c r="AG44" s="22">
        <v>7.1258500000000002E-2</v>
      </c>
      <c r="AH44" s="22">
        <v>18.921900000000001</v>
      </c>
      <c r="AI44" s="22">
        <v>-1.4907800000000001E-2</v>
      </c>
      <c r="AJ44" s="22">
        <v>34</v>
      </c>
      <c r="AK44" s="22">
        <v>7.0739700000000003E-2</v>
      </c>
      <c r="AL44">
        <f t="shared" si="6"/>
        <v>18.404691358024692</v>
      </c>
      <c r="AM44">
        <f t="shared" si="7"/>
        <v>1.3114906991358026</v>
      </c>
      <c r="AP44" s="9"/>
      <c r="AQ44" s="22">
        <v>1.6787700000000001</v>
      </c>
      <c r="AR44" s="22">
        <v>24.485199999999999</v>
      </c>
      <c r="AS44" s="22">
        <v>-1.14319E-2</v>
      </c>
      <c r="AT44" s="22">
        <v>34</v>
      </c>
      <c r="AU44" s="22">
        <v>1.6775500000000001</v>
      </c>
      <c r="AV44">
        <f t="shared" si="8"/>
        <v>14.113456790123456</v>
      </c>
      <c r="AW44">
        <f t="shared" si="9"/>
        <v>23.693247855555555</v>
      </c>
      <c r="AX44" s="9"/>
      <c r="AY44" s="22">
        <v>7.1258500000000002E-2</v>
      </c>
      <c r="AZ44" s="22">
        <v>28.405100000000001</v>
      </c>
      <c r="BA44" s="22">
        <v>-1.4926099999999999E-2</v>
      </c>
      <c r="BB44" s="22">
        <v>34</v>
      </c>
      <c r="BC44" s="22">
        <v>7.0770299999999994E-2</v>
      </c>
      <c r="BD44">
        <f t="shared" si="10"/>
        <v>18.427283950617284</v>
      </c>
      <c r="BE44">
        <f t="shared" si="11"/>
        <v>1.3131006133950618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5.5468099999999998</v>
      </c>
      <c r="I45" s="22">
        <v>-1.1688199999999999E-2</v>
      </c>
      <c r="J45" s="22">
        <v>35</v>
      </c>
      <c r="K45" s="22">
        <v>1.6729700000000001</v>
      </c>
      <c r="L45">
        <f t="shared" si="0"/>
        <v>14.429876543209874</v>
      </c>
      <c r="M45">
        <f t="shared" si="1"/>
        <v>24.151861565432093</v>
      </c>
      <c r="N45" s="9"/>
      <c r="O45" s="22">
        <v>7.6293899999999998E-2</v>
      </c>
      <c r="P45" s="22">
        <v>9.4667100000000008</v>
      </c>
      <c r="Q45" s="22">
        <v>-1.48621E-2</v>
      </c>
      <c r="R45" s="22">
        <v>35</v>
      </c>
      <c r="S45" s="22">
        <v>7.5775099999999998E-2</v>
      </c>
      <c r="T45">
        <f t="shared" si="2"/>
        <v>18.348271604938269</v>
      </c>
      <c r="U45">
        <f t="shared" si="3"/>
        <v>1.3998611989999998</v>
      </c>
      <c r="X45" s="9"/>
      <c r="Y45" s="22">
        <v>1.67374</v>
      </c>
      <c r="Z45" s="22">
        <v>15.012</v>
      </c>
      <c r="AA45" s="22">
        <v>-1.15692E-2</v>
      </c>
      <c r="AB45" s="22">
        <v>35</v>
      </c>
      <c r="AC45" s="22">
        <v>1.6726700000000001</v>
      </c>
      <c r="AD45">
        <f t="shared" si="4"/>
        <v>14.282962962962962</v>
      </c>
      <c r="AE45">
        <f t="shared" si="5"/>
        <v>23.905966429629629</v>
      </c>
      <c r="AF45" s="9"/>
      <c r="AG45" s="22">
        <v>7.6293899999999998E-2</v>
      </c>
      <c r="AH45" s="22">
        <v>18.931999999999999</v>
      </c>
      <c r="AI45" s="22">
        <v>-1.4904799999999999E-2</v>
      </c>
      <c r="AJ45" s="22">
        <v>35</v>
      </c>
      <c r="AK45" s="22">
        <v>7.5622599999999998E-2</v>
      </c>
      <c r="AL45">
        <f t="shared" si="6"/>
        <v>18.400987654320986</v>
      </c>
      <c r="AM45">
        <f t="shared" si="7"/>
        <v>1.4038831119999997</v>
      </c>
      <c r="AP45" s="9"/>
      <c r="AQ45" s="22">
        <v>1.67374</v>
      </c>
      <c r="AR45" s="22">
        <v>24.4953</v>
      </c>
      <c r="AS45" s="22">
        <v>-1.15417E-2</v>
      </c>
      <c r="AT45" s="22">
        <v>35</v>
      </c>
      <c r="AU45" s="22">
        <v>1.6729700000000001</v>
      </c>
      <c r="AV45">
        <f t="shared" si="8"/>
        <v>14.249012345679011</v>
      </c>
      <c r="AW45">
        <f t="shared" si="9"/>
        <v>23.849141923456788</v>
      </c>
      <c r="AX45" s="9"/>
      <c r="AY45" s="22">
        <v>7.6293899999999998E-2</v>
      </c>
      <c r="AZ45" s="22">
        <v>28.415199999999999</v>
      </c>
      <c r="BA45" s="22">
        <v>-1.49231E-2</v>
      </c>
      <c r="BB45" s="22">
        <v>35</v>
      </c>
      <c r="BC45" s="22">
        <v>7.5836200000000006E-2</v>
      </c>
      <c r="BD45">
        <f t="shared" si="10"/>
        <v>18.423580246913577</v>
      </c>
      <c r="BE45">
        <f t="shared" si="11"/>
        <v>1.4056067889999997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5.5568799999999996</v>
      </c>
      <c r="I46" s="22">
        <v>-1.1792E-2</v>
      </c>
      <c r="J46" s="22">
        <v>36</v>
      </c>
      <c r="K46" s="22">
        <v>1.6677900000000001</v>
      </c>
      <c r="L46">
        <f t="shared" si="0"/>
        <v>14.558024691358025</v>
      </c>
      <c r="M46">
        <f t="shared" si="1"/>
        <v>24.292975802469137</v>
      </c>
      <c r="N46" s="9"/>
      <c r="O46" s="22">
        <v>8.1329299999999993E-2</v>
      </c>
      <c r="P46" s="22">
        <v>9.4767799999999998</v>
      </c>
      <c r="Q46" s="22">
        <v>-1.4855999999999999E-2</v>
      </c>
      <c r="R46" s="22">
        <v>36</v>
      </c>
      <c r="S46" s="22">
        <v>8.0780000000000005E-2</v>
      </c>
      <c r="T46">
        <f t="shared" si="2"/>
        <v>18.340740740740738</v>
      </c>
      <c r="U46">
        <f t="shared" si="3"/>
        <v>1.4916396059259256</v>
      </c>
      <c r="X46" s="9"/>
      <c r="Y46" s="22">
        <v>1.6687000000000001</v>
      </c>
      <c r="Z46" s="22">
        <v>15.0221</v>
      </c>
      <c r="AA46" s="22">
        <v>-1.1682100000000001E-2</v>
      </c>
      <c r="AB46" s="22">
        <v>36</v>
      </c>
      <c r="AC46" s="22">
        <v>1.6674800000000001</v>
      </c>
      <c r="AD46">
        <f t="shared" si="4"/>
        <v>14.422345679012347</v>
      </c>
      <c r="AE46">
        <f t="shared" si="5"/>
        <v>24.066568234567903</v>
      </c>
      <c r="AF46" s="9"/>
      <c r="AG46" s="22">
        <v>8.1329299999999993E-2</v>
      </c>
      <c r="AH46" s="22">
        <v>18.942</v>
      </c>
      <c r="AI46" s="22">
        <v>-1.4904799999999999E-2</v>
      </c>
      <c r="AJ46" s="22">
        <v>36</v>
      </c>
      <c r="AK46" s="22">
        <v>8.0810499999999993E-2</v>
      </c>
      <c r="AL46">
        <f t="shared" si="6"/>
        <v>18.400987654320986</v>
      </c>
      <c r="AM46">
        <f t="shared" si="7"/>
        <v>1.4965394452345675</v>
      </c>
      <c r="AP46" s="9"/>
      <c r="AQ46" s="22">
        <v>1.6687000000000001</v>
      </c>
      <c r="AR46" s="22">
        <v>24.505299999999998</v>
      </c>
      <c r="AS46" s="22">
        <v>-1.16547E-2</v>
      </c>
      <c r="AT46" s="22">
        <v>36</v>
      </c>
      <c r="AU46" s="22">
        <v>1.6674800000000001</v>
      </c>
      <c r="AV46">
        <f t="shared" si="8"/>
        <v>14.388518518518518</v>
      </c>
      <c r="AW46">
        <f t="shared" si="9"/>
        <v>24.010120851851852</v>
      </c>
      <c r="AX46" s="9"/>
      <c r="AY46" s="22">
        <v>8.1329299999999993E-2</v>
      </c>
      <c r="AZ46" s="22">
        <v>28.4252</v>
      </c>
      <c r="BA46" s="22">
        <v>-1.4919999999999999E-2</v>
      </c>
      <c r="BB46" s="22">
        <v>36</v>
      </c>
      <c r="BC46" s="22">
        <v>8.0749500000000002E-2</v>
      </c>
      <c r="BD46">
        <f t="shared" si="10"/>
        <v>18.41975308641975</v>
      </c>
      <c r="BE46">
        <f t="shared" si="11"/>
        <v>1.4980656246913575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5.5669500000000003</v>
      </c>
      <c r="I47" s="22">
        <v>-1.18683E-2</v>
      </c>
      <c r="J47" s="22">
        <v>37</v>
      </c>
      <c r="K47" s="22">
        <v>1.6626000000000001</v>
      </c>
      <c r="L47">
        <f t="shared" si="0"/>
        <v>14.652222222222221</v>
      </c>
      <c r="M47">
        <f t="shared" si="1"/>
        <v>24.376462544444443</v>
      </c>
      <c r="N47" s="9"/>
      <c r="O47" s="22">
        <v>8.6364700000000003E-2</v>
      </c>
      <c r="P47" s="22">
        <v>9.4868500000000004</v>
      </c>
      <c r="Q47" s="22">
        <v>-1.4855999999999999E-2</v>
      </c>
      <c r="R47" s="22">
        <v>37</v>
      </c>
      <c r="S47" s="22">
        <v>8.5906999999999997E-2</v>
      </c>
      <c r="T47">
        <f t="shared" si="2"/>
        <v>18.340740740740738</v>
      </c>
      <c r="U47">
        <f t="shared" si="3"/>
        <v>1.5839925718518517</v>
      </c>
      <c r="X47" s="9"/>
      <c r="Y47" s="22">
        <v>1.66367</v>
      </c>
      <c r="Z47" s="22">
        <v>15.0322</v>
      </c>
      <c r="AA47" s="22">
        <v>-1.17828E-2</v>
      </c>
      <c r="AB47" s="22">
        <v>37</v>
      </c>
      <c r="AC47" s="22">
        <v>1.6629</v>
      </c>
      <c r="AD47">
        <f t="shared" si="4"/>
        <v>14.546666666666665</v>
      </c>
      <c r="AE47">
        <f t="shared" si="5"/>
        <v>24.20085293333333</v>
      </c>
      <c r="AF47" s="9"/>
      <c r="AG47" s="22">
        <v>8.6364700000000003E-2</v>
      </c>
      <c r="AH47" s="22">
        <v>18.952100000000002</v>
      </c>
      <c r="AI47" s="22">
        <v>-1.49017E-2</v>
      </c>
      <c r="AJ47" s="22">
        <v>37</v>
      </c>
      <c r="AK47" s="22">
        <v>8.5754399999999995E-2</v>
      </c>
      <c r="AL47">
        <f t="shared" si="6"/>
        <v>18.397160493827158</v>
      </c>
      <c r="AM47">
        <f t="shared" si="7"/>
        <v>1.5888652469012343</v>
      </c>
      <c r="AP47" s="9"/>
      <c r="AQ47" s="22">
        <v>1.66367</v>
      </c>
      <c r="AR47" s="22">
        <v>24.5154</v>
      </c>
      <c r="AS47" s="22">
        <v>-1.17523E-2</v>
      </c>
      <c r="AT47" s="22">
        <v>37</v>
      </c>
      <c r="AU47" s="22">
        <v>1.6629</v>
      </c>
      <c r="AV47">
        <f t="shared" si="8"/>
        <v>14.509012345679011</v>
      </c>
      <c r="AW47">
        <f t="shared" si="9"/>
        <v>24.138208569135799</v>
      </c>
      <c r="AX47" s="9"/>
      <c r="AY47" s="22">
        <v>8.6364700000000003E-2</v>
      </c>
      <c r="AZ47" s="22">
        <v>28.435300000000002</v>
      </c>
      <c r="BA47" s="22">
        <v>-1.4913900000000001E-2</v>
      </c>
      <c r="BB47" s="22">
        <v>37</v>
      </c>
      <c r="BC47" s="22">
        <v>8.59375E-2</v>
      </c>
      <c r="BD47">
        <f t="shared" si="10"/>
        <v>18.412222222222223</v>
      </c>
      <c r="BE47">
        <f t="shared" si="11"/>
        <v>1.5901660485555555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5.5770200000000001</v>
      </c>
      <c r="I48" s="22">
        <v>-1.19507E-2</v>
      </c>
      <c r="J48" s="22">
        <v>38</v>
      </c>
      <c r="K48" s="22">
        <v>1.65802</v>
      </c>
      <c r="L48">
        <f t="shared" si="0"/>
        <v>14.75395061728395</v>
      </c>
      <c r="M48">
        <f t="shared" si="1"/>
        <v>24.471345112345677</v>
      </c>
      <c r="N48" s="9"/>
      <c r="O48" s="22">
        <v>9.1400099999999998E-2</v>
      </c>
      <c r="P48" s="22">
        <v>9.4969199999999994</v>
      </c>
      <c r="Q48" s="22">
        <v>-1.4855999999999999E-2</v>
      </c>
      <c r="R48" s="22">
        <v>38</v>
      </c>
      <c r="S48" s="22">
        <v>9.0789800000000004E-2</v>
      </c>
      <c r="T48">
        <f t="shared" si="2"/>
        <v>18.340740740740738</v>
      </c>
      <c r="U48">
        <f t="shared" si="3"/>
        <v>1.6763455377777776</v>
      </c>
      <c r="X48" s="9"/>
      <c r="Y48" s="22">
        <v>1.65863</v>
      </c>
      <c r="Z48" s="22">
        <v>15.042199999999999</v>
      </c>
      <c r="AA48" s="22">
        <v>-1.18774E-2</v>
      </c>
      <c r="AB48" s="22">
        <v>38</v>
      </c>
      <c r="AC48" s="22">
        <v>1.65741</v>
      </c>
      <c r="AD48">
        <f t="shared" si="4"/>
        <v>14.663456790123456</v>
      </c>
      <c r="AE48">
        <f t="shared" si="5"/>
        <v>24.32124933580247</v>
      </c>
      <c r="AF48" s="9"/>
      <c r="AG48" s="22">
        <v>9.1400099999999998E-2</v>
      </c>
      <c r="AH48" s="22">
        <v>18.962199999999999</v>
      </c>
      <c r="AI48" s="22">
        <v>-1.48956E-2</v>
      </c>
      <c r="AJ48" s="22">
        <v>38</v>
      </c>
      <c r="AK48" s="22">
        <v>9.0789800000000004E-2</v>
      </c>
      <c r="AL48">
        <f t="shared" si="6"/>
        <v>18.389629629629628</v>
      </c>
      <c r="AM48">
        <f t="shared" si="7"/>
        <v>1.680813987111111</v>
      </c>
      <c r="AP48" s="9"/>
      <c r="AQ48" s="22">
        <v>1.65863</v>
      </c>
      <c r="AR48" s="22">
        <v>24.525500000000001</v>
      </c>
      <c r="AS48" s="22">
        <v>-1.1853000000000001E-2</v>
      </c>
      <c r="AT48" s="22">
        <v>38</v>
      </c>
      <c r="AU48" s="22">
        <v>1.6571</v>
      </c>
      <c r="AV48">
        <f t="shared" si="8"/>
        <v>14.633333333333333</v>
      </c>
      <c r="AW48">
        <f t="shared" si="9"/>
        <v>24.271285666666667</v>
      </c>
      <c r="AX48" s="9"/>
      <c r="AY48" s="22">
        <v>9.1400099999999998E-2</v>
      </c>
      <c r="AZ48" s="22">
        <v>28.445399999999999</v>
      </c>
      <c r="BA48" s="22">
        <v>-1.4907800000000001E-2</v>
      </c>
      <c r="BB48" s="22">
        <v>38</v>
      </c>
      <c r="BC48" s="22">
        <v>9.1003399999999998E-2</v>
      </c>
      <c r="BD48">
        <f t="shared" si="10"/>
        <v>18.404691358024692</v>
      </c>
      <c r="BE48">
        <f t="shared" si="11"/>
        <v>1.6821906305925927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5.5870899999999999</v>
      </c>
      <c r="I49" s="22">
        <v>-1.2023900000000001E-2</v>
      </c>
      <c r="J49" s="22">
        <v>39</v>
      </c>
      <c r="K49" s="22">
        <v>1.6531400000000001</v>
      </c>
      <c r="L49">
        <f t="shared" si="0"/>
        <v>14.844320987654321</v>
      </c>
      <c r="M49">
        <f t="shared" si="1"/>
        <v>24.546420741975307</v>
      </c>
      <c r="N49" s="9"/>
      <c r="O49" s="22">
        <v>9.6435499999999993E-2</v>
      </c>
      <c r="P49" s="22">
        <v>9.5069900000000001</v>
      </c>
      <c r="Q49" s="22">
        <v>-1.48529E-2</v>
      </c>
      <c r="R49" s="22">
        <v>39</v>
      </c>
      <c r="S49" s="22">
        <v>9.6099900000000002E-2</v>
      </c>
      <c r="T49">
        <f t="shared" si="2"/>
        <v>18.336913580246915</v>
      </c>
      <c r="U49">
        <f t="shared" si="3"/>
        <v>1.7683294295679013</v>
      </c>
      <c r="X49" s="9"/>
      <c r="Y49" s="22">
        <v>1.6535899999999999</v>
      </c>
      <c r="Z49" s="22">
        <v>15.052300000000001</v>
      </c>
      <c r="AA49" s="22">
        <v>-1.1972E-2</v>
      </c>
      <c r="AB49" s="22">
        <v>39</v>
      </c>
      <c r="AC49" s="22">
        <v>1.65283</v>
      </c>
      <c r="AD49">
        <f t="shared" si="4"/>
        <v>14.780246913580246</v>
      </c>
      <c r="AE49">
        <f t="shared" si="5"/>
        <v>24.440468493827158</v>
      </c>
      <c r="AF49" s="9"/>
      <c r="AG49" s="22">
        <v>9.6435499999999993E-2</v>
      </c>
      <c r="AH49" s="22">
        <v>18.972200000000001</v>
      </c>
      <c r="AI49" s="22">
        <v>-1.48956E-2</v>
      </c>
      <c r="AJ49" s="22">
        <v>39</v>
      </c>
      <c r="AK49" s="22">
        <v>9.5916699999999994E-2</v>
      </c>
      <c r="AL49">
        <f t="shared" si="6"/>
        <v>18.389629629629628</v>
      </c>
      <c r="AM49">
        <f t="shared" si="7"/>
        <v>1.7734131281481478</v>
      </c>
      <c r="AP49" s="9"/>
      <c r="AQ49" s="22">
        <v>1.6535899999999999</v>
      </c>
      <c r="AR49" s="22">
        <v>24.535499999999999</v>
      </c>
      <c r="AS49" s="22">
        <v>-1.1941500000000001E-2</v>
      </c>
      <c r="AT49" s="22">
        <v>39</v>
      </c>
      <c r="AU49" s="22">
        <v>1.65283</v>
      </c>
      <c r="AV49">
        <f t="shared" si="8"/>
        <v>14.742592592592592</v>
      </c>
      <c r="AW49">
        <f t="shared" si="9"/>
        <v>24.378203685185184</v>
      </c>
      <c r="AX49" s="9"/>
      <c r="AY49" s="22">
        <v>9.6435499999999993E-2</v>
      </c>
      <c r="AZ49" s="22">
        <v>28.455400000000001</v>
      </c>
      <c r="BA49" s="22">
        <v>-1.4904799999999999E-2</v>
      </c>
      <c r="BB49" s="22">
        <v>39</v>
      </c>
      <c r="BC49" s="22">
        <v>9.6008300000000005E-2</v>
      </c>
      <c r="BD49">
        <f t="shared" si="10"/>
        <v>18.400987654320986</v>
      </c>
      <c r="BE49">
        <f t="shared" si="11"/>
        <v>1.7745084449382713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5.5971599999999997</v>
      </c>
      <c r="I50" s="22">
        <v>-1.2097200000000001E-2</v>
      </c>
      <c r="J50" s="22">
        <v>40</v>
      </c>
      <c r="K50" s="22">
        <v>1.64795</v>
      </c>
      <c r="L50">
        <f t="shared" si="0"/>
        <v>14.934814814814814</v>
      </c>
      <c r="M50">
        <f t="shared" si="1"/>
        <v>24.620938311111111</v>
      </c>
      <c r="N50" s="9"/>
      <c r="O50" s="22">
        <v>0.10147100000000001</v>
      </c>
      <c r="P50" s="22">
        <v>9.5170700000000004</v>
      </c>
      <c r="Q50" s="22">
        <v>-1.48468E-2</v>
      </c>
      <c r="R50" s="22">
        <v>40</v>
      </c>
      <c r="S50" s="22">
        <v>0.10104399999999999</v>
      </c>
      <c r="T50">
        <f t="shared" si="2"/>
        <v>18.329382716049381</v>
      </c>
      <c r="U50">
        <f t="shared" si="3"/>
        <v>1.8599007935802467</v>
      </c>
      <c r="X50" s="9"/>
      <c r="Y50" s="22">
        <v>1.64856</v>
      </c>
      <c r="Z50" s="22">
        <v>15.0624</v>
      </c>
      <c r="AA50" s="22">
        <v>-1.20483E-2</v>
      </c>
      <c r="AB50" s="22">
        <v>40</v>
      </c>
      <c r="AC50" s="22">
        <v>1.64795</v>
      </c>
      <c r="AD50">
        <f t="shared" si="4"/>
        <v>14.874444444444444</v>
      </c>
      <c r="AE50">
        <f t="shared" si="5"/>
        <v>24.521414133333334</v>
      </c>
      <c r="AF50" s="9"/>
      <c r="AG50" s="22">
        <v>0.10147100000000001</v>
      </c>
      <c r="AH50" s="22">
        <v>18.982299999999999</v>
      </c>
      <c r="AI50" s="22">
        <v>-1.48895E-2</v>
      </c>
      <c r="AJ50" s="22">
        <v>40</v>
      </c>
      <c r="AK50" s="22">
        <v>0.1008</v>
      </c>
      <c r="AL50">
        <f t="shared" si="6"/>
        <v>18.382098765432101</v>
      </c>
      <c r="AM50">
        <f t="shared" si="7"/>
        <v>1.8652499438271608</v>
      </c>
      <c r="AP50" s="9"/>
      <c r="AQ50" s="22">
        <v>1.64856</v>
      </c>
      <c r="AR50" s="22">
        <v>24.5456</v>
      </c>
      <c r="AS50" s="22">
        <v>-1.20331E-2</v>
      </c>
      <c r="AT50" s="22">
        <v>40</v>
      </c>
      <c r="AU50" s="22">
        <v>1.64764</v>
      </c>
      <c r="AV50">
        <f t="shared" si="8"/>
        <v>14.855679012345679</v>
      </c>
      <c r="AW50">
        <f t="shared" si="9"/>
        <v>24.490478192592594</v>
      </c>
      <c r="AX50" s="9"/>
      <c r="AY50" s="22">
        <v>0.10147100000000001</v>
      </c>
      <c r="AZ50" s="22">
        <v>28.465499999999999</v>
      </c>
      <c r="BA50" s="22">
        <v>-1.4898700000000001E-2</v>
      </c>
      <c r="BB50" s="22">
        <v>40</v>
      </c>
      <c r="BC50" s="22">
        <v>0.101227</v>
      </c>
      <c r="BD50">
        <f t="shared" si="10"/>
        <v>18.393456790123455</v>
      </c>
      <c r="BE50">
        <f t="shared" si="11"/>
        <v>1.8664024539506172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5.60724</v>
      </c>
      <c r="I51" s="22">
        <v>-1.21674E-2</v>
      </c>
      <c r="J51" s="22">
        <v>41</v>
      </c>
      <c r="K51" s="22">
        <v>1.64246</v>
      </c>
      <c r="L51">
        <f t="shared" si="0"/>
        <v>15.021481481481482</v>
      </c>
      <c r="M51">
        <f t="shared" si="1"/>
        <v>24.688105244444447</v>
      </c>
      <c r="N51" s="9"/>
      <c r="O51" s="22">
        <v>0.106506</v>
      </c>
      <c r="P51" s="22">
        <v>9.5271399999999993</v>
      </c>
      <c r="Q51" s="22">
        <v>-1.48407E-2</v>
      </c>
      <c r="R51" s="22">
        <v>41</v>
      </c>
      <c r="S51" s="22">
        <v>0.10623199999999999</v>
      </c>
      <c r="T51">
        <f t="shared" si="2"/>
        <v>18.32185185185185</v>
      </c>
      <c r="U51">
        <f t="shared" si="3"/>
        <v>1.9513871533333331</v>
      </c>
      <c r="X51" s="9"/>
      <c r="Y51" s="22">
        <v>1.6435200000000001</v>
      </c>
      <c r="Z51" s="22">
        <v>15.0725</v>
      </c>
      <c r="AA51" s="22">
        <v>-1.21338E-2</v>
      </c>
      <c r="AB51" s="22">
        <v>41</v>
      </c>
      <c r="AC51" s="22">
        <v>1.64246</v>
      </c>
      <c r="AD51">
        <f t="shared" si="4"/>
        <v>14.979999999999999</v>
      </c>
      <c r="AE51">
        <f t="shared" si="5"/>
        <v>24.619929599999999</v>
      </c>
      <c r="AF51" s="9"/>
      <c r="AG51" s="22">
        <v>0.106506</v>
      </c>
      <c r="AH51" s="22">
        <v>18.9924</v>
      </c>
      <c r="AI51" s="22">
        <v>-1.48895E-2</v>
      </c>
      <c r="AJ51" s="22">
        <v>41</v>
      </c>
      <c r="AK51" s="22">
        <v>0.106018</v>
      </c>
      <c r="AL51">
        <f t="shared" si="6"/>
        <v>18.382098765432101</v>
      </c>
      <c r="AM51">
        <f t="shared" si="7"/>
        <v>1.9578038111111113</v>
      </c>
      <c r="AP51" s="9"/>
      <c r="AQ51" s="22">
        <v>1.6435200000000001</v>
      </c>
      <c r="AR51" s="22">
        <v>24.555700000000002</v>
      </c>
      <c r="AS51" s="22">
        <v>-1.21063E-2</v>
      </c>
      <c r="AT51" s="22">
        <v>41</v>
      </c>
      <c r="AU51" s="22">
        <v>1.64246</v>
      </c>
      <c r="AV51">
        <f t="shared" si="8"/>
        <v>14.946049382716049</v>
      </c>
      <c r="AW51">
        <f t="shared" si="9"/>
        <v>24.564131081481484</v>
      </c>
      <c r="AX51" s="9"/>
      <c r="AY51" s="22">
        <v>0.106506</v>
      </c>
      <c r="AZ51" s="22">
        <v>28.4756</v>
      </c>
      <c r="BA51" s="22">
        <v>-1.4892600000000001E-2</v>
      </c>
      <c r="BB51" s="22">
        <v>41</v>
      </c>
      <c r="BC51" s="22">
        <v>0.105988</v>
      </c>
      <c r="BD51">
        <f t="shared" si="10"/>
        <v>18.385925925925928</v>
      </c>
      <c r="BE51">
        <f t="shared" si="11"/>
        <v>1.958211426666667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5.6173099999999998</v>
      </c>
      <c r="I52" s="22">
        <v>-1.22375E-2</v>
      </c>
      <c r="J52" s="22">
        <v>42</v>
      </c>
      <c r="K52" s="22">
        <v>1.63757</v>
      </c>
      <c r="L52">
        <f t="shared" si="0"/>
        <v>15.108024691358024</v>
      </c>
      <c r="M52">
        <f t="shared" si="1"/>
        <v>24.754347376543208</v>
      </c>
      <c r="N52" s="9"/>
      <c r="O52" s="22">
        <v>0.111542</v>
      </c>
      <c r="P52" s="22">
        <v>9.53721</v>
      </c>
      <c r="Q52" s="22">
        <v>-1.4837599999999999E-2</v>
      </c>
      <c r="R52" s="22">
        <v>42</v>
      </c>
      <c r="S52" s="22">
        <v>0.11096200000000001</v>
      </c>
      <c r="T52">
        <f t="shared" si="2"/>
        <v>18.318024691358023</v>
      </c>
      <c r="U52">
        <f t="shared" si="3"/>
        <v>2.0432291101234568</v>
      </c>
      <c r="X52" s="9"/>
      <c r="Y52" s="22">
        <v>1.63849</v>
      </c>
      <c r="Z52" s="22">
        <v>15.0825</v>
      </c>
      <c r="AA52" s="22">
        <v>-1.2207000000000001E-2</v>
      </c>
      <c r="AB52" s="22">
        <v>42</v>
      </c>
      <c r="AC52" s="22">
        <v>1.63727</v>
      </c>
      <c r="AD52">
        <f t="shared" si="4"/>
        <v>15.070370370370371</v>
      </c>
      <c r="AE52">
        <f t="shared" si="5"/>
        <v>24.692651148148151</v>
      </c>
      <c r="AF52" s="9"/>
      <c r="AG52" s="22">
        <v>0.111542</v>
      </c>
      <c r="AH52" s="22">
        <v>19.002500000000001</v>
      </c>
      <c r="AI52" s="22">
        <v>-1.48834E-2</v>
      </c>
      <c r="AJ52" s="22">
        <v>42</v>
      </c>
      <c r="AK52" s="22">
        <v>0.111176</v>
      </c>
      <c r="AL52">
        <f t="shared" si="6"/>
        <v>18.374567901234567</v>
      </c>
      <c r="AM52">
        <f t="shared" si="7"/>
        <v>2.0495360528395059</v>
      </c>
      <c r="AP52" s="9"/>
      <c r="AQ52" s="22">
        <v>1.63849</v>
      </c>
      <c r="AR52" s="22">
        <v>24.565799999999999</v>
      </c>
      <c r="AS52" s="22">
        <v>-1.21887E-2</v>
      </c>
      <c r="AT52" s="22">
        <v>42</v>
      </c>
      <c r="AU52" s="22">
        <v>1.63788</v>
      </c>
      <c r="AV52">
        <f t="shared" si="8"/>
        <v>15.047777777777776</v>
      </c>
      <c r="AW52">
        <f t="shared" si="9"/>
        <v>24.655633411111108</v>
      </c>
      <c r="AX52" s="9"/>
      <c r="AY52" s="22">
        <v>0.111542</v>
      </c>
      <c r="AZ52" s="22">
        <v>28.485700000000001</v>
      </c>
      <c r="BA52" s="22">
        <v>-1.48895E-2</v>
      </c>
      <c r="BB52" s="22">
        <v>42</v>
      </c>
      <c r="BC52" s="22">
        <v>0.111023</v>
      </c>
      <c r="BD52">
        <f t="shared" si="10"/>
        <v>18.382098765432101</v>
      </c>
      <c r="BE52">
        <f t="shared" si="11"/>
        <v>2.0503760604938273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5.6273799999999996</v>
      </c>
      <c r="I53" s="22">
        <v>-1.22986E-2</v>
      </c>
      <c r="J53" s="22">
        <v>43</v>
      </c>
      <c r="K53" s="22">
        <v>1.63269</v>
      </c>
      <c r="L53">
        <f t="shared" si="0"/>
        <v>15.183456790123456</v>
      </c>
      <c r="M53">
        <f t="shared" si="1"/>
        <v>24.801417493827159</v>
      </c>
      <c r="N53" s="9"/>
      <c r="O53" s="22">
        <v>0.116577</v>
      </c>
      <c r="P53" s="22">
        <v>9.5472800000000007</v>
      </c>
      <c r="Q53" s="22">
        <v>-1.48346E-2</v>
      </c>
      <c r="R53" s="22">
        <v>43</v>
      </c>
      <c r="S53" s="22">
        <v>0.115997</v>
      </c>
      <c r="T53">
        <f t="shared" si="2"/>
        <v>18.31432098765432</v>
      </c>
      <c r="U53">
        <f t="shared" si="3"/>
        <v>2.1350285977777776</v>
      </c>
      <c r="X53" s="9"/>
      <c r="Y53" s="22">
        <v>1.6334500000000001</v>
      </c>
      <c r="Z53" s="22">
        <v>15.092599999999999</v>
      </c>
      <c r="AA53" s="22">
        <v>-1.22833E-2</v>
      </c>
      <c r="AB53" s="22">
        <v>43</v>
      </c>
      <c r="AC53" s="22">
        <v>1.63269</v>
      </c>
      <c r="AD53">
        <f t="shared" si="4"/>
        <v>15.164567901234568</v>
      </c>
      <c r="AE53">
        <f t="shared" si="5"/>
        <v>24.770563438271605</v>
      </c>
      <c r="AF53" s="9"/>
      <c r="AG53" s="22">
        <v>0.116577</v>
      </c>
      <c r="AH53" s="22">
        <v>19.012499999999999</v>
      </c>
      <c r="AI53" s="22">
        <v>-1.48834E-2</v>
      </c>
      <c r="AJ53" s="22">
        <v>43</v>
      </c>
      <c r="AK53" s="22">
        <v>0.116241</v>
      </c>
      <c r="AL53">
        <f t="shared" si="6"/>
        <v>18.374567901234567</v>
      </c>
      <c r="AM53">
        <f t="shared" si="7"/>
        <v>2.142052002222222</v>
      </c>
      <c r="AP53" s="9"/>
      <c r="AQ53" s="22">
        <v>1.6334500000000001</v>
      </c>
      <c r="AR53" s="22">
        <v>24.575800000000001</v>
      </c>
      <c r="AS53" s="22">
        <v>-1.22589E-2</v>
      </c>
      <c r="AT53" s="22">
        <v>43</v>
      </c>
      <c r="AU53" s="22">
        <v>1.63239</v>
      </c>
      <c r="AV53">
        <f t="shared" si="8"/>
        <v>15.134444444444444</v>
      </c>
      <c r="AW53">
        <f t="shared" si="9"/>
        <v>24.721358277777778</v>
      </c>
      <c r="AX53" s="9"/>
      <c r="AY53" s="22">
        <v>0.116577</v>
      </c>
      <c r="AZ53" s="22">
        <v>28.495699999999999</v>
      </c>
      <c r="BA53" s="22">
        <v>-1.48865E-2</v>
      </c>
      <c r="BB53" s="22">
        <v>43</v>
      </c>
      <c r="BC53" s="22">
        <v>0.115997</v>
      </c>
      <c r="BD53">
        <f t="shared" si="10"/>
        <v>18.378395061728394</v>
      </c>
      <c r="BE53">
        <f t="shared" si="11"/>
        <v>2.1424981611111109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5.6374500000000003</v>
      </c>
      <c r="I54" s="22">
        <v>-1.23596E-2</v>
      </c>
      <c r="J54" s="22">
        <v>44</v>
      </c>
      <c r="K54" s="22">
        <v>1.6274999999999999</v>
      </c>
      <c r="L54">
        <f t="shared" si="0"/>
        <v>15.258765432098766</v>
      </c>
      <c r="M54">
        <f t="shared" si="1"/>
        <v>24.847678804938273</v>
      </c>
      <c r="N54" s="9"/>
      <c r="O54" s="22">
        <v>0.121613</v>
      </c>
      <c r="P54" s="22">
        <v>9.5573499999999996</v>
      </c>
      <c r="Q54" s="22">
        <v>-1.4831499999999999E-2</v>
      </c>
      <c r="R54" s="22">
        <v>44</v>
      </c>
      <c r="S54" s="22">
        <v>0.121063</v>
      </c>
      <c r="T54">
        <f t="shared" si="2"/>
        <v>18.310493827160489</v>
      </c>
      <c r="U54">
        <f t="shared" si="3"/>
        <v>2.2267940858024686</v>
      </c>
      <c r="X54" s="9"/>
      <c r="Y54" s="22">
        <v>1.62842</v>
      </c>
      <c r="Z54" s="22">
        <v>15.1027</v>
      </c>
      <c r="AA54" s="22">
        <v>-1.23505E-2</v>
      </c>
      <c r="AB54" s="22">
        <v>44</v>
      </c>
      <c r="AC54" s="22">
        <v>1.6274999999999999</v>
      </c>
      <c r="AD54">
        <f t="shared" si="4"/>
        <v>15.247530864197531</v>
      </c>
      <c r="AE54">
        <f t="shared" si="5"/>
        <v>24.829384209876544</v>
      </c>
      <c r="AF54" s="9"/>
      <c r="AG54" s="22">
        <v>0.121613</v>
      </c>
      <c r="AH54" s="22">
        <v>19.022600000000001</v>
      </c>
      <c r="AI54" s="22">
        <v>-1.48804E-2</v>
      </c>
      <c r="AJ54" s="22">
        <v>44</v>
      </c>
      <c r="AK54" s="22">
        <v>0.12124600000000001</v>
      </c>
      <c r="AL54">
        <f t="shared" si="6"/>
        <v>18.370864197530864</v>
      </c>
      <c r="AM54">
        <f t="shared" si="7"/>
        <v>2.2341359076543208</v>
      </c>
      <c r="AP54" s="9"/>
      <c r="AQ54" s="22">
        <v>1.62842</v>
      </c>
      <c r="AR54" s="22">
        <v>24.585899999999999</v>
      </c>
      <c r="AS54" s="22">
        <v>-1.23322E-2</v>
      </c>
      <c r="AT54" s="22">
        <v>44</v>
      </c>
      <c r="AU54" s="22">
        <v>1.6268899999999999</v>
      </c>
      <c r="AV54">
        <f t="shared" si="8"/>
        <v>15.224938271604938</v>
      </c>
      <c r="AW54">
        <f t="shared" si="9"/>
        <v>24.792593980246913</v>
      </c>
      <c r="AX54" s="9"/>
      <c r="AY54" s="22">
        <v>0.121613</v>
      </c>
      <c r="AZ54" s="22">
        <v>28.505800000000001</v>
      </c>
      <c r="BA54" s="22">
        <v>-1.48834E-2</v>
      </c>
      <c r="BB54" s="22">
        <v>44</v>
      </c>
      <c r="BC54" s="22">
        <v>0.120911</v>
      </c>
      <c r="BD54">
        <f t="shared" si="10"/>
        <v>18.374567901234567</v>
      </c>
      <c r="BE54">
        <f t="shared" si="11"/>
        <v>2.2345863261728391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5.6475200000000001</v>
      </c>
      <c r="I55" s="22">
        <v>-1.24207E-2</v>
      </c>
      <c r="J55" s="22">
        <v>45</v>
      </c>
      <c r="K55" s="22">
        <v>1.62262</v>
      </c>
      <c r="L55">
        <f t="shared" si="0"/>
        <v>15.334197530864195</v>
      </c>
      <c r="M55">
        <f t="shared" si="1"/>
        <v>24.893229587654318</v>
      </c>
      <c r="N55" s="9"/>
      <c r="O55" s="22">
        <v>0.12664800000000001</v>
      </c>
      <c r="P55" s="22">
        <v>9.5674200000000003</v>
      </c>
      <c r="Q55" s="22">
        <v>-1.48285E-2</v>
      </c>
      <c r="R55" s="22">
        <v>45</v>
      </c>
      <c r="S55" s="22">
        <v>0.12619</v>
      </c>
      <c r="T55">
        <f t="shared" si="2"/>
        <v>18.306790123456789</v>
      </c>
      <c r="U55">
        <f t="shared" si="3"/>
        <v>2.3185183555555557</v>
      </c>
      <c r="X55" s="9"/>
      <c r="Y55" s="22">
        <v>1.62338</v>
      </c>
      <c r="Z55" s="22">
        <v>15.1127</v>
      </c>
      <c r="AA55" s="22">
        <v>-1.2417600000000001E-2</v>
      </c>
      <c r="AB55" s="22">
        <v>45</v>
      </c>
      <c r="AC55" s="22">
        <v>1.62201</v>
      </c>
      <c r="AD55">
        <f t="shared" si="4"/>
        <v>15.330370370370371</v>
      </c>
      <c r="AE55">
        <f t="shared" si="5"/>
        <v>24.887016651851855</v>
      </c>
      <c r="AF55" s="9"/>
      <c r="AG55" s="22">
        <v>0.12664800000000001</v>
      </c>
      <c r="AH55" s="22">
        <v>19.032699999999998</v>
      </c>
      <c r="AI55" s="22">
        <v>-1.48743E-2</v>
      </c>
      <c r="AJ55" s="22">
        <v>45</v>
      </c>
      <c r="AK55" s="22">
        <v>0.12600700000000001</v>
      </c>
      <c r="AL55">
        <f t="shared" si="6"/>
        <v>18.363333333333333</v>
      </c>
      <c r="AM55">
        <f t="shared" si="7"/>
        <v>2.32567944</v>
      </c>
      <c r="AP55" s="9"/>
      <c r="AQ55" s="22">
        <v>1.62338</v>
      </c>
      <c r="AR55" s="22">
        <v>24.596</v>
      </c>
      <c r="AS55" s="22">
        <v>-1.23932E-2</v>
      </c>
      <c r="AT55" s="22">
        <v>45</v>
      </c>
      <c r="AU55" s="22">
        <v>1.6223099999999999</v>
      </c>
      <c r="AV55">
        <f t="shared" si="8"/>
        <v>15.300246913580246</v>
      </c>
      <c r="AW55">
        <f t="shared" si="9"/>
        <v>24.8381148345679</v>
      </c>
      <c r="AX55" s="9"/>
      <c r="AY55" s="22">
        <v>0.12664800000000001</v>
      </c>
      <c r="AZ55" s="22">
        <v>28.515899999999998</v>
      </c>
      <c r="BA55" s="22">
        <v>-1.48743E-2</v>
      </c>
      <c r="BB55" s="22">
        <v>45</v>
      </c>
      <c r="BC55" s="22">
        <v>0.12631200000000001</v>
      </c>
      <c r="BD55">
        <f t="shared" si="10"/>
        <v>18.363333333333333</v>
      </c>
      <c r="BE55">
        <f t="shared" si="11"/>
        <v>2.32567944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5.6575899999999999</v>
      </c>
      <c r="I56" s="22">
        <v>-1.24756E-2</v>
      </c>
      <c r="J56" s="22">
        <v>46</v>
      </c>
      <c r="K56" s="22">
        <v>1.6174299999999999</v>
      </c>
      <c r="L56">
        <f t="shared" si="0"/>
        <v>15.401975308641974</v>
      </c>
      <c r="M56">
        <f t="shared" si="1"/>
        <v>24.92578674074074</v>
      </c>
      <c r="N56" s="9"/>
      <c r="O56" s="22">
        <v>0.13168299999999999</v>
      </c>
      <c r="P56" s="22">
        <v>9.5774899999999992</v>
      </c>
      <c r="Q56" s="22">
        <v>-1.4825400000000001E-2</v>
      </c>
      <c r="R56" s="22">
        <v>46</v>
      </c>
      <c r="S56" s="22">
        <v>0.13128699999999999</v>
      </c>
      <c r="T56">
        <f t="shared" si="2"/>
        <v>18.302962962962962</v>
      </c>
      <c r="U56">
        <f t="shared" si="3"/>
        <v>2.4101890718518515</v>
      </c>
      <c r="X56" s="9"/>
      <c r="Y56" s="22">
        <v>1.61835</v>
      </c>
      <c r="Z56" s="22">
        <v>15.1228</v>
      </c>
      <c r="AA56" s="22">
        <v>-1.2472499999999999E-2</v>
      </c>
      <c r="AB56" s="22">
        <v>46</v>
      </c>
      <c r="AC56" s="22">
        <v>1.6174299999999999</v>
      </c>
      <c r="AD56">
        <f t="shared" si="4"/>
        <v>15.398148148148147</v>
      </c>
      <c r="AE56">
        <f t="shared" si="5"/>
        <v>24.919593055555552</v>
      </c>
      <c r="AF56" s="9"/>
      <c r="AG56" s="22">
        <v>0.13168299999999999</v>
      </c>
      <c r="AH56" s="22">
        <v>19.0427</v>
      </c>
      <c r="AI56" s="22">
        <v>-1.48682E-2</v>
      </c>
      <c r="AJ56" s="22">
        <v>46</v>
      </c>
      <c r="AK56" s="22">
        <v>0.131104</v>
      </c>
      <c r="AL56">
        <f t="shared" si="6"/>
        <v>18.355802469135799</v>
      </c>
      <c r="AM56">
        <f t="shared" si="7"/>
        <v>2.4171471365432096</v>
      </c>
      <c r="AP56" s="9"/>
      <c r="AQ56" s="22">
        <v>1.61835</v>
      </c>
      <c r="AR56" s="22">
        <v>24.606000000000002</v>
      </c>
      <c r="AS56" s="22">
        <v>-1.2451200000000001E-2</v>
      </c>
      <c r="AT56" s="22">
        <v>46</v>
      </c>
      <c r="AU56" s="22">
        <v>1.61713</v>
      </c>
      <c r="AV56">
        <f t="shared" si="8"/>
        <v>15.371851851851853</v>
      </c>
      <c r="AW56">
        <f t="shared" si="9"/>
        <v>24.877036444444446</v>
      </c>
      <c r="AX56" s="9"/>
      <c r="AY56" s="22">
        <v>0.13168299999999999</v>
      </c>
      <c r="AZ56" s="22">
        <v>28.5259</v>
      </c>
      <c r="BA56" s="22">
        <v>-1.4871199999999999E-2</v>
      </c>
      <c r="BB56" s="22">
        <v>46</v>
      </c>
      <c r="BC56" s="22">
        <v>0.13134799999999999</v>
      </c>
      <c r="BD56">
        <f t="shared" si="10"/>
        <v>18.359506172839506</v>
      </c>
      <c r="BE56">
        <f t="shared" si="11"/>
        <v>2.4176348513580246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5.6676599999999997</v>
      </c>
      <c r="I57" s="22">
        <v>-1.25305E-2</v>
      </c>
      <c r="J57" s="22">
        <v>47</v>
      </c>
      <c r="K57" s="22">
        <v>1.6125499999999999</v>
      </c>
      <c r="L57">
        <f t="shared" si="0"/>
        <v>15.469753086419752</v>
      </c>
      <c r="M57">
        <f t="shared" si="1"/>
        <v>24.957507351851852</v>
      </c>
      <c r="N57" s="9"/>
      <c r="O57" s="22">
        <v>0.13671900000000001</v>
      </c>
      <c r="P57" s="22">
        <v>9.5875599999999999</v>
      </c>
      <c r="Q57" s="22">
        <v>-1.4822399999999999E-2</v>
      </c>
      <c r="R57" s="22">
        <v>47</v>
      </c>
      <c r="S57" s="22">
        <v>0.136322</v>
      </c>
      <c r="T57">
        <f t="shared" si="2"/>
        <v>18.299259259259259</v>
      </c>
      <c r="U57">
        <f t="shared" si="3"/>
        <v>2.5018564266666665</v>
      </c>
      <c r="X57" s="9"/>
      <c r="Y57" s="22">
        <v>1.61331</v>
      </c>
      <c r="Z57" s="22">
        <v>15.132899999999999</v>
      </c>
      <c r="AA57" s="22">
        <v>-1.25305E-2</v>
      </c>
      <c r="AB57" s="22">
        <v>47</v>
      </c>
      <c r="AC57" s="22">
        <v>1.6128499999999999</v>
      </c>
      <c r="AD57">
        <f t="shared" si="4"/>
        <v>15.469753086419752</v>
      </c>
      <c r="AE57">
        <f t="shared" si="5"/>
        <v>24.957507351851852</v>
      </c>
      <c r="AF57" s="9"/>
      <c r="AG57" s="22">
        <v>0.13671900000000001</v>
      </c>
      <c r="AH57" s="22">
        <v>19.052800000000001</v>
      </c>
      <c r="AI57" s="22">
        <v>-1.48621E-2</v>
      </c>
      <c r="AJ57" s="22">
        <v>47</v>
      </c>
      <c r="AK57" s="22">
        <v>0.136292</v>
      </c>
      <c r="AL57">
        <f t="shared" si="6"/>
        <v>18.348271604938269</v>
      </c>
      <c r="AM57">
        <f t="shared" si="7"/>
        <v>2.5085573455555554</v>
      </c>
      <c r="AP57" s="9"/>
      <c r="AQ57" s="22">
        <v>1.61331</v>
      </c>
      <c r="AR57" s="22">
        <v>24.616099999999999</v>
      </c>
      <c r="AS57" s="22">
        <v>-1.25092E-2</v>
      </c>
      <c r="AT57" s="22">
        <v>47</v>
      </c>
      <c r="AU57" s="22">
        <v>1.6125499999999999</v>
      </c>
      <c r="AV57">
        <f t="shared" si="8"/>
        <v>15.443456790123456</v>
      </c>
      <c r="AW57">
        <f t="shared" si="9"/>
        <v>24.915083274074075</v>
      </c>
      <c r="AX57" s="9"/>
      <c r="AY57" s="22">
        <v>0.13671900000000001</v>
      </c>
      <c r="AZ57" s="22">
        <v>28.536000000000001</v>
      </c>
      <c r="BA57" s="22">
        <v>-1.4865099999999999E-2</v>
      </c>
      <c r="BB57" s="22">
        <v>47</v>
      </c>
      <c r="BC57" s="22">
        <v>0.13613900000000001</v>
      </c>
      <c r="BD57">
        <f t="shared" si="10"/>
        <v>18.351975308641972</v>
      </c>
      <c r="BE57">
        <f t="shared" si="11"/>
        <v>2.5090637122222219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5.6777300000000004</v>
      </c>
      <c r="I58" s="22">
        <v>-1.25793E-2</v>
      </c>
      <c r="J58" s="22">
        <v>48</v>
      </c>
      <c r="K58" s="22">
        <v>1.6070599999999999</v>
      </c>
      <c r="L58">
        <f t="shared" si="0"/>
        <v>15.53</v>
      </c>
      <c r="M58">
        <f t="shared" si="1"/>
        <v>24.976588399999997</v>
      </c>
      <c r="N58" s="9"/>
      <c r="O58" s="22">
        <v>0.14175399999999999</v>
      </c>
      <c r="P58" s="22">
        <v>9.5976300000000005</v>
      </c>
      <c r="Q58" s="22">
        <v>-1.4819300000000001E-2</v>
      </c>
      <c r="R58" s="22">
        <v>48</v>
      </c>
      <c r="S58" s="22">
        <v>0.141571</v>
      </c>
      <c r="T58">
        <f t="shared" si="2"/>
        <v>18.295432098765431</v>
      </c>
      <c r="U58">
        <f t="shared" si="3"/>
        <v>2.5934506817283949</v>
      </c>
      <c r="X58" s="9"/>
      <c r="Y58" s="22">
        <v>1.6082799999999999</v>
      </c>
      <c r="Z58" s="22">
        <v>15.143000000000001</v>
      </c>
      <c r="AA58" s="22">
        <v>-1.2582400000000001E-2</v>
      </c>
      <c r="AB58" s="22">
        <v>48</v>
      </c>
      <c r="AC58" s="22">
        <v>1.6067499999999999</v>
      </c>
      <c r="AD58">
        <f t="shared" si="4"/>
        <v>15.533827160493827</v>
      </c>
      <c r="AE58">
        <f t="shared" si="5"/>
        <v>24.982743545679011</v>
      </c>
      <c r="AF58" s="9"/>
      <c r="AG58" s="22">
        <v>0.14175399999999999</v>
      </c>
      <c r="AH58" s="22">
        <v>19.062899999999999</v>
      </c>
      <c r="AI58" s="22">
        <v>-1.4859000000000001E-2</v>
      </c>
      <c r="AJ58" s="22">
        <v>48</v>
      </c>
      <c r="AK58" s="22">
        <v>0.14141799999999999</v>
      </c>
      <c r="AL58">
        <f t="shared" si="6"/>
        <v>18.344444444444445</v>
      </c>
      <c r="AM58">
        <f t="shared" si="7"/>
        <v>2.6003983777777777</v>
      </c>
      <c r="AP58" s="9"/>
      <c r="AQ58" s="22">
        <v>1.6082799999999999</v>
      </c>
      <c r="AR58" s="22">
        <v>24.626200000000001</v>
      </c>
      <c r="AS58" s="22">
        <v>-1.25763E-2</v>
      </c>
      <c r="AT58" s="22">
        <v>48</v>
      </c>
      <c r="AU58" s="22">
        <v>1.6070599999999999</v>
      </c>
      <c r="AV58">
        <f t="shared" si="8"/>
        <v>15.526296296296294</v>
      </c>
      <c r="AW58">
        <f t="shared" si="9"/>
        <v>24.970631807407404</v>
      </c>
      <c r="AX58" s="9"/>
      <c r="AY58" s="22">
        <v>0.14175399999999999</v>
      </c>
      <c r="AZ58" s="22">
        <v>28.546099999999999</v>
      </c>
      <c r="BA58" s="22">
        <v>-1.4859000000000001E-2</v>
      </c>
      <c r="BB58" s="22">
        <v>48</v>
      </c>
      <c r="BC58" s="22">
        <v>0.14141799999999999</v>
      </c>
      <c r="BD58">
        <f t="shared" si="10"/>
        <v>18.344444444444445</v>
      </c>
      <c r="BE58">
        <f t="shared" si="11"/>
        <v>2.6003983777777777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5.6878000000000002</v>
      </c>
      <c r="I59" s="22">
        <v>-1.26251E-2</v>
      </c>
      <c r="J59" s="22">
        <v>49</v>
      </c>
      <c r="K59" s="22">
        <v>1.6024799999999999</v>
      </c>
      <c r="L59">
        <f t="shared" si="0"/>
        <v>15.586543209876544</v>
      </c>
      <c r="M59">
        <f t="shared" si="1"/>
        <v>24.988969535802468</v>
      </c>
      <c r="N59" s="9"/>
      <c r="O59" s="22">
        <v>0.14679</v>
      </c>
      <c r="P59" s="22">
        <v>9.6076999999999995</v>
      </c>
      <c r="Q59" s="22">
        <v>-1.4810200000000001E-2</v>
      </c>
      <c r="R59" s="22">
        <v>49</v>
      </c>
      <c r="S59" s="22">
        <v>0.14627100000000001</v>
      </c>
      <c r="T59">
        <f t="shared" si="2"/>
        <v>18.284197530864198</v>
      </c>
      <c r="U59">
        <f t="shared" si="3"/>
        <v>2.6839373555555555</v>
      </c>
      <c r="X59" s="9"/>
      <c r="Y59" s="22">
        <v>1.60324</v>
      </c>
      <c r="Z59" s="22">
        <v>15.153</v>
      </c>
      <c r="AA59" s="22">
        <v>-1.2628199999999999E-2</v>
      </c>
      <c r="AB59" s="22">
        <v>49</v>
      </c>
      <c r="AC59" s="22">
        <v>1.6021700000000001</v>
      </c>
      <c r="AD59">
        <f t="shared" si="4"/>
        <v>15.590370370370369</v>
      </c>
      <c r="AE59">
        <f t="shared" si="5"/>
        <v>24.995105392592592</v>
      </c>
      <c r="AF59" s="9"/>
      <c r="AG59" s="22">
        <v>0.14679</v>
      </c>
      <c r="AH59" s="22">
        <v>19.073</v>
      </c>
      <c r="AI59" s="22">
        <v>-1.48529E-2</v>
      </c>
      <c r="AJ59" s="22">
        <v>49</v>
      </c>
      <c r="AK59" s="22">
        <v>0.14624000000000001</v>
      </c>
      <c r="AL59">
        <f t="shared" si="6"/>
        <v>18.336913580246915</v>
      </c>
      <c r="AM59">
        <f t="shared" si="7"/>
        <v>2.6916755444444447</v>
      </c>
      <c r="AP59" s="9"/>
      <c r="AQ59" s="22">
        <v>1.60324</v>
      </c>
      <c r="AR59" s="22">
        <v>24.636299999999999</v>
      </c>
      <c r="AS59" s="22">
        <v>-1.26404E-2</v>
      </c>
      <c r="AT59" s="22">
        <v>49</v>
      </c>
      <c r="AU59" s="22">
        <v>1.6018699999999999</v>
      </c>
      <c r="AV59">
        <f t="shared" si="8"/>
        <v>15.60543209876543</v>
      </c>
      <c r="AW59">
        <f t="shared" si="9"/>
        <v>25.019252958024687</v>
      </c>
      <c r="AX59" s="9"/>
      <c r="AY59" s="22">
        <v>0.14679</v>
      </c>
      <c r="AZ59" s="22">
        <v>28.5562</v>
      </c>
      <c r="BA59" s="22">
        <v>-1.48529E-2</v>
      </c>
      <c r="BB59" s="22">
        <v>49</v>
      </c>
      <c r="BC59" s="22">
        <v>0.14627100000000001</v>
      </c>
      <c r="BD59">
        <f t="shared" si="10"/>
        <v>18.336913580246915</v>
      </c>
      <c r="BE59">
        <f t="shared" si="11"/>
        <v>2.6916755444444447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5.69787</v>
      </c>
      <c r="I60" s="22">
        <v>-1.2683099999999999E-2</v>
      </c>
      <c r="J60" s="22">
        <v>50</v>
      </c>
      <c r="K60" s="22">
        <v>1.5969800000000001</v>
      </c>
      <c r="L60">
        <f t="shared" si="0"/>
        <v>15.658148148148147</v>
      </c>
      <c r="M60">
        <f t="shared" si="1"/>
        <v>25.025008951851849</v>
      </c>
      <c r="N60" s="9"/>
      <c r="O60" s="22">
        <v>0.15182499999999999</v>
      </c>
      <c r="P60" s="22">
        <v>9.6177799999999998</v>
      </c>
      <c r="Q60" s="22">
        <v>-1.4804100000000001E-2</v>
      </c>
      <c r="R60" s="22">
        <v>50</v>
      </c>
      <c r="S60" s="22">
        <v>0.15127599999999999</v>
      </c>
      <c r="T60">
        <f t="shared" si="2"/>
        <v>18.276666666666667</v>
      </c>
      <c r="U60">
        <f t="shared" si="3"/>
        <v>2.7748549166666665</v>
      </c>
      <c r="X60" s="9"/>
      <c r="Y60" s="22">
        <v>1.5982099999999999</v>
      </c>
      <c r="Z60" s="22">
        <v>15.1631</v>
      </c>
      <c r="AA60" s="22">
        <v>-1.2674E-2</v>
      </c>
      <c r="AB60" s="22">
        <v>50</v>
      </c>
      <c r="AC60" s="22">
        <v>1.5969800000000001</v>
      </c>
      <c r="AD60">
        <f t="shared" si="4"/>
        <v>15.646913580246911</v>
      </c>
      <c r="AE60">
        <f t="shared" si="5"/>
        <v>25.007053753086414</v>
      </c>
      <c r="AF60" s="9"/>
      <c r="AG60" s="22">
        <v>0.15182499999999999</v>
      </c>
      <c r="AH60" s="22">
        <v>19.082999999999998</v>
      </c>
      <c r="AI60" s="22">
        <v>-1.48529E-2</v>
      </c>
      <c r="AJ60" s="22">
        <v>50</v>
      </c>
      <c r="AK60" s="22">
        <v>0.15118400000000001</v>
      </c>
      <c r="AL60">
        <f t="shared" si="6"/>
        <v>18.336913580246915</v>
      </c>
      <c r="AM60">
        <f t="shared" si="7"/>
        <v>2.7840019043209874</v>
      </c>
      <c r="AP60" s="9"/>
      <c r="AQ60" s="22">
        <v>1.5982099999999999</v>
      </c>
      <c r="AR60" s="22">
        <v>24.6463</v>
      </c>
      <c r="AS60" s="22">
        <v>-1.27014E-2</v>
      </c>
      <c r="AT60" s="22">
        <v>50</v>
      </c>
      <c r="AU60" s="22">
        <v>1.5975999999999999</v>
      </c>
      <c r="AV60">
        <f t="shared" si="8"/>
        <v>15.680740740740738</v>
      </c>
      <c r="AW60">
        <f t="shared" si="9"/>
        <v>25.061116659259255</v>
      </c>
      <c r="AX60" s="9"/>
      <c r="AY60" s="22">
        <v>0.15182499999999999</v>
      </c>
      <c r="AZ60" s="22">
        <v>28.566199999999998</v>
      </c>
      <c r="BA60" s="22">
        <v>-1.48529E-2</v>
      </c>
      <c r="BB60" s="22">
        <v>50</v>
      </c>
      <c r="BC60" s="22">
        <v>0.151306</v>
      </c>
      <c r="BD60">
        <f t="shared" si="10"/>
        <v>18.336913580246915</v>
      </c>
      <c r="BE60">
        <f t="shared" si="11"/>
        <v>2.7840019043209874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5.7079500000000003</v>
      </c>
      <c r="I61" s="22">
        <v>-1.2731900000000001E-2</v>
      </c>
      <c r="J61" s="22">
        <v>51</v>
      </c>
      <c r="K61" s="22">
        <v>1.5924100000000001</v>
      </c>
      <c r="L61">
        <f t="shared" si="0"/>
        <v>15.718395061728396</v>
      </c>
      <c r="M61">
        <f t="shared" si="1"/>
        <v>25.042075460493827</v>
      </c>
      <c r="N61" s="9"/>
      <c r="O61" s="22">
        <v>0.15686</v>
      </c>
      <c r="P61" s="22">
        <v>9.6278500000000005</v>
      </c>
      <c r="Q61" s="22">
        <v>-1.4798E-2</v>
      </c>
      <c r="R61" s="22">
        <v>51</v>
      </c>
      <c r="S61" s="22">
        <v>0.15643299999999999</v>
      </c>
      <c r="T61">
        <f t="shared" si="2"/>
        <v>18.269135802469137</v>
      </c>
      <c r="U61">
        <f t="shared" si="3"/>
        <v>2.8656966419753087</v>
      </c>
      <c r="X61" s="9"/>
      <c r="Y61" s="22">
        <v>1.59317</v>
      </c>
      <c r="Z61" s="22">
        <v>15.1732</v>
      </c>
      <c r="AA61" s="22">
        <v>-1.2722799999999999E-2</v>
      </c>
      <c r="AB61" s="22">
        <v>51</v>
      </c>
      <c r="AC61" s="22">
        <v>1.5924100000000001</v>
      </c>
      <c r="AD61">
        <f t="shared" si="4"/>
        <v>15.707160493827157</v>
      </c>
      <c r="AE61">
        <f t="shared" si="5"/>
        <v>25.024176883950613</v>
      </c>
      <c r="AF61" s="9"/>
      <c r="AG61" s="22">
        <v>0.15686</v>
      </c>
      <c r="AH61" s="22">
        <v>19.0931</v>
      </c>
      <c r="AI61" s="22">
        <v>-1.4849899999999999E-2</v>
      </c>
      <c r="AJ61" s="22">
        <v>51</v>
      </c>
      <c r="AK61" s="22">
        <v>0.15637200000000001</v>
      </c>
      <c r="AL61">
        <f t="shared" si="6"/>
        <v>18.333209876543208</v>
      </c>
      <c r="AM61">
        <f t="shared" si="7"/>
        <v>2.8757473012345676</v>
      </c>
      <c r="AP61" s="9"/>
      <c r="AQ61" s="22">
        <v>1.59317</v>
      </c>
      <c r="AR61" s="22">
        <v>24.656400000000001</v>
      </c>
      <c r="AS61" s="22">
        <v>-1.27533E-2</v>
      </c>
      <c r="AT61" s="22">
        <v>51</v>
      </c>
      <c r="AU61" s="22">
        <v>1.5924100000000001</v>
      </c>
      <c r="AV61">
        <f t="shared" si="8"/>
        <v>15.744814814814816</v>
      </c>
      <c r="AW61">
        <f t="shared" si="9"/>
        <v>25.08416661851852</v>
      </c>
      <c r="AX61" s="9"/>
      <c r="AY61" s="22">
        <v>0.15686</v>
      </c>
      <c r="AZ61" s="22">
        <v>28.5763</v>
      </c>
      <c r="BA61" s="22">
        <v>-1.48468E-2</v>
      </c>
      <c r="BB61" s="22">
        <v>51</v>
      </c>
      <c r="BC61" s="22">
        <v>0.15646399999999999</v>
      </c>
      <c r="BD61">
        <f t="shared" si="10"/>
        <v>18.329382716049381</v>
      </c>
      <c r="BE61">
        <f t="shared" si="11"/>
        <v>2.8751469728395058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5.7180200000000001</v>
      </c>
      <c r="I62" s="22">
        <v>-1.27838E-2</v>
      </c>
      <c r="J62" s="22">
        <v>52</v>
      </c>
      <c r="K62" s="22">
        <v>1.5878300000000001</v>
      </c>
      <c r="L62">
        <f t="shared" si="0"/>
        <v>15.782469135802467</v>
      </c>
      <c r="M62">
        <f t="shared" si="1"/>
        <v>25.064612708641974</v>
      </c>
      <c r="N62" s="9"/>
      <c r="O62" s="22">
        <v>0.16189600000000001</v>
      </c>
      <c r="P62" s="22">
        <v>9.6379199999999994</v>
      </c>
      <c r="Q62" s="22">
        <v>-1.47949E-2</v>
      </c>
      <c r="R62" s="22">
        <v>52</v>
      </c>
      <c r="S62" s="22">
        <v>0.16137699999999999</v>
      </c>
      <c r="T62">
        <f t="shared" si="2"/>
        <v>18.265308641975306</v>
      </c>
      <c r="U62">
        <f t="shared" si="3"/>
        <v>2.9570804079012345</v>
      </c>
      <c r="X62" s="9"/>
      <c r="Y62" s="22">
        <v>1.58813</v>
      </c>
      <c r="Z62" s="22">
        <v>15.183199999999999</v>
      </c>
      <c r="AA62" s="22">
        <v>-1.2771599999999999E-2</v>
      </c>
      <c r="AB62" s="22">
        <v>52</v>
      </c>
      <c r="AC62" s="22">
        <v>1.5866100000000001</v>
      </c>
      <c r="AD62">
        <f t="shared" si="4"/>
        <v>15.767407407407408</v>
      </c>
      <c r="AE62">
        <f t="shared" si="5"/>
        <v>25.040692725925926</v>
      </c>
      <c r="AF62" s="9"/>
      <c r="AG62" s="22">
        <v>0.16189600000000001</v>
      </c>
      <c r="AH62" s="22">
        <v>19.103200000000001</v>
      </c>
      <c r="AI62" s="22">
        <v>-1.4843800000000001E-2</v>
      </c>
      <c r="AJ62" s="22">
        <v>52</v>
      </c>
      <c r="AK62" s="22">
        <v>0.161194</v>
      </c>
      <c r="AL62">
        <f t="shared" si="6"/>
        <v>18.325679012345677</v>
      </c>
      <c r="AM62">
        <f t="shared" si="7"/>
        <v>2.9668541293827162</v>
      </c>
      <c r="AP62" s="9"/>
      <c r="AQ62" s="22">
        <v>1.58813</v>
      </c>
      <c r="AR62" s="22">
        <v>24.666499999999999</v>
      </c>
      <c r="AS62" s="22">
        <v>-1.2805199999999999E-2</v>
      </c>
      <c r="AT62" s="22">
        <v>52</v>
      </c>
      <c r="AU62" s="22">
        <v>1.58752</v>
      </c>
      <c r="AV62">
        <f t="shared" si="8"/>
        <v>15.808888888888886</v>
      </c>
      <c r="AW62">
        <f t="shared" si="9"/>
        <v>25.106570711111107</v>
      </c>
      <c r="AX62" s="9"/>
      <c r="AY62" s="22">
        <v>0.16189600000000001</v>
      </c>
      <c r="AZ62" s="22">
        <v>28.586400000000001</v>
      </c>
      <c r="BA62" s="22">
        <v>-1.4843800000000001E-2</v>
      </c>
      <c r="BB62" s="22">
        <v>52</v>
      </c>
      <c r="BC62" s="22">
        <v>0.16122400000000001</v>
      </c>
      <c r="BD62">
        <f t="shared" si="10"/>
        <v>18.325679012345677</v>
      </c>
      <c r="BE62">
        <f t="shared" si="11"/>
        <v>2.9668541293827162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5.7280899999999999</v>
      </c>
      <c r="I63" s="22">
        <v>-1.28235E-2</v>
      </c>
      <c r="J63" s="22">
        <v>53</v>
      </c>
      <c r="K63" s="22">
        <v>1.5823400000000001</v>
      </c>
      <c r="L63">
        <f t="shared" si="0"/>
        <v>15.831481481481481</v>
      </c>
      <c r="M63">
        <f t="shared" si="1"/>
        <v>25.062818333333333</v>
      </c>
      <c r="N63" s="9"/>
      <c r="O63" s="22">
        <v>0.166931</v>
      </c>
      <c r="P63" s="22">
        <v>9.6479900000000001</v>
      </c>
      <c r="Q63" s="22">
        <v>-1.47949E-2</v>
      </c>
      <c r="R63" s="22">
        <v>53</v>
      </c>
      <c r="S63" s="22">
        <v>0.166382</v>
      </c>
      <c r="T63">
        <f t="shared" si="2"/>
        <v>18.265308641975306</v>
      </c>
      <c r="U63">
        <f t="shared" si="3"/>
        <v>3.0490462369135796</v>
      </c>
      <c r="X63" s="9"/>
      <c r="Y63" s="22">
        <v>1.5831</v>
      </c>
      <c r="Z63" s="22">
        <v>15.193300000000001</v>
      </c>
      <c r="AA63" s="22">
        <v>-1.2826499999999999E-2</v>
      </c>
      <c r="AB63" s="22">
        <v>53</v>
      </c>
      <c r="AC63" s="22">
        <v>1.5823400000000001</v>
      </c>
      <c r="AD63">
        <f t="shared" si="4"/>
        <v>15.835185185185185</v>
      </c>
      <c r="AE63">
        <f t="shared" si="5"/>
        <v>25.068681666666667</v>
      </c>
      <c r="AF63" s="9"/>
      <c r="AG63" s="22">
        <v>0.166931</v>
      </c>
      <c r="AH63" s="22">
        <v>19.113199999999999</v>
      </c>
      <c r="AI63" s="22">
        <v>-1.4837599999999999E-2</v>
      </c>
      <c r="AJ63" s="22">
        <v>53</v>
      </c>
      <c r="AK63" s="22">
        <v>0.16650400000000001</v>
      </c>
      <c r="AL63">
        <f t="shared" si="6"/>
        <v>18.318024691358023</v>
      </c>
      <c r="AM63">
        <f t="shared" si="7"/>
        <v>3.0578461797530858</v>
      </c>
      <c r="AP63" s="9"/>
      <c r="AQ63" s="22">
        <v>1.5831</v>
      </c>
      <c r="AR63" s="22">
        <v>24.676500000000001</v>
      </c>
      <c r="AS63" s="22">
        <v>-1.2851E-2</v>
      </c>
      <c r="AT63" s="22">
        <v>53</v>
      </c>
      <c r="AU63" s="22">
        <v>1.5823400000000001</v>
      </c>
      <c r="AV63">
        <f t="shared" si="8"/>
        <v>15.865432098765432</v>
      </c>
      <c r="AW63">
        <f t="shared" si="9"/>
        <v>25.116565555555553</v>
      </c>
      <c r="AX63" s="9"/>
      <c r="AY63" s="22">
        <v>0.166931</v>
      </c>
      <c r="AZ63" s="22">
        <v>28.596399999999999</v>
      </c>
      <c r="BA63" s="22">
        <v>-1.48407E-2</v>
      </c>
      <c r="BB63" s="22">
        <v>53</v>
      </c>
      <c r="BC63" s="22">
        <v>0.16628999999999999</v>
      </c>
      <c r="BD63">
        <f t="shared" si="10"/>
        <v>18.32185185185185</v>
      </c>
      <c r="BE63">
        <f t="shared" si="11"/>
        <v>3.058485051481481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5.7381599999999997</v>
      </c>
      <c r="I64" s="22">
        <v>-1.28693E-2</v>
      </c>
      <c r="J64" s="22">
        <v>54</v>
      </c>
      <c r="K64" s="22">
        <v>1.5771500000000001</v>
      </c>
      <c r="L64">
        <f t="shared" si="0"/>
        <v>15.888024691358023</v>
      </c>
      <c r="M64">
        <f t="shared" si="1"/>
        <v>25.072256244444443</v>
      </c>
      <c r="N64" s="9"/>
      <c r="O64" s="22">
        <v>0.17196700000000001</v>
      </c>
      <c r="P64" s="22">
        <v>9.6580600000000008</v>
      </c>
      <c r="Q64" s="22">
        <v>-1.47888E-2</v>
      </c>
      <c r="R64" s="22">
        <v>54</v>
      </c>
      <c r="S64" s="22">
        <v>0.17135600000000001</v>
      </c>
      <c r="T64">
        <f t="shared" si="2"/>
        <v>18.257777777777775</v>
      </c>
      <c r="U64">
        <f t="shared" si="3"/>
        <v>3.1397352711111108</v>
      </c>
      <c r="X64" s="9"/>
      <c r="Y64" s="22">
        <v>1.57806</v>
      </c>
      <c r="Z64" s="22">
        <v>15.2034</v>
      </c>
      <c r="AA64" s="22">
        <v>-1.28754E-2</v>
      </c>
      <c r="AB64" s="22">
        <v>54</v>
      </c>
      <c r="AC64" s="22">
        <v>1.57684</v>
      </c>
      <c r="AD64">
        <f t="shared" si="4"/>
        <v>15.895555555555555</v>
      </c>
      <c r="AE64">
        <f t="shared" si="5"/>
        <v>25.084140399999999</v>
      </c>
      <c r="AF64" s="9"/>
      <c r="AG64" s="22">
        <v>0.17196700000000001</v>
      </c>
      <c r="AH64" s="22">
        <v>19.1233</v>
      </c>
      <c r="AI64" s="22">
        <v>-1.48346E-2</v>
      </c>
      <c r="AJ64" s="22">
        <v>54</v>
      </c>
      <c r="AK64" s="22">
        <v>0.171234</v>
      </c>
      <c r="AL64">
        <f t="shared" si="6"/>
        <v>18.31432098765432</v>
      </c>
      <c r="AM64">
        <f t="shared" si="7"/>
        <v>3.1494588372839507</v>
      </c>
      <c r="AP64" s="9"/>
      <c r="AQ64" s="22">
        <v>1.57806</v>
      </c>
      <c r="AR64" s="22">
        <v>24.686599999999999</v>
      </c>
      <c r="AS64" s="22">
        <v>-1.2887600000000001E-2</v>
      </c>
      <c r="AT64" s="22">
        <v>54</v>
      </c>
      <c r="AU64" s="22">
        <v>1.57684</v>
      </c>
      <c r="AV64">
        <f t="shared" si="8"/>
        <v>15.910617283950618</v>
      </c>
      <c r="AW64">
        <f t="shared" si="9"/>
        <v>25.107908711111111</v>
      </c>
      <c r="AX64" s="9"/>
      <c r="AY64" s="22">
        <v>0.17196700000000001</v>
      </c>
      <c r="AZ64" s="22">
        <v>28.6065</v>
      </c>
      <c r="BA64" s="22">
        <v>-1.48346E-2</v>
      </c>
      <c r="BB64" s="22">
        <v>54</v>
      </c>
      <c r="BC64" s="22">
        <v>0.17147799999999999</v>
      </c>
      <c r="BD64">
        <f t="shared" si="10"/>
        <v>18.31432098765432</v>
      </c>
      <c r="BE64">
        <f t="shared" si="11"/>
        <v>3.1494588372839507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5.7482300000000004</v>
      </c>
      <c r="I65" s="22">
        <v>-1.29181E-2</v>
      </c>
      <c r="J65" s="22">
        <v>55</v>
      </c>
      <c r="K65" s="22">
        <v>1.57257</v>
      </c>
      <c r="L65">
        <f t="shared" si="0"/>
        <v>15.94827160493827</v>
      </c>
      <c r="M65">
        <f t="shared" si="1"/>
        <v>25.087109682716047</v>
      </c>
      <c r="N65" s="9"/>
      <c r="O65" s="22">
        <v>0.17700199999999999</v>
      </c>
      <c r="P65" s="22">
        <v>9.6681299999999997</v>
      </c>
      <c r="Q65" s="22">
        <v>-1.4782699999999999E-2</v>
      </c>
      <c r="R65" s="22">
        <v>55</v>
      </c>
      <c r="S65" s="22">
        <v>0.17654400000000001</v>
      </c>
      <c r="T65">
        <f t="shared" si="2"/>
        <v>18.250246913580245</v>
      </c>
      <c r="U65">
        <f t="shared" si="3"/>
        <v>3.2303302041975304</v>
      </c>
      <c r="X65" s="9"/>
      <c r="Y65" s="22">
        <v>1.5730299999999999</v>
      </c>
      <c r="Z65" s="22">
        <v>15.2134</v>
      </c>
      <c r="AA65" s="22">
        <v>-1.29211E-2</v>
      </c>
      <c r="AB65" s="22">
        <v>55</v>
      </c>
      <c r="AC65" s="22">
        <v>1.57196</v>
      </c>
      <c r="AD65">
        <f t="shared" si="4"/>
        <v>15.951975308641973</v>
      </c>
      <c r="AE65">
        <f t="shared" si="5"/>
        <v>25.092935719753083</v>
      </c>
      <c r="AF65" s="9"/>
      <c r="AG65" s="22">
        <v>0.17700199999999999</v>
      </c>
      <c r="AH65" s="22">
        <v>19.133400000000002</v>
      </c>
      <c r="AI65" s="22">
        <v>-1.4831499999999999E-2</v>
      </c>
      <c r="AJ65" s="22">
        <v>55</v>
      </c>
      <c r="AK65" s="22">
        <v>0.17660500000000001</v>
      </c>
      <c r="AL65">
        <f t="shared" si="6"/>
        <v>18.310493827160489</v>
      </c>
      <c r="AM65">
        <f t="shared" si="7"/>
        <v>3.2409940283950607</v>
      </c>
      <c r="AP65" s="9"/>
      <c r="AQ65" s="22">
        <v>1.5730299999999999</v>
      </c>
      <c r="AR65" s="22">
        <v>24.6967</v>
      </c>
      <c r="AS65" s="22">
        <v>-1.29272E-2</v>
      </c>
      <c r="AT65" s="22">
        <v>55</v>
      </c>
      <c r="AU65" s="22">
        <v>1.57196</v>
      </c>
      <c r="AV65">
        <f t="shared" si="8"/>
        <v>15.959506172839506</v>
      </c>
      <c r="AW65">
        <f t="shared" si="9"/>
        <v>25.104781995061725</v>
      </c>
      <c r="AX65" s="9"/>
      <c r="AY65" s="22">
        <v>0.17700199999999999</v>
      </c>
      <c r="AZ65" s="22">
        <v>28.616599999999998</v>
      </c>
      <c r="BA65" s="22">
        <v>-1.48285E-2</v>
      </c>
      <c r="BB65" s="22">
        <v>55</v>
      </c>
      <c r="BC65" s="22">
        <v>0.17633099999999999</v>
      </c>
      <c r="BD65">
        <f t="shared" si="10"/>
        <v>18.306790123456789</v>
      </c>
      <c r="BE65">
        <f t="shared" si="11"/>
        <v>3.2403384654320986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5.7583000000000002</v>
      </c>
      <c r="I66" s="22">
        <v>-1.29547E-2</v>
      </c>
      <c r="J66" s="22">
        <v>56</v>
      </c>
      <c r="K66" s="22">
        <v>1.56738</v>
      </c>
      <c r="L66">
        <f t="shared" si="0"/>
        <v>15.993456790123457</v>
      </c>
      <c r="M66">
        <f t="shared" si="1"/>
        <v>25.077580312345678</v>
      </c>
      <c r="N66" s="9"/>
      <c r="O66" s="22">
        <v>0.182037</v>
      </c>
      <c r="P66" s="22">
        <v>9.6782000000000004</v>
      </c>
      <c r="Q66" s="22">
        <v>-1.4776600000000001E-2</v>
      </c>
      <c r="R66" s="22">
        <v>56</v>
      </c>
      <c r="S66" s="22">
        <v>0.18124399999999999</v>
      </c>
      <c r="T66">
        <f t="shared" si="2"/>
        <v>18.242716049382715</v>
      </c>
      <c r="U66">
        <f t="shared" si="3"/>
        <v>3.3208493014814815</v>
      </c>
      <c r="X66" s="9"/>
      <c r="Y66" s="22">
        <v>1.56799</v>
      </c>
      <c r="Z66" s="22">
        <v>15.2235</v>
      </c>
      <c r="AA66" s="22">
        <v>-1.29578E-2</v>
      </c>
      <c r="AB66" s="22">
        <v>56</v>
      </c>
      <c r="AC66" s="22">
        <v>1.56708</v>
      </c>
      <c r="AD66">
        <f t="shared" si="4"/>
        <v>15.997283950617284</v>
      </c>
      <c r="AE66">
        <f t="shared" si="5"/>
        <v>25.083581261728394</v>
      </c>
      <c r="AF66" s="9"/>
      <c r="AG66" s="22">
        <v>0.182037</v>
      </c>
      <c r="AH66" s="22">
        <v>19.1435</v>
      </c>
      <c r="AI66" s="22">
        <v>-1.4825400000000001E-2</v>
      </c>
      <c r="AJ66" s="22">
        <v>56</v>
      </c>
      <c r="AK66" s="22">
        <v>0.18148800000000001</v>
      </c>
      <c r="AL66">
        <f t="shared" si="6"/>
        <v>18.302962962962962</v>
      </c>
      <c r="AM66">
        <f t="shared" si="7"/>
        <v>3.3318164688888889</v>
      </c>
      <c r="AP66" s="9"/>
      <c r="AQ66" s="22">
        <v>1.56799</v>
      </c>
      <c r="AR66" s="22">
        <v>24.706800000000001</v>
      </c>
      <c r="AS66" s="22">
        <v>-1.2973E-2</v>
      </c>
      <c r="AT66" s="22">
        <v>56</v>
      </c>
      <c r="AU66" s="22">
        <v>1.56708</v>
      </c>
      <c r="AV66">
        <f t="shared" si="8"/>
        <v>16.016049382716048</v>
      </c>
      <c r="AW66">
        <f t="shared" si="9"/>
        <v>25.113005271604937</v>
      </c>
      <c r="AX66" s="9"/>
      <c r="AY66" s="22">
        <v>0.182037</v>
      </c>
      <c r="AZ66" s="22">
        <v>28.6266</v>
      </c>
      <c r="BA66" s="22">
        <v>-1.4825400000000001E-2</v>
      </c>
      <c r="BB66" s="22">
        <v>56</v>
      </c>
      <c r="BC66" s="22">
        <v>0.18151900000000001</v>
      </c>
      <c r="BD66">
        <f t="shared" si="10"/>
        <v>18.302962962962962</v>
      </c>
      <c r="BE66">
        <f t="shared" si="11"/>
        <v>3.3318164688888889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5.76837</v>
      </c>
      <c r="I67" s="22">
        <v>-1.2988299999999999E-2</v>
      </c>
      <c r="J67" s="22">
        <v>57</v>
      </c>
      <c r="K67" s="22">
        <v>1.56189</v>
      </c>
      <c r="L67">
        <f t="shared" si="0"/>
        <v>16.034938271604936</v>
      </c>
      <c r="M67">
        <f t="shared" si="1"/>
        <v>25.061967120987649</v>
      </c>
      <c r="N67" s="9"/>
      <c r="O67" s="22">
        <v>0.18707299999999999</v>
      </c>
      <c r="P67" s="22">
        <v>9.6882699999999993</v>
      </c>
      <c r="Q67" s="22">
        <v>-1.47736E-2</v>
      </c>
      <c r="R67" s="22">
        <v>57</v>
      </c>
      <c r="S67" s="22">
        <v>0.18637100000000001</v>
      </c>
      <c r="T67">
        <f t="shared" si="2"/>
        <v>18.239012345679011</v>
      </c>
      <c r="U67">
        <f t="shared" si="3"/>
        <v>3.4120267565432094</v>
      </c>
      <c r="X67" s="9"/>
      <c r="Y67" s="22">
        <v>1.5629599999999999</v>
      </c>
      <c r="Z67" s="22">
        <v>15.233599999999999</v>
      </c>
      <c r="AA67" s="22">
        <v>-1.29944E-2</v>
      </c>
      <c r="AB67" s="22">
        <v>57</v>
      </c>
      <c r="AC67" s="22">
        <v>1.56219</v>
      </c>
      <c r="AD67">
        <f t="shared" si="4"/>
        <v>16.042469135802467</v>
      </c>
      <c r="AE67">
        <f t="shared" si="5"/>
        <v>25.073737560493822</v>
      </c>
      <c r="AF67" s="9"/>
      <c r="AG67" s="22">
        <v>0.18707299999999999</v>
      </c>
      <c r="AH67" s="22">
        <v>19.153500000000001</v>
      </c>
      <c r="AI67" s="22">
        <v>-1.4822399999999999E-2</v>
      </c>
      <c r="AJ67" s="22">
        <v>57</v>
      </c>
      <c r="AK67" s="22">
        <v>0.18646199999999999</v>
      </c>
      <c r="AL67">
        <f t="shared" si="6"/>
        <v>18.299259259259259</v>
      </c>
      <c r="AM67">
        <f t="shared" si="7"/>
        <v>3.4232973274074072</v>
      </c>
      <c r="AP67" s="9"/>
      <c r="AQ67" s="22">
        <v>1.5629599999999999</v>
      </c>
      <c r="AR67" s="22">
        <v>24.716799999999999</v>
      </c>
      <c r="AS67" s="22">
        <v>-1.30096E-2</v>
      </c>
      <c r="AT67" s="22">
        <v>57</v>
      </c>
      <c r="AU67" s="22">
        <v>1.56189</v>
      </c>
      <c r="AV67">
        <f t="shared" si="8"/>
        <v>16.061234567901234</v>
      </c>
      <c r="AW67">
        <f t="shared" si="9"/>
        <v>25.10306718024691</v>
      </c>
      <c r="AX67" s="9"/>
      <c r="AY67" s="22">
        <v>0.18707299999999999</v>
      </c>
      <c r="AZ67" s="22">
        <v>28.636700000000001</v>
      </c>
      <c r="BA67" s="22">
        <v>-1.4822399999999999E-2</v>
      </c>
      <c r="BB67" s="22">
        <v>57</v>
      </c>
      <c r="BC67" s="22">
        <v>0.18646199999999999</v>
      </c>
      <c r="BD67">
        <f t="shared" si="10"/>
        <v>18.299259259259259</v>
      </c>
      <c r="BE67">
        <f t="shared" si="11"/>
        <v>3.4232973274074072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5.7784399999999998</v>
      </c>
      <c r="I68" s="22">
        <v>-1.30127E-2</v>
      </c>
      <c r="J68" s="22">
        <v>58</v>
      </c>
      <c r="K68" s="22">
        <v>1.5567</v>
      </c>
      <c r="L68">
        <f t="shared" si="0"/>
        <v>16.065061728395062</v>
      </c>
      <c r="M68">
        <f t="shared" si="1"/>
        <v>25.028080967901236</v>
      </c>
      <c r="N68" s="9"/>
      <c r="O68" s="22">
        <v>0.192108</v>
      </c>
      <c r="P68" s="22">
        <v>9.69834</v>
      </c>
      <c r="Q68" s="22">
        <v>-1.47736E-2</v>
      </c>
      <c r="R68" s="22">
        <v>58</v>
      </c>
      <c r="S68" s="22">
        <v>0.19155900000000001</v>
      </c>
      <c r="T68">
        <f t="shared" si="2"/>
        <v>18.239012345679011</v>
      </c>
      <c r="U68">
        <f t="shared" si="3"/>
        <v>3.5038601837037033</v>
      </c>
      <c r="X68" s="9"/>
      <c r="Y68" s="22">
        <v>1.55792</v>
      </c>
      <c r="Z68" s="22">
        <v>15.2437</v>
      </c>
      <c r="AA68" s="22">
        <v>-1.3028E-2</v>
      </c>
      <c r="AB68" s="22">
        <v>58</v>
      </c>
      <c r="AC68" s="22">
        <v>1.55701</v>
      </c>
      <c r="AD68">
        <f t="shared" si="4"/>
        <v>16.08395061728395</v>
      </c>
      <c r="AE68">
        <f t="shared" si="5"/>
        <v>25.057508345679011</v>
      </c>
      <c r="AF68" s="9"/>
      <c r="AG68" s="22">
        <v>0.192108</v>
      </c>
      <c r="AH68" s="22">
        <v>19.163599999999999</v>
      </c>
      <c r="AI68" s="22">
        <v>-1.48132E-2</v>
      </c>
      <c r="AJ68" s="22">
        <v>58</v>
      </c>
      <c r="AK68" s="22">
        <v>0.19155900000000001</v>
      </c>
      <c r="AL68">
        <f t="shared" si="6"/>
        <v>18.287901234567901</v>
      </c>
      <c r="AM68">
        <f t="shared" si="7"/>
        <v>3.5132521303703701</v>
      </c>
      <c r="AP68" s="9"/>
      <c r="AQ68" s="22">
        <v>1.55792</v>
      </c>
      <c r="AR68" s="22">
        <v>24.726900000000001</v>
      </c>
      <c r="AS68" s="22">
        <v>-1.30432E-2</v>
      </c>
      <c r="AT68" s="22">
        <v>58</v>
      </c>
      <c r="AU68" s="22">
        <v>1.55731</v>
      </c>
      <c r="AV68">
        <f t="shared" si="8"/>
        <v>16.102716049382714</v>
      </c>
      <c r="AW68">
        <f t="shared" si="9"/>
        <v>25.086743387654316</v>
      </c>
      <c r="AX68" s="9"/>
      <c r="AY68" s="22">
        <v>0.192108</v>
      </c>
      <c r="AZ68" s="22">
        <v>28.646799999999999</v>
      </c>
      <c r="BA68" s="22">
        <v>-1.4819300000000001E-2</v>
      </c>
      <c r="BB68" s="22">
        <v>58</v>
      </c>
      <c r="BC68" s="22">
        <v>0.191498</v>
      </c>
      <c r="BD68">
        <f t="shared" si="10"/>
        <v>18.295432098765431</v>
      </c>
      <c r="BE68">
        <f t="shared" si="11"/>
        <v>3.5146988696296293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5.7885099999999996</v>
      </c>
      <c r="I69" s="22">
        <v>-1.3037099999999999E-2</v>
      </c>
      <c r="J69" s="22">
        <v>59</v>
      </c>
      <c r="K69" s="22">
        <v>1.55182</v>
      </c>
      <c r="L69">
        <f t="shared" si="0"/>
        <v>16.095185185185183</v>
      </c>
      <c r="M69">
        <f t="shared" si="1"/>
        <v>24.994052122222222</v>
      </c>
      <c r="N69" s="9"/>
      <c r="O69" s="22">
        <v>0.19714400000000001</v>
      </c>
      <c r="P69" s="22">
        <v>9.7084100000000007</v>
      </c>
      <c r="Q69" s="22">
        <v>-1.4770500000000001E-2</v>
      </c>
      <c r="R69" s="22">
        <v>59</v>
      </c>
      <c r="S69" s="22">
        <v>0.19674700000000001</v>
      </c>
      <c r="T69">
        <f t="shared" si="2"/>
        <v>18.235185185185184</v>
      </c>
      <c r="U69">
        <f t="shared" si="3"/>
        <v>3.594957348148148</v>
      </c>
      <c r="X69" s="9"/>
      <c r="Y69" s="22">
        <v>1.5528900000000001</v>
      </c>
      <c r="Z69" s="22">
        <v>15.2537</v>
      </c>
      <c r="AA69" s="22">
        <v>-1.30554E-2</v>
      </c>
      <c r="AB69" s="22">
        <v>59</v>
      </c>
      <c r="AC69" s="22">
        <v>1.55182</v>
      </c>
      <c r="AD69">
        <f t="shared" si="4"/>
        <v>16.117777777777775</v>
      </c>
      <c r="AE69">
        <f t="shared" si="5"/>
        <v>25.029135933333329</v>
      </c>
      <c r="AF69" s="9"/>
      <c r="AG69" s="22">
        <v>0.19714400000000001</v>
      </c>
      <c r="AH69" s="22">
        <v>19.1737</v>
      </c>
      <c r="AI69" s="22">
        <v>-1.48132E-2</v>
      </c>
      <c r="AJ69" s="22">
        <v>59</v>
      </c>
      <c r="AK69" s="22">
        <v>0.19631999999999999</v>
      </c>
      <c r="AL69">
        <f t="shared" si="6"/>
        <v>18.287901234567901</v>
      </c>
      <c r="AM69">
        <f t="shared" si="7"/>
        <v>3.6053500009876545</v>
      </c>
      <c r="AP69" s="9"/>
      <c r="AQ69" s="22">
        <v>1.5528900000000001</v>
      </c>
      <c r="AR69" s="22">
        <v>24.736999999999998</v>
      </c>
      <c r="AS69" s="22">
        <v>-1.30768E-2</v>
      </c>
      <c r="AT69" s="22">
        <v>59</v>
      </c>
      <c r="AU69" s="22">
        <v>1.5521199999999999</v>
      </c>
      <c r="AV69">
        <f t="shared" si="8"/>
        <v>16.144197530864194</v>
      </c>
      <c r="AW69">
        <f t="shared" si="9"/>
        <v>25.0701629037037</v>
      </c>
      <c r="AX69" s="9"/>
      <c r="AY69" s="22">
        <v>0.19714400000000001</v>
      </c>
      <c r="AZ69" s="22">
        <v>28.6569</v>
      </c>
      <c r="BA69" s="22">
        <v>-1.4819300000000001E-2</v>
      </c>
      <c r="BB69" s="22">
        <v>59</v>
      </c>
      <c r="BC69" s="22">
        <v>0.19662499999999999</v>
      </c>
      <c r="BD69">
        <f t="shared" si="10"/>
        <v>18.295432098765431</v>
      </c>
      <c r="BE69">
        <f t="shared" si="11"/>
        <v>3.6068346656790125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5.7985800000000003</v>
      </c>
      <c r="I70" s="22">
        <v>-1.30676E-2</v>
      </c>
      <c r="J70" s="22">
        <v>60</v>
      </c>
      <c r="K70" s="22">
        <v>1.54755</v>
      </c>
      <c r="L70">
        <f t="shared" si="0"/>
        <v>16.132839506172839</v>
      </c>
      <c r="M70">
        <f t="shared" si="1"/>
        <v>24.971215629629629</v>
      </c>
      <c r="N70" s="9"/>
      <c r="O70" s="22">
        <v>0.202179</v>
      </c>
      <c r="P70" s="22">
        <v>9.7184899999999992</v>
      </c>
      <c r="Q70" s="22">
        <v>-1.4767499999999999E-2</v>
      </c>
      <c r="R70" s="22">
        <v>60</v>
      </c>
      <c r="S70" s="22">
        <v>0.201599</v>
      </c>
      <c r="T70">
        <f t="shared" si="2"/>
        <v>18.231481481481481</v>
      </c>
      <c r="U70">
        <f t="shared" si="3"/>
        <v>3.6860226944444441</v>
      </c>
      <c r="X70" s="9"/>
      <c r="Y70" s="22">
        <v>1.5478499999999999</v>
      </c>
      <c r="Z70" s="22">
        <v>15.2638</v>
      </c>
      <c r="AA70" s="22">
        <v>-1.3089E-2</v>
      </c>
      <c r="AB70" s="22">
        <v>60</v>
      </c>
      <c r="AC70" s="22">
        <v>1.54694</v>
      </c>
      <c r="AD70">
        <f t="shared" si="4"/>
        <v>16.159259259259258</v>
      </c>
      <c r="AE70">
        <f t="shared" si="5"/>
        <v>25.012109444444441</v>
      </c>
      <c r="AF70" s="9"/>
      <c r="AG70" s="22">
        <v>0.202179</v>
      </c>
      <c r="AH70" s="22">
        <v>19.183700000000002</v>
      </c>
      <c r="AI70" s="22">
        <v>-1.4810200000000001E-2</v>
      </c>
      <c r="AJ70" s="22">
        <v>60</v>
      </c>
      <c r="AK70" s="22">
        <v>0.20172100000000001</v>
      </c>
      <c r="AL70">
        <f t="shared" si="6"/>
        <v>18.284197530864198</v>
      </c>
      <c r="AM70">
        <f t="shared" si="7"/>
        <v>3.6966807725925928</v>
      </c>
      <c r="AP70" s="9"/>
      <c r="AQ70" s="22">
        <v>1.5478499999999999</v>
      </c>
      <c r="AR70" s="22">
        <v>24.747</v>
      </c>
      <c r="AS70" s="22">
        <v>-1.31042E-2</v>
      </c>
      <c r="AT70" s="22">
        <v>60</v>
      </c>
      <c r="AU70" s="22">
        <v>1.5466299999999999</v>
      </c>
      <c r="AV70">
        <f t="shared" si="8"/>
        <v>16.178024691358022</v>
      </c>
      <c r="AW70">
        <f t="shared" si="9"/>
        <v>25.041155518518515</v>
      </c>
      <c r="AX70" s="9"/>
      <c r="AY70" s="22">
        <v>0.202179</v>
      </c>
      <c r="AZ70" s="22">
        <v>28.666899999999998</v>
      </c>
      <c r="BA70" s="22">
        <v>-1.48132E-2</v>
      </c>
      <c r="BB70" s="22">
        <v>60</v>
      </c>
      <c r="BC70" s="22">
        <v>0.20178199999999999</v>
      </c>
      <c r="BD70">
        <f t="shared" si="10"/>
        <v>18.287901234567901</v>
      </c>
      <c r="BE70">
        <f t="shared" si="11"/>
        <v>3.6974295837037037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5.8086599999999997</v>
      </c>
      <c r="I71" s="22">
        <v>-1.30981E-2</v>
      </c>
      <c r="J71" s="22">
        <v>61</v>
      </c>
      <c r="K71" s="22">
        <v>1.54175</v>
      </c>
      <c r="L71">
        <f t="shared" si="0"/>
        <v>16.170493827160495</v>
      </c>
      <c r="M71">
        <f t="shared" si="1"/>
        <v>24.948161286419758</v>
      </c>
      <c r="N71" s="9"/>
      <c r="O71" s="22">
        <v>0.20721400000000001</v>
      </c>
      <c r="P71" s="22">
        <v>9.7285599999999999</v>
      </c>
      <c r="Q71" s="22">
        <v>-1.4761399999999999E-2</v>
      </c>
      <c r="R71" s="22">
        <v>61</v>
      </c>
      <c r="S71" s="22">
        <v>0.20666499999999999</v>
      </c>
      <c r="T71">
        <f t="shared" si="2"/>
        <v>18.22395061728395</v>
      </c>
      <c r="U71">
        <f t="shared" si="3"/>
        <v>3.7762577032098767</v>
      </c>
      <c r="X71" s="9"/>
      <c r="Y71" s="22">
        <v>1.5428200000000001</v>
      </c>
      <c r="Z71" s="22">
        <v>15.273899999999999</v>
      </c>
      <c r="AA71" s="22">
        <v>-1.3113400000000001E-2</v>
      </c>
      <c r="AB71" s="22">
        <v>61</v>
      </c>
      <c r="AC71" s="22">
        <v>1.54236</v>
      </c>
      <c r="AD71">
        <f t="shared" si="4"/>
        <v>16.18938271604938</v>
      </c>
      <c r="AE71">
        <f t="shared" si="5"/>
        <v>24.977303441975305</v>
      </c>
      <c r="AF71" s="9"/>
      <c r="AG71" s="22">
        <v>0.20721400000000001</v>
      </c>
      <c r="AH71" s="22">
        <v>19.1938</v>
      </c>
      <c r="AI71" s="22">
        <v>-1.4804100000000001E-2</v>
      </c>
      <c r="AJ71" s="22">
        <v>61</v>
      </c>
      <c r="AK71" s="22">
        <v>0.206818</v>
      </c>
      <c r="AL71">
        <f t="shared" si="6"/>
        <v>18.276666666666667</v>
      </c>
      <c r="AM71">
        <f t="shared" si="7"/>
        <v>3.7871812066666668</v>
      </c>
      <c r="AP71" s="9"/>
      <c r="AQ71" s="22">
        <v>1.5428200000000001</v>
      </c>
      <c r="AR71" s="22">
        <v>24.757100000000001</v>
      </c>
      <c r="AS71" s="22">
        <v>-1.31378E-2</v>
      </c>
      <c r="AT71" s="22">
        <v>61</v>
      </c>
      <c r="AU71" s="22">
        <v>1.5420499999999999</v>
      </c>
      <c r="AV71">
        <f t="shared" si="8"/>
        <v>16.219506172839505</v>
      </c>
      <c r="AW71">
        <f t="shared" si="9"/>
        <v>25.023778513580247</v>
      </c>
      <c r="AX71" s="9"/>
      <c r="AY71" s="22">
        <v>0.20721400000000001</v>
      </c>
      <c r="AZ71" s="22">
        <v>28.677</v>
      </c>
      <c r="BA71" s="22">
        <v>-1.4810200000000001E-2</v>
      </c>
      <c r="BB71" s="22">
        <v>61</v>
      </c>
      <c r="BC71" s="22">
        <v>0.20666499999999999</v>
      </c>
      <c r="BD71">
        <f t="shared" si="10"/>
        <v>18.284197530864198</v>
      </c>
      <c r="BE71">
        <f t="shared" si="11"/>
        <v>3.7887417071604941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5.8187300000000004</v>
      </c>
      <c r="I72" s="22">
        <v>-1.31317E-2</v>
      </c>
      <c r="J72" s="22">
        <v>62</v>
      </c>
      <c r="K72" s="22">
        <v>1.5365599999999999</v>
      </c>
      <c r="L72">
        <f t="shared" si="0"/>
        <v>16.211975308641971</v>
      </c>
      <c r="M72">
        <f t="shared" si="1"/>
        <v>24.930451390123448</v>
      </c>
      <c r="N72" s="9"/>
      <c r="O72" s="22">
        <v>0.21224999999999999</v>
      </c>
      <c r="P72" s="22">
        <v>9.7386300000000006</v>
      </c>
      <c r="Q72" s="22">
        <v>-1.47583E-2</v>
      </c>
      <c r="R72" s="22">
        <v>62</v>
      </c>
      <c r="S72" s="22">
        <v>0.211731</v>
      </c>
      <c r="T72">
        <f t="shared" si="2"/>
        <v>18.22012345679012</v>
      </c>
      <c r="U72">
        <f t="shared" si="3"/>
        <v>3.8672212037037026</v>
      </c>
      <c r="X72" s="9"/>
      <c r="Y72" s="22">
        <v>1.5377799999999999</v>
      </c>
      <c r="Z72" s="22">
        <v>15.283899999999999</v>
      </c>
      <c r="AA72" s="22">
        <v>-1.31409E-2</v>
      </c>
      <c r="AB72" s="22">
        <v>62</v>
      </c>
      <c r="AC72" s="22">
        <v>1.5371699999999999</v>
      </c>
      <c r="AD72">
        <f t="shared" si="4"/>
        <v>16.223333333333333</v>
      </c>
      <c r="AE72">
        <f t="shared" si="5"/>
        <v>24.947917533333332</v>
      </c>
      <c r="AF72" s="9"/>
      <c r="AG72" s="22">
        <v>0.21224999999999999</v>
      </c>
      <c r="AH72" s="22">
        <v>19.203900000000001</v>
      </c>
      <c r="AI72" s="22">
        <v>-1.4798E-2</v>
      </c>
      <c r="AJ72" s="22">
        <v>62</v>
      </c>
      <c r="AK72" s="22">
        <v>0.21179200000000001</v>
      </c>
      <c r="AL72">
        <f t="shared" si="6"/>
        <v>18.269135802469137</v>
      </c>
      <c r="AM72">
        <f t="shared" si="7"/>
        <v>3.8776240740740744</v>
      </c>
      <c r="AP72" s="9"/>
      <c r="AQ72" s="22">
        <v>1.5377799999999999</v>
      </c>
      <c r="AR72" s="22">
        <v>24.767199999999999</v>
      </c>
      <c r="AS72" s="22">
        <v>-1.31714E-2</v>
      </c>
      <c r="AT72" s="22">
        <v>62</v>
      </c>
      <c r="AU72" s="22">
        <v>1.53687</v>
      </c>
      <c r="AV72">
        <f t="shared" si="8"/>
        <v>16.260987654320989</v>
      </c>
      <c r="AW72">
        <f t="shared" si="9"/>
        <v>25.005821595061729</v>
      </c>
      <c r="AX72" s="9"/>
      <c r="AY72" s="22">
        <v>0.21224999999999999</v>
      </c>
      <c r="AZ72" s="22">
        <v>28.687100000000001</v>
      </c>
      <c r="BA72" s="22">
        <v>-1.4810200000000001E-2</v>
      </c>
      <c r="BB72" s="22">
        <v>62</v>
      </c>
      <c r="BC72" s="22">
        <v>0.21157799999999999</v>
      </c>
      <c r="BD72">
        <f t="shared" si="10"/>
        <v>18.284197530864198</v>
      </c>
      <c r="BE72">
        <f t="shared" si="11"/>
        <v>3.8808209259259256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5.8288000000000002</v>
      </c>
      <c r="I73" s="22">
        <v>-1.31653E-2</v>
      </c>
      <c r="J73" s="22">
        <v>63</v>
      </c>
      <c r="K73" s="22">
        <v>1.5319799999999999</v>
      </c>
      <c r="L73">
        <f t="shared" si="0"/>
        <v>16.253456790123455</v>
      </c>
      <c r="M73">
        <f t="shared" si="1"/>
        <v>24.912485895061725</v>
      </c>
      <c r="N73" s="9"/>
      <c r="O73" s="22">
        <v>0.21728500000000001</v>
      </c>
      <c r="P73" s="22">
        <v>9.7486999999999995</v>
      </c>
      <c r="Q73" s="22">
        <v>-1.47522E-2</v>
      </c>
      <c r="R73" s="22">
        <v>63</v>
      </c>
      <c r="S73" s="22">
        <v>0.21679699999999999</v>
      </c>
      <c r="T73">
        <f t="shared" si="2"/>
        <v>18.212592592592593</v>
      </c>
      <c r="U73">
        <f t="shared" si="3"/>
        <v>3.9573231814814815</v>
      </c>
      <c r="X73" s="9"/>
      <c r="Y73" s="22">
        <v>1.5327500000000001</v>
      </c>
      <c r="Z73" s="22">
        <v>15.294</v>
      </c>
      <c r="AA73" s="22">
        <v>-1.31714E-2</v>
      </c>
      <c r="AB73" s="22">
        <v>63</v>
      </c>
      <c r="AC73" s="22">
        <v>1.5313699999999999</v>
      </c>
      <c r="AD73">
        <f t="shared" si="4"/>
        <v>16.260987654320989</v>
      </c>
      <c r="AE73">
        <f t="shared" si="5"/>
        <v>24.924028827160495</v>
      </c>
      <c r="AF73" s="9"/>
      <c r="AG73" s="22">
        <v>0.21728500000000001</v>
      </c>
      <c r="AH73" s="22">
        <v>19.213999999999999</v>
      </c>
      <c r="AI73" s="22">
        <v>-1.47919E-2</v>
      </c>
      <c r="AJ73" s="22">
        <v>63</v>
      </c>
      <c r="AK73" s="22">
        <v>0.21667500000000001</v>
      </c>
      <c r="AL73">
        <f t="shared" si="6"/>
        <v>18.261604938271603</v>
      </c>
      <c r="AM73">
        <f t="shared" si="7"/>
        <v>3.9679728290123455</v>
      </c>
      <c r="AP73" s="9"/>
      <c r="AQ73" s="22">
        <v>1.5327500000000001</v>
      </c>
      <c r="AR73" s="22">
        <v>24.777200000000001</v>
      </c>
      <c r="AS73" s="22">
        <v>-1.31989E-2</v>
      </c>
      <c r="AT73" s="22">
        <v>63</v>
      </c>
      <c r="AU73" s="22">
        <v>1.5316799999999999</v>
      </c>
      <c r="AV73">
        <f t="shared" si="8"/>
        <v>16.294938271604938</v>
      </c>
      <c r="AW73">
        <f t="shared" si="9"/>
        <v>24.976066635802468</v>
      </c>
      <c r="AX73" s="9"/>
      <c r="AY73" s="22">
        <v>0.21728500000000001</v>
      </c>
      <c r="AZ73" s="22">
        <v>28.697099999999999</v>
      </c>
      <c r="BA73" s="22">
        <v>-1.48071E-2</v>
      </c>
      <c r="BB73" s="22">
        <v>63</v>
      </c>
      <c r="BC73" s="22">
        <v>0.21679699999999999</v>
      </c>
      <c r="BD73">
        <f t="shared" si="10"/>
        <v>18.28037037037037</v>
      </c>
      <c r="BE73">
        <f t="shared" si="11"/>
        <v>3.972050275925926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5.83887</v>
      </c>
      <c r="I74" s="22">
        <v>-1.31927E-2</v>
      </c>
      <c r="J74" s="22">
        <v>64</v>
      </c>
      <c r="K74" s="22">
        <v>1.5267900000000001</v>
      </c>
      <c r="L74">
        <f t="shared" si="0"/>
        <v>16.287283950617283</v>
      </c>
      <c r="M74">
        <f t="shared" si="1"/>
        <v>24.882246564197526</v>
      </c>
      <c r="N74" s="9"/>
      <c r="O74" s="22">
        <v>0.22232099999999999</v>
      </c>
      <c r="P74" s="22">
        <v>9.7587700000000002</v>
      </c>
      <c r="Q74" s="22">
        <v>-1.47522E-2</v>
      </c>
      <c r="R74" s="22">
        <v>64</v>
      </c>
      <c r="S74" s="22">
        <v>0.221771</v>
      </c>
      <c r="T74">
        <f t="shared" si="2"/>
        <v>18.212592592592593</v>
      </c>
      <c r="U74">
        <f t="shared" si="3"/>
        <v>4.049041797777778</v>
      </c>
      <c r="X74" s="9"/>
      <c r="Y74" s="22">
        <v>1.5277099999999999</v>
      </c>
      <c r="Z74" s="22">
        <v>15.3041</v>
      </c>
      <c r="AA74" s="22">
        <v>-1.3195800000000001E-2</v>
      </c>
      <c r="AB74" s="22">
        <v>64</v>
      </c>
      <c r="AC74" s="22">
        <v>1.5267900000000001</v>
      </c>
      <c r="AD74">
        <f t="shared" si="4"/>
        <v>16.29111111111111</v>
      </c>
      <c r="AE74">
        <f t="shared" si="5"/>
        <v>24.888093355555554</v>
      </c>
      <c r="AF74" s="9"/>
      <c r="AG74" s="22">
        <v>0.22232099999999999</v>
      </c>
      <c r="AH74" s="22">
        <v>19.224</v>
      </c>
      <c r="AI74" s="22">
        <v>-1.47858E-2</v>
      </c>
      <c r="AJ74" s="22">
        <v>64</v>
      </c>
      <c r="AK74" s="22">
        <v>0.22192400000000001</v>
      </c>
      <c r="AL74">
        <f t="shared" si="6"/>
        <v>18.254074074074072</v>
      </c>
      <c r="AM74">
        <f t="shared" si="7"/>
        <v>4.0582640022222218</v>
      </c>
      <c r="AP74" s="9"/>
      <c r="AQ74" s="22">
        <v>1.5277099999999999</v>
      </c>
      <c r="AR74" s="22">
        <v>24.787299999999998</v>
      </c>
      <c r="AS74" s="22">
        <v>-1.3229400000000001E-2</v>
      </c>
      <c r="AT74" s="22">
        <v>64</v>
      </c>
      <c r="AU74" s="22">
        <v>1.5270999999999999</v>
      </c>
      <c r="AV74">
        <f t="shared" si="8"/>
        <v>16.332592592592594</v>
      </c>
      <c r="AW74">
        <f t="shared" si="9"/>
        <v>24.951465029629631</v>
      </c>
      <c r="AX74" s="9"/>
      <c r="AY74" s="22">
        <v>0.22232099999999999</v>
      </c>
      <c r="AZ74" s="22">
        <v>28.7072</v>
      </c>
      <c r="BA74" s="22">
        <v>-1.4798E-2</v>
      </c>
      <c r="BB74" s="22">
        <v>64</v>
      </c>
      <c r="BC74" s="22">
        <v>0.22198499999999999</v>
      </c>
      <c r="BD74">
        <f t="shared" si="10"/>
        <v>18.269135802469137</v>
      </c>
      <c r="BE74">
        <f t="shared" si="11"/>
        <v>4.0616125407407404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5.8489399999999998</v>
      </c>
      <c r="I75" s="22">
        <v>-1.32202E-2</v>
      </c>
      <c r="J75" s="22">
        <v>65</v>
      </c>
      <c r="K75" s="22">
        <v>1.5213000000000001</v>
      </c>
      <c r="L75">
        <f t="shared" si="0"/>
        <v>16.321234567901232</v>
      </c>
      <c r="M75">
        <f t="shared" si="1"/>
        <v>24.851854239506167</v>
      </c>
      <c r="N75" s="9"/>
      <c r="O75" s="22">
        <v>0.227356</v>
      </c>
      <c r="P75" s="22">
        <v>9.7688400000000009</v>
      </c>
      <c r="Q75" s="22">
        <v>-1.47461E-2</v>
      </c>
      <c r="R75" s="22">
        <v>65</v>
      </c>
      <c r="S75" s="22">
        <v>0.226746</v>
      </c>
      <c r="T75">
        <f t="shared" si="2"/>
        <v>18.205061728395062</v>
      </c>
      <c r="U75">
        <f t="shared" si="3"/>
        <v>4.1390300143209879</v>
      </c>
      <c r="X75" s="9"/>
      <c r="Y75" s="22">
        <v>1.52267</v>
      </c>
      <c r="Z75" s="22">
        <v>15.3142</v>
      </c>
      <c r="AA75" s="22">
        <v>-1.32324E-2</v>
      </c>
      <c r="AB75" s="22">
        <v>65</v>
      </c>
      <c r="AC75" s="22">
        <v>1.5213000000000001</v>
      </c>
      <c r="AD75">
        <f t="shared" si="4"/>
        <v>16.336296296296297</v>
      </c>
      <c r="AE75">
        <f t="shared" si="5"/>
        <v>24.874788281481482</v>
      </c>
      <c r="AF75" s="9"/>
      <c r="AG75" s="22">
        <v>0.227356</v>
      </c>
      <c r="AH75" s="22">
        <v>19.234100000000002</v>
      </c>
      <c r="AI75" s="22">
        <v>-1.47797E-2</v>
      </c>
      <c r="AJ75" s="22">
        <v>65</v>
      </c>
      <c r="AK75" s="22">
        <v>0.226715</v>
      </c>
      <c r="AL75">
        <f t="shared" si="6"/>
        <v>18.246543209876542</v>
      </c>
      <c r="AM75">
        <f t="shared" si="7"/>
        <v>4.1484610780246909</v>
      </c>
      <c r="AP75" s="9"/>
      <c r="AQ75" s="22">
        <v>1.52267</v>
      </c>
      <c r="AR75" s="22">
        <v>24.7974</v>
      </c>
      <c r="AS75" s="22">
        <v>-1.3256799999999999E-2</v>
      </c>
      <c r="AT75" s="22">
        <v>65</v>
      </c>
      <c r="AU75" s="22">
        <v>1.5216099999999999</v>
      </c>
      <c r="AV75">
        <f t="shared" si="8"/>
        <v>16.366419753086415</v>
      </c>
      <c r="AW75">
        <f t="shared" si="9"/>
        <v>24.920656365432091</v>
      </c>
      <c r="AX75" s="9"/>
      <c r="AY75" s="22">
        <v>0.227356</v>
      </c>
      <c r="AZ75" s="22">
        <v>28.717300000000002</v>
      </c>
      <c r="BA75" s="22">
        <v>-1.47949E-2</v>
      </c>
      <c r="BB75" s="22">
        <v>65</v>
      </c>
      <c r="BC75" s="22">
        <v>0.22695899999999999</v>
      </c>
      <c r="BD75">
        <f t="shared" si="10"/>
        <v>18.265308641975306</v>
      </c>
      <c r="BE75">
        <f t="shared" si="11"/>
        <v>4.1527275116049376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5.8590099999999996</v>
      </c>
      <c r="I76" s="22">
        <v>-1.32446E-2</v>
      </c>
      <c r="J76" s="22">
        <v>66</v>
      </c>
      <c r="K76" s="22">
        <v>1.5164200000000001</v>
      </c>
      <c r="L76">
        <f t="shared" ref="L76:L139" si="12">-I76/$F$2*1000</f>
        <v>16.351358024691358</v>
      </c>
      <c r="M76">
        <f t="shared" ref="M76:M139" si="13">L76*G76</f>
        <v>24.815474992592595</v>
      </c>
      <c r="N76" s="9"/>
      <c r="O76" s="22">
        <v>0.23239099999999999</v>
      </c>
      <c r="P76" s="22">
        <v>9.7789099999999998</v>
      </c>
      <c r="Q76" s="22">
        <v>-1.4742999999999999E-2</v>
      </c>
      <c r="R76" s="22">
        <v>66</v>
      </c>
      <c r="S76" s="22">
        <v>0.23184199999999999</v>
      </c>
      <c r="T76">
        <f t="shared" ref="T76:T139" si="14">-Q76/$F$2*1000</f>
        <v>18.201234567901235</v>
      </c>
      <c r="U76">
        <f t="shared" ref="U76:U139" si="15">T76*O76</f>
        <v>4.2298031024691358</v>
      </c>
      <c r="X76" s="9"/>
      <c r="Y76" s="22">
        <v>1.5176400000000001</v>
      </c>
      <c r="Z76" s="22">
        <v>15.324199999999999</v>
      </c>
      <c r="AA76" s="22">
        <v>-1.3262899999999999E-2</v>
      </c>
      <c r="AB76" s="22">
        <v>66</v>
      </c>
      <c r="AC76" s="22">
        <v>1.5170300000000001</v>
      </c>
      <c r="AD76">
        <f t="shared" ref="AD76:AD139" si="16">-AA76/$F$2*1000</f>
        <v>16.373950617283949</v>
      </c>
      <c r="AE76">
        <f t="shared" ref="AE76:AE139" si="17">AD76*Y76</f>
        <v>24.849762414814816</v>
      </c>
      <c r="AF76" s="9"/>
      <c r="AG76" s="22">
        <v>0.23239099999999999</v>
      </c>
      <c r="AH76" s="22">
        <v>19.244199999999999</v>
      </c>
      <c r="AI76" s="22">
        <v>-1.4776600000000001E-2</v>
      </c>
      <c r="AJ76" s="22">
        <v>66</v>
      </c>
      <c r="AK76" s="22">
        <v>0.23172000000000001</v>
      </c>
      <c r="AL76">
        <f t="shared" ref="AL76:AL139" si="18">-AI76/$F$2*1000</f>
        <v>18.242716049382715</v>
      </c>
      <c r="AM76">
        <f t="shared" ref="AM76:AM139" si="19">AL76*AG76</f>
        <v>4.2394430254320978</v>
      </c>
      <c r="AP76" s="9"/>
      <c r="AQ76" s="22">
        <v>1.5176400000000001</v>
      </c>
      <c r="AR76" s="22">
        <v>24.807500000000001</v>
      </c>
      <c r="AS76" s="22">
        <v>-1.3281299999999999E-2</v>
      </c>
      <c r="AT76" s="22">
        <v>66</v>
      </c>
      <c r="AU76" s="22">
        <v>1.5170300000000001</v>
      </c>
      <c r="AV76">
        <f t="shared" ref="AV76:AV139" si="20">-AS76/$F$2*1000</f>
        <v>16.396666666666665</v>
      </c>
      <c r="AW76">
        <f t="shared" ref="AW76:AW139" si="21">AV76*AQ76</f>
        <v>24.884237199999998</v>
      </c>
      <c r="AX76" s="9"/>
      <c r="AY76" s="22">
        <v>0.23239099999999999</v>
      </c>
      <c r="AZ76" s="22">
        <v>28.727399999999999</v>
      </c>
      <c r="BA76" s="22">
        <v>-1.47888E-2</v>
      </c>
      <c r="BB76" s="22">
        <v>66</v>
      </c>
      <c r="BC76" s="22">
        <v>0.231873</v>
      </c>
      <c r="BD76">
        <f t="shared" ref="BD76:BD139" si="22">-BA76/$F$2*1000</f>
        <v>18.257777777777775</v>
      </c>
      <c r="BE76">
        <f t="shared" ref="BE76:BE139" si="23">BD76*AY76</f>
        <v>4.242943235555555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5.8690800000000003</v>
      </c>
      <c r="I77" s="22">
        <v>-1.32599E-2</v>
      </c>
      <c r="J77" s="22">
        <v>67</v>
      </c>
      <c r="K77" s="22">
        <v>1.5112300000000001</v>
      </c>
      <c r="L77">
        <f t="shared" si="12"/>
        <v>16.370246913580246</v>
      </c>
      <c r="M77">
        <f t="shared" si="13"/>
        <v>24.761635481481481</v>
      </c>
      <c r="N77" s="9"/>
      <c r="O77" s="22">
        <v>0.237427</v>
      </c>
      <c r="P77" s="22">
        <v>9.7889800000000005</v>
      </c>
      <c r="Q77" s="22">
        <v>-1.474E-2</v>
      </c>
      <c r="R77" s="22">
        <v>67</v>
      </c>
      <c r="S77" s="22">
        <v>0.23672499999999999</v>
      </c>
      <c r="T77">
        <f t="shared" si="14"/>
        <v>18.197530864197528</v>
      </c>
      <c r="U77">
        <f t="shared" si="15"/>
        <v>4.3205851604938266</v>
      </c>
      <c r="X77" s="9"/>
      <c r="Y77" s="22">
        <v>1.5125999999999999</v>
      </c>
      <c r="Z77" s="22">
        <v>15.334300000000001</v>
      </c>
      <c r="AA77" s="22">
        <v>-1.32874E-2</v>
      </c>
      <c r="AB77" s="22">
        <v>67</v>
      </c>
      <c r="AC77" s="22">
        <v>1.5118400000000001</v>
      </c>
      <c r="AD77">
        <f t="shared" si="16"/>
        <v>16.404197530864195</v>
      </c>
      <c r="AE77">
        <f t="shared" si="17"/>
        <v>24.812989185185181</v>
      </c>
      <c r="AF77" s="9"/>
      <c r="AG77" s="22">
        <v>0.237427</v>
      </c>
      <c r="AH77" s="22">
        <v>19.254200000000001</v>
      </c>
      <c r="AI77" s="22">
        <v>-1.47736E-2</v>
      </c>
      <c r="AJ77" s="22">
        <v>67</v>
      </c>
      <c r="AK77" s="22">
        <v>0.236816</v>
      </c>
      <c r="AL77">
        <f t="shared" si="18"/>
        <v>18.239012345679011</v>
      </c>
      <c r="AM77">
        <f t="shared" si="19"/>
        <v>4.3304339841975308</v>
      </c>
      <c r="AP77" s="9"/>
      <c r="AQ77" s="22">
        <v>1.5125999999999999</v>
      </c>
      <c r="AR77" s="22">
        <v>24.817499999999999</v>
      </c>
      <c r="AS77" s="22">
        <v>-1.33057E-2</v>
      </c>
      <c r="AT77" s="22">
        <v>67</v>
      </c>
      <c r="AU77" s="22">
        <v>1.5118400000000001</v>
      </c>
      <c r="AV77">
        <f t="shared" si="20"/>
        <v>16.42679012345679</v>
      </c>
      <c r="AW77">
        <f t="shared" si="21"/>
        <v>24.847162740740739</v>
      </c>
      <c r="AX77" s="9"/>
      <c r="AY77" s="22">
        <v>0.237427</v>
      </c>
      <c r="AZ77" s="22">
        <v>28.737400000000001</v>
      </c>
      <c r="BA77" s="22">
        <v>-1.4782699999999999E-2</v>
      </c>
      <c r="BB77" s="22">
        <v>67</v>
      </c>
      <c r="BC77" s="22">
        <v>0.23696900000000001</v>
      </c>
      <c r="BD77">
        <f t="shared" si="22"/>
        <v>18.250246913580245</v>
      </c>
      <c r="BE77">
        <f t="shared" si="23"/>
        <v>4.3331013739506172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5.8791500000000001</v>
      </c>
      <c r="I78" s="22">
        <v>-1.3281299999999999E-2</v>
      </c>
      <c r="J78" s="22">
        <v>68</v>
      </c>
      <c r="K78" s="22">
        <v>1.5063500000000001</v>
      </c>
      <c r="L78">
        <f t="shared" si="12"/>
        <v>16.396666666666665</v>
      </c>
      <c r="M78">
        <f t="shared" si="13"/>
        <v>24.719122766666665</v>
      </c>
      <c r="N78" s="9"/>
      <c r="O78" s="22">
        <v>0.24246200000000001</v>
      </c>
      <c r="P78" s="22">
        <v>9.7990499999999994</v>
      </c>
      <c r="Q78" s="22">
        <v>-1.4733899999999999E-2</v>
      </c>
      <c r="R78" s="22">
        <v>68</v>
      </c>
      <c r="S78" s="22">
        <v>0.24191299999999999</v>
      </c>
      <c r="T78">
        <f t="shared" si="14"/>
        <v>18.189999999999998</v>
      </c>
      <c r="U78">
        <f t="shared" si="15"/>
        <v>4.4103837800000001</v>
      </c>
      <c r="X78" s="9"/>
      <c r="Y78" s="22">
        <v>1.5075700000000001</v>
      </c>
      <c r="Z78" s="22">
        <v>15.3444</v>
      </c>
      <c r="AA78" s="22">
        <v>-1.33087E-2</v>
      </c>
      <c r="AB78" s="22">
        <v>68</v>
      </c>
      <c r="AC78" s="22">
        <v>1.50726</v>
      </c>
      <c r="AD78">
        <f t="shared" si="16"/>
        <v>16.430493827160493</v>
      </c>
      <c r="AE78">
        <f t="shared" si="17"/>
        <v>24.770119579012345</v>
      </c>
      <c r="AF78" s="9"/>
      <c r="AG78" s="22">
        <v>0.24246200000000001</v>
      </c>
      <c r="AH78" s="22">
        <v>19.264299999999999</v>
      </c>
      <c r="AI78" s="22">
        <v>-1.4767499999999999E-2</v>
      </c>
      <c r="AJ78" s="22">
        <v>68</v>
      </c>
      <c r="AK78" s="22">
        <v>0.24176</v>
      </c>
      <c r="AL78">
        <f t="shared" si="18"/>
        <v>18.231481481481481</v>
      </c>
      <c r="AM78">
        <f t="shared" si="19"/>
        <v>4.4204414629629634</v>
      </c>
      <c r="AP78" s="9"/>
      <c r="AQ78" s="22">
        <v>1.5075700000000001</v>
      </c>
      <c r="AR78" s="22">
        <v>24.8276</v>
      </c>
      <c r="AS78" s="22">
        <v>-1.3327E-2</v>
      </c>
      <c r="AT78" s="22">
        <v>68</v>
      </c>
      <c r="AU78" s="22">
        <v>1.50665</v>
      </c>
      <c r="AV78">
        <f t="shared" si="20"/>
        <v>16.453086419753085</v>
      </c>
      <c r="AW78">
        <f t="shared" si="21"/>
        <v>24.80417949382716</v>
      </c>
      <c r="AX78" s="9"/>
      <c r="AY78" s="22">
        <v>0.24246200000000001</v>
      </c>
      <c r="AZ78" s="22">
        <v>28.747499999999999</v>
      </c>
      <c r="BA78" s="22">
        <v>-1.47797E-2</v>
      </c>
      <c r="BB78" s="22">
        <v>68</v>
      </c>
      <c r="BC78" s="22">
        <v>0.241699</v>
      </c>
      <c r="BD78">
        <f t="shared" si="22"/>
        <v>18.246543209876542</v>
      </c>
      <c r="BE78">
        <f t="shared" si="23"/>
        <v>4.424093359753086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5.8892199999999999</v>
      </c>
      <c r="I79" s="22">
        <v>-1.32996E-2</v>
      </c>
      <c r="J79" s="22">
        <v>69</v>
      </c>
      <c r="K79" s="22">
        <v>1.50146</v>
      </c>
      <c r="L79">
        <f t="shared" si="12"/>
        <v>16.41925925925926</v>
      </c>
      <c r="M79">
        <f t="shared" si="13"/>
        <v>24.670429614814815</v>
      </c>
      <c r="N79" s="9"/>
      <c r="O79" s="22">
        <v>0.247498</v>
      </c>
      <c r="P79" s="22">
        <v>9.8091200000000001</v>
      </c>
      <c r="Q79" s="22">
        <v>-1.4727799999999999E-2</v>
      </c>
      <c r="R79" s="22">
        <v>69</v>
      </c>
      <c r="S79" s="22">
        <v>0.246887</v>
      </c>
      <c r="T79">
        <f t="shared" si="14"/>
        <v>18.182469135802467</v>
      </c>
      <c r="U79">
        <f t="shared" si="15"/>
        <v>4.5001247461728386</v>
      </c>
      <c r="X79" s="9"/>
      <c r="Y79" s="22">
        <v>1.5025299999999999</v>
      </c>
      <c r="Z79" s="22">
        <v>15.3544</v>
      </c>
      <c r="AA79" s="22">
        <v>-1.3324000000000001E-2</v>
      </c>
      <c r="AB79" s="22">
        <v>69</v>
      </c>
      <c r="AC79" s="22">
        <v>1.50177</v>
      </c>
      <c r="AD79">
        <f t="shared" si="16"/>
        <v>16.449382716049382</v>
      </c>
      <c r="AE79">
        <f t="shared" si="17"/>
        <v>24.715691012345676</v>
      </c>
      <c r="AF79" s="9"/>
      <c r="AG79" s="22">
        <v>0.247498</v>
      </c>
      <c r="AH79" s="22">
        <v>19.2744</v>
      </c>
      <c r="AI79" s="22">
        <v>-1.4767499999999999E-2</v>
      </c>
      <c r="AJ79" s="22">
        <v>69</v>
      </c>
      <c r="AK79" s="22">
        <v>0.246948</v>
      </c>
      <c r="AL79">
        <f t="shared" si="18"/>
        <v>18.231481481481481</v>
      </c>
      <c r="AM79">
        <f t="shared" si="19"/>
        <v>4.5122552037037034</v>
      </c>
      <c r="AP79" s="9"/>
      <c r="AQ79" s="22">
        <v>1.5025299999999999</v>
      </c>
      <c r="AR79" s="22">
        <v>24.837700000000002</v>
      </c>
      <c r="AS79" s="22">
        <v>-1.33423E-2</v>
      </c>
      <c r="AT79" s="22">
        <v>69</v>
      </c>
      <c r="AU79" s="22">
        <v>1.50146</v>
      </c>
      <c r="AV79">
        <f t="shared" si="20"/>
        <v>16.471975308641973</v>
      </c>
      <c r="AW79">
        <f t="shared" si="21"/>
        <v>24.749637060493821</v>
      </c>
      <c r="AX79" s="9"/>
      <c r="AY79" s="22">
        <v>0.247498</v>
      </c>
      <c r="AZ79" s="22">
        <v>28.7576</v>
      </c>
      <c r="BA79" s="22">
        <v>-1.4776600000000001E-2</v>
      </c>
      <c r="BB79" s="22">
        <v>69</v>
      </c>
      <c r="BC79" s="22">
        <v>0.24673500000000001</v>
      </c>
      <c r="BD79">
        <f t="shared" si="22"/>
        <v>18.242716049382715</v>
      </c>
      <c r="BE79">
        <f t="shared" si="23"/>
        <v>4.5150357367901233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5.8992899999999997</v>
      </c>
      <c r="I80" s="22">
        <v>-1.3324000000000001E-2</v>
      </c>
      <c r="J80" s="22">
        <v>70</v>
      </c>
      <c r="K80" s="22">
        <v>1.49658</v>
      </c>
      <c r="L80">
        <f t="shared" si="12"/>
        <v>16.449382716049382</v>
      </c>
      <c r="M80">
        <f t="shared" si="13"/>
        <v>24.632950617283949</v>
      </c>
      <c r="N80" s="9"/>
      <c r="O80" s="22">
        <v>0.25253300000000001</v>
      </c>
      <c r="P80" s="22">
        <v>9.8192000000000004</v>
      </c>
      <c r="Q80" s="22">
        <v>-1.47247E-2</v>
      </c>
      <c r="R80" s="22">
        <v>70</v>
      </c>
      <c r="S80" s="22">
        <v>0.25192300000000001</v>
      </c>
      <c r="T80">
        <f t="shared" si="14"/>
        <v>18.178641975308643</v>
      </c>
      <c r="U80">
        <f t="shared" si="15"/>
        <v>4.5907069939506178</v>
      </c>
      <c r="X80" s="9"/>
      <c r="Y80" s="22">
        <v>1.4975000000000001</v>
      </c>
      <c r="Z80" s="22">
        <v>15.3645</v>
      </c>
      <c r="AA80" s="22">
        <v>-1.33484E-2</v>
      </c>
      <c r="AB80" s="22">
        <v>70</v>
      </c>
      <c r="AC80" s="22">
        <v>1.49658</v>
      </c>
      <c r="AD80">
        <f t="shared" si="16"/>
        <v>16.479506172839503</v>
      </c>
      <c r="AE80">
        <f t="shared" si="17"/>
        <v>24.678060493827157</v>
      </c>
      <c r="AF80" s="9"/>
      <c r="AG80" s="22">
        <v>0.25253300000000001</v>
      </c>
      <c r="AH80" s="22">
        <v>19.284400000000002</v>
      </c>
      <c r="AI80" s="22">
        <v>-1.4767499999999999E-2</v>
      </c>
      <c r="AJ80" s="22">
        <v>70</v>
      </c>
      <c r="AK80" s="22">
        <v>0.25192300000000001</v>
      </c>
      <c r="AL80">
        <f t="shared" si="18"/>
        <v>18.231481481481481</v>
      </c>
      <c r="AM80">
        <f t="shared" si="19"/>
        <v>4.6040507129629633</v>
      </c>
      <c r="AP80" s="9"/>
      <c r="AQ80" s="22">
        <v>1.4975000000000001</v>
      </c>
      <c r="AR80" s="22">
        <v>24.8477</v>
      </c>
      <c r="AS80" s="22">
        <v>-1.33606E-2</v>
      </c>
      <c r="AT80" s="22">
        <v>70</v>
      </c>
      <c r="AU80" s="22">
        <v>1.4962800000000001</v>
      </c>
      <c r="AV80">
        <f t="shared" si="20"/>
        <v>16.494567901234568</v>
      </c>
      <c r="AW80">
        <f t="shared" si="21"/>
        <v>24.700615432098765</v>
      </c>
      <c r="AX80" s="9"/>
      <c r="AY80" s="22">
        <v>0.25253300000000001</v>
      </c>
      <c r="AZ80" s="22">
        <v>28.767600000000002</v>
      </c>
      <c r="BA80" s="22">
        <v>-1.4770500000000001E-2</v>
      </c>
      <c r="BB80" s="22">
        <v>70</v>
      </c>
      <c r="BC80" s="22">
        <v>0.25192300000000001</v>
      </c>
      <c r="BD80">
        <f t="shared" si="22"/>
        <v>18.235185185185184</v>
      </c>
      <c r="BE80">
        <f t="shared" si="23"/>
        <v>4.6049860203703705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5.90937</v>
      </c>
      <c r="I81" s="22">
        <v>-1.33423E-2</v>
      </c>
      <c r="J81" s="22">
        <v>71</v>
      </c>
      <c r="K81" s="22">
        <v>1.49139</v>
      </c>
      <c r="L81">
        <f t="shared" si="12"/>
        <v>16.471975308641973</v>
      </c>
      <c r="M81">
        <f t="shared" si="13"/>
        <v>24.583764269135798</v>
      </c>
      <c r="N81" s="9"/>
      <c r="O81" s="22">
        <v>0.25756800000000002</v>
      </c>
      <c r="P81" s="22">
        <v>9.8292699999999993</v>
      </c>
      <c r="Q81" s="22">
        <v>-1.4721700000000001E-2</v>
      </c>
      <c r="R81" s="22">
        <v>71</v>
      </c>
      <c r="S81" s="22">
        <v>0.25698900000000002</v>
      </c>
      <c r="T81">
        <f t="shared" si="14"/>
        <v>18.174938271604937</v>
      </c>
      <c r="U81">
        <f t="shared" si="15"/>
        <v>4.6812825007407408</v>
      </c>
      <c r="X81" s="9"/>
      <c r="Y81" s="22">
        <v>1.4924599999999999</v>
      </c>
      <c r="Z81" s="22">
        <v>15.374599999999999</v>
      </c>
      <c r="AA81" s="22">
        <v>-1.3369799999999999E-2</v>
      </c>
      <c r="AB81" s="22">
        <v>71</v>
      </c>
      <c r="AC81" s="22">
        <v>1.49139</v>
      </c>
      <c r="AD81">
        <f t="shared" si="16"/>
        <v>16.505925925925922</v>
      </c>
      <c r="AE81">
        <f t="shared" si="17"/>
        <v>24.634434207407399</v>
      </c>
      <c r="AF81" s="9"/>
      <c r="AG81" s="22">
        <v>0.25756800000000002</v>
      </c>
      <c r="AH81" s="22">
        <v>19.294499999999999</v>
      </c>
      <c r="AI81" s="22">
        <v>-1.4767499999999999E-2</v>
      </c>
      <c r="AJ81" s="22">
        <v>71</v>
      </c>
      <c r="AK81" s="22">
        <v>0.25695800000000002</v>
      </c>
      <c r="AL81">
        <f t="shared" si="18"/>
        <v>18.231481481481481</v>
      </c>
      <c r="AM81">
        <f t="shared" si="19"/>
        <v>4.6958462222222224</v>
      </c>
      <c r="AP81" s="9"/>
      <c r="AQ81" s="22">
        <v>1.4924599999999999</v>
      </c>
      <c r="AR81" s="22">
        <v>24.857800000000001</v>
      </c>
      <c r="AS81" s="22">
        <v>-1.3384999999999999E-2</v>
      </c>
      <c r="AT81" s="22">
        <v>71</v>
      </c>
      <c r="AU81" s="22">
        <v>1.4917</v>
      </c>
      <c r="AV81">
        <f t="shared" si="20"/>
        <v>16.52469135802469</v>
      </c>
      <c r="AW81">
        <f t="shared" si="21"/>
        <v>24.662440864197528</v>
      </c>
      <c r="AX81" s="9"/>
      <c r="AY81" s="22">
        <v>0.25756800000000002</v>
      </c>
      <c r="AZ81" s="22">
        <v>28.777699999999999</v>
      </c>
      <c r="BA81" s="22">
        <v>-1.4761399999999999E-2</v>
      </c>
      <c r="BB81" s="22">
        <v>71</v>
      </c>
      <c r="BC81" s="22">
        <v>0.25683600000000001</v>
      </c>
      <c r="BD81">
        <f t="shared" si="22"/>
        <v>18.22395061728395</v>
      </c>
      <c r="BE81">
        <f t="shared" si="23"/>
        <v>4.6939065125925925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5.9194399999999998</v>
      </c>
      <c r="I82" s="22">
        <v>-1.33636E-2</v>
      </c>
      <c r="J82" s="22">
        <v>72</v>
      </c>
      <c r="K82" s="22">
        <v>1.48651</v>
      </c>
      <c r="L82">
        <f t="shared" si="12"/>
        <v>16.498271604938271</v>
      </c>
      <c r="M82">
        <f t="shared" si="13"/>
        <v>24.540024133333333</v>
      </c>
      <c r="N82" s="9"/>
      <c r="O82" s="22">
        <v>0.262604</v>
      </c>
      <c r="P82" s="22">
        <v>9.83934</v>
      </c>
      <c r="Q82" s="22">
        <v>-1.4715600000000001E-2</v>
      </c>
      <c r="R82" s="22">
        <v>72</v>
      </c>
      <c r="S82" s="22">
        <v>0.261963</v>
      </c>
      <c r="T82">
        <f t="shared" si="14"/>
        <v>18.167407407407406</v>
      </c>
      <c r="U82">
        <f t="shared" si="15"/>
        <v>4.770833854814815</v>
      </c>
      <c r="X82" s="9"/>
      <c r="Y82" s="22">
        <v>1.48743</v>
      </c>
      <c r="Z82" s="22">
        <v>15.3847</v>
      </c>
      <c r="AA82" s="22">
        <v>-1.33881E-2</v>
      </c>
      <c r="AB82" s="22">
        <v>72</v>
      </c>
      <c r="AC82" s="22">
        <v>1.48682</v>
      </c>
      <c r="AD82">
        <f t="shared" si="16"/>
        <v>16.528518518518517</v>
      </c>
      <c r="AE82">
        <f t="shared" si="17"/>
        <v>24.585014299999997</v>
      </c>
      <c r="AF82" s="9"/>
      <c r="AG82" s="22">
        <v>0.262604</v>
      </c>
      <c r="AH82" s="22">
        <v>19.304600000000001</v>
      </c>
      <c r="AI82" s="22">
        <v>-1.4761399999999999E-2</v>
      </c>
      <c r="AJ82" s="22">
        <v>72</v>
      </c>
      <c r="AK82" s="22">
        <v>0.26187100000000002</v>
      </c>
      <c r="AL82">
        <f t="shared" si="18"/>
        <v>18.22395061728395</v>
      </c>
      <c r="AM82">
        <f t="shared" si="19"/>
        <v>4.7856823279012346</v>
      </c>
      <c r="AP82" s="9"/>
      <c r="AQ82" s="22">
        <v>1.48743</v>
      </c>
      <c r="AR82" s="22">
        <v>24.867899999999999</v>
      </c>
      <c r="AS82" s="22">
        <v>-1.34033E-2</v>
      </c>
      <c r="AT82" s="22">
        <v>72</v>
      </c>
      <c r="AU82" s="22">
        <v>1.48651</v>
      </c>
      <c r="AV82">
        <f t="shared" si="20"/>
        <v>16.547283950617281</v>
      </c>
      <c r="AW82">
        <f t="shared" si="21"/>
        <v>24.612926566666662</v>
      </c>
      <c r="AX82" s="9"/>
      <c r="AY82" s="22">
        <v>0.262604</v>
      </c>
      <c r="AZ82" s="22">
        <v>28.787800000000001</v>
      </c>
      <c r="BA82" s="22">
        <v>-1.47583E-2</v>
      </c>
      <c r="BB82" s="22">
        <v>72</v>
      </c>
      <c r="BC82" s="22">
        <v>0.26208500000000001</v>
      </c>
      <c r="BD82">
        <f t="shared" si="22"/>
        <v>18.22012345679012</v>
      </c>
      <c r="BE82">
        <f t="shared" si="23"/>
        <v>4.784677300246913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5.9295099999999996</v>
      </c>
      <c r="I83" s="22">
        <v>-1.33881E-2</v>
      </c>
      <c r="J83" s="22">
        <v>73</v>
      </c>
      <c r="K83" s="22">
        <v>1.48193</v>
      </c>
      <c r="L83">
        <f t="shared" si="12"/>
        <v>16.528518518518517</v>
      </c>
      <c r="M83">
        <f t="shared" si="13"/>
        <v>24.501710566666667</v>
      </c>
      <c r="N83" s="9"/>
      <c r="O83" s="22">
        <v>0.26763900000000002</v>
      </c>
      <c r="P83" s="22">
        <v>9.8494100000000007</v>
      </c>
      <c r="Q83" s="22">
        <v>-1.47064E-2</v>
      </c>
      <c r="R83" s="22">
        <v>73</v>
      </c>
      <c r="S83" s="22">
        <v>0.26705899999999999</v>
      </c>
      <c r="T83">
        <f t="shared" si="14"/>
        <v>18.156049382716049</v>
      </c>
      <c r="U83">
        <f t="shared" si="15"/>
        <v>4.8592669007407405</v>
      </c>
      <c r="X83" s="9"/>
      <c r="Y83" s="22">
        <v>1.4823900000000001</v>
      </c>
      <c r="Z83" s="22">
        <v>15.3947</v>
      </c>
      <c r="AA83" s="22">
        <v>-1.34094E-2</v>
      </c>
      <c r="AB83" s="22">
        <v>73</v>
      </c>
      <c r="AC83" s="22">
        <v>1.48132</v>
      </c>
      <c r="AD83">
        <f t="shared" si="16"/>
        <v>16.554814814814815</v>
      </c>
      <c r="AE83">
        <f t="shared" si="17"/>
        <v>24.540691933333335</v>
      </c>
      <c r="AF83" s="9"/>
      <c r="AG83" s="22">
        <v>0.26763900000000002</v>
      </c>
      <c r="AH83" s="22">
        <v>19.314699999999998</v>
      </c>
      <c r="AI83" s="22">
        <v>-1.47552E-2</v>
      </c>
      <c r="AJ83" s="22">
        <v>73</v>
      </c>
      <c r="AK83" s="22">
        <v>0.266876</v>
      </c>
      <c r="AL83">
        <f t="shared" si="18"/>
        <v>18.216296296296292</v>
      </c>
      <c r="AM83">
        <f t="shared" si="19"/>
        <v>4.8753913244444433</v>
      </c>
      <c r="AP83" s="9"/>
      <c r="AQ83" s="22">
        <v>1.4823900000000001</v>
      </c>
      <c r="AR83" s="22">
        <v>24.878</v>
      </c>
      <c r="AS83" s="22">
        <v>-1.3427700000000001E-2</v>
      </c>
      <c r="AT83" s="22">
        <v>73</v>
      </c>
      <c r="AU83" s="22">
        <v>1.48132</v>
      </c>
      <c r="AV83">
        <f t="shared" si="20"/>
        <v>16.57740740740741</v>
      </c>
      <c r="AW83">
        <f t="shared" si="21"/>
        <v>24.574182966666672</v>
      </c>
      <c r="AX83" s="9"/>
      <c r="AY83" s="22">
        <v>0.26763900000000002</v>
      </c>
      <c r="AZ83" s="22">
        <v>28.797899999999998</v>
      </c>
      <c r="BA83" s="22">
        <v>-1.47583E-2</v>
      </c>
      <c r="BB83" s="22">
        <v>73</v>
      </c>
      <c r="BC83" s="22">
        <v>0.26696799999999998</v>
      </c>
      <c r="BD83">
        <f t="shared" si="22"/>
        <v>18.22012345679012</v>
      </c>
      <c r="BE83">
        <f t="shared" si="23"/>
        <v>4.8764156218518515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5.9395800000000003</v>
      </c>
      <c r="I84" s="22">
        <v>-1.34094E-2</v>
      </c>
      <c r="J84" s="22">
        <v>74</v>
      </c>
      <c r="K84" s="22">
        <v>1.47675</v>
      </c>
      <c r="L84">
        <f t="shared" si="12"/>
        <v>16.554814814814815</v>
      </c>
      <c r="M84">
        <f t="shared" si="13"/>
        <v>24.457421214814815</v>
      </c>
      <c r="N84" s="9"/>
      <c r="O84" s="22">
        <v>0.272675</v>
      </c>
      <c r="P84" s="22">
        <v>9.8594799999999996</v>
      </c>
      <c r="Q84" s="22">
        <v>-1.4700299999999999E-2</v>
      </c>
      <c r="R84" s="22">
        <v>74</v>
      </c>
      <c r="S84" s="22">
        <v>0.272034</v>
      </c>
      <c r="T84">
        <f t="shared" si="14"/>
        <v>18.148518518518514</v>
      </c>
      <c r="U84">
        <f t="shared" si="15"/>
        <v>4.9486472870370362</v>
      </c>
      <c r="X84" s="9"/>
      <c r="Y84" s="22">
        <v>1.47736</v>
      </c>
      <c r="Z84" s="22">
        <v>15.4048</v>
      </c>
      <c r="AA84" s="22">
        <v>-1.3433799999999999E-2</v>
      </c>
      <c r="AB84" s="22">
        <v>74</v>
      </c>
      <c r="AC84" s="22">
        <v>1.47614</v>
      </c>
      <c r="AD84">
        <f t="shared" si="16"/>
        <v>16.584938271604937</v>
      </c>
      <c r="AE84">
        <f t="shared" si="17"/>
        <v>24.501924404938269</v>
      </c>
      <c r="AF84" s="9"/>
      <c r="AG84" s="22">
        <v>0.272675</v>
      </c>
      <c r="AH84" s="22">
        <v>19.3247</v>
      </c>
      <c r="AI84" s="22">
        <v>-1.4749099999999999E-2</v>
      </c>
      <c r="AJ84" s="22">
        <v>74</v>
      </c>
      <c r="AK84" s="22">
        <v>0.27209499999999998</v>
      </c>
      <c r="AL84">
        <f t="shared" si="18"/>
        <v>18.208765432098765</v>
      </c>
      <c r="AM84">
        <f t="shared" si="19"/>
        <v>4.9650751141975311</v>
      </c>
      <c r="AP84" s="9"/>
      <c r="AQ84" s="22">
        <v>1.47736</v>
      </c>
      <c r="AR84" s="22">
        <v>24.888000000000002</v>
      </c>
      <c r="AS84" s="22">
        <v>-1.34521E-2</v>
      </c>
      <c r="AT84" s="22">
        <v>74</v>
      </c>
      <c r="AU84" s="22">
        <v>1.47644</v>
      </c>
      <c r="AV84">
        <f t="shared" si="20"/>
        <v>16.607530864197528</v>
      </c>
      <c r="AW84">
        <f t="shared" si="21"/>
        <v>24.53530179753086</v>
      </c>
      <c r="AX84" s="9"/>
      <c r="AY84" s="22">
        <v>0.272675</v>
      </c>
      <c r="AZ84" s="22">
        <v>28.8079</v>
      </c>
      <c r="BA84" s="22">
        <v>-1.47522E-2</v>
      </c>
      <c r="BB84" s="22">
        <v>74</v>
      </c>
      <c r="BC84" s="22">
        <v>0.27200299999999999</v>
      </c>
      <c r="BD84">
        <f t="shared" si="22"/>
        <v>18.212592592592593</v>
      </c>
      <c r="BE84">
        <f t="shared" si="23"/>
        <v>4.9661186851851848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5.9496500000000001</v>
      </c>
      <c r="I85" s="22">
        <v>-1.34308E-2</v>
      </c>
      <c r="J85" s="22">
        <v>75</v>
      </c>
      <c r="K85" s="22">
        <v>1.47156</v>
      </c>
      <c r="L85">
        <f t="shared" si="12"/>
        <v>16.581234567901234</v>
      </c>
      <c r="M85">
        <f t="shared" si="13"/>
        <v>24.412883279012345</v>
      </c>
      <c r="N85" s="9"/>
      <c r="O85" s="22">
        <v>0.27771000000000001</v>
      </c>
      <c r="P85" s="22">
        <v>9.8695500000000003</v>
      </c>
      <c r="Q85" s="22">
        <v>-1.46912E-2</v>
      </c>
      <c r="R85" s="22">
        <v>75</v>
      </c>
      <c r="S85" s="22">
        <v>0.27712999999999999</v>
      </c>
      <c r="T85">
        <f t="shared" si="14"/>
        <v>18.137283950617284</v>
      </c>
      <c r="U85">
        <f t="shared" si="15"/>
        <v>5.0369051259259265</v>
      </c>
      <c r="X85" s="9"/>
      <c r="Y85" s="22">
        <v>1.4723200000000001</v>
      </c>
      <c r="Z85" s="22">
        <v>15.414899999999999</v>
      </c>
      <c r="AA85" s="22">
        <v>-1.34552E-2</v>
      </c>
      <c r="AB85" s="22">
        <v>75</v>
      </c>
      <c r="AC85" s="22">
        <v>1.4712499999999999</v>
      </c>
      <c r="AD85">
        <f t="shared" si="16"/>
        <v>16.611358024691356</v>
      </c>
      <c r="AE85">
        <f t="shared" si="17"/>
        <v>24.457234646913577</v>
      </c>
      <c r="AF85" s="9"/>
      <c r="AG85" s="22">
        <v>0.27771000000000001</v>
      </c>
      <c r="AH85" s="22">
        <v>19.334800000000001</v>
      </c>
      <c r="AI85" s="22">
        <v>-1.47461E-2</v>
      </c>
      <c r="AJ85" s="22">
        <v>75</v>
      </c>
      <c r="AK85" s="22">
        <v>0.277252</v>
      </c>
      <c r="AL85">
        <f t="shared" si="18"/>
        <v>18.205061728395062</v>
      </c>
      <c r="AM85">
        <f t="shared" si="19"/>
        <v>5.0557276925925931</v>
      </c>
      <c r="AP85" s="9"/>
      <c r="AQ85" s="22">
        <v>1.4723200000000001</v>
      </c>
      <c r="AR85" s="22">
        <v>24.898099999999999</v>
      </c>
      <c r="AS85" s="22">
        <v>-1.34705E-2</v>
      </c>
      <c r="AT85" s="22">
        <v>75</v>
      </c>
      <c r="AU85" s="22">
        <v>1.47095</v>
      </c>
      <c r="AV85">
        <f t="shared" si="20"/>
        <v>16.630246913580244</v>
      </c>
      <c r="AW85">
        <f t="shared" si="21"/>
        <v>24.485045135802466</v>
      </c>
      <c r="AX85" s="9"/>
      <c r="AY85" s="22">
        <v>0.27771000000000001</v>
      </c>
      <c r="AZ85" s="22">
        <v>28.818000000000001</v>
      </c>
      <c r="BA85" s="22">
        <v>-1.47522E-2</v>
      </c>
      <c r="BB85" s="22">
        <v>75</v>
      </c>
      <c r="BC85" s="22">
        <v>0.276947</v>
      </c>
      <c r="BD85">
        <f t="shared" si="22"/>
        <v>18.212592592592593</v>
      </c>
      <c r="BE85">
        <f t="shared" si="23"/>
        <v>5.0578190888888894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5.9597199999999999</v>
      </c>
      <c r="I86" s="22">
        <v>-1.3443E-2</v>
      </c>
      <c r="J86" s="22">
        <v>76</v>
      </c>
      <c r="K86" s="22">
        <v>1.46637</v>
      </c>
      <c r="L86">
        <f t="shared" si="12"/>
        <v>16.596296296296295</v>
      </c>
      <c r="M86">
        <f t="shared" si="13"/>
        <v>24.351579592592589</v>
      </c>
      <c r="N86" s="9"/>
      <c r="O86" s="22">
        <v>0.28274500000000002</v>
      </c>
      <c r="P86" s="22">
        <v>9.8796199999999992</v>
      </c>
      <c r="Q86" s="22">
        <v>-1.46912E-2</v>
      </c>
      <c r="R86" s="22">
        <v>76</v>
      </c>
      <c r="S86" s="22">
        <v>0.28213500000000002</v>
      </c>
      <c r="T86">
        <f t="shared" si="14"/>
        <v>18.137283950617284</v>
      </c>
      <c r="U86">
        <f t="shared" si="15"/>
        <v>5.1282263506172843</v>
      </c>
      <c r="X86" s="9"/>
      <c r="Y86" s="22">
        <v>1.46729</v>
      </c>
      <c r="Z86" s="22">
        <v>15.424899999999999</v>
      </c>
      <c r="AA86" s="22">
        <v>-1.3473499999999999E-2</v>
      </c>
      <c r="AB86" s="22">
        <v>76</v>
      </c>
      <c r="AC86" s="22">
        <v>1.4666699999999999</v>
      </c>
      <c r="AD86">
        <f t="shared" si="16"/>
        <v>16.633950617283947</v>
      </c>
      <c r="AE86">
        <f t="shared" si="17"/>
        <v>24.406829401234564</v>
      </c>
      <c r="AF86" s="9"/>
      <c r="AG86" s="22">
        <v>0.28274500000000002</v>
      </c>
      <c r="AH86" s="22">
        <v>19.344899999999999</v>
      </c>
      <c r="AI86" s="22">
        <v>-1.4736900000000001E-2</v>
      </c>
      <c r="AJ86" s="22">
        <v>76</v>
      </c>
      <c r="AK86" s="22">
        <v>0.28210400000000002</v>
      </c>
      <c r="AL86">
        <f t="shared" si="18"/>
        <v>18.193703703703704</v>
      </c>
      <c r="AM86">
        <f t="shared" si="19"/>
        <v>5.144178753703704</v>
      </c>
      <c r="AP86" s="9"/>
      <c r="AQ86" s="22">
        <v>1.46729</v>
      </c>
      <c r="AR86" s="22">
        <v>24.908200000000001</v>
      </c>
      <c r="AS86" s="22">
        <v>-1.34888E-2</v>
      </c>
      <c r="AT86" s="22">
        <v>76</v>
      </c>
      <c r="AU86" s="22">
        <v>1.46637</v>
      </c>
      <c r="AV86">
        <f t="shared" si="20"/>
        <v>16.652839506172839</v>
      </c>
      <c r="AW86">
        <f t="shared" si="21"/>
        <v>24.434544879012346</v>
      </c>
      <c r="AX86" s="9"/>
      <c r="AY86" s="22">
        <v>0.28274500000000002</v>
      </c>
      <c r="AZ86" s="22">
        <v>28.828099999999999</v>
      </c>
      <c r="BA86" s="22">
        <v>-1.4742999999999999E-2</v>
      </c>
      <c r="BB86" s="22">
        <v>76</v>
      </c>
      <c r="BC86" s="22">
        <v>0.28210400000000002</v>
      </c>
      <c r="BD86">
        <f t="shared" si="22"/>
        <v>18.201234567901235</v>
      </c>
      <c r="BE86">
        <f t="shared" si="23"/>
        <v>5.1463080679012352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5.9697899999999997</v>
      </c>
      <c r="I87" s="22">
        <v>-1.34552E-2</v>
      </c>
      <c r="J87" s="22">
        <v>77</v>
      </c>
      <c r="K87" s="22">
        <v>1.4611799999999999</v>
      </c>
      <c r="L87">
        <f t="shared" si="12"/>
        <v>16.611358024691356</v>
      </c>
      <c r="M87">
        <f t="shared" si="13"/>
        <v>24.289958271604934</v>
      </c>
      <c r="N87" s="9"/>
      <c r="O87" s="22">
        <v>0.28778100000000001</v>
      </c>
      <c r="P87" s="22">
        <v>9.8896899999999999</v>
      </c>
      <c r="Q87" s="22">
        <v>-1.4688100000000001E-2</v>
      </c>
      <c r="R87" s="22">
        <v>77</v>
      </c>
      <c r="S87" s="22">
        <v>0.28720099999999998</v>
      </c>
      <c r="T87">
        <f t="shared" si="14"/>
        <v>18.133456790123457</v>
      </c>
      <c r="U87">
        <f t="shared" si="15"/>
        <v>5.218464328518519</v>
      </c>
      <c r="X87" s="9"/>
      <c r="Y87" s="22">
        <v>1.46225</v>
      </c>
      <c r="Z87" s="22">
        <v>15.435</v>
      </c>
      <c r="AA87" s="22">
        <v>-1.34918E-2</v>
      </c>
      <c r="AB87" s="22">
        <v>77</v>
      </c>
      <c r="AC87" s="22">
        <v>1.46149</v>
      </c>
      <c r="AD87">
        <f t="shared" si="16"/>
        <v>16.656543209876542</v>
      </c>
      <c r="AE87">
        <f t="shared" si="17"/>
        <v>24.356030308641973</v>
      </c>
      <c r="AF87" s="9"/>
      <c r="AG87" s="22">
        <v>0.28778100000000001</v>
      </c>
      <c r="AH87" s="22">
        <v>19.354900000000001</v>
      </c>
      <c r="AI87" s="22">
        <v>-1.47308E-2</v>
      </c>
      <c r="AJ87" s="22">
        <v>77</v>
      </c>
      <c r="AK87" s="22">
        <v>0.28723100000000001</v>
      </c>
      <c r="AL87">
        <f t="shared" si="18"/>
        <v>18.186172839506174</v>
      </c>
      <c r="AM87">
        <f t="shared" si="19"/>
        <v>5.233635005925926</v>
      </c>
      <c r="AP87" s="9"/>
      <c r="AQ87" s="22">
        <v>1.46225</v>
      </c>
      <c r="AR87" s="22">
        <v>24.918199999999999</v>
      </c>
      <c r="AS87" s="22">
        <v>-1.3504E-2</v>
      </c>
      <c r="AT87" s="22">
        <v>77</v>
      </c>
      <c r="AU87" s="22">
        <v>1.46149</v>
      </c>
      <c r="AV87">
        <f t="shared" si="20"/>
        <v>16.671604938271606</v>
      </c>
      <c r="AW87">
        <f t="shared" si="21"/>
        <v>24.378054320987658</v>
      </c>
      <c r="AX87" s="9"/>
      <c r="AY87" s="22">
        <v>0.28778100000000001</v>
      </c>
      <c r="AZ87" s="22">
        <v>28.838100000000001</v>
      </c>
      <c r="BA87" s="22">
        <v>-1.4733899999999999E-2</v>
      </c>
      <c r="BB87" s="22">
        <v>77</v>
      </c>
      <c r="BC87" s="22">
        <v>0.287018</v>
      </c>
      <c r="BD87">
        <f t="shared" si="22"/>
        <v>18.189999999999998</v>
      </c>
      <c r="BE87">
        <f t="shared" si="23"/>
        <v>5.2347363899999992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5.9798600000000004</v>
      </c>
      <c r="I88" s="22">
        <v>-1.3461300000000001E-2</v>
      </c>
      <c r="J88" s="22">
        <v>78</v>
      </c>
      <c r="K88" s="22">
        <v>1.4565999999999999</v>
      </c>
      <c r="L88">
        <f t="shared" si="12"/>
        <v>16.618888888888886</v>
      </c>
      <c r="M88">
        <f t="shared" si="13"/>
        <v>24.217211077777772</v>
      </c>
      <c r="N88" s="9"/>
      <c r="O88" s="22">
        <v>0.29281600000000002</v>
      </c>
      <c r="P88" s="22">
        <v>9.8997600000000006</v>
      </c>
      <c r="Q88" s="22">
        <v>-1.4688100000000001E-2</v>
      </c>
      <c r="R88" s="22">
        <v>78</v>
      </c>
      <c r="S88" s="22">
        <v>0.29211399999999998</v>
      </c>
      <c r="T88">
        <f t="shared" si="14"/>
        <v>18.133456790123457</v>
      </c>
      <c r="U88">
        <f t="shared" si="15"/>
        <v>5.3097662834567902</v>
      </c>
      <c r="X88" s="9"/>
      <c r="Y88" s="22">
        <v>1.4572099999999999</v>
      </c>
      <c r="Z88" s="22">
        <v>15.4451</v>
      </c>
      <c r="AA88" s="22">
        <v>-1.3507099999999999E-2</v>
      </c>
      <c r="AB88" s="22">
        <v>78</v>
      </c>
      <c r="AC88" s="22">
        <v>1.4565999999999999</v>
      </c>
      <c r="AD88">
        <f t="shared" si="16"/>
        <v>16.67543209876543</v>
      </c>
      <c r="AE88">
        <f t="shared" si="17"/>
        <v>24.299606408641971</v>
      </c>
      <c r="AF88" s="9"/>
      <c r="AG88" s="22">
        <v>0.29281600000000002</v>
      </c>
      <c r="AH88" s="22">
        <v>19.364999999999998</v>
      </c>
      <c r="AI88" s="22">
        <v>-1.47247E-2</v>
      </c>
      <c r="AJ88" s="22">
        <v>78</v>
      </c>
      <c r="AK88" s="22">
        <v>0.29214499999999999</v>
      </c>
      <c r="AL88">
        <f t="shared" si="18"/>
        <v>18.178641975308643</v>
      </c>
      <c r="AM88">
        <f t="shared" si="19"/>
        <v>5.3229972286419764</v>
      </c>
      <c r="AP88" s="9"/>
      <c r="AQ88" s="22">
        <v>1.4572099999999999</v>
      </c>
      <c r="AR88" s="22">
        <v>24.9283</v>
      </c>
      <c r="AS88" s="22">
        <v>-1.3522299999999999E-2</v>
      </c>
      <c r="AT88" s="22">
        <v>78</v>
      </c>
      <c r="AU88" s="22">
        <v>1.4569099999999999</v>
      </c>
      <c r="AV88">
        <f t="shared" si="20"/>
        <v>16.694197530864194</v>
      </c>
      <c r="AW88">
        <f t="shared" si="21"/>
        <v>24.32695158395061</v>
      </c>
      <c r="AX88" s="9"/>
      <c r="AY88" s="22">
        <v>0.29281600000000002</v>
      </c>
      <c r="AZ88" s="22">
        <v>28.848199999999999</v>
      </c>
      <c r="BA88" s="22">
        <v>-1.47308E-2</v>
      </c>
      <c r="BB88" s="22">
        <v>78</v>
      </c>
      <c r="BC88" s="22">
        <v>0.29232799999999998</v>
      </c>
      <c r="BD88">
        <f t="shared" si="22"/>
        <v>18.186172839506174</v>
      </c>
      <c r="BE88">
        <f t="shared" si="23"/>
        <v>5.3252023861728404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5.9899300000000002</v>
      </c>
      <c r="I89" s="22">
        <v>-1.34705E-2</v>
      </c>
      <c r="J89" s="22">
        <v>79</v>
      </c>
      <c r="K89" s="22">
        <v>1.4514199999999999</v>
      </c>
      <c r="L89">
        <f t="shared" si="12"/>
        <v>16.630246913580244</v>
      </c>
      <c r="M89">
        <f t="shared" si="13"/>
        <v>24.15011196296296</v>
      </c>
      <c r="N89" s="9"/>
      <c r="O89" s="22">
        <v>0.29785200000000001</v>
      </c>
      <c r="P89" s="22">
        <v>9.9098299999999995</v>
      </c>
      <c r="Q89" s="22">
        <v>-1.4682000000000001E-2</v>
      </c>
      <c r="R89" s="22">
        <v>79</v>
      </c>
      <c r="S89" s="22">
        <v>0.297211</v>
      </c>
      <c r="T89">
        <f t="shared" si="14"/>
        <v>18.125925925925923</v>
      </c>
      <c r="U89">
        <f t="shared" si="15"/>
        <v>5.3988432888888882</v>
      </c>
      <c r="X89" s="9"/>
      <c r="Y89" s="22">
        <v>1.45218</v>
      </c>
      <c r="Z89" s="22">
        <v>15.4552</v>
      </c>
      <c r="AA89" s="22">
        <v>-1.3528399999999999E-2</v>
      </c>
      <c r="AB89" s="22">
        <v>79</v>
      </c>
      <c r="AC89" s="22">
        <v>1.4517199999999999</v>
      </c>
      <c r="AD89">
        <f t="shared" si="16"/>
        <v>16.701728395061725</v>
      </c>
      <c r="AE89">
        <f t="shared" si="17"/>
        <v>24.253915940740736</v>
      </c>
      <c r="AF89" s="9"/>
      <c r="AG89" s="22">
        <v>0.29785200000000001</v>
      </c>
      <c r="AH89" s="22">
        <v>19.3751</v>
      </c>
      <c r="AI89" s="22">
        <v>-1.47186E-2</v>
      </c>
      <c r="AJ89" s="22">
        <v>79</v>
      </c>
      <c r="AK89" s="22">
        <v>0.29733300000000001</v>
      </c>
      <c r="AL89">
        <f t="shared" si="18"/>
        <v>18.171111111111109</v>
      </c>
      <c r="AM89">
        <f t="shared" si="19"/>
        <v>5.4123017866666663</v>
      </c>
      <c r="AP89" s="9"/>
      <c r="AQ89" s="22">
        <v>1.45218</v>
      </c>
      <c r="AR89" s="22">
        <v>24.938400000000001</v>
      </c>
      <c r="AS89" s="22">
        <v>-1.35345E-2</v>
      </c>
      <c r="AT89" s="22">
        <v>79</v>
      </c>
      <c r="AU89" s="22">
        <v>1.4511099999999999</v>
      </c>
      <c r="AV89">
        <f t="shared" si="20"/>
        <v>16.709259259259255</v>
      </c>
      <c r="AW89">
        <f t="shared" si="21"/>
        <v>24.264852111111107</v>
      </c>
      <c r="AX89" s="9"/>
      <c r="AY89" s="22">
        <v>0.29785200000000001</v>
      </c>
      <c r="AZ89" s="22">
        <v>28.8583</v>
      </c>
      <c r="BA89" s="22">
        <v>-1.4727799999999999E-2</v>
      </c>
      <c r="BB89" s="22">
        <v>79</v>
      </c>
      <c r="BC89" s="22">
        <v>0.29730200000000001</v>
      </c>
      <c r="BD89">
        <f t="shared" si="22"/>
        <v>18.182469135802467</v>
      </c>
      <c r="BE89">
        <f t="shared" si="23"/>
        <v>5.415684797037037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</v>
      </c>
      <c r="I90" s="22">
        <v>-1.34888E-2</v>
      </c>
      <c r="J90" s="22">
        <v>80</v>
      </c>
      <c r="K90" s="22">
        <v>1.4462299999999999</v>
      </c>
      <c r="L90">
        <f t="shared" si="12"/>
        <v>16.652839506172839</v>
      </c>
      <c r="M90">
        <f t="shared" si="13"/>
        <v>24.098990162962963</v>
      </c>
      <c r="N90" s="9"/>
      <c r="O90" s="22">
        <v>0.30288700000000002</v>
      </c>
      <c r="P90" s="22">
        <v>9.9199099999999998</v>
      </c>
      <c r="Q90" s="22">
        <v>-1.4678999999999999E-2</v>
      </c>
      <c r="R90" s="22">
        <v>80</v>
      </c>
      <c r="S90" s="22">
        <v>0.302338</v>
      </c>
      <c r="T90">
        <f t="shared" si="14"/>
        <v>18.12222222222222</v>
      </c>
      <c r="U90">
        <f t="shared" si="15"/>
        <v>5.4889855222222215</v>
      </c>
      <c r="X90" s="9"/>
      <c r="Y90" s="22">
        <v>1.4471400000000001</v>
      </c>
      <c r="Z90" s="22">
        <v>15.465199999999999</v>
      </c>
      <c r="AA90" s="22">
        <v>-1.3543700000000001E-2</v>
      </c>
      <c r="AB90" s="22">
        <v>80</v>
      </c>
      <c r="AC90" s="22">
        <v>1.4462299999999999</v>
      </c>
      <c r="AD90">
        <f t="shared" si="16"/>
        <v>16.720617283950617</v>
      </c>
      <c r="AE90">
        <f t="shared" si="17"/>
        <v>24.197074096296298</v>
      </c>
      <c r="AF90" s="9"/>
      <c r="AG90" s="22">
        <v>0.30288700000000002</v>
      </c>
      <c r="AH90" s="22">
        <v>19.385200000000001</v>
      </c>
      <c r="AI90" s="22">
        <v>-1.4715600000000001E-2</v>
      </c>
      <c r="AJ90" s="22">
        <v>80</v>
      </c>
      <c r="AK90" s="22">
        <v>0.30218499999999998</v>
      </c>
      <c r="AL90">
        <f t="shared" si="18"/>
        <v>18.167407407407406</v>
      </c>
      <c r="AM90">
        <f t="shared" si="19"/>
        <v>5.5026715274074078</v>
      </c>
      <c r="AP90" s="9"/>
      <c r="AQ90" s="22">
        <v>1.4471400000000001</v>
      </c>
      <c r="AR90" s="22">
        <v>24.948499999999999</v>
      </c>
      <c r="AS90" s="22">
        <v>-1.3549800000000001E-2</v>
      </c>
      <c r="AT90" s="22">
        <v>80</v>
      </c>
      <c r="AU90" s="22">
        <v>1.4462299999999999</v>
      </c>
      <c r="AV90">
        <f t="shared" si="20"/>
        <v>16.728148148148147</v>
      </c>
      <c r="AW90">
        <f t="shared" si="21"/>
        <v>24.20797231111111</v>
      </c>
      <c r="AX90" s="9"/>
      <c r="AY90" s="22">
        <v>0.30288700000000002</v>
      </c>
      <c r="AZ90" s="22">
        <v>28.868400000000001</v>
      </c>
      <c r="BA90" s="22">
        <v>-1.4721700000000001E-2</v>
      </c>
      <c r="BB90" s="22">
        <v>80</v>
      </c>
      <c r="BC90" s="22">
        <v>0.30227700000000002</v>
      </c>
      <c r="BD90">
        <f t="shared" si="22"/>
        <v>18.174938271604937</v>
      </c>
      <c r="BE90">
        <f t="shared" si="23"/>
        <v>5.5049525282716045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6.0100800000000003</v>
      </c>
      <c r="I91" s="22">
        <v>-1.35132E-2</v>
      </c>
      <c r="J91" s="22">
        <v>81</v>
      </c>
      <c r="K91" s="22">
        <v>1.4410400000000001</v>
      </c>
      <c r="L91">
        <f t="shared" si="12"/>
        <v>16.682962962962961</v>
      </c>
      <c r="M91">
        <f t="shared" si="13"/>
        <v>24.058667718518514</v>
      </c>
      <c r="N91" s="9"/>
      <c r="O91" s="22">
        <v>0.30792199999999997</v>
      </c>
      <c r="P91" s="22">
        <v>9.9299800000000005</v>
      </c>
      <c r="Q91" s="22">
        <v>-1.4672899999999999E-2</v>
      </c>
      <c r="R91" s="22">
        <v>81</v>
      </c>
      <c r="S91" s="22">
        <v>0.30728100000000003</v>
      </c>
      <c r="T91">
        <f t="shared" si="14"/>
        <v>18.11469135802469</v>
      </c>
      <c r="U91">
        <f t="shared" si="15"/>
        <v>5.5779119923456779</v>
      </c>
      <c r="X91" s="9"/>
      <c r="Y91" s="22">
        <v>1.44211</v>
      </c>
      <c r="Z91" s="22">
        <v>15.475300000000001</v>
      </c>
      <c r="AA91" s="22">
        <v>-1.3549800000000001E-2</v>
      </c>
      <c r="AB91" s="22">
        <v>81</v>
      </c>
      <c r="AC91" s="22">
        <v>1.4413499999999999</v>
      </c>
      <c r="AD91">
        <f t="shared" si="16"/>
        <v>16.728148148148147</v>
      </c>
      <c r="AE91">
        <f t="shared" si="17"/>
        <v>24.123829725925926</v>
      </c>
      <c r="AF91" s="9"/>
      <c r="AG91" s="22">
        <v>0.30792199999999997</v>
      </c>
      <c r="AH91" s="22">
        <v>19.395199999999999</v>
      </c>
      <c r="AI91" s="22">
        <v>-1.47064E-2</v>
      </c>
      <c r="AJ91" s="22">
        <v>81</v>
      </c>
      <c r="AK91" s="22">
        <v>0.30746499999999999</v>
      </c>
      <c r="AL91">
        <f t="shared" si="18"/>
        <v>18.156049382716049</v>
      </c>
      <c r="AM91">
        <f t="shared" si="19"/>
        <v>5.5906470380246907</v>
      </c>
      <c r="AP91" s="9"/>
      <c r="AQ91" s="22">
        <v>1.44211</v>
      </c>
      <c r="AR91" s="22">
        <v>24.958500000000001</v>
      </c>
      <c r="AS91" s="22">
        <v>-1.3561999999999999E-2</v>
      </c>
      <c r="AT91" s="22">
        <v>81</v>
      </c>
      <c r="AU91" s="22">
        <v>1.4413499999999999</v>
      </c>
      <c r="AV91">
        <f t="shared" si="20"/>
        <v>16.743209876543208</v>
      </c>
      <c r="AW91">
        <f t="shared" si="21"/>
        <v>24.145550395061726</v>
      </c>
      <c r="AX91" s="9"/>
      <c r="AY91" s="22">
        <v>0.30792199999999997</v>
      </c>
      <c r="AZ91" s="22">
        <v>28.878399999999999</v>
      </c>
      <c r="BA91" s="22">
        <v>-1.47186E-2</v>
      </c>
      <c r="BB91" s="22">
        <v>81</v>
      </c>
      <c r="BC91" s="22">
        <v>0.30721999999999999</v>
      </c>
      <c r="BD91">
        <f t="shared" si="22"/>
        <v>18.171111111111109</v>
      </c>
      <c r="BE91">
        <f t="shared" si="23"/>
        <v>5.5952848755555546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6.0201500000000001</v>
      </c>
      <c r="I92" s="22">
        <v>-1.35345E-2</v>
      </c>
      <c r="J92" s="22">
        <v>82</v>
      </c>
      <c r="K92" s="22">
        <v>1.4367700000000001</v>
      </c>
      <c r="L92">
        <f t="shared" si="12"/>
        <v>16.709259259259255</v>
      </c>
      <c r="M92">
        <f t="shared" si="13"/>
        <v>24.012375203703698</v>
      </c>
      <c r="N92" s="9"/>
      <c r="O92" s="22">
        <v>0.31295800000000001</v>
      </c>
      <c r="P92" s="22">
        <v>9.9400499999999994</v>
      </c>
      <c r="Q92" s="22">
        <v>-1.46667E-2</v>
      </c>
      <c r="R92" s="22">
        <v>82</v>
      </c>
      <c r="S92" s="22">
        <v>0.31234699999999999</v>
      </c>
      <c r="T92">
        <f t="shared" si="14"/>
        <v>18.107037037037035</v>
      </c>
      <c r="U92">
        <f t="shared" si="15"/>
        <v>5.6667420970370364</v>
      </c>
      <c r="X92" s="9"/>
      <c r="Y92" s="22">
        <v>1.4370700000000001</v>
      </c>
      <c r="Z92" s="22">
        <v>15.4854</v>
      </c>
      <c r="AA92" s="22">
        <v>-1.3559E-2</v>
      </c>
      <c r="AB92" s="22">
        <v>82</v>
      </c>
      <c r="AC92" s="22">
        <v>1.4364600000000001</v>
      </c>
      <c r="AD92">
        <f t="shared" si="16"/>
        <v>16.739506172839505</v>
      </c>
      <c r="AE92">
        <f t="shared" si="17"/>
        <v>24.055842135802468</v>
      </c>
      <c r="AF92" s="9"/>
      <c r="AG92" s="22">
        <v>0.31295800000000001</v>
      </c>
      <c r="AH92" s="22">
        <v>19.4053</v>
      </c>
      <c r="AI92" s="22">
        <v>-1.4700299999999999E-2</v>
      </c>
      <c r="AJ92" s="22">
        <v>82</v>
      </c>
      <c r="AK92" s="22">
        <v>0.31240800000000002</v>
      </c>
      <c r="AL92">
        <f t="shared" si="18"/>
        <v>18.148518518518514</v>
      </c>
      <c r="AM92">
        <f t="shared" si="19"/>
        <v>5.6797240585185174</v>
      </c>
      <c r="AP92" s="9"/>
      <c r="AQ92" s="22">
        <v>1.4370700000000001</v>
      </c>
      <c r="AR92" s="22">
        <v>24.968599999999999</v>
      </c>
      <c r="AS92" s="22">
        <v>-1.35803E-2</v>
      </c>
      <c r="AT92" s="22">
        <v>82</v>
      </c>
      <c r="AU92" s="22">
        <v>1.4361600000000001</v>
      </c>
      <c r="AV92">
        <f t="shared" si="20"/>
        <v>16.765802469135803</v>
      </c>
      <c r="AW92">
        <f t="shared" si="21"/>
        <v>24.093631754320988</v>
      </c>
      <c r="AX92" s="9"/>
      <c r="AY92" s="22">
        <v>0.31295800000000001</v>
      </c>
      <c r="AZ92" s="22">
        <v>28.888500000000001</v>
      </c>
      <c r="BA92" s="22">
        <v>-1.47186E-2</v>
      </c>
      <c r="BB92" s="22">
        <v>82</v>
      </c>
      <c r="BC92" s="22">
        <v>0.31237799999999999</v>
      </c>
      <c r="BD92">
        <f t="shared" si="22"/>
        <v>18.171111111111109</v>
      </c>
      <c r="BE92">
        <f t="shared" si="23"/>
        <v>5.6867945911111111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6.0302199999999999</v>
      </c>
      <c r="I93" s="22">
        <v>-1.3549800000000001E-2</v>
      </c>
      <c r="J93" s="22">
        <v>83</v>
      </c>
      <c r="K93" s="22">
        <v>1.43066</v>
      </c>
      <c r="L93">
        <f t="shared" si="12"/>
        <v>16.728148148148147</v>
      </c>
      <c r="M93">
        <f t="shared" si="13"/>
        <v>23.95537727407407</v>
      </c>
      <c r="N93" s="9"/>
      <c r="O93" s="22">
        <v>0.31799300000000003</v>
      </c>
      <c r="P93" s="22">
        <v>9.9501200000000001</v>
      </c>
      <c r="Q93" s="22">
        <v>-1.4660599999999999E-2</v>
      </c>
      <c r="R93" s="22">
        <v>83</v>
      </c>
      <c r="S93" s="22">
        <v>0.31716899999999998</v>
      </c>
      <c r="T93">
        <f t="shared" si="14"/>
        <v>18.099506172839504</v>
      </c>
      <c r="U93">
        <f t="shared" si="15"/>
        <v>5.755516266419753</v>
      </c>
      <c r="X93" s="9"/>
      <c r="Y93" s="22">
        <v>1.43204</v>
      </c>
      <c r="Z93" s="22">
        <v>15.4954</v>
      </c>
      <c r="AA93" s="22">
        <v>-1.35712E-2</v>
      </c>
      <c r="AB93" s="22">
        <v>83</v>
      </c>
      <c r="AC93" s="22">
        <v>1.43127</v>
      </c>
      <c r="AD93">
        <f t="shared" si="16"/>
        <v>16.754567901234566</v>
      </c>
      <c r="AE93">
        <f t="shared" si="17"/>
        <v>23.993211417283948</v>
      </c>
      <c r="AF93" s="9"/>
      <c r="AG93" s="22">
        <v>0.31799300000000003</v>
      </c>
      <c r="AH93" s="22">
        <v>19.415400000000002</v>
      </c>
      <c r="AI93" s="22">
        <v>-1.4694199999999999E-2</v>
      </c>
      <c r="AJ93" s="22">
        <v>83</v>
      </c>
      <c r="AK93" s="22">
        <v>0.31738300000000003</v>
      </c>
      <c r="AL93">
        <f t="shared" si="18"/>
        <v>18.140987654320988</v>
      </c>
      <c r="AM93">
        <f t="shared" si="19"/>
        <v>5.768707087160494</v>
      </c>
      <c r="AP93" s="9"/>
      <c r="AQ93" s="22">
        <v>1.43204</v>
      </c>
      <c r="AR93" s="22">
        <v>24.9787</v>
      </c>
      <c r="AS93" s="22">
        <v>-1.35925E-2</v>
      </c>
      <c r="AT93" s="22">
        <v>83</v>
      </c>
      <c r="AU93" s="22">
        <v>1.4309700000000001</v>
      </c>
      <c r="AV93">
        <f t="shared" si="20"/>
        <v>16.780864197530864</v>
      </c>
      <c r="AW93">
        <f t="shared" si="21"/>
        <v>24.030868765432096</v>
      </c>
      <c r="AX93" s="9"/>
      <c r="AY93" s="22">
        <v>0.31799300000000003</v>
      </c>
      <c r="AZ93" s="22">
        <v>28.898599999999998</v>
      </c>
      <c r="BA93" s="22">
        <v>-1.47125E-2</v>
      </c>
      <c r="BB93" s="22">
        <v>83</v>
      </c>
      <c r="BC93" s="22">
        <v>0.31729099999999999</v>
      </c>
      <c r="BD93">
        <f t="shared" si="22"/>
        <v>18.163580246913579</v>
      </c>
      <c r="BE93">
        <f t="shared" si="23"/>
        <v>5.7758913734567905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6.0402899999999997</v>
      </c>
      <c r="I94" s="22">
        <v>-1.3561999999999999E-2</v>
      </c>
      <c r="J94" s="22">
        <v>84</v>
      </c>
      <c r="K94" s="22">
        <v>1.4260900000000001</v>
      </c>
      <c r="L94">
        <f t="shared" si="12"/>
        <v>16.743209876543208</v>
      </c>
      <c r="M94">
        <f t="shared" si="13"/>
        <v>23.892560493827158</v>
      </c>
      <c r="N94" s="9"/>
      <c r="O94" s="22">
        <v>0.32302900000000001</v>
      </c>
      <c r="P94" s="22">
        <v>9.9601900000000008</v>
      </c>
      <c r="Q94" s="22">
        <v>-1.4654500000000001E-2</v>
      </c>
      <c r="R94" s="22">
        <v>84</v>
      </c>
      <c r="S94" s="22">
        <v>0.32247900000000002</v>
      </c>
      <c r="T94">
        <f t="shared" si="14"/>
        <v>18.091975308641977</v>
      </c>
      <c r="U94">
        <f t="shared" si="15"/>
        <v>5.8442326919753098</v>
      </c>
      <c r="X94" s="9"/>
      <c r="Y94" s="22">
        <v>1.427</v>
      </c>
      <c r="Z94" s="22">
        <v>15.5055</v>
      </c>
      <c r="AA94" s="22">
        <v>-1.35864E-2</v>
      </c>
      <c r="AB94" s="22">
        <v>84</v>
      </c>
      <c r="AC94" s="22">
        <v>1.4260900000000001</v>
      </c>
      <c r="AD94">
        <f t="shared" si="16"/>
        <v>16.77333333333333</v>
      </c>
      <c r="AE94">
        <f t="shared" si="17"/>
        <v>23.935546666666664</v>
      </c>
      <c r="AF94" s="9"/>
      <c r="AG94" s="22">
        <v>0.32302900000000001</v>
      </c>
      <c r="AH94" s="22">
        <v>19.4254</v>
      </c>
      <c r="AI94" s="22">
        <v>-1.46912E-2</v>
      </c>
      <c r="AJ94" s="22">
        <v>84</v>
      </c>
      <c r="AK94" s="22">
        <v>0.32238800000000001</v>
      </c>
      <c r="AL94">
        <f t="shared" si="18"/>
        <v>18.137283950617284</v>
      </c>
      <c r="AM94">
        <f t="shared" si="19"/>
        <v>5.8588686972839508</v>
      </c>
      <c r="AP94" s="9"/>
      <c r="AQ94" s="22">
        <v>1.427</v>
      </c>
      <c r="AR94" s="22">
        <v>24.988700000000001</v>
      </c>
      <c r="AS94" s="22">
        <v>-1.36078E-2</v>
      </c>
      <c r="AT94" s="22">
        <v>84</v>
      </c>
      <c r="AU94" s="22">
        <v>1.4260900000000001</v>
      </c>
      <c r="AV94">
        <f t="shared" si="20"/>
        <v>16.799753086419752</v>
      </c>
      <c r="AW94">
        <f t="shared" si="21"/>
        <v>23.973247654320986</v>
      </c>
      <c r="AX94" s="9"/>
      <c r="AY94" s="22">
        <v>0.32302900000000001</v>
      </c>
      <c r="AZ94" s="22">
        <v>28.9086</v>
      </c>
      <c r="BA94" s="22">
        <v>-1.47064E-2</v>
      </c>
      <c r="BB94" s="22">
        <v>84</v>
      </c>
      <c r="BC94" s="22">
        <v>0.32253999999999999</v>
      </c>
      <c r="BD94">
        <f t="shared" si="22"/>
        <v>18.156049382716049</v>
      </c>
      <c r="BE94">
        <f t="shared" si="23"/>
        <v>5.8649304760493823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6.0503600000000004</v>
      </c>
      <c r="I95" s="22">
        <v>-1.35712E-2</v>
      </c>
      <c r="J95" s="22">
        <v>85</v>
      </c>
      <c r="K95" s="22">
        <v>1.42059</v>
      </c>
      <c r="L95">
        <f t="shared" si="12"/>
        <v>16.754567901234566</v>
      </c>
      <c r="M95">
        <f t="shared" si="13"/>
        <v>23.824492918518516</v>
      </c>
      <c r="N95" s="9"/>
      <c r="O95" s="22">
        <v>0.32806400000000002</v>
      </c>
      <c r="P95" s="22">
        <v>9.9702599999999997</v>
      </c>
      <c r="Q95" s="22">
        <v>-1.4648400000000001E-2</v>
      </c>
      <c r="R95" s="22">
        <v>85</v>
      </c>
      <c r="S95" s="22">
        <v>0.32745400000000002</v>
      </c>
      <c r="T95">
        <f t="shared" si="14"/>
        <v>18.084444444444443</v>
      </c>
      <c r="U95">
        <f t="shared" si="15"/>
        <v>5.9328551822222222</v>
      </c>
      <c r="X95" s="9"/>
      <c r="Y95" s="22">
        <v>1.42197</v>
      </c>
      <c r="Z95" s="22">
        <v>15.515599999999999</v>
      </c>
      <c r="AA95" s="22">
        <v>-1.36017E-2</v>
      </c>
      <c r="AB95" s="22">
        <v>85</v>
      </c>
      <c r="AC95" s="22">
        <v>1.42181</v>
      </c>
      <c r="AD95">
        <f t="shared" si="16"/>
        <v>16.792222222222222</v>
      </c>
      <c r="AE95">
        <f t="shared" si="17"/>
        <v>23.878036233333333</v>
      </c>
      <c r="AF95" s="9"/>
      <c r="AG95" s="22">
        <v>0.32806400000000002</v>
      </c>
      <c r="AH95" s="22">
        <v>19.435500000000001</v>
      </c>
      <c r="AI95" s="22">
        <v>-1.46851E-2</v>
      </c>
      <c r="AJ95" s="22">
        <v>85</v>
      </c>
      <c r="AK95" s="22">
        <v>0.32733200000000001</v>
      </c>
      <c r="AL95">
        <f t="shared" si="18"/>
        <v>18.12975308641975</v>
      </c>
      <c r="AM95">
        <f t="shared" si="19"/>
        <v>5.9477193165432096</v>
      </c>
      <c r="AP95" s="9"/>
      <c r="AQ95" s="22">
        <v>1.42197</v>
      </c>
      <c r="AR95" s="22">
        <v>24.998799999999999</v>
      </c>
      <c r="AS95" s="22">
        <v>-1.36261E-2</v>
      </c>
      <c r="AT95" s="22">
        <v>85</v>
      </c>
      <c r="AU95" s="22">
        <v>1.4212</v>
      </c>
      <c r="AV95">
        <f t="shared" si="20"/>
        <v>16.822345679012344</v>
      </c>
      <c r="AW95">
        <f t="shared" si="21"/>
        <v>23.920870885185181</v>
      </c>
      <c r="AX95" s="9"/>
      <c r="AY95" s="22">
        <v>0.32806400000000002</v>
      </c>
      <c r="AZ95" s="22">
        <v>28.918700000000001</v>
      </c>
      <c r="BA95" s="22">
        <v>-1.4700299999999999E-2</v>
      </c>
      <c r="BB95" s="22">
        <v>85</v>
      </c>
      <c r="BC95" s="22">
        <v>0.327484</v>
      </c>
      <c r="BD95">
        <f t="shared" si="22"/>
        <v>18.148518518518514</v>
      </c>
      <c r="BE95">
        <f t="shared" si="23"/>
        <v>5.9538755792592584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6.0604300000000002</v>
      </c>
      <c r="I96" s="22">
        <v>-1.35803E-2</v>
      </c>
      <c r="J96" s="22">
        <v>86</v>
      </c>
      <c r="K96" s="22">
        <v>1.4160200000000001</v>
      </c>
      <c r="L96">
        <f t="shared" si="12"/>
        <v>16.765802469135803</v>
      </c>
      <c r="M96">
        <f t="shared" si="13"/>
        <v>23.755968492592594</v>
      </c>
      <c r="N96" s="9"/>
      <c r="O96" s="22">
        <v>0.33309899999999998</v>
      </c>
      <c r="P96" s="22">
        <v>9.9803300000000004</v>
      </c>
      <c r="Q96" s="22">
        <v>-1.4645399999999999E-2</v>
      </c>
      <c r="R96" s="22">
        <v>86</v>
      </c>
      <c r="S96" s="22">
        <v>0.33236700000000002</v>
      </c>
      <c r="T96">
        <f t="shared" si="14"/>
        <v>18.080740740740737</v>
      </c>
      <c r="U96">
        <f t="shared" si="15"/>
        <v>6.0226766599999983</v>
      </c>
      <c r="X96" s="9"/>
      <c r="Y96" s="22">
        <v>1.41693</v>
      </c>
      <c r="Z96" s="22">
        <v>15.525600000000001</v>
      </c>
      <c r="AA96" s="22">
        <v>-1.36139E-2</v>
      </c>
      <c r="AB96" s="22">
        <v>86</v>
      </c>
      <c r="AC96" s="22">
        <v>1.41571</v>
      </c>
      <c r="AD96">
        <f t="shared" si="16"/>
        <v>16.807283950617283</v>
      </c>
      <c r="AE96">
        <f t="shared" si="17"/>
        <v>23.814744848148148</v>
      </c>
      <c r="AF96" s="9"/>
      <c r="AG96" s="22">
        <v>0.33309899999999998</v>
      </c>
      <c r="AH96" s="22">
        <v>19.445599999999999</v>
      </c>
      <c r="AI96" s="22">
        <v>-1.4688100000000001E-2</v>
      </c>
      <c r="AJ96" s="22">
        <v>86</v>
      </c>
      <c r="AK96" s="22">
        <v>0.332428</v>
      </c>
      <c r="AL96">
        <f t="shared" si="18"/>
        <v>18.133456790123457</v>
      </c>
      <c r="AM96">
        <f t="shared" si="19"/>
        <v>6.0402363233333327</v>
      </c>
      <c r="AP96" s="9"/>
      <c r="AQ96" s="22">
        <v>1.41693</v>
      </c>
      <c r="AR96" s="22">
        <v>25.008900000000001</v>
      </c>
      <c r="AS96" s="22">
        <v>-1.3638300000000001E-2</v>
      </c>
      <c r="AT96" s="22">
        <v>86</v>
      </c>
      <c r="AU96" s="22">
        <v>1.4160200000000001</v>
      </c>
      <c r="AV96">
        <f t="shared" si="20"/>
        <v>16.837407407407408</v>
      </c>
      <c r="AW96">
        <f t="shared" si="21"/>
        <v>23.857427677777778</v>
      </c>
      <c r="AX96" s="9"/>
      <c r="AY96" s="22">
        <v>0.33309899999999998</v>
      </c>
      <c r="AZ96" s="22">
        <v>28.928799999999999</v>
      </c>
      <c r="BA96" s="22">
        <v>-1.46973E-2</v>
      </c>
      <c r="BB96" s="22">
        <v>86</v>
      </c>
      <c r="BC96" s="22">
        <v>0.332428</v>
      </c>
      <c r="BD96">
        <f t="shared" si="22"/>
        <v>18.144814814814815</v>
      </c>
      <c r="BE96">
        <f t="shared" si="23"/>
        <v>6.04401967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6.0705</v>
      </c>
      <c r="I97" s="22">
        <v>-1.3589499999999999E-2</v>
      </c>
      <c r="J97" s="22">
        <v>87</v>
      </c>
      <c r="K97" s="22">
        <v>1.41113</v>
      </c>
      <c r="L97">
        <f t="shared" si="12"/>
        <v>16.777160493827161</v>
      </c>
      <c r="M97">
        <f t="shared" si="13"/>
        <v>23.687672901234567</v>
      </c>
      <c r="N97" s="9"/>
      <c r="O97" s="22">
        <v>0.33813500000000002</v>
      </c>
      <c r="P97" s="22">
        <v>9.9903999999999993</v>
      </c>
      <c r="Q97" s="22">
        <v>-1.46423E-2</v>
      </c>
      <c r="R97" s="22">
        <v>87</v>
      </c>
      <c r="S97" s="22">
        <v>0.33761600000000003</v>
      </c>
      <c r="T97">
        <f t="shared" si="14"/>
        <v>18.076913580246913</v>
      </c>
      <c r="U97">
        <f t="shared" si="15"/>
        <v>6.1124371734567902</v>
      </c>
      <c r="X97" s="9"/>
      <c r="Y97" s="22">
        <v>1.4118999999999999</v>
      </c>
      <c r="Z97" s="22">
        <v>15.5357</v>
      </c>
      <c r="AA97" s="22">
        <v>-1.36261E-2</v>
      </c>
      <c r="AB97" s="22">
        <v>87</v>
      </c>
      <c r="AC97" s="22">
        <v>1.41113</v>
      </c>
      <c r="AD97">
        <f t="shared" si="16"/>
        <v>16.822345679012344</v>
      </c>
      <c r="AE97">
        <f t="shared" si="17"/>
        <v>23.751469864197528</v>
      </c>
      <c r="AF97" s="9"/>
      <c r="AG97" s="22">
        <v>0.33813500000000002</v>
      </c>
      <c r="AH97" s="22">
        <v>19.4557</v>
      </c>
      <c r="AI97" s="22">
        <v>-1.46851E-2</v>
      </c>
      <c r="AJ97" s="22">
        <v>87</v>
      </c>
      <c r="AK97" s="22">
        <v>0.33740199999999998</v>
      </c>
      <c r="AL97">
        <f t="shared" si="18"/>
        <v>18.12975308641975</v>
      </c>
      <c r="AM97">
        <f t="shared" si="19"/>
        <v>6.1303040598765426</v>
      </c>
      <c r="AP97" s="9"/>
      <c r="AQ97" s="22">
        <v>1.4118999999999999</v>
      </c>
      <c r="AR97" s="22">
        <v>25.018999999999998</v>
      </c>
      <c r="AS97" s="22">
        <v>-1.36475E-2</v>
      </c>
      <c r="AT97" s="22">
        <v>87</v>
      </c>
      <c r="AU97" s="22">
        <v>1.41113</v>
      </c>
      <c r="AV97">
        <f t="shared" si="20"/>
        <v>16.848765432098766</v>
      </c>
      <c r="AW97">
        <f t="shared" si="21"/>
        <v>23.788771913580245</v>
      </c>
      <c r="AX97" s="9"/>
      <c r="AY97" s="22">
        <v>0.33813500000000002</v>
      </c>
      <c r="AZ97" s="22">
        <v>28.938800000000001</v>
      </c>
      <c r="BA97" s="22">
        <v>-1.46912E-2</v>
      </c>
      <c r="BB97" s="22">
        <v>87</v>
      </c>
      <c r="BC97" s="22">
        <v>0.33761600000000003</v>
      </c>
      <c r="BD97">
        <f t="shared" si="22"/>
        <v>18.137283950617284</v>
      </c>
      <c r="BE97">
        <f t="shared" si="23"/>
        <v>6.132850508641976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6.0805699999999998</v>
      </c>
      <c r="I98" s="22">
        <v>-1.3598600000000001E-2</v>
      </c>
      <c r="J98" s="22">
        <v>88</v>
      </c>
      <c r="K98" s="22">
        <v>1.40564</v>
      </c>
      <c r="L98">
        <f t="shared" si="12"/>
        <v>16.788395061728394</v>
      </c>
      <c r="M98">
        <f t="shared" si="13"/>
        <v>23.618921476543211</v>
      </c>
      <c r="N98" s="9"/>
      <c r="O98" s="22">
        <v>0.34316999999999998</v>
      </c>
      <c r="P98" s="22">
        <v>10.000500000000001</v>
      </c>
      <c r="Q98" s="22">
        <v>-1.46423E-2</v>
      </c>
      <c r="R98" s="22">
        <v>88</v>
      </c>
      <c r="S98" s="22">
        <v>0.34252899999999997</v>
      </c>
      <c r="T98">
        <f t="shared" si="14"/>
        <v>18.076913580246913</v>
      </c>
      <c r="U98">
        <f t="shared" si="15"/>
        <v>6.2034544333333326</v>
      </c>
      <c r="X98" s="9"/>
      <c r="Y98" s="22">
        <v>1.40686</v>
      </c>
      <c r="Z98" s="22">
        <v>15.5458</v>
      </c>
      <c r="AA98" s="22">
        <v>-1.3638300000000001E-2</v>
      </c>
      <c r="AB98" s="22">
        <v>88</v>
      </c>
      <c r="AC98" s="22">
        <v>1.40594</v>
      </c>
      <c r="AD98">
        <f t="shared" si="16"/>
        <v>16.837407407407408</v>
      </c>
      <c r="AE98">
        <f t="shared" si="17"/>
        <v>23.687874985185186</v>
      </c>
      <c r="AF98" s="9"/>
      <c r="AG98" s="22">
        <v>0.34316999999999998</v>
      </c>
      <c r="AH98" s="22">
        <v>19.465699999999998</v>
      </c>
      <c r="AI98" s="22">
        <v>-1.4678999999999999E-2</v>
      </c>
      <c r="AJ98" s="22">
        <v>88</v>
      </c>
      <c r="AK98" s="22">
        <v>0.34246799999999999</v>
      </c>
      <c r="AL98">
        <f t="shared" si="18"/>
        <v>18.12222222222222</v>
      </c>
      <c r="AM98">
        <f t="shared" si="19"/>
        <v>6.2190029999999989</v>
      </c>
      <c r="AP98" s="9"/>
      <c r="AQ98" s="22">
        <v>1.40686</v>
      </c>
      <c r="AR98" s="22">
        <v>25.029</v>
      </c>
      <c r="AS98" s="22">
        <v>-1.36597E-2</v>
      </c>
      <c r="AT98" s="22">
        <v>88</v>
      </c>
      <c r="AU98" s="22">
        <v>1.40625</v>
      </c>
      <c r="AV98">
        <f t="shared" si="20"/>
        <v>16.863827160493827</v>
      </c>
      <c r="AW98">
        <f t="shared" si="21"/>
        <v>23.725043879012347</v>
      </c>
      <c r="AX98" s="9"/>
      <c r="AY98" s="22">
        <v>0.34316999999999998</v>
      </c>
      <c r="AZ98" s="22">
        <v>28.948899999999998</v>
      </c>
      <c r="BA98" s="22">
        <v>-1.4688100000000001E-2</v>
      </c>
      <c r="BB98" s="22">
        <v>88</v>
      </c>
      <c r="BC98" s="22">
        <v>0.34265099999999998</v>
      </c>
      <c r="BD98">
        <f t="shared" si="22"/>
        <v>18.133456790123457</v>
      </c>
      <c r="BE98">
        <f t="shared" si="23"/>
        <v>6.2228583666666664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6.0906399999999996</v>
      </c>
      <c r="I99" s="22">
        <v>-1.36078E-2</v>
      </c>
      <c r="J99" s="22">
        <v>89</v>
      </c>
      <c r="K99" s="22">
        <v>1.40076</v>
      </c>
      <c r="L99">
        <f t="shared" si="12"/>
        <v>16.799753086419752</v>
      </c>
      <c r="M99">
        <f t="shared" si="13"/>
        <v>23.550229871604937</v>
      </c>
      <c r="N99" s="9"/>
      <c r="O99" s="22">
        <v>0.34820600000000002</v>
      </c>
      <c r="P99" s="22">
        <v>10.0105</v>
      </c>
      <c r="Q99" s="22">
        <v>-1.46362E-2</v>
      </c>
      <c r="R99" s="22">
        <v>89</v>
      </c>
      <c r="S99" s="22">
        <v>0.34756500000000001</v>
      </c>
      <c r="T99">
        <f t="shared" si="14"/>
        <v>18.069382716049383</v>
      </c>
      <c r="U99">
        <f t="shared" si="15"/>
        <v>6.2918674780246917</v>
      </c>
      <c r="X99" s="9"/>
      <c r="Y99" s="22">
        <v>1.4018200000000001</v>
      </c>
      <c r="Z99" s="22">
        <v>15.555899999999999</v>
      </c>
      <c r="AA99" s="22">
        <v>-1.36475E-2</v>
      </c>
      <c r="AB99" s="22">
        <v>89</v>
      </c>
      <c r="AC99" s="22">
        <v>1.40167</v>
      </c>
      <c r="AD99">
        <f t="shared" si="16"/>
        <v>16.848765432098766</v>
      </c>
      <c r="AE99">
        <f t="shared" si="17"/>
        <v>23.618936358024694</v>
      </c>
      <c r="AF99" s="9"/>
      <c r="AG99" s="22">
        <v>0.34820600000000002</v>
      </c>
      <c r="AH99" s="22">
        <v>19.4758</v>
      </c>
      <c r="AI99" s="22">
        <v>-1.4672899999999999E-2</v>
      </c>
      <c r="AJ99" s="22">
        <v>89</v>
      </c>
      <c r="AK99" s="22">
        <v>0.34747299999999998</v>
      </c>
      <c r="AL99">
        <f t="shared" si="18"/>
        <v>18.11469135802469</v>
      </c>
      <c r="AM99">
        <f t="shared" si="19"/>
        <v>6.307644219012345</v>
      </c>
      <c r="AP99" s="9"/>
      <c r="AQ99" s="22">
        <v>1.4018200000000001</v>
      </c>
      <c r="AR99" s="22">
        <v>25.039100000000001</v>
      </c>
      <c r="AS99" s="22">
        <v>-1.36688E-2</v>
      </c>
      <c r="AT99" s="22">
        <v>89</v>
      </c>
      <c r="AU99" s="22">
        <v>1.40045</v>
      </c>
      <c r="AV99">
        <f t="shared" si="20"/>
        <v>16.87506172839506</v>
      </c>
      <c r="AW99">
        <f t="shared" si="21"/>
        <v>23.655799032098766</v>
      </c>
      <c r="AX99" s="9"/>
      <c r="AY99" s="22">
        <v>0.34820600000000002</v>
      </c>
      <c r="AZ99" s="22">
        <v>28.959</v>
      </c>
      <c r="BA99" s="22">
        <v>-1.4678999999999999E-2</v>
      </c>
      <c r="BB99" s="22">
        <v>89</v>
      </c>
      <c r="BC99" s="22">
        <v>0.34777799999999998</v>
      </c>
      <c r="BD99">
        <f t="shared" si="22"/>
        <v>18.12222222222222</v>
      </c>
      <c r="BE99">
        <f t="shared" si="23"/>
        <v>6.3102665111111103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6.1007100000000003</v>
      </c>
      <c r="I100" s="22">
        <v>-1.3616899999999999E-2</v>
      </c>
      <c r="J100" s="22">
        <v>90</v>
      </c>
      <c r="K100" s="22">
        <v>1.3952599999999999</v>
      </c>
      <c r="L100">
        <f t="shared" si="12"/>
        <v>16.810987654320986</v>
      </c>
      <c r="M100">
        <f t="shared" si="13"/>
        <v>23.481419445679009</v>
      </c>
      <c r="N100" s="9"/>
      <c r="O100" s="22">
        <v>0.35324100000000003</v>
      </c>
      <c r="P100" s="22">
        <v>10.0206</v>
      </c>
      <c r="Q100" s="22">
        <v>-1.4633200000000001E-2</v>
      </c>
      <c r="R100" s="22">
        <v>90</v>
      </c>
      <c r="S100" s="22">
        <v>0.35263100000000003</v>
      </c>
      <c r="T100">
        <f t="shared" si="14"/>
        <v>18.065679012345679</v>
      </c>
      <c r="U100">
        <f t="shared" si="15"/>
        <v>6.3815385200000003</v>
      </c>
      <c r="X100" s="9"/>
      <c r="Y100" s="22">
        <v>1.39679</v>
      </c>
      <c r="Z100" s="22">
        <v>15.565899999999999</v>
      </c>
      <c r="AA100" s="22">
        <v>-1.36536E-2</v>
      </c>
      <c r="AB100" s="22">
        <v>90</v>
      </c>
      <c r="AC100" s="22">
        <v>1.39618</v>
      </c>
      <c r="AD100">
        <f t="shared" si="16"/>
        <v>16.856296296296296</v>
      </c>
      <c r="AE100">
        <f t="shared" si="17"/>
        <v>23.544706103703703</v>
      </c>
      <c r="AF100" s="9"/>
      <c r="AG100" s="22">
        <v>0.35324100000000003</v>
      </c>
      <c r="AH100" s="22">
        <v>19.485900000000001</v>
      </c>
      <c r="AI100" s="22">
        <v>-1.4672899999999999E-2</v>
      </c>
      <c r="AJ100" s="22">
        <v>90</v>
      </c>
      <c r="AK100" s="22">
        <v>0.35263100000000003</v>
      </c>
      <c r="AL100">
        <f t="shared" si="18"/>
        <v>18.11469135802469</v>
      </c>
      <c r="AM100">
        <f t="shared" si="19"/>
        <v>6.3988516899999999</v>
      </c>
      <c r="AP100" s="9"/>
      <c r="AQ100" s="22">
        <v>1.39679</v>
      </c>
      <c r="AR100" s="22">
        <v>25.049199999999999</v>
      </c>
      <c r="AS100" s="22">
        <v>-1.36749E-2</v>
      </c>
      <c r="AT100" s="22">
        <v>90</v>
      </c>
      <c r="AU100" s="22">
        <v>1.3958699999999999</v>
      </c>
      <c r="AV100">
        <f t="shared" si="20"/>
        <v>16.882592592592591</v>
      </c>
      <c r="AW100">
        <f t="shared" si="21"/>
        <v>23.581436507407403</v>
      </c>
      <c r="AX100" s="9"/>
      <c r="AY100" s="22">
        <v>0.35324100000000003</v>
      </c>
      <c r="AZ100" s="22">
        <v>28.969100000000001</v>
      </c>
      <c r="BA100" s="22">
        <v>-1.46759E-2</v>
      </c>
      <c r="BB100" s="22">
        <v>90</v>
      </c>
      <c r="BC100" s="22">
        <v>0.352661</v>
      </c>
      <c r="BD100">
        <f t="shared" si="22"/>
        <v>18.118395061728396</v>
      </c>
      <c r="BE100">
        <f t="shared" si="23"/>
        <v>6.4001599900000006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6.1107899999999997</v>
      </c>
      <c r="I101" s="22">
        <v>-1.36261E-2</v>
      </c>
      <c r="J101" s="22">
        <v>91</v>
      </c>
      <c r="K101" s="22">
        <v>1.39069</v>
      </c>
      <c r="L101">
        <f t="shared" si="12"/>
        <v>16.822345679012344</v>
      </c>
      <c r="M101">
        <f t="shared" si="13"/>
        <v>23.412499598765429</v>
      </c>
      <c r="N101" s="9"/>
      <c r="O101" s="22">
        <v>0.35827599999999998</v>
      </c>
      <c r="P101" s="22">
        <v>10.0307</v>
      </c>
      <c r="Q101" s="22">
        <v>-1.4627100000000001E-2</v>
      </c>
      <c r="R101" s="22">
        <v>91</v>
      </c>
      <c r="S101" s="22">
        <v>0.35766599999999998</v>
      </c>
      <c r="T101">
        <f t="shared" si="14"/>
        <v>18.058148148148145</v>
      </c>
      <c r="U101">
        <f t="shared" si="15"/>
        <v>6.4698010859259245</v>
      </c>
      <c r="X101" s="9"/>
      <c r="Y101" s="22">
        <v>1.39175</v>
      </c>
      <c r="Z101" s="22">
        <v>15.576000000000001</v>
      </c>
      <c r="AA101" s="22">
        <v>-1.36597E-2</v>
      </c>
      <c r="AB101" s="22">
        <v>91</v>
      </c>
      <c r="AC101" s="22">
        <v>1.3909899999999999</v>
      </c>
      <c r="AD101">
        <f t="shared" si="16"/>
        <v>16.863827160493827</v>
      </c>
      <c r="AE101">
        <f t="shared" si="17"/>
        <v>23.470231450617284</v>
      </c>
      <c r="AF101" s="9"/>
      <c r="AG101" s="22">
        <v>0.35827599999999998</v>
      </c>
      <c r="AH101" s="22">
        <v>19.495899999999999</v>
      </c>
      <c r="AI101" s="22">
        <v>-1.46667E-2</v>
      </c>
      <c r="AJ101" s="22">
        <v>91</v>
      </c>
      <c r="AK101" s="22">
        <v>0.35754399999999997</v>
      </c>
      <c r="AL101">
        <f t="shared" si="18"/>
        <v>18.107037037037035</v>
      </c>
      <c r="AM101">
        <f t="shared" si="19"/>
        <v>6.4873168014814802</v>
      </c>
      <c r="AP101" s="9"/>
      <c r="AQ101" s="22">
        <v>1.39175</v>
      </c>
      <c r="AR101" s="22">
        <v>25.059200000000001</v>
      </c>
      <c r="AS101" s="22">
        <v>-1.3677999999999999E-2</v>
      </c>
      <c r="AT101" s="22">
        <v>91</v>
      </c>
      <c r="AU101" s="22">
        <v>1.3909899999999999</v>
      </c>
      <c r="AV101">
        <f t="shared" si="20"/>
        <v>16.886419753086418</v>
      </c>
      <c r="AW101">
        <f t="shared" si="21"/>
        <v>23.501674691358023</v>
      </c>
      <c r="AX101" s="9"/>
      <c r="AY101" s="22">
        <v>0.35827599999999998</v>
      </c>
      <c r="AZ101" s="22">
        <v>28.979099999999999</v>
      </c>
      <c r="BA101" s="22">
        <v>-1.46759E-2</v>
      </c>
      <c r="BB101" s="22">
        <v>91</v>
      </c>
      <c r="BC101" s="22">
        <v>0.35775800000000002</v>
      </c>
      <c r="BD101">
        <f t="shared" si="22"/>
        <v>18.118395061728396</v>
      </c>
      <c r="BE101">
        <f t="shared" si="23"/>
        <v>6.4913861091358029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6.1208600000000004</v>
      </c>
      <c r="I102" s="22">
        <v>-1.3638300000000001E-2</v>
      </c>
      <c r="J102" s="22">
        <v>92</v>
      </c>
      <c r="K102" s="22">
        <v>1.3857999999999999</v>
      </c>
      <c r="L102">
        <f t="shared" si="12"/>
        <v>16.837407407407408</v>
      </c>
      <c r="M102">
        <f t="shared" si="13"/>
        <v>23.348769600000001</v>
      </c>
      <c r="N102" s="9"/>
      <c r="O102" s="22">
        <v>0.36331200000000002</v>
      </c>
      <c r="P102" s="22">
        <v>10.040800000000001</v>
      </c>
      <c r="Q102" s="22">
        <v>-1.4627100000000001E-2</v>
      </c>
      <c r="R102" s="22">
        <v>92</v>
      </c>
      <c r="S102" s="22">
        <v>0.36267100000000002</v>
      </c>
      <c r="T102">
        <f t="shared" si="14"/>
        <v>18.058148148148145</v>
      </c>
      <c r="U102">
        <f t="shared" si="15"/>
        <v>6.560741919999999</v>
      </c>
      <c r="X102" s="9"/>
      <c r="Y102" s="22">
        <v>1.38672</v>
      </c>
      <c r="Z102" s="22">
        <v>15.5861</v>
      </c>
      <c r="AA102" s="22">
        <v>-1.36688E-2</v>
      </c>
      <c r="AB102" s="22">
        <v>92</v>
      </c>
      <c r="AC102" s="22">
        <v>1.3855</v>
      </c>
      <c r="AD102">
        <f t="shared" si="16"/>
        <v>16.87506172839506</v>
      </c>
      <c r="AE102">
        <f t="shared" si="17"/>
        <v>23.400985599999998</v>
      </c>
      <c r="AF102" s="9"/>
      <c r="AG102" s="22">
        <v>0.36331200000000002</v>
      </c>
      <c r="AH102" s="22">
        <v>19.506</v>
      </c>
      <c r="AI102" s="22">
        <v>-1.46637E-2</v>
      </c>
      <c r="AJ102" s="22">
        <v>92</v>
      </c>
      <c r="AK102" s="22">
        <v>0.36248799999999998</v>
      </c>
      <c r="AL102">
        <f t="shared" si="18"/>
        <v>18.103333333333332</v>
      </c>
      <c r="AM102">
        <f t="shared" si="19"/>
        <v>6.5771582400000002</v>
      </c>
      <c r="AP102" s="9"/>
      <c r="AQ102" s="22">
        <v>1.38672</v>
      </c>
      <c r="AR102" s="22">
        <v>25.069299999999998</v>
      </c>
      <c r="AS102" s="22">
        <v>-1.3687100000000001E-2</v>
      </c>
      <c r="AT102" s="22">
        <v>92</v>
      </c>
      <c r="AU102" s="22">
        <v>1.3855</v>
      </c>
      <c r="AV102">
        <f t="shared" si="20"/>
        <v>16.897654320987655</v>
      </c>
      <c r="AW102">
        <f t="shared" si="21"/>
        <v>23.432315200000001</v>
      </c>
      <c r="AX102" s="9"/>
      <c r="AY102" s="22">
        <v>0.36331200000000002</v>
      </c>
      <c r="AZ102" s="22">
        <v>28.9892</v>
      </c>
      <c r="BA102" s="22">
        <v>-1.46759E-2</v>
      </c>
      <c r="BB102" s="22">
        <v>92</v>
      </c>
      <c r="BC102" s="22">
        <v>0.362701</v>
      </c>
      <c r="BD102">
        <f t="shared" si="22"/>
        <v>18.118395061728396</v>
      </c>
      <c r="BE102">
        <f t="shared" si="23"/>
        <v>6.5826303466666678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6.1309300000000002</v>
      </c>
      <c r="I103" s="22">
        <v>-1.36475E-2</v>
      </c>
      <c r="J103" s="22">
        <v>93</v>
      </c>
      <c r="K103" s="22">
        <v>1.3803099999999999</v>
      </c>
      <c r="L103">
        <f t="shared" si="12"/>
        <v>16.848765432098766</v>
      </c>
      <c r="M103">
        <f t="shared" si="13"/>
        <v>23.279602222222223</v>
      </c>
      <c r="N103" s="9"/>
      <c r="O103" s="22">
        <v>0.36834699999999998</v>
      </c>
      <c r="P103" s="22">
        <v>10.050800000000001</v>
      </c>
      <c r="Q103" s="22">
        <v>-1.4624E-2</v>
      </c>
      <c r="R103" s="22">
        <v>93</v>
      </c>
      <c r="S103" s="22">
        <v>0.36773699999999998</v>
      </c>
      <c r="T103">
        <f t="shared" si="14"/>
        <v>18.054320987654318</v>
      </c>
      <c r="U103">
        <f t="shared" si="15"/>
        <v>6.6502549728395044</v>
      </c>
      <c r="X103" s="9"/>
      <c r="Y103" s="22">
        <v>1.38168</v>
      </c>
      <c r="Z103" s="22">
        <v>15.5961</v>
      </c>
      <c r="AA103" s="22">
        <v>-1.36749E-2</v>
      </c>
      <c r="AB103" s="22">
        <v>93</v>
      </c>
      <c r="AC103" s="22">
        <v>1.38062</v>
      </c>
      <c r="AD103">
        <f t="shared" si="16"/>
        <v>16.882592592592591</v>
      </c>
      <c r="AE103">
        <f t="shared" si="17"/>
        <v>23.32634053333333</v>
      </c>
      <c r="AF103" s="9"/>
      <c r="AG103" s="22">
        <v>0.36834699999999998</v>
      </c>
      <c r="AH103" s="22">
        <v>19.516100000000002</v>
      </c>
      <c r="AI103" s="22">
        <v>-1.4660599999999999E-2</v>
      </c>
      <c r="AJ103" s="22">
        <v>93</v>
      </c>
      <c r="AK103" s="22">
        <v>0.36755399999999999</v>
      </c>
      <c r="AL103">
        <f t="shared" si="18"/>
        <v>18.099506172839504</v>
      </c>
      <c r="AM103">
        <f t="shared" si="19"/>
        <v>6.6668988002469129</v>
      </c>
      <c r="AP103" s="9"/>
      <c r="AQ103" s="22">
        <v>1.38168</v>
      </c>
      <c r="AR103" s="22">
        <v>25.0794</v>
      </c>
      <c r="AS103" s="22">
        <v>-1.36963E-2</v>
      </c>
      <c r="AT103" s="22">
        <v>93</v>
      </c>
      <c r="AU103" s="22">
        <v>1.3809199999999999</v>
      </c>
      <c r="AV103">
        <f t="shared" si="20"/>
        <v>16.90901234567901</v>
      </c>
      <c r="AW103">
        <f t="shared" si="21"/>
        <v>23.362844177777774</v>
      </c>
      <c r="AX103" s="9"/>
      <c r="AY103" s="22">
        <v>0.36834699999999998</v>
      </c>
      <c r="AZ103" s="22">
        <v>28.999300000000002</v>
      </c>
      <c r="BA103" s="22">
        <v>-1.46698E-2</v>
      </c>
      <c r="BB103" s="22">
        <v>93</v>
      </c>
      <c r="BC103" s="22">
        <v>0.36770599999999998</v>
      </c>
      <c r="BD103">
        <f t="shared" si="22"/>
        <v>18.110864197530866</v>
      </c>
      <c r="BE103">
        <f t="shared" si="23"/>
        <v>6.6710824945679015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6.141</v>
      </c>
      <c r="I104" s="22">
        <v>-1.36597E-2</v>
      </c>
      <c r="J104" s="22">
        <v>94</v>
      </c>
      <c r="K104" s="22">
        <v>1.3757299999999999</v>
      </c>
      <c r="L104">
        <f t="shared" si="12"/>
        <v>16.863827160493827</v>
      </c>
      <c r="M104">
        <f t="shared" si="13"/>
        <v>23.215587660493824</v>
      </c>
      <c r="N104" s="9"/>
      <c r="O104" s="22">
        <v>0.37338300000000002</v>
      </c>
      <c r="P104" s="22">
        <v>10.0609</v>
      </c>
      <c r="Q104" s="22">
        <v>-1.46179E-2</v>
      </c>
      <c r="R104" s="22">
        <v>94</v>
      </c>
      <c r="S104" s="22">
        <v>0.37298599999999998</v>
      </c>
      <c r="T104">
        <f t="shared" si="14"/>
        <v>18.046790123456791</v>
      </c>
      <c r="U104">
        <f t="shared" si="15"/>
        <v>6.7383646366666676</v>
      </c>
      <c r="X104" s="9"/>
      <c r="Y104" s="22">
        <v>1.3766499999999999</v>
      </c>
      <c r="Z104" s="22">
        <v>15.606199999999999</v>
      </c>
      <c r="AA104" s="22">
        <v>-1.3684099999999999E-2</v>
      </c>
      <c r="AB104" s="22">
        <v>94</v>
      </c>
      <c r="AC104" s="22">
        <v>1.3763399999999999</v>
      </c>
      <c r="AD104">
        <f t="shared" si="16"/>
        <v>16.893950617283949</v>
      </c>
      <c r="AE104">
        <f t="shared" si="17"/>
        <v>23.257057117283946</v>
      </c>
      <c r="AF104" s="9"/>
      <c r="AG104" s="22">
        <v>0.37338300000000002</v>
      </c>
      <c r="AH104" s="22">
        <v>19.526199999999999</v>
      </c>
      <c r="AI104" s="22">
        <v>-1.46515E-2</v>
      </c>
      <c r="AJ104" s="22">
        <v>94</v>
      </c>
      <c r="AK104" s="22">
        <v>0.37268099999999998</v>
      </c>
      <c r="AL104">
        <f t="shared" si="18"/>
        <v>18.088271604938271</v>
      </c>
      <c r="AM104">
        <f t="shared" si="19"/>
        <v>6.7538531166666669</v>
      </c>
      <c r="AP104" s="9"/>
      <c r="AQ104" s="22">
        <v>1.3766499999999999</v>
      </c>
      <c r="AR104" s="22">
        <v>25.089400000000001</v>
      </c>
      <c r="AS104" s="22">
        <v>-1.3699299999999999E-2</v>
      </c>
      <c r="AT104" s="22">
        <v>94</v>
      </c>
      <c r="AU104" s="22">
        <v>1.3760399999999999</v>
      </c>
      <c r="AV104">
        <f t="shared" si="20"/>
        <v>16.912716049382716</v>
      </c>
      <c r="AW104">
        <f t="shared" si="21"/>
        <v>23.282890549382714</v>
      </c>
      <c r="AX104" s="9"/>
      <c r="AY104" s="22">
        <v>0.37338300000000002</v>
      </c>
      <c r="AZ104" s="22">
        <v>29.0093</v>
      </c>
      <c r="BA104" s="22">
        <v>-1.46698E-2</v>
      </c>
      <c r="BB104" s="22">
        <v>94</v>
      </c>
      <c r="BC104" s="22">
        <v>0.37283300000000003</v>
      </c>
      <c r="BD104">
        <f t="shared" si="22"/>
        <v>18.110864197530866</v>
      </c>
      <c r="BE104">
        <f t="shared" si="23"/>
        <v>6.7622888066666675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6.1510699999999998</v>
      </c>
      <c r="I105" s="22">
        <v>-1.3665800000000001E-2</v>
      </c>
      <c r="J105" s="22">
        <v>95</v>
      </c>
      <c r="K105" s="22">
        <v>1.3705400000000001</v>
      </c>
      <c r="L105">
        <f t="shared" si="12"/>
        <v>16.871358024691357</v>
      </c>
      <c r="M105">
        <f t="shared" si="13"/>
        <v>23.140923380246914</v>
      </c>
      <c r="N105" s="9"/>
      <c r="O105" s="22">
        <v>0.37841799999999998</v>
      </c>
      <c r="P105" s="22">
        <v>10.071</v>
      </c>
      <c r="Q105" s="22">
        <v>-1.46149E-2</v>
      </c>
      <c r="R105" s="22">
        <v>95</v>
      </c>
      <c r="S105" s="22">
        <v>0.37796000000000002</v>
      </c>
      <c r="T105">
        <f t="shared" si="14"/>
        <v>18.043086419753088</v>
      </c>
      <c r="U105">
        <f t="shared" si="15"/>
        <v>6.8278286767901237</v>
      </c>
      <c r="X105" s="9"/>
      <c r="Y105" s="22">
        <v>1.37161</v>
      </c>
      <c r="Z105" s="22">
        <v>15.616300000000001</v>
      </c>
      <c r="AA105" s="22">
        <v>-1.3687100000000001E-2</v>
      </c>
      <c r="AB105" s="22">
        <v>95</v>
      </c>
      <c r="AC105" s="22">
        <v>1.3705400000000001</v>
      </c>
      <c r="AD105">
        <f t="shared" si="16"/>
        <v>16.897654320987655</v>
      </c>
      <c r="AE105">
        <f t="shared" si="17"/>
        <v>23.176991643209877</v>
      </c>
      <c r="AF105" s="9"/>
      <c r="AG105" s="22">
        <v>0.37841799999999998</v>
      </c>
      <c r="AH105" s="22">
        <v>19.536200000000001</v>
      </c>
      <c r="AI105" s="22">
        <v>-1.4645399999999999E-2</v>
      </c>
      <c r="AJ105" s="22">
        <v>95</v>
      </c>
      <c r="AK105" s="22">
        <v>0.37780799999999998</v>
      </c>
      <c r="AL105">
        <f t="shared" si="18"/>
        <v>18.080740740740737</v>
      </c>
      <c r="AM105">
        <f t="shared" si="19"/>
        <v>6.8420777496296274</v>
      </c>
      <c r="AP105" s="9"/>
      <c r="AQ105" s="22">
        <v>1.37161</v>
      </c>
      <c r="AR105" s="22">
        <v>25.099499999999999</v>
      </c>
      <c r="AS105" s="22">
        <v>-1.37054E-2</v>
      </c>
      <c r="AT105" s="22">
        <v>95</v>
      </c>
      <c r="AU105" s="22">
        <v>1.3708499999999999</v>
      </c>
      <c r="AV105">
        <f t="shared" si="20"/>
        <v>16.920246913580247</v>
      </c>
      <c r="AW105">
        <f t="shared" si="21"/>
        <v>23.207979869135801</v>
      </c>
      <c r="AX105" s="9"/>
      <c r="AY105" s="22">
        <v>0.37841799999999998</v>
      </c>
      <c r="AZ105" s="22">
        <v>29.019400000000001</v>
      </c>
      <c r="BA105" s="22">
        <v>-1.46667E-2</v>
      </c>
      <c r="BB105" s="22">
        <v>95</v>
      </c>
      <c r="BC105" s="22">
        <v>0.378052</v>
      </c>
      <c r="BD105">
        <f t="shared" si="22"/>
        <v>18.107037037037035</v>
      </c>
      <c r="BE105">
        <f t="shared" si="23"/>
        <v>6.8520287414814804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6.1611399999999996</v>
      </c>
      <c r="I106" s="22">
        <v>-1.36749E-2</v>
      </c>
      <c r="J106" s="22">
        <v>96</v>
      </c>
      <c r="K106" s="22">
        <v>1.3650500000000001</v>
      </c>
      <c r="L106">
        <f t="shared" si="12"/>
        <v>16.882592592592591</v>
      </c>
      <c r="M106">
        <f t="shared" si="13"/>
        <v>23.071413385185181</v>
      </c>
      <c r="N106" s="9"/>
      <c r="O106" s="22">
        <v>0.38345299999999999</v>
      </c>
      <c r="P106" s="22">
        <v>10.081</v>
      </c>
      <c r="Q106" s="22">
        <v>-1.4611799999999999E-2</v>
      </c>
      <c r="R106" s="22">
        <v>96</v>
      </c>
      <c r="S106" s="22">
        <v>0.38281300000000001</v>
      </c>
      <c r="T106">
        <f t="shared" si="14"/>
        <v>18.039259259259257</v>
      </c>
      <c r="U106">
        <f t="shared" si="15"/>
        <v>6.9172080807407399</v>
      </c>
      <c r="X106" s="9"/>
      <c r="Y106" s="22">
        <v>1.3665799999999999</v>
      </c>
      <c r="Z106" s="22">
        <v>15.6264</v>
      </c>
      <c r="AA106" s="22">
        <v>-1.36902E-2</v>
      </c>
      <c r="AB106" s="22">
        <v>96</v>
      </c>
      <c r="AC106" s="22">
        <v>1.3662700000000001</v>
      </c>
      <c r="AD106">
        <f t="shared" si="16"/>
        <v>16.901481481481479</v>
      </c>
      <c r="AE106">
        <f t="shared" si="17"/>
        <v>23.097226562962959</v>
      </c>
      <c r="AF106" s="9"/>
      <c r="AG106" s="22">
        <v>0.38345299999999999</v>
      </c>
      <c r="AH106" s="22">
        <v>19.546299999999999</v>
      </c>
      <c r="AI106" s="22">
        <v>-1.4639299999999999E-2</v>
      </c>
      <c r="AJ106" s="22">
        <v>96</v>
      </c>
      <c r="AK106" s="22">
        <v>0.38290400000000002</v>
      </c>
      <c r="AL106">
        <f t="shared" si="18"/>
        <v>18.07320987654321</v>
      </c>
      <c r="AM106">
        <f t="shared" si="19"/>
        <v>6.9302265467901236</v>
      </c>
      <c r="AP106" s="9"/>
      <c r="AQ106" s="22">
        <v>1.3665799999999999</v>
      </c>
      <c r="AR106" s="22">
        <v>25.1096</v>
      </c>
      <c r="AS106" s="22">
        <v>-1.37115E-2</v>
      </c>
      <c r="AT106" s="22">
        <v>96</v>
      </c>
      <c r="AU106" s="22">
        <v>1.3650500000000001</v>
      </c>
      <c r="AV106">
        <f t="shared" si="20"/>
        <v>16.927777777777777</v>
      </c>
      <c r="AW106">
        <f t="shared" si="21"/>
        <v>23.133162555555554</v>
      </c>
      <c r="AX106" s="9"/>
      <c r="AY106" s="22">
        <v>0.38345299999999999</v>
      </c>
      <c r="AZ106" s="22">
        <v>29.029499999999999</v>
      </c>
      <c r="BA106" s="22">
        <v>-1.46637E-2</v>
      </c>
      <c r="BB106" s="22">
        <v>96</v>
      </c>
      <c r="BC106" s="22">
        <v>0.38287399999999999</v>
      </c>
      <c r="BD106">
        <f t="shared" si="22"/>
        <v>18.103333333333332</v>
      </c>
      <c r="BE106">
        <f t="shared" si="23"/>
        <v>6.9417774766666662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6.1712100000000003</v>
      </c>
      <c r="I107" s="22">
        <v>-1.3681E-2</v>
      </c>
      <c r="J107" s="22">
        <v>97</v>
      </c>
      <c r="K107" s="22">
        <v>1.3607800000000001</v>
      </c>
      <c r="L107">
        <f t="shared" si="12"/>
        <v>16.890123456790121</v>
      </c>
      <c r="M107">
        <f t="shared" si="13"/>
        <v>22.996578691358021</v>
      </c>
      <c r="N107" s="9"/>
      <c r="O107" s="22">
        <v>0.38848899999999997</v>
      </c>
      <c r="P107" s="22">
        <v>10.091100000000001</v>
      </c>
      <c r="Q107" s="22">
        <v>-1.46027E-2</v>
      </c>
      <c r="R107" s="22">
        <v>97</v>
      </c>
      <c r="S107" s="22">
        <v>0.387909</v>
      </c>
      <c r="T107">
        <f t="shared" si="14"/>
        <v>18.028024691358024</v>
      </c>
      <c r="U107">
        <f t="shared" si="15"/>
        <v>7.0036892843209868</v>
      </c>
      <c r="X107" s="9"/>
      <c r="Y107" s="22">
        <v>1.36154</v>
      </c>
      <c r="Z107" s="22">
        <v>15.6364</v>
      </c>
      <c r="AA107" s="22">
        <v>-1.36963E-2</v>
      </c>
      <c r="AB107" s="22">
        <v>97</v>
      </c>
      <c r="AC107" s="22">
        <v>1.3607800000000001</v>
      </c>
      <c r="AD107">
        <f t="shared" si="16"/>
        <v>16.90901234567901</v>
      </c>
      <c r="AE107">
        <f t="shared" si="17"/>
        <v>23.022296669135798</v>
      </c>
      <c r="AF107" s="9"/>
      <c r="AG107" s="22">
        <v>0.38848899999999997</v>
      </c>
      <c r="AH107" s="22">
        <v>19.5564</v>
      </c>
      <c r="AI107" s="22">
        <v>-1.4633200000000001E-2</v>
      </c>
      <c r="AJ107" s="22">
        <v>97</v>
      </c>
      <c r="AK107" s="22">
        <v>0.38800000000000001</v>
      </c>
      <c r="AL107">
        <f t="shared" si="18"/>
        <v>18.065679012345679</v>
      </c>
      <c r="AM107">
        <f t="shared" si="19"/>
        <v>7.0183175738271606</v>
      </c>
      <c r="AP107" s="9"/>
      <c r="AQ107" s="22">
        <v>1.36154</v>
      </c>
      <c r="AR107" s="22">
        <v>25.119700000000002</v>
      </c>
      <c r="AS107" s="22">
        <v>-1.3720700000000001E-2</v>
      </c>
      <c r="AT107" s="22">
        <v>97</v>
      </c>
      <c r="AU107" s="22">
        <v>1.3604700000000001</v>
      </c>
      <c r="AV107">
        <f t="shared" si="20"/>
        <v>16.939135802469135</v>
      </c>
      <c r="AW107">
        <f t="shared" si="21"/>
        <v>23.063310960493826</v>
      </c>
      <c r="AX107" s="9"/>
      <c r="AY107" s="22">
        <v>0.38848899999999997</v>
      </c>
      <c r="AZ107" s="22">
        <v>29.0396</v>
      </c>
      <c r="BA107" s="22">
        <v>-1.46637E-2</v>
      </c>
      <c r="BB107" s="22">
        <v>97</v>
      </c>
      <c r="BC107" s="22">
        <v>0.38772600000000002</v>
      </c>
      <c r="BD107">
        <f t="shared" si="22"/>
        <v>18.103333333333332</v>
      </c>
      <c r="BE107">
        <f t="shared" si="23"/>
        <v>7.0329458633333326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6.1812800000000001</v>
      </c>
      <c r="I108" s="22">
        <v>-1.3684099999999999E-2</v>
      </c>
      <c r="J108" s="22">
        <v>98</v>
      </c>
      <c r="K108" s="22">
        <v>1.3555900000000001</v>
      </c>
      <c r="L108">
        <f t="shared" si="12"/>
        <v>16.893950617283949</v>
      </c>
      <c r="M108">
        <f t="shared" si="13"/>
        <v>22.916812951851853</v>
      </c>
      <c r="N108" s="9"/>
      <c r="O108" s="22">
        <v>0.39352399999999998</v>
      </c>
      <c r="P108" s="22">
        <v>10.1012</v>
      </c>
      <c r="Q108" s="22">
        <v>-1.45966E-2</v>
      </c>
      <c r="R108" s="22">
        <v>98</v>
      </c>
      <c r="S108" s="22">
        <v>0.392731</v>
      </c>
      <c r="T108">
        <f t="shared" si="14"/>
        <v>18.020493827160493</v>
      </c>
      <c r="U108">
        <f t="shared" si="15"/>
        <v>7.0914968128395053</v>
      </c>
      <c r="X108" s="9"/>
      <c r="Y108" s="22">
        <v>1.3565100000000001</v>
      </c>
      <c r="Z108" s="22">
        <v>15.6465</v>
      </c>
      <c r="AA108" s="22">
        <v>-1.3699299999999999E-2</v>
      </c>
      <c r="AB108" s="22">
        <v>98</v>
      </c>
      <c r="AC108" s="22">
        <v>1.3549800000000001</v>
      </c>
      <c r="AD108">
        <f t="shared" si="16"/>
        <v>16.912716049382716</v>
      </c>
      <c r="AE108">
        <f t="shared" si="17"/>
        <v>22.942268448148152</v>
      </c>
      <c r="AF108" s="9"/>
      <c r="AG108" s="22">
        <v>0.39352399999999998</v>
      </c>
      <c r="AH108" s="22">
        <v>19.566400000000002</v>
      </c>
      <c r="AI108" s="22">
        <v>-1.46301E-2</v>
      </c>
      <c r="AJ108" s="22">
        <v>98</v>
      </c>
      <c r="AK108" s="22">
        <v>0.39297500000000002</v>
      </c>
      <c r="AL108">
        <f t="shared" si="18"/>
        <v>18.061851851851848</v>
      </c>
      <c r="AM108">
        <f t="shared" si="19"/>
        <v>7.1077721881481466</v>
      </c>
      <c r="AP108" s="9"/>
      <c r="AQ108" s="22">
        <v>1.3565100000000001</v>
      </c>
      <c r="AR108" s="22">
        <v>25.1297</v>
      </c>
      <c r="AS108" s="22">
        <v>-1.3726800000000001E-2</v>
      </c>
      <c r="AT108" s="22">
        <v>98</v>
      </c>
      <c r="AU108" s="22">
        <v>1.3559000000000001</v>
      </c>
      <c r="AV108">
        <f t="shared" si="20"/>
        <v>16.946666666666665</v>
      </c>
      <c r="AW108">
        <f t="shared" si="21"/>
        <v>22.988322799999999</v>
      </c>
      <c r="AX108" s="9"/>
      <c r="AY108" s="22">
        <v>0.39352399999999998</v>
      </c>
      <c r="AZ108" s="22">
        <v>29.049600000000002</v>
      </c>
      <c r="BA108" s="22">
        <v>-1.46515E-2</v>
      </c>
      <c r="BB108" s="22">
        <v>98</v>
      </c>
      <c r="BC108" s="22">
        <v>0.39294400000000002</v>
      </c>
      <c r="BD108">
        <f t="shared" si="22"/>
        <v>18.088271604938271</v>
      </c>
      <c r="BE108">
        <f t="shared" si="23"/>
        <v>7.118168995061728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6.1913499999999999</v>
      </c>
      <c r="I109" s="22">
        <v>-1.3687100000000001E-2</v>
      </c>
      <c r="J109" s="22">
        <v>99</v>
      </c>
      <c r="K109" s="22">
        <v>1.3501000000000001</v>
      </c>
      <c r="L109">
        <f t="shared" si="12"/>
        <v>16.897654320987655</v>
      </c>
      <c r="M109">
        <f t="shared" si="13"/>
        <v>22.836672885185184</v>
      </c>
      <c r="N109" s="9"/>
      <c r="O109" s="22">
        <v>0.39856000000000003</v>
      </c>
      <c r="P109" s="22">
        <v>10.1113</v>
      </c>
      <c r="Q109" s="22">
        <v>-1.45874E-2</v>
      </c>
      <c r="R109" s="22">
        <v>99</v>
      </c>
      <c r="S109" s="22">
        <v>0.39798</v>
      </c>
      <c r="T109">
        <f t="shared" si="14"/>
        <v>18.009135802469135</v>
      </c>
      <c r="U109">
        <f t="shared" si="15"/>
        <v>7.1777211654320991</v>
      </c>
      <c r="X109" s="9"/>
      <c r="Y109" s="22">
        <v>1.3514699999999999</v>
      </c>
      <c r="Z109" s="22">
        <v>15.656599999999999</v>
      </c>
      <c r="AA109" s="22">
        <v>-1.37024E-2</v>
      </c>
      <c r="AB109" s="22">
        <v>99</v>
      </c>
      <c r="AC109" s="22">
        <v>1.3507100000000001</v>
      </c>
      <c r="AD109">
        <f t="shared" si="16"/>
        <v>16.916543209876544</v>
      </c>
      <c r="AE109">
        <f t="shared" si="17"/>
        <v>22.86220065185185</v>
      </c>
      <c r="AF109" s="9"/>
      <c r="AG109" s="22">
        <v>0.39856000000000003</v>
      </c>
      <c r="AH109" s="22">
        <v>19.576499999999999</v>
      </c>
      <c r="AI109" s="22">
        <v>-1.4624E-2</v>
      </c>
      <c r="AJ109" s="22">
        <v>99</v>
      </c>
      <c r="AK109" s="22">
        <v>0.39791900000000002</v>
      </c>
      <c r="AL109">
        <f t="shared" si="18"/>
        <v>18.054320987654318</v>
      </c>
      <c r="AM109">
        <f t="shared" si="19"/>
        <v>7.1957301728395056</v>
      </c>
      <c r="AP109" s="9"/>
      <c r="AQ109" s="22">
        <v>1.3514699999999999</v>
      </c>
      <c r="AR109" s="22">
        <v>25.139800000000001</v>
      </c>
      <c r="AS109" s="22">
        <v>-1.3732899999999999E-2</v>
      </c>
      <c r="AT109" s="22">
        <v>99</v>
      </c>
      <c r="AU109" s="22">
        <v>1.3501000000000001</v>
      </c>
      <c r="AV109">
        <f t="shared" si="20"/>
        <v>16.954197530864196</v>
      </c>
      <c r="AW109">
        <f t="shared" si="21"/>
        <v>22.913089337037032</v>
      </c>
      <c r="AX109" s="9"/>
      <c r="AY109" s="22">
        <v>0.39856000000000003</v>
      </c>
      <c r="AZ109" s="22">
        <v>29.059699999999999</v>
      </c>
      <c r="BA109" s="22">
        <v>-1.46423E-2</v>
      </c>
      <c r="BB109" s="22">
        <v>99</v>
      </c>
      <c r="BC109" s="22">
        <v>0.39791900000000002</v>
      </c>
      <c r="BD109">
        <f t="shared" si="22"/>
        <v>18.076913580246913</v>
      </c>
      <c r="BE109">
        <f t="shared" si="23"/>
        <v>7.2047346765432101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6.2014199999999997</v>
      </c>
      <c r="I110" s="22">
        <v>-1.36902E-2</v>
      </c>
      <c r="J110" s="22">
        <v>100</v>
      </c>
      <c r="K110" s="22">
        <v>1.34552</v>
      </c>
      <c r="L110">
        <f t="shared" si="12"/>
        <v>16.901481481481479</v>
      </c>
      <c r="M110">
        <f t="shared" si="13"/>
        <v>22.756830725925923</v>
      </c>
      <c r="N110" s="9"/>
      <c r="O110" s="22">
        <v>0.40359499999999998</v>
      </c>
      <c r="P110" s="22">
        <v>10.1213</v>
      </c>
      <c r="Q110" s="22">
        <v>-1.4584400000000001E-2</v>
      </c>
      <c r="R110" s="22">
        <v>100</v>
      </c>
      <c r="S110" s="22">
        <v>0.40307599999999999</v>
      </c>
      <c r="T110">
        <f t="shared" si="14"/>
        <v>18.005432098765432</v>
      </c>
      <c r="U110">
        <f t="shared" si="15"/>
        <v>7.2669023679012339</v>
      </c>
      <c r="X110" s="9"/>
      <c r="Y110" s="22">
        <v>1.3464400000000001</v>
      </c>
      <c r="Z110" s="22">
        <v>15.666600000000001</v>
      </c>
      <c r="AA110" s="22">
        <v>-1.37085E-2</v>
      </c>
      <c r="AB110" s="22">
        <v>100</v>
      </c>
      <c r="AC110" s="22">
        <v>1.34552</v>
      </c>
      <c r="AD110">
        <f t="shared" si="16"/>
        <v>16.924074074074074</v>
      </c>
      <c r="AE110">
        <f t="shared" si="17"/>
        <v>22.787250296296296</v>
      </c>
      <c r="AF110" s="9"/>
      <c r="AG110" s="22">
        <v>0.40359499999999998</v>
      </c>
      <c r="AH110" s="22">
        <v>19.586600000000001</v>
      </c>
      <c r="AI110" s="22">
        <v>-1.4621E-2</v>
      </c>
      <c r="AJ110" s="22">
        <v>100</v>
      </c>
      <c r="AK110" s="22">
        <v>0.40301500000000001</v>
      </c>
      <c r="AL110">
        <f t="shared" si="18"/>
        <v>18.050617283950618</v>
      </c>
      <c r="AM110">
        <f t="shared" si="19"/>
        <v>7.2851388827160495</v>
      </c>
      <c r="AP110" s="9"/>
      <c r="AQ110" s="22">
        <v>1.3464400000000001</v>
      </c>
      <c r="AR110" s="22">
        <v>25.149899999999999</v>
      </c>
      <c r="AS110" s="22">
        <v>-1.37421E-2</v>
      </c>
      <c r="AT110" s="22">
        <v>100</v>
      </c>
      <c r="AU110" s="22">
        <v>1.34521</v>
      </c>
      <c r="AV110">
        <f t="shared" si="20"/>
        <v>16.965555555555554</v>
      </c>
      <c r="AW110">
        <f t="shared" si="21"/>
        <v>22.843102622222222</v>
      </c>
      <c r="AX110" s="9"/>
      <c r="AY110" s="22">
        <v>0.40359499999999998</v>
      </c>
      <c r="AZ110" s="22">
        <v>29.069800000000001</v>
      </c>
      <c r="BA110" s="22">
        <v>-1.46362E-2</v>
      </c>
      <c r="BB110" s="22">
        <v>100</v>
      </c>
      <c r="BC110" s="22">
        <v>0.40307599999999999</v>
      </c>
      <c r="BD110">
        <f t="shared" si="22"/>
        <v>18.069382716049383</v>
      </c>
      <c r="BE110">
        <f t="shared" si="23"/>
        <v>7.2927125172839498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6.2115</v>
      </c>
      <c r="I111" s="22">
        <v>-1.3693200000000001E-2</v>
      </c>
      <c r="J111" s="22">
        <v>101</v>
      </c>
      <c r="K111" s="22">
        <v>1.3406400000000001</v>
      </c>
      <c r="L111">
        <f t="shared" si="12"/>
        <v>16.905185185185186</v>
      </c>
      <c r="M111">
        <f t="shared" si="13"/>
        <v>22.676615407407407</v>
      </c>
      <c r="N111" s="9"/>
      <c r="O111" s="22">
        <v>0.40862999999999999</v>
      </c>
      <c r="P111" s="22">
        <v>10.131399999999999</v>
      </c>
      <c r="Q111" s="22">
        <v>-1.4578199999999999E-2</v>
      </c>
      <c r="R111" s="22">
        <v>101</v>
      </c>
      <c r="S111" s="22">
        <v>0.40801999999999999</v>
      </c>
      <c r="T111">
        <f t="shared" si="14"/>
        <v>17.997777777777777</v>
      </c>
      <c r="U111">
        <f t="shared" si="15"/>
        <v>7.3544319333333332</v>
      </c>
      <c r="X111" s="9"/>
      <c r="Y111" s="22">
        <v>1.3413999999999999</v>
      </c>
      <c r="Z111" s="22">
        <v>15.6767</v>
      </c>
      <c r="AA111" s="22">
        <v>-1.3717699999999999E-2</v>
      </c>
      <c r="AB111" s="22">
        <v>101</v>
      </c>
      <c r="AC111" s="22">
        <v>1.34033</v>
      </c>
      <c r="AD111">
        <f t="shared" si="16"/>
        <v>16.935432098765432</v>
      </c>
      <c r="AE111">
        <f t="shared" si="17"/>
        <v>22.717188617283949</v>
      </c>
      <c r="AF111" s="9"/>
      <c r="AG111" s="22">
        <v>0.40862999999999999</v>
      </c>
      <c r="AH111" s="22">
        <v>19.596599999999999</v>
      </c>
      <c r="AI111" s="22">
        <v>-1.46179E-2</v>
      </c>
      <c r="AJ111" s="22">
        <v>101</v>
      </c>
      <c r="AK111" s="22">
        <v>0.40795900000000002</v>
      </c>
      <c r="AL111">
        <f t="shared" si="18"/>
        <v>18.046790123456791</v>
      </c>
      <c r="AM111">
        <f t="shared" si="19"/>
        <v>7.374459848148148</v>
      </c>
      <c r="AP111" s="9"/>
      <c r="AQ111" s="22">
        <v>1.3413999999999999</v>
      </c>
      <c r="AR111" s="22">
        <v>25.1599</v>
      </c>
      <c r="AS111" s="22">
        <v>-1.37421E-2</v>
      </c>
      <c r="AT111" s="22">
        <v>101</v>
      </c>
      <c r="AU111" s="22">
        <v>1.3400300000000001</v>
      </c>
      <c r="AV111">
        <f t="shared" si="20"/>
        <v>16.965555555555554</v>
      </c>
      <c r="AW111">
        <f t="shared" si="21"/>
        <v>22.757596222222219</v>
      </c>
      <c r="AX111" s="9"/>
      <c r="AY111" s="22">
        <v>0.40862999999999999</v>
      </c>
      <c r="AZ111" s="22">
        <v>29.079799999999999</v>
      </c>
      <c r="BA111" s="22">
        <v>-1.4633200000000001E-2</v>
      </c>
      <c r="BB111" s="22">
        <v>101</v>
      </c>
      <c r="BC111" s="22">
        <v>0.40811199999999997</v>
      </c>
      <c r="BD111">
        <f t="shared" si="22"/>
        <v>18.065679012345679</v>
      </c>
      <c r="BE111">
        <f t="shared" si="23"/>
        <v>7.3821784148148151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6.2215699999999998</v>
      </c>
      <c r="I112" s="22">
        <v>-1.36963E-2</v>
      </c>
      <c r="J112" s="22">
        <v>102</v>
      </c>
      <c r="K112" s="22">
        <v>1.33575</v>
      </c>
      <c r="L112">
        <f t="shared" si="12"/>
        <v>16.90901234567901</v>
      </c>
      <c r="M112">
        <f t="shared" si="13"/>
        <v>22.5965277382716</v>
      </c>
      <c r="N112" s="9"/>
      <c r="O112" s="22">
        <v>0.41366599999999998</v>
      </c>
      <c r="P112" s="22">
        <v>10.141500000000001</v>
      </c>
      <c r="Q112" s="22">
        <v>-1.45752E-2</v>
      </c>
      <c r="R112" s="22">
        <v>102</v>
      </c>
      <c r="S112" s="22">
        <v>0.412964</v>
      </c>
      <c r="T112">
        <f t="shared" si="14"/>
        <v>17.994074074074071</v>
      </c>
      <c r="U112">
        <f t="shared" si="15"/>
        <v>7.4435366459259242</v>
      </c>
      <c r="X112" s="9"/>
      <c r="Y112" s="22">
        <v>1.33636</v>
      </c>
      <c r="Z112" s="22">
        <v>15.6868</v>
      </c>
      <c r="AA112" s="22">
        <v>-1.3720700000000001E-2</v>
      </c>
      <c r="AB112" s="22">
        <v>102</v>
      </c>
      <c r="AC112" s="22">
        <v>1.33575</v>
      </c>
      <c r="AD112">
        <f t="shared" si="16"/>
        <v>16.939135802469135</v>
      </c>
      <c r="AE112">
        <f t="shared" si="17"/>
        <v>22.636783520987652</v>
      </c>
      <c r="AF112" s="9"/>
      <c r="AG112" s="22">
        <v>0.41366599999999998</v>
      </c>
      <c r="AH112" s="22">
        <v>19.6067</v>
      </c>
      <c r="AI112" s="22">
        <v>-1.46149E-2</v>
      </c>
      <c r="AJ112" s="22">
        <v>102</v>
      </c>
      <c r="AK112" s="22">
        <v>0.41323900000000002</v>
      </c>
      <c r="AL112">
        <f t="shared" si="18"/>
        <v>18.043086419753088</v>
      </c>
      <c r="AM112">
        <f t="shared" si="19"/>
        <v>7.4638113869135809</v>
      </c>
      <c r="AP112" s="9"/>
      <c r="AQ112" s="22">
        <v>1.33636</v>
      </c>
      <c r="AR112" s="22">
        <v>25.17</v>
      </c>
      <c r="AS112" s="22">
        <v>-1.37482E-2</v>
      </c>
      <c r="AT112" s="22">
        <v>102</v>
      </c>
      <c r="AU112" s="22">
        <v>1.33514</v>
      </c>
      <c r="AV112">
        <f t="shared" si="20"/>
        <v>16.973086419753084</v>
      </c>
      <c r="AW112">
        <f t="shared" si="21"/>
        <v>22.68215376790123</v>
      </c>
      <c r="AX112" s="9"/>
      <c r="AY112" s="22">
        <v>0.41366599999999998</v>
      </c>
      <c r="AZ112" s="22">
        <v>29.0899</v>
      </c>
      <c r="BA112" s="22">
        <v>-1.4627100000000001E-2</v>
      </c>
      <c r="BB112" s="22">
        <v>102</v>
      </c>
      <c r="BC112" s="22">
        <v>0.41311599999999998</v>
      </c>
      <c r="BD112">
        <f t="shared" si="22"/>
        <v>18.058148148148145</v>
      </c>
      <c r="BE112">
        <f t="shared" si="23"/>
        <v>7.4700419118518502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6.2316399999999996</v>
      </c>
      <c r="I113" s="22">
        <v>-1.37024E-2</v>
      </c>
      <c r="J113" s="22">
        <v>103</v>
      </c>
      <c r="K113" s="22">
        <v>1.32996</v>
      </c>
      <c r="L113">
        <f t="shared" si="12"/>
        <v>16.916543209876544</v>
      </c>
      <c r="M113">
        <f t="shared" si="13"/>
        <v>22.521501471604939</v>
      </c>
      <c r="N113" s="9"/>
      <c r="O113" s="22">
        <v>0.41870099999999999</v>
      </c>
      <c r="P113" s="22">
        <v>10.1515</v>
      </c>
      <c r="Q113" s="22">
        <v>-1.4566000000000001E-2</v>
      </c>
      <c r="R113" s="22">
        <v>103</v>
      </c>
      <c r="S113" s="22">
        <v>0.417908</v>
      </c>
      <c r="T113">
        <f t="shared" si="14"/>
        <v>17.982716049382717</v>
      </c>
      <c r="U113">
        <f t="shared" si="15"/>
        <v>7.5293811925925924</v>
      </c>
      <c r="X113" s="9"/>
      <c r="Y113" s="22">
        <v>1.3313299999999999</v>
      </c>
      <c r="Z113" s="22">
        <v>15.696899999999999</v>
      </c>
      <c r="AA113" s="22">
        <v>-1.3726800000000001E-2</v>
      </c>
      <c r="AB113" s="22">
        <v>103</v>
      </c>
      <c r="AC113" s="22">
        <v>1.33057</v>
      </c>
      <c r="AD113">
        <f t="shared" si="16"/>
        <v>16.946666666666665</v>
      </c>
      <c r="AE113">
        <f t="shared" si="17"/>
        <v>22.56160573333333</v>
      </c>
      <c r="AF113" s="9"/>
      <c r="AG113" s="22">
        <v>0.41870099999999999</v>
      </c>
      <c r="AH113" s="22">
        <v>19.616800000000001</v>
      </c>
      <c r="AI113" s="22">
        <v>-1.46088E-2</v>
      </c>
      <c r="AJ113" s="22">
        <v>103</v>
      </c>
      <c r="AK113" s="22">
        <v>0.41803000000000001</v>
      </c>
      <c r="AL113">
        <f t="shared" si="18"/>
        <v>18.035555555555554</v>
      </c>
      <c r="AM113">
        <f t="shared" si="19"/>
        <v>7.5515051466666661</v>
      </c>
      <c r="AP113" s="9"/>
      <c r="AQ113" s="22">
        <v>1.3313299999999999</v>
      </c>
      <c r="AR113" s="22">
        <v>25.180099999999999</v>
      </c>
      <c r="AS113" s="22">
        <v>-1.37512E-2</v>
      </c>
      <c r="AT113" s="22">
        <v>103</v>
      </c>
      <c r="AU113" s="22">
        <v>1.33057</v>
      </c>
      <c r="AV113">
        <f t="shared" si="20"/>
        <v>16.976790123456787</v>
      </c>
      <c r="AW113">
        <f t="shared" si="21"/>
        <v>22.601709995061722</v>
      </c>
      <c r="AX113" s="9"/>
      <c r="AY113" s="22">
        <v>0.41870099999999999</v>
      </c>
      <c r="AZ113" s="22">
        <v>29.1</v>
      </c>
      <c r="BA113" s="22">
        <v>-1.4624E-2</v>
      </c>
      <c r="BB113" s="22">
        <v>103</v>
      </c>
      <c r="BC113" s="22">
        <v>0.41799900000000001</v>
      </c>
      <c r="BD113">
        <f t="shared" si="22"/>
        <v>18.054320987654318</v>
      </c>
      <c r="BE113">
        <f t="shared" si="23"/>
        <v>7.5593622518518506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6.2417100000000003</v>
      </c>
      <c r="I114" s="22">
        <v>-1.37085E-2</v>
      </c>
      <c r="J114" s="22">
        <v>104</v>
      </c>
      <c r="K114" s="22">
        <v>1.32568</v>
      </c>
      <c r="L114">
        <f t="shared" si="12"/>
        <v>16.924074074074074</v>
      </c>
      <c r="M114">
        <f t="shared" si="13"/>
        <v>22.446230203703703</v>
      </c>
      <c r="N114" s="9"/>
      <c r="O114" s="22">
        <v>0.42373699999999997</v>
      </c>
      <c r="P114" s="22">
        <v>10.1616</v>
      </c>
      <c r="Q114" s="22">
        <v>-1.4566000000000001E-2</v>
      </c>
      <c r="R114" s="22">
        <v>104</v>
      </c>
      <c r="S114" s="22">
        <v>0.42309600000000003</v>
      </c>
      <c r="T114">
        <f t="shared" si="14"/>
        <v>17.982716049382717</v>
      </c>
      <c r="U114">
        <f t="shared" si="15"/>
        <v>7.619942150617284</v>
      </c>
      <c r="X114" s="9"/>
      <c r="Y114" s="22">
        <v>1.32629</v>
      </c>
      <c r="Z114" s="22">
        <v>15.706899999999999</v>
      </c>
      <c r="AA114" s="22">
        <v>-1.3738999999999999E-2</v>
      </c>
      <c r="AB114" s="22">
        <v>104</v>
      </c>
      <c r="AC114" s="22">
        <v>1.32568</v>
      </c>
      <c r="AD114">
        <f t="shared" si="16"/>
        <v>16.961728395061726</v>
      </c>
      <c r="AE114">
        <f t="shared" si="17"/>
        <v>22.496170753086417</v>
      </c>
      <c r="AF114" s="9"/>
      <c r="AG114" s="22">
        <v>0.42373699999999997</v>
      </c>
      <c r="AH114" s="22">
        <v>19.626899999999999</v>
      </c>
      <c r="AI114" s="22">
        <v>-1.4599600000000001E-2</v>
      </c>
      <c r="AJ114" s="22">
        <v>104</v>
      </c>
      <c r="AK114" s="22">
        <v>0.42315700000000001</v>
      </c>
      <c r="AL114">
        <f t="shared" si="18"/>
        <v>18.0241975308642</v>
      </c>
      <c r="AM114">
        <f t="shared" si="19"/>
        <v>7.6375193891358029</v>
      </c>
      <c r="AP114" s="9"/>
      <c r="AQ114" s="22">
        <v>1.32629</v>
      </c>
      <c r="AR114" s="22">
        <v>25.190200000000001</v>
      </c>
      <c r="AS114" s="22">
        <v>-1.3760400000000001E-2</v>
      </c>
      <c r="AT114" s="22">
        <v>104</v>
      </c>
      <c r="AU114" s="22">
        <v>1.32568</v>
      </c>
      <c r="AV114">
        <f t="shared" si="20"/>
        <v>16.988148148148149</v>
      </c>
      <c r="AW114">
        <f t="shared" si="21"/>
        <v>22.531211007407407</v>
      </c>
      <c r="AX114" s="9"/>
      <c r="AY114" s="22">
        <v>0.42373699999999997</v>
      </c>
      <c r="AZ114" s="22">
        <v>29.110099999999999</v>
      </c>
      <c r="BA114" s="22">
        <v>-1.46179E-2</v>
      </c>
      <c r="BB114" s="22">
        <v>104</v>
      </c>
      <c r="BC114" s="22">
        <v>0.42321799999999998</v>
      </c>
      <c r="BD114">
        <f t="shared" si="22"/>
        <v>18.046790123456791</v>
      </c>
      <c r="BE114">
        <f t="shared" si="23"/>
        <v>7.6470927065432095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6.2517800000000001</v>
      </c>
      <c r="I115" s="22">
        <v>-1.37146E-2</v>
      </c>
      <c r="J115" s="22">
        <v>105</v>
      </c>
      <c r="K115" s="22">
        <v>1.31989</v>
      </c>
      <c r="L115">
        <f t="shared" si="12"/>
        <v>16.931604938271605</v>
      </c>
      <c r="M115">
        <f t="shared" si="13"/>
        <v>22.371052340740743</v>
      </c>
      <c r="N115" s="9"/>
      <c r="O115" s="22">
        <v>0.42877199999999999</v>
      </c>
      <c r="P115" s="22">
        <v>10.1717</v>
      </c>
      <c r="Q115" s="22">
        <v>-1.4566000000000001E-2</v>
      </c>
      <c r="R115" s="22">
        <v>105</v>
      </c>
      <c r="S115" s="22">
        <v>0.42813099999999998</v>
      </c>
      <c r="T115">
        <f t="shared" si="14"/>
        <v>17.982716049382717</v>
      </c>
      <c r="U115">
        <f t="shared" si="15"/>
        <v>7.7104851259259259</v>
      </c>
      <c r="X115" s="9"/>
      <c r="Y115" s="22">
        <v>1.3212600000000001</v>
      </c>
      <c r="Z115" s="22">
        <v>15.717000000000001</v>
      </c>
      <c r="AA115" s="22">
        <v>-1.37451E-2</v>
      </c>
      <c r="AB115" s="22">
        <v>105</v>
      </c>
      <c r="AC115" s="22">
        <v>1.3205</v>
      </c>
      <c r="AD115">
        <f t="shared" si="16"/>
        <v>16.969259259259257</v>
      </c>
      <c r="AE115">
        <f t="shared" si="17"/>
        <v>22.420803488888886</v>
      </c>
      <c r="AF115" s="9"/>
      <c r="AG115" s="22">
        <v>0.42877199999999999</v>
      </c>
      <c r="AH115" s="22">
        <v>19.636900000000001</v>
      </c>
      <c r="AI115" s="22">
        <v>-1.45966E-2</v>
      </c>
      <c r="AJ115" s="22">
        <v>105</v>
      </c>
      <c r="AK115" s="22">
        <v>0.42791699999999999</v>
      </c>
      <c r="AL115">
        <f t="shared" si="18"/>
        <v>18.020493827160493</v>
      </c>
      <c r="AM115">
        <f t="shared" si="19"/>
        <v>7.7266831792592585</v>
      </c>
      <c r="AP115" s="9"/>
      <c r="AQ115" s="22">
        <v>1.3212600000000001</v>
      </c>
      <c r="AR115" s="22">
        <v>25.200199999999999</v>
      </c>
      <c r="AS115" s="22">
        <v>-1.3766499999999999E-2</v>
      </c>
      <c r="AT115" s="22">
        <v>105</v>
      </c>
      <c r="AU115" s="22">
        <v>1.3208</v>
      </c>
      <c r="AV115">
        <f t="shared" si="20"/>
        <v>16.995679012345676</v>
      </c>
      <c r="AW115">
        <f t="shared" si="21"/>
        <v>22.455710851851848</v>
      </c>
      <c r="AX115" s="9"/>
      <c r="AY115" s="22">
        <v>0.42877199999999999</v>
      </c>
      <c r="AZ115" s="22">
        <v>29.120100000000001</v>
      </c>
      <c r="BA115" s="22">
        <v>-1.4611799999999999E-2</v>
      </c>
      <c r="BB115" s="22">
        <v>105</v>
      </c>
      <c r="BC115" s="22">
        <v>0.427948</v>
      </c>
      <c r="BD115">
        <f t="shared" si="22"/>
        <v>18.039259259259257</v>
      </c>
      <c r="BE115">
        <f t="shared" si="23"/>
        <v>7.7347292711111102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6.2618499999999999</v>
      </c>
      <c r="I116" s="22">
        <v>-1.37238E-2</v>
      </c>
      <c r="J116" s="22">
        <v>106</v>
      </c>
      <c r="K116" s="22">
        <v>1.31531</v>
      </c>
      <c r="L116">
        <f t="shared" si="12"/>
        <v>16.942962962962962</v>
      </c>
      <c r="M116">
        <f t="shared" si="13"/>
        <v>22.300666711111109</v>
      </c>
      <c r="N116" s="9"/>
      <c r="O116" s="22">
        <v>0.433807</v>
      </c>
      <c r="P116" s="22">
        <v>10.181800000000001</v>
      </c>
      <c r="Q116" s="22">
        <v>-1.4563E-2</v>
      </c>
      <c r="R116" s="22">
        <v>106</v>
      </c>
      <c r="S116" s="22">
        <v>0.43310500000000002</v>
      </c>
      <c r="T116">
        <f t="shared" si="14"/>
        <v>17.979012345679013</v>
      </c>
      <c r="U116">
        <f t="shared" si="15"/>
        <v>7.799421408641976</v>
      </c>
      <c r="X116" s="9"/>
      <c r="Y116" s="22">
        <v>1.3162199999999999</v>
      </c>
      <c r="Z116" s="22">
        <v>15.7271</v>
      </c>
      <c r="AA116" s="22">
        <v>-1.3754300000000001E-2</v>
      </c>
      <c r="AB116" s="22">
        <v>106</v>
      </c>
      <c r="AC116" s="22">
        <v>1.31531</v>
      </c>
      <c r="AD116">
        <f t="shared" si="16"/>
        <v>16.980617283950615</v>
      </c>
      <c r="AE116">
        <f t="shared" si="17"/>
        <v>22.350228081481475</v>
      </c>
      <c r="AF116" s="9"/>
      <c r="AG116" s="22">
        <v>0.433807</v>
      </c>
      <c r="AH116" s="22">
        <v>19.646999999999998</v>
      </c>
      <c r="AI116" s="22">
        <v>-1.45874E-2</v>
      </c>
      <c r="AJ116" s="22">
        <v>106</v>
      </c>
      <c r="AK116" s="22">
        <v>0.43331900000000001</v>
      </c>
      <c r="AL116">
        <f t="shared" si="18"/>
        <v>18.009135802469135</v>
      </c>
      <c r="AM116">
        <f t="shared" si="19"/>
        <v>7.812489175061728</v>
      </c>
      <c r="AP116" s="9"/>
      <c r="AQ116" s="22">
        <v>1.3162199999999999</v>
      </c>
      <c r="AR116" s="22">
        <v>25.2103</v>
      </c>
      <c r="AS116" s="22">
        <v>-1.37695E-2</v>
      </c>
      <c r="AT116" s="22">
        <v>106</v>
      </c>
      <c r="AU116" s="22">
        <v>1.31531</v>
      </c>
      <c r="AV116">
        <f t="shared" si="20"/>
        <v>16.999382716049382</v>
      </c>
      <c r="AW116">
        <f t="shared" si="21"/>
        <v>22.374927518518518</v>
      </c>
      <c r="AX116" s="9"/>
      <c r="AY116" s="22">
        <v>0.433807</v>
      </c>
      <c r="AZ116" s="22">
        <v>29.130199999999999</v>
      </c>
      <c r="BA116" s="22">
        <v>-1.46088E-2</v>
      </c>
      <c r="BB116" s="22">
        <v>106</v>
      </c>
      <c r="BC116" s="22">
        <v>0.43331900000000001</v>
      </c>
      <c r="BD116">
        <f t="shared" si="22"/>
        <v>18.035555555555554</v>
      </c>
      <c r="BE116">
        <f t="shared" si="23"/>
        <v>7.8239502488888881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6.2719199999999997</v>
      </c>
      <c r="I117" s="22">
        <v>-1.3726800000000001E-2</v>
      </c>
      <c r="J117" s="22">
        <v>107</v>
      </c>
      <c r="K117" s="22">
        <v>1.31012</v>
      </c>
      <c r="L117">
        <f t="shared" si="12"/>
        <v>16.946666666666665</v>
      </c>
      <c r="M117">
        <f t="shared" si="13"/>
        <v>22.220299866666668</v>
      </c>
      <c r="N117" s="9"/>
      <c r="O117" s="22">
        <v>0.43884299999999998</v>
      </c>
      <c r="P117" s="22">
        <v>10.191800000000001</v>
      </c>
      <c r="Q117" s="22">
        <v>-1.4556899999999999E-2</v>
      </c>
      <c r="R117" s="22">
        <v>107</v>
      </c>
      <c r="S117" s="22">
        <v>0.43820199999999998</v>
      </c>
      <c r="T117">
        <f t="shared" si="14"/>
        <v>17.971481481481479</v>
      </c>
      <c r="U117">
        <f t="shared" si="15"/>
        <v>7.8866588477777766</v>
      </c>
      <c r="X117" s="9"/>
      <c r="Y117" s="22">
        <v>1.3111900000000001</v>
      </c>
      <c r="Z117" s="22">
        <v>15.7371</v>
      </c>
      <c r="AA117" s="22">
        <v>-1.3760400000000001E-2</v>
      </c>
      <c r="AB117" s="22">
        <v>107</v>
      </c>
      <c r="AC117" s="22">
        <v>1.3104199999999999</v>
      </c>
      <c r="AD117">
        <f t="shared" si="16"/>
        <v>16.988148148148149</v>
      </c>
      <c r="AE117">
        <f t="shared" si="17"/>
        <v>22.274689970370371</v>
      </c>
      <c r="AF117" s="9"/>
      <c r="AG117" s="22">
        <v>0.43884299999999998</v>
      </c>
      <c r="AH117" s="22">
        <v>19.6571</v>
      </c>
      <c r="AI117" s="22">
        <v>-1.45813E-2</v>
      </c>
      <c r="AJ117" s="22">
        <v>107</v>
      </c>
      <c r="AK117" s="22">
        <v>0.43838500000000002</v>
      </c>
      <c r="AL117">
        <f t="shared" si="18"/>
        <v>18.001604938271605</v>
      </c>
      <c r="AM117">
        <f t="shared" si="19"/>
        <v>7.8998783159259256</v>
      </c>
      <c r="AP117" s="9"/>
      <c r="AQ117" s="22">
        <v>1.3111900000000001</v>
      </c>
      <c r="AR117" s="22">
        <v>25.220400000000001</v>
      </c>
      <c r="AS117" s="22">
        <v>-1.3772599999999999E-2</v>
      </c>
      <c r="AT117" s="22">
        <v>107</v>
      </c>
      <c r="AU117" s="22">
        <v>1.3104199999999999</v>
      </c>
      <c r="AV117">
        <f t="shared" si="20"/>
        <v>17.00320987654321</v>
      </c>
      <c r="AW117">
        <f t="shared" si="21"/>
        <v>22.294438758024693</v>
      </c>
      <c r="AX117" s="9"/>
      <c r="AY117" s="22">
        <v>0.43884299999999998</v>
      </c>
      <c r="AZ117" s="22">
        <v>29.1403</v>
      </c>
      <c r="BA117" s="22">
        <v>-1.4605699999999999E-2</v>
      </c>
      <c r="BB117" s="22">
        <v>107</v>
      </c>
      <c r="BC117" s="22">
        <v>0.43804900000000002</v>
      </c>
      <c r="BD117">
        <f t="shared" si="22"/>
        <v>18.031728395061727</v>
      </c>
      <c r="BE117">
        <f t="shared" si="23"/>
        <v>7.9130977840740728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6.2819900000000004</v>
      </c>
      <c r="I118" s="22">
        <v>-1.3732899999999999E-2</v>
      </c>
      <c r="J118" s="22">
        <v>108</v>
      </c>
      <c r="K118" s="22">
        <v>1.3055399999999999</v>
      </c>
      <c r="L118">
        <f t="shared" si="12"/>
        <v>16.954197530864196</v>
      </c>
      <c r="M118">
        <f t="shared" si="13"/>
        <v>22.144725104938267</v>
      </c>
      <c r="N118" s="9"/>
      <c r="O118" s="22">
        <v>0.44387799999999999</v>
      </c>
      <c r="P118" s="22">
        <v>10.2019</v>
      </c>
      <c r="Q118" s="22">
        <v>-1.45538E-2</v>
      </c>
      <c r="R118" s="22">
        <v>108</v>
      </c>
      <c r="S118" s="22">
        <v>0.44323699999999999</v>
      </c>
      <c r="T118">
        <f t="shared" si="14"/>
        <v>17.967654320987652</v>
      </c>
      <c r="U118">
        <f t="shared" si="15"/>
        <v>7.9754464646913572</v>
      </c>
      <c r="X118" s="9"/>
      <c r="Y118" s="22">
        <v>1.3061499999999999</v>
      </c>
      <c r="Z118" s="22">
        <v>15.747199999999999</v>
      </c>
      <c r="AA118" s="22">
        <v>-1.3766499999999999E-2</v>
      </c>
      <c r="AB118" s="22">
        <v>108</v>
      </c>
      <c r="AC118" s="22">
        <v>1.3055399999999999</v>
      </c>
      <c r="AD118">
        <f t="shared" si="16"/>
        <v>16.995679012345676</v>
      </c>
      <c r="AE118">
        <f t="shared" si="17"/>
        <v>22.198906141975304</v>
      </c>
      <c r="AF118" s="9"/>
      <c r="AG118" s="22">
        <v>0.44387799999999999</v>
      </c>
      <c r="AH118" s="22">
        <v>19.667100000000001</v>
      </c>
      <c r="AI118" s="22">
        <v>-1.45813E-2</v>
      </c>
      <c r="AJ118" s="22">
        <v>108</v>
      </c>
      <c r="AK118" s="22">
        <v>0.44339000000000001</v>
      </c>
      <c r="AL118">
        <f t="shared" si="18"/>
        <v>18.001604938271605</v>
      </c>
      <c r="AM118">
        <f t="shared" si="19"/>
        <v>7.9905163967901229</v>
      </c>
      <c r="AP118" s="9"/>
      <c r="AQ118" s="22">
        <v>1.3061499999999999</v>
      </c>
      <c r="AR118" s="22">
        <v>25.230399999999999</v>
      </c>
      <c r="AS118" s="22">
        <v>-1.3775600000000001E-2</v>
      </c>
      <c r="AT118" s="22">
        <v>108</v>
      </c>
      <c r="AU118" s="22">
        <v>1.30524</v>
      </c>
      <c r="AV118">
        <f t="shared" si="20"/>
        <v>17.006913580246916</v>
      </c>
      <c r="AW118">
        <f t="shared" si="21"/>
        <v>22.213580172839507</v>
      </c>
      <c r="AX118" s="9"/>
      <c r="AY118" s="22">
        <v>0.44387799999999999</v>
      </c>
      <c r="AZ118" s="22">
        <v>29.150300000000001</v>
      </c>
      <c r="BA118" s="22">
        <v>-1.46027E-2</v>
      </c>
      <c r="BB118" s="22">
        <v>108</v>
      </c>
      <c r="BC118" s="22">
        <v>0.44320700000000002</v>
      </c>
      <c r="BD118">
        <f t="shared" si="22"/>
        <v>18.028024691358024</v>
      </c>
      <c r="BE118">
        <f t="shared" si="23"/>
        <v>8.0022435439506161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6.2920600000000002</v>
      </c>
      <c r="I119" s="22">
        <v>-1.3738999999999999E-2</v>
      </c>
      <c r="J119" s="22">
        <v>109</v>
      </c>
      <c r="K119" s="22">
        <v>1.3006599999999999</v>
      </c>
      <c r="L119">
        <f t="shared" si="12"/>
        <v>16.961728395061726</v>
      </c>
      <c r="M119">
        <f t="shared" si="13"/>
        <v>22.069244049382714</v>
      </c>
      <c r="N119" s="9"/>
      <c r="O119" s="22">
        <v>0.44891399999999998</v>
      </c>
      <c r="P119" s="22">
        <v>10.212</v>
      </c>
      <c r="Q119" s="22">
        <v>-1.45538E-2</v>
      </c>
      <c r="R119" s="22">
        <v>109</v>
      </c>
      <c r="S119" s="22">
        <v>0.448212</v>
      </c>
      <c r="T119">
        <f t="shared" si="14"/>
        <v>17.967654320987652</v>
      </c>
      <c r="U119">
        <f t="shared" si="15"/>
        <v>8.0659315718518503</v>
      </c>
      <c r="X119" s="9"/>
      <c r="Y119" s="22">
        <v>1.3011200000000001</v>
      </c>
      <c r="Z119" s="22">
        <v>15.757300000000001</v>
      </c>
      <c r="AA119" s="22">
        <v>-1.37695E-2</v>
      </c>
      <c r="AB119" s="22">
        <v>109</v>
      </c>
      <c r="AC119" s="22">
        <v>1.3000499999999999</v>
      </c>
      <c r="AD119">
        <f t="shared" si="16"/>
        <v>16.999382716049382</v>
      </c>
      <c r="AE119">
        <f t="shared" si="17"/>
        <v>22.118236839506174</v>
      </c>
      <c r="AF119" s="9"/>
      <c r="AG119" s="22">
        <v>0.44891399999999998</v>
      </c>
      <c r="AH119" s="22">
        <v>19.677199999999999</v>
      </c>
      <c r="AI119" s="22">
        <v>-1.4578199999999999E-2</v>
      </c>
      <c r="AJ119" s="22">
        <v>109</v>
      </c>
      <c r="AK119" s="22">
        <v>0.44827299999999998</v>
      </c>
      <c r="AL119">
        <f t="shared" si="18"/>
        <v>17.997777777777777</v>
      </c>
      <c r="AM119">
        <f t="shared" si="19"/>
        <v>8.0794544133333321</v>
      </c>
      <c r="AP119" s="9"/>
      <c r="AQ119" s="22">
        <v>1.3011200000000001</v>
      </c>
      <c r="AR119" s="22">
        <v>25.240500000000001</v>
      </c>
      <c r="AS119" s="22">
        <v>-1.37787E-2</v>
      </c>
      <c r="AT119" s="22">
        <v>109</v>
      </c>
      <c r="AU119" s="22">
        <v>1.2997399999999999</v>
      </c>
      <c r="AV119">
        <f t="shared" si="20"/>
        <v>17.01074074074074</v>
      </c>
      <c r="AW119">
        <f t="shared" si="21"/>
        <v>22.133014992592592</v>
      </c>
      <c r="AX119" s="9"/>
      <c r="AY119" s="22">
        <v>0.44891399999999998</v>
      </c>
      <c r="AZ119" s="22">
        <v>29.160399999999999</v>
      </c>
      <c r="BA119" s="22">
        <v>-1.45966E-2</v>
      </c>
      <c r="BB119" s="22">
        <v>109</v>
      </c>
      <c r="BC119" s="22">
        <v>0.44824199999999997</v>
      </c>
      <c r="BD119">
        <f t="shared" si="22"/>
        <v>18.020493827160493</v>
      </c>
      <c r="BE119">
        <f t="shared" si="23"/>
        <v>8.0896519659259258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6.30213</v>
      </c>
      <c r="I120" s="22">
        <v>-1.37482E-2</v>
      </c>
      <c r="J120" s="22">
        <v>110</v>
      </c>
      <c r="K120" s="22">
        <v>1.2954699999999999</v>
      </c>
      <c r="L120">
        <f t="shared" si="12"/>
        <v>16.973086419753084</v>
      </c>
      <c r="M120">
        <f t="shared" si="13"/>
        <v>21.998477846913577</v>
      </c>
      <c r="N120" s="9"/>
      <c r="O120" s="22">
        <v>0.45394899999999999</v>
      </c>
      <c r="P120" s="22">
        <v>10.222</v>
      </c>
      <c r="Q120" s="22">
        <v>-1.45538E-2</v>
      </c>
      <c r="R120" s="22">
        <v>110</v>
      </c>
      <c r="S120" s="22">
        <v>0.45330799999999999</v>
      </c>
      <c r="T120">
        <f t="shared" si="14"/>
        <v>17.967654320987652</v>
      </c>
      <c r="U120">
        <f t="shared" si="15"/>
        <v>8.1563987113580243</v>
      </c>
      <c r="X120" s="9"/>
      <c r="Y120" s="22">
        <v>1.2960799999999999</v>
      </c>
      <c r="Z120" s="22">
        <v>15.7674</v>
      </c>
      <c r="AA120" s="22">
        <v>-1.3772599999999999E-2</v>
      </c>
      <c r="AB120" s="22">
        <v>110</v>
      </c>
      <c r="AC120" s="22">
        <v>1.2948599999999999</v>
      </c>
      <c r="AD120">
        <f t="shared" si="16"/>
        <v>17.00320987654321</v>
      </c>
      <c r="AE120">
        <f t="shared" si="17"/>
        <v>22.03752025679012</v>
      </c>
      <c r="AF120" s="9"/>
      <c r="AG120" s="22">
        <v>0.45394899999999999</v>
      </c>
      <c r="AH120" s="22">
        <v>19.6873</v>
      </c>
      <c r="AI120" s="22">
        <v>-1.45752E-2</v>
      </c>
      <c r="AJ120" s="22">
        <v>110</v>
      </c>
      <c r="AK120" s="22">
        <v>0.45336900000000002</v>
      </c>
      <c r="AL120">
        <f t="shared" si="18"/>
        <v>17.994074074074071</v>
      </c>
      <c r="AM120">
        <f t="shared" si="19"/>
        <v>8.1683919318518505</v>
      </c>
      <c r="AP120" s="9"/>
      <c r="AQ120" s="22">
        <v>1.2960799999999999</v>
      </c>
      <c r="AR120" s="22">
        <v>25.250599999999999</v>
      </c>
      <c r="AS120" s="22">
        <v>-1.37848E-2</v>
      </c>
      <c r="AT120" s="22">
        <v>110</v>
      </c>
      <c r="AU120" s="22">
        <v>1.2951699999999999</v>
      </c>
      <c r="AV120">
        <f t="shared" si="20"/>
        <v>17.018271604938271</v>
      </c>
      <c r="AW120">
        <f t="shared" si="21"/>
        <v>22.057041461728392</v>
      </c>
      <c r="AX120" s="9"/>
      <c r="AY120" s="22">
        <v>0.45394899999999999</v>
      </c>
      <c r="AZ120" s="22">
        <v>29.170500000000001</v>
      </c>
      <c r="BA120" s="22">
        <v>-1.4590499999999999E-2</v>
      </c>
      <c r="BB120" s="22">
        <v>110</v>
      </c>
      <c r="BC120" s="22">
        <v>0.45349099999999998</v>
      </c>
      <c r="BD120">
        <f t="shared" si="22"/>
        <v>18.012962962962959</v>
      </c>
      <c r="BE120">
        <f t="shared" si="23"/>
        <v>8.1769665240740714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6.3122100000000003</v>
      </c>
      <c r="I121" s="22">
        <v>-1.37512E-2</v>
      </c>
      <c r="J121" s="22">
        <v>111</v>
      </c>
      <c r="K121" s="22">
        <v>1.2902800000000001</v>
      </c>
      <c r="L121">
        <f t="shared" si="12"/>
        <v>16.976790123456787</v>
      </c>
      <c r="M121">
        <f t="shared" si="13"/>
        <v>21.917884888888885</v>
      </c>
      <c r="N121" s="9"/>
      <c r="O121" s="22">
        <v>0.458984</v>
      </c>
      <c r="P121" s="22">
        <v>10.232100000000001</v>
      </c>
      <c r="Q121" s="22">
        <v>-1.4550799999999999E-2</v>
      </c>
      <c r="R121" s="22">
        <v>111</v>
      </c>
      <c r="S121" s="22">
        <v>0.45822099999999999</v>
      </c>
      <c r="T121">
        <f t="shared" si="14"/>
        <v>17.963950617283949</v>
      </c>
      <c r="U121">
        <f t="shared" si="15"/>
        <v>8.2451659101234558</v>
      </c>
      <c r="X121" s="9"/>
      <c r="Y121" s="22">
        <v>1.29105</v>
      </c>
      <c r="Z121" s="22">
        <v>15.7774</v>
      </c>
      <c r="AA121" s="22">
        <v>-1.37787E-2</v>
      </c>
      <c r="AB121" s="22">
        <v>111</v>
      </c>
      <c r="AC121" s="22">
        <v>1.2899799999999999</v>
      </c>
      <c r="AD121">
        <f t="shared" si="16"/>
        <v>17.01074074074074</v>
      </c>
      <c r="AE121">
        <f t="shared" si="17"/>
        <v>21.961716833333334</v>
      </c>
      <c r="AF121" s="9"/>
      <c r="AG121" s="22">
        <v>0.458984</v>
      </c>
      <c r="AH121" s="22">
        <v>19.697399999999998</v>
      </c>
      <c r="AI121" s="22">
        <v>-1.45691E-2</v>
      </c>
      <c r="AJ121" s="22">
        <v>111</v>
      </c>
      <c r="AK121" s="22">
        <v>0.45843499999999998</v>
      </c>
      <c r="AL121">
        <f t="shared" si="18"/>
        <v>17.98654320987654</v>
      </c>
      <c r="AM121">
        <f t="shared" si="19"/>
        <v>8.2555355486419746</v>
      </c>
      <c r="AP121" s="9"/>
      <c r="AQ121" s="22">
        <v>1.29105</v>
      </c>
      <c r="AR121" s="22">
        <v>25.2607</v>
      </c>
      <c r="AS121" s="22">
        <v>-1.37909E-2</v>
      </c>
      <c r="AT121" s="22">
        <v>111</v>
      </c>
      <c r="AU121" s="22">
        <v>1.2899799999999999</v>
      </c>
      <c r="AV121">
        <f t="shared" si="20"/>
        <v>17.025802469135801</v>
      </c>
      <c r="AW121">
        <f t="shared" si="21"/>
        <v>21.981162277777777</v>
      </c>
      <c r="AX121" s="9"/>
      <c r="AY121" s="22">
        <v>0.458984</v>
      </c>
      <c r="AZ121" s="22">
        <v>29.180599999999998</v>
      </c>
      <c r="BA121" s="22">
        <v>-1.4590499999999999E-2</v>
      </c>
      <c r="BB121" s="22">
        <v>111</v>
      </c>
      <c r="BC121" s="22">
        <v>0.45831300000000003</v>
      </c>
      <c r="BD121">
        <f t="shared" si="22"/>
        <v>18.012962962962959</v>
      </c>
      <c r="BE121">
        <f t="shared" si="23"/>
        <v>8.267661792592591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6.3222800000000001</v>
      </c>
      <c r="I122" s="22">
        <v>-1.37512E-2</v>
      </c>
      <c r="J122" s="22">
        <v>112</v>
      </c>
      <c r="K122" s="22">
        <v>1.2850999999999999</v>
      </c>
      <c r="L122">
        <f t="shared" si="12"/>
        <v>16.976790123456787</v>
      </c>
      <c r="M122">
        <f t="shared" si="13"/>
        <v>21.832321866666664</v>
      </c>
      <c r="N122" s="9"/>
      <c r="O122" s="22">
        <v>0.46401999999999999</v>
      </c>
      <c r="P122" s="22">
        <v>10.2422</v>
      </c>
      <c r="Q122" s="22">
        <v>-1.45477E-2</v>
      </c>
      <c r="R122" s="22">
        <v>112</v>
      </c>
      <c r="S122" s="22">
        <v>0.46334799999999998</v>
      </c>
      <c r="T122">
        <f t="shared" si="14"/>
        <v>17.960123456790122</v>
      </c>
      <c r="U122">
        <f t="shared" si="15"/>
        <v>8.3338564864197515</v>
      </c>
      <c r="X122" s="9"/>
      <c r="Y122" s="22">
        <v>1.2860100000000001</v>
      </c>
      <c r="Z122" s="22">
        <v>15.7875</v>
      </c>
      <c r="AA122" s="22">
        <v>-1.3781699999999999E-2</v>
      </c>
      <c r="AB122" s="22">
        <v>112</v>
      </c>
      <c r="AC122" s="22">
        <v>1.2847900000000001</v>
      </c>
      <c r="AD122">
        <f t="shared" si="16"/>
        <v>17.014444444444443</v>
      </c>
      <c r="AE122">
        <f t="shared" si="17"/>
        <v>21.880745699999999</v>
      </c>
      <c r="AF122" s="9"/>
      <c r="AG122" s="22">
        <v>0.46401999999999999</v>
      </c>
      <c r="AH122" s="22">
        <v>19.7074</v>
      </c>
      <c r="AI122" s="22">
        <v>-1.4563E-2</v>
      </c>
      <c r="AJ122" s="22">
        <v>112</v>
      </c>
      <c r="AK122" s="22">
        <v>0.46346999999999999</v>
      </c>
      <c r="AL122">
        <f t="shared" si="18"/>
        <v>17.979012345679013</v>
      </c>
      <c r="AM122">
        <f t="shared" si="19"/>
        <v>8.3426213086419754</v>
      </c>
      <c r="AP122" s="9"/>
      <c r="AQ122" s="22">
        <v>1.2860100000000001</v>
      </c>
      <c r="AR122" s="22">
        <v>25.270700000000001</v>
      </c>
      <c r="AS122" s="22">
        <v>-1.3797E-2</v>
      </c>
      <c r="AT122" s="22">
        <v>112</v>
      </c>
      <c r="AU122" s="22">
        <v>1.2850999999999999</v>
      </c>
      <c r="AV122">
        <f t="shared" si="20"/>
        <v>17.033333333333331</v>
      </c>
      <c r="AW122">
        <f t="shared" si="21"/>
        <v>21.905037</v>
      </c>
      <c r="AX122" s="9"/>
      <c r="AY122" s="22">
        <v>0.46401999999999999</v>
      </c>
      <c r="AZ122" s="22">
        <v>29.1906</v>
      </c>
      <c r="BA122" s="22">
        <v>-1.4584400000000001E-2</v>
      </c>
      <c r="BB122" s="22">
        <v>112</v>
      </c>
      <c r="BC122" s="22">
        <v>0.46334799999999998</v>
      </c>
      <c r="BD122">
        <f t="shared" si="22"/>
        <v>18.005432098765432</v>
      </c>
      <c r="BE122">
        <f t="shared" si="23"/>
        <v>8.3548806024691356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6.3323499999999999</v>
      </c>
      <c r="I123" s="22">
        <v>-1.3754300000000001E-2</v>
      </c>
      <c r="J123" s="22">
        <v>113</v>
      </c>
      <c r="K123" s="22">
        <v>1.2799100000000001</v>
      </c>
      <c r="L123">
        <f t="shared" si="12"/>
        <v>16.980617283950615</v>
      </c>
      <c r="M123">
        <f t="shared" si="13"/>
        <v>21.751831128395057</v>
      </c>
      <c r="N123" s="9"/>
      <c r="O123" s="22">
        <v>0.469055</v>
      </c>
      <c r="P123" s="22">
        <v>10.2522</v>
      </c>
      <c r="Q123" s="22">
        <v>-1.45386E-2</v>
      </c>
      <c r="R123" s="22">
        <v>113</v>
      </c>
      <c r="S123" s="22">
        <v>0.46832299999999999</v>
      </c>
      <c r="T123">
        <f t="shared" si="14"/>
        <v>17.948888888888888</v>
      </c>
      <c r="U123">
        <f t="shared" si="15"/>
        <v>8.4190160777777781</v>
      </c>
      <c r="X123" s="9"/>
      <c r="Y123" s="22">
        <v>1.28098</v>
      </c>
      <c r="Z123" s="22">
        <v>15.797599999999999</v>
      </c>
      <c r="AA123" s="22">
        <v>-1.3787799999999999E-2</v>
      </c>
      <c r="AB123" s="22">
        <v>113</v>
      </c>
      <c r="AC123" s="22">
        <v>1.2802100000000001</v>
      </c>
      <c r="AD123">
        <f t="shared" si="16"/>
        <v>17.021975308641974</v>
      </c>
      <c r="AE123">
        <f t="shared" si="17"/>
        <v>21.804809930864195</v>
      </c>
      <c r="AF123" s="9"/>
      <c r="AG123" s="22">
        <v>0.469055</v>
      </c>
      <c r="AH123" s="22">
        <v>19.717500000000001</v>
      </c>
      <c r="AI123" s="22">
        <v>-1.4559900000000001E-2</v>
      </c>
      <c r="AJ123" s="22">
        <v>113</v>
      </c>
      <c r="AK123" s="22">
        <v>0.46847499999999997</v>
      </c>
      <c r="AL123">
        <f t="shared" si="18"/>
        <v>17.975185185185186</v>
      </c>
      <c r="AM123">
        <f t="shared" si="19"/>
        <v>8.4313504870370366</v>
      </c>
      <c r="AP123" s="9"/>
      <c r="AQ123" s="22">
        <v>1.28098</v>
      </c>
      <c r="AR123" s="22">
        <v>25.280799999999999</v>
      </c>
      <c r="AS123" s="22">
        <v>-1.3806199999999999E-2</v>
      </c>
      <c r="AT123" s="22">
        <v>113</v>
      </c>
      <c r="AU123" s="22">
        <v>1.2799100000000001</v>
      </c>
      <c r="AV123">
        <f t="shared" si="20"/>
        <v>17.044691358024689</v>
      </c>
      <c r="AW123">
        <f t="shared" si="21"/>
        <v>21.833908735802467</v>
      </c>
      <c r="AX123" s="9"/>
      <c r="AY123" s="22">
        <v>0.469055</v>
      </c>
      <c r="AZ123" s="22">
        <v>29.200700000000001</v>
      </c>
      <c r="BA123" s="22">
        <v>-1.45813E-2</v>
      </c>
      <c r="BB123" s="22">
        <v>113</v>
      </c>
      <c r="BC123" s="22">
        <v>0.468414</v>
      </c>
      <c r="BD123">
        <f t="shared" si="22"/>
        <v>18.001604938271605</v>
      </c>
      <c r="BE123">
        <f t="shared" si="23"/>
        <v>8.443742804320987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6.3424199999999997</v>
      </c>
      <c r="I124" s="22">
        <v>-1.37634E-2</v>
      </c>
      <c r="J124" s="22">
        <v>114</v>
      </c>
      <c r="K124" s="22">
        <v>1.27502</v>
      </c>
      <c r="L124">
        <f t="shared" si="12"/>
        <v>16.991851851851852</v>
      </c>
      <c r="M124">
        <f t="shared" si="13"/>
        <v>21.680583451851852</v>
      </c>
      <c r="N124" s="9"/>
      <c r="O124" s="22">
        <v>0.47409099999999998</v>
      </c>
      <c r="P124" s="22">
        <v>10.2623</v>
      </c>
      <c r="Q124" s="22">
        <v>-1.45355E-2</v>
      </c>
      <c r="R124" s="22">
        <v>114</v>
      </c>
      <c r="S124" s="22">
        <v>0.47332800000000003</v>
      </c>
      <c r="T124">
        <f t="shared" si="14"/>
        <v>17.945061728395061</v>
      </c>
      <c r="U124">
        <f t="shared" si="15"/>
        <v>8.5075922598765423</v>
      </c>
      <c r="X124" s="9"/>
      <c r="Y124" s="22">
        <v>1.2759400000000001</v>
      </c>
      <c r="Z124" s="22">
        <v>15.807600000000001</v>
      </c>
      <c r="AA124" s="22">
        <v>-1.37909E-2</v>
      </c>
      <c r="AB124" s="22">
        <v>114</v>
      </c>
      <c r="AC124" s="22">
        <v>1.27502</v>
      </c>
      <c r="AD124">
        <f t="shared" si="16"/>
        <v>17.025802469135801</v>
      </c>
      <c r="AE124">
        <f t="shared" si="17"/>
        <v>21.723902402469136</v>
      </c>
      <c r="AF124" s="9"/>
      <c r="AG124" s="22">
        <v>0.47409099999999998</v>
      </c>
      <c r="AH124" s="22">
        <v>19.727599999999999</v>
      </c>
      <c r="AI124" s="22">
        <v>-1.4556899999999999E-2</v>
      </c>
      <c r="AJ124" s="22">
        <v>114</v>
      </c>
      <c r="AK124" s="22">
        <v>0.47348000000000001</v>
      </c>
      <c r="AL124">
        <f t="shared" si="18"/>
        <v>17.971481481481479</v>
      </c>
      <c r="AM124">
        <f t="shared" si="19"/>
        <v>8.5201176270370365</v>
      </c>
      <c r="AP124" s="9"/>
      <c r="AQ124" s="22">
        <v>1.2759400000000001</v>
      </c>
      <c r="AR124" s="22">
        <v>25.290900000000001</v>
      </c>
      <c r="AS124" s="22">
        <v>-1.3815300000000001E-2</v>
      </c>
      <c r="AT124" s="22">
        <v>114</v>
      </c>
      <c r="AU124" s="22">
        <v>1.27502</v>
      </c>
      <c r="AV124">
        <f t="shared" si="20"/>
        <v>17.055925925925926</v>
      </c>
      <c r="AW124">
        <f t="shared" si="21"/>
        <v>21.762338125925929</v>
      </c>
      <c r="AX124" s="9"/>
      <c r="AY124" s="22">
        <v>0.47409099999999998</v>
      </c>
      <c r="AZ124" s="22">
        <v>29.210799999999999</v>
      </c>
      <c r="BA124" s="22">
        <v>-1.4578199999999999E-2</v>
      </c>
      <c r="BB124" s="22">
        <v>114</v>
      </c>
      <c r="BC124" s="22">
        <v>0.473389</v>
      </c>
      <c r="BD124">
        <f t="shared" si="22"/>
        <v>17.997777777777777</v>
      </c>
      <c r="BE124">
        <f t="shared" si="23"/>
        <v>8.5325844644444437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6.3524900000000004</v>
      </c>
      <c r="I125" s="22">
        <v>-1.37695E-2</v>
      </c>
      <c r="J125" s="22">
        <v>115</v>
      </c>
      <c r="K125" s="22">
        <v>1.27014</v>
      </c>
      <c r="L125">
        <f t="shared" si="12"/>
        <v>16.999382716049382</v>
      </c>
      <c r="M125">
        <f t="shared" si="13"/>
        <v>21.604515493827158</v>
      </c>
      <c r="N125" s="9"/>
      <c r="O125" s="22">
        <v>0.479126</v>
      </c>
      <c r="P125" s="22">
        <v>10.272399999999999</v>
      </c>
      <c r="Q125" s="22">
        <v>-1.45294E-2</v>
      </c>
      <c r="R125" s="22">
        <v>115</v>
      </c>
      <c r="S125" s="22">
        <v>0.47833300000000001</v>
      </c>
      <c r="T125">
        <f t="shared" si="14"/>
        <v>17.93753086419753</v>
      </c>
      <c r="U125">
        <f t="shared" si="15"/>
        <v>8.594337412839506</v>
      </c>
      <c r="X125" s="9"/>
      <c r="Y125" s="22">
        <v>1.2708999999999999</v>
      </c>
      <c r="Z125" s="22">
        <v>15.8177</v>
      </c>
      <c r="AA125" s="22">
        <v>-1.38E-2</v>
      </c>
      <c r="AB125" s="22">
        <v>115</v>
      </c>
      <c r="AC125" s="22">
        <v>1.2698400000000001</v>
      </c>
      <c r="AD125">
        <f t="shared" si="16"/>
        <v>17.037037037037035</v>
      </c>
      <c r="AE125">
        <f t="shared" si="17"/>
        <v>21.652370370370367</v>
      </c>
      <c r="AF125" s="9"/>
      <c r="AG125" s="22">
        <v>0.479126</v>
      </c>
      <c r="AH125" s="22">
        <v>19.7376</v>
      </c>
      <c r="AI125" s="22">
        <v>-1.45538E-2</v>
      </c>
      <c r="AJ125" s="22">
        <v>115</v>
      </c>
      <c r="AK125" s="22">
        <v>0.478271</v>
      </c>
      <c r="AL125">
        <f t="shared" si="18"/>
        <v>17.967654320987652</v>
      </c>
      <c r="AM125">
        <f t="shared" si="19"/>
        <v>8.608770344197529</v>
      </c>
      <c r="AP125" s="9"/>
      <c r="AQ125" s="22">
        <v>1.2708999999999999</v>
      </c>
      <c r="AR125" s="22">
        <v>25.300899999999999</v>
      </c>
      <c r="AS125" s="22">
        <v>-1.3821399999999999E-2</v>
      </c>
      <c r="AT125" s="22">
        <v>115</v>
      </c>
      <c r="AU125" s="22">
        <v>1.2698400000000001</v>
      </c>
      <c r="AV125">
        <f t="shared" si="20"/>
        <v>17.063456790123453</v>
      </c>
      <c r="AW125">
        <f t="shared" si="21"/>
        <v>21.685947234567895</v>
      </c>
      <c r="AX125" s="9"/>
      <c r="AY125" s="22">
        <v>0.479126</v>
      </c>
      <c r="AZ125" s="22">
        <v>29.220800000000001</v>
      </c>
      <c r="BA125" s="22">
        <v>-1.45752E-2</v>
      </c>
      <c r="BB125" s="22">
        <v>115</v>
      </c>
      <c r="BC125" s="22">
        <v>0.478516</v>
      </c>
      <c r="BD125">
        <f t="shared" si="22"/>
        <v>17.994074074074071</v>
      </c>
      <c r="BE125">
        <f t="shared" si="23"/>
        <v>8.6214287348148133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6.3625600000000002</v>
      </c>
      <c r="I126" s="22">
        <v>-1.3772599999999999E-2</v>
      </c>
      <c r="J126" s="22">
        <v>116</v>
      </c>
      <c r="K126" s="22">
        <v>1.2652600000000001</v>
      </c>
      <c r="L126">
        <f t="shared" si="12"/>
        <v>17.00320987654321</v>
      </c>
      <c r="M126">
        <f t="shared" si="13"/>
        <v>21.523853286419754</v>
      </c>
      <c r="N126" s="9"/>
      <c r="O126" s="22">
        <v>0.48416100000000001</v>
      </c>
      <c r="P126" s="22">
        <v>10.282500000000001</v>
      </c>
      <c r="Q126" s="22">
        <v>-1.4523299999999999E-2</v>
      </c>
      <c r="R126" s="22">
        <v>116</v>
      </c>
      <c r="S126" s="22">
        <v>0.48345900000000003</v>
      </c>
      <c r="T126">
        <f t="shared" si="14"/>
        <v>17.93</v>
      </c>
      <c r="U126">
        <f t="shared" si="15"/>
        <v>8.68100673</v>
      </c>
      <c r="X126" s="9"/>
      <c r="Y126" s="22">
        <v>1.2658700000000001</v>
      </c>
      <c r="Z126" s="22">
        <v>15.8278</v>
      </c>
      <c r="AA126" s="22">
        <v>-1.38E-2</v>
      </c>
      <c r="AB126" s="22">
        <v>116</v>
      </c>
      <c r="AC126" s="22">
        <v>1.2652600000000001</v>
      </c>
      <c r="AD126">
        <f t="shared" si="16"/>
        <v>17.037037037037035</v>
      </c>
      <c r="AE126">
        <f t="shared" si="17"/>
        <v>21.566674074074072</v>
      </c>
      <c r="AF126" s="9"/>
      <c r="AG126" s="22">
        <v>0.48416100000000001</v>
      </c>
      <c r="AH126" s="22">
        <v>19.747699999999998</v>
      </c>
      <c r="AI126" s="22">
        <v>-1.4550799999999999E-2</v>
      </c>
      <c r="AJ126" s="22">
        <v>116</v>
      </c>
      <c r="AK126" s="22">
        <v>0.48367300000000002</v>
      </c>
      <c r="AL126">
        <f t="shared" si="18"/>
        <v>17.963950617283949</v>
      </c>
      <c r="AM126">
        <f t="shared" si="19"/>
        <v>8.6974442948148134</v>
      </c>
      <c r="AP126" s="9"/>
      <c r="AQ126" s="22">
        <v>1.2658700000000001</v>
      </c>
      <c r="AR126" s="22">
        <v>25.311</v>
      </c>
      <c r="AS126" s="22">
        <v>-1.38245E-2</v>
      </c>
      <c r="AT126" s="22">
        <v>116</v>
      </c>
      <c r="AU126" s="22">
        <v>1.2652600000000001</v>
      </c>
      <c r="AV126">
        <f t="shared" si="20"/>
        <v>17.067283950617281</v>
      </c>
      <c r="AW126">
        <f t="shared" si="21"/>
        <v>21.604962734567899</v>
      </c>
      <c r="AX126" s="9"/>
      <c r="AY126" s="22">
        <v>0.48416100000000001</v>
      </c>
      <c r="AZ126" s="22">
        <v>29.230899999999998</v>
      </c>
      <c r="BA126" s="22">
        <v>-1.45752E-2</v>
      </c>
      <c r="BB126" s="22">
        <v>116</v>
      </c>
      <c r="BC126" s="22">
        <v>0.48355100000000001</v>
      </c>
      <c r="BD126">
        <f t="shared" si="22"/>
        <v>17.994074074074071</v>
      </c>
      <c r="BE126">
        <f t="shared" si="23"/>
        <v>8.7120288977777758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6.37263</v>
      </c>
      <c r="I127" s="22">
        <v>-1.37787E-2</v>
      </c>
      <c r="J127" s="22">
        <v>117</v>
      </c>
      <c r="K127" s="22">
        <v>1.26007</v>
      </c>
      <c r="L127">
        <f t="shared" si="12"/>
        <v>17.01074074074074</v>
      </c>
      <c r="M127">
        <f t="shared" si="13"/>
        <v>21.447652248148145</v>
      </c>
      <c r="N127" s="9"/>
      <c r="O127" s="22">
        <v>0.48919699999999999</v>
      </c>
      <c r="P127" s="22">
        <v>10.2925</v>
      </c>
      <c r="Q127" s="22">
        <v>-1.4517199999999999E-2</v>
      </c>
      <c r="R127" s="22">
        <v>117</v>
      </c>
      <c r="S127" s="22">
        <v>0.488647</v>
      </c>
      <c r="T127">
        <f t="shared" si="14"/>
        <v>17.922469135802466</v>
      </c>
      <c r="U127">
        <f t="shared" si="15"/>
        <v>8.7676181338271579</v>
      </c>
      <c r="X127" s="9"/>
      <c r="Y127" s="22">
        <v>1.2608299999999999</v>
      </c>
      <c r="Z127" s="22">
        <v>15.837899999999999</v>
      </c>
      <c r="AA127" s="22">
        <v>-1.3806199999999999E-2</v>
      </c>
      <c r="AB127" s="22">
        <v>117</v>
      </c>
      <c r="AC127" s="22">
        <v>1.2597700000000001</v>
      </c>
      <c r="AD127">
        <f t="shared" si="16"/>
        <v>17.044691358024689</v>
      </c>
      <c r="AE127">
        <f t="shared" si="17"/>
        <v>21.490458204938268</v>
      </c>
      <c r="AF127" s="9"/>
      <c r="AG127" s="22">
        <v>0.48919699999999999</v>
      </c>
      <c r="AH127" s="22">
        <v>19.7578</v>
      </c>
      <c r="AI127" s="22">
        <v>-1.45477E-2</v>
      </c>
      <c r="AJ127" s="22">
        <v>117</v>
      </c>
      <c r="AK127" s="22">
        <v>0.48840299999999998</v>
      </c>
      <c r="AL127">
        <f t="shared" si="18"/>
        <v>17.960123456790122</v>
      </c>
      <c r="AM127">
        <f t="shared" si="19"/>
        <v>8.7860385146913575</v>
      </c>
      <c r="AP127" s="9"/>
      <c r="AQ127" s="22">
        <v>1.2608299999999999</v>
      </c>
      <c r="AR127" s="22">
        <v>25.321100000000001</v>
      </c>
      <c r="AS127" s="22">
        <v>-1.38306E-2</v>
      </c>
      <c r="AT127" s="22">
        <v>117</v>
      </c>
      <c r="AU127" s="22">
        <v>1.26007</v>
      </c>
      <c r="AV127">
        <f t="shared" si="20"/>
        <v>17.074814814814815</v>
      </c>
      <c r="AW127">
        <f t="shared" si="21"/>
        <v>21.52843876296296</v>
      </c>
      <c r="AX127" s="9"/>
      <c r="AY127" s="22">
        <v>0.48919699999999999</v>
      </c>
      <c r="AZ127" s="22">
        <v>29.241</v>
      </c>
      <c r="BA127" s="22">
        <v>-1.45752E-2</v>
      </c>
      <c r="BB127" s="22">
        <v>117</v>
      </c>
      <c r="BC127" s="22">
        <v>0.48858600000000002</v>
      </c>
      <c r="BD127">
        <f t="shared" si="22"/>
        <v>17.994074074074071</v>
      </c>
      <c r="BE127">
        <f t="shared" si="23"/>
        <v>8.8026470548148126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6.3826999999999998</v>
      </c>
      <c r="I128" s="22">
        <v>-1.37787E-2</v>
      </c>
      <c r="J128" s="22">
        <v>118</v>
      </c>
      <c r="K128" s="22">
        <v>1.25458</v>
      </c>
      <c r="L128">
        <f t="shared" si="12"/>
        <v>17.01074074074074</v>
      </c>
      <c r="M128">
        <f t="shared" si="13"/>
        <v>21.362088222222223</v>
      </c>
      <c r="N128" s="9"/>
      <c r="O128" s="22">
        <v>0.494232</v>
      </c>
      <c r="P128" s="22">
        <v>10.3026</v>
      </c>
      <c r="Q128" s="22">
        <v>-1.4511100000000001E-2</v>
      </c>
      <c r="R128" s="22">
        <v>118</v>
      </c>
      <c r="S128" s="22">
        <v>0.49371300000000001</v>
      </c>
      <c r="T128">
        <f t="shared" si="14"/>
        <v>17.914938271604939</v>
      </c>
      <c r="U128">
        <f t="shared" si="15"/>
        <v>8.854135771851853</v>
      </c>
      <c r="X128" s="9"/>
      <c r="Y128" s="22">
        <v>1.2558</v>
      </c>
      <c r="Z128" s="22">
        <v>15.847899999999999</v>
      </c>
      <c r="AA128" s="22">
        <v>-1.38123E-2</v>
      </c>
      <c r="AB128" s="22">
        <v>118</v>
      </c>
      <c r="AC128" s="22">
        <v>1.25488</v>
      </c>
      <c r="AD128">
        <f t="shared" si="16"/>
        <v>17.052222222222223</v>
      </c>
      <c r="AE128">
        <f t="shared" si="17"/>
        <v>21.414180666666667</v>
      </c>
      <c r="AF128" s="9"/>
      <c r="AG128" s="22">
        <v>0.494232</v>
      </c>
      <c r="AH128" s="22">
        <v>19.767900000000001</v>
      </c>
      <c r="AI128" s="22">
        <v>-1.4544700000000001E-2</v>
      </c>
      <c r="AJ128" s="22">
        <v>118</v>
      </c>
      <c r="AK128" s="22">
        <v>0.49353000000000002</v>
      </c>
      <c r="AL128">
        <f t="shared" si="18"/>
        <v>17.956419753086422</v>
      </c>
      <c r="AM128">
        <f t="shared" si="19"/>
        <v>8.8746372474074082</v>
      </c>
      <c r="AP128" s="9"/>
      <c r="AQ128" s="22">
        <v>1.2558</v>
      </c>
      <c r="AR128" s="22">
        <v>25.331199999999999</v>
      </c>
      <c r="AS128" s="22">
        <v>-1.38367E-2</v>
      </c>
      <c r="AT128" s="22">
        <v>118</v>
      </c>
      <c r="AU128" s="22">
        <v>1.25549</v>
      </c>
      <c r="AV128">
        <f t="shared" si="20"/>
        <v>17.082345679012345</v>
      </c>
      <c r="AW128">
        <f t="shared" si="21"/>
        <v>21.452009703703702</v>
      </c>
      <c r="AX128" s="9"/>
      <c r="AY128" s="22">
        <v>0.494232</v>
      </c>
      <c r="AZ128" s="22">
        <v>29.251100000000001</v>
      </c>
      <c r="BA128" s="22">
        <v>-1.4572099999999999E-2</v>
      </c>
      <c r="BB128" s="22">
        <v>118</v>
      </c>
      <c r="BC128" s="22">
        <v>0.49353000000000002</v>
      </c>
      <c r="BD128">
        <f t="shared" si="22"/>
        <v>17.990246913580243</v>
      </c>
      <c r="BE128">
        <f t="shared" si="23"/>
        <v>8.8913557125925902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6.3927699999999996</v>
      </c>
      <c r="I129" s="22">
        <v>-1.3781699999999999E-2</v>
      </c>
      <c r="J129" s="22">
        <v>119</v>
      </c>
      <c r="K129" s="22">
        <v>1.24939</v>
      </c>
      <c r="L129">
        <f t="shared" si="12"/>
        <v>17.014444444444443</v>
      </c>
      <c r="M129">
        <f t="shared" si="13"/>
        <v>21.280986533333333</v>
      </c>
      <c r="N129" s="9"/>
      <c r="O129" s="22">
        <v>0.49926799999999999</v>
      </c>
      <c r="P129" s="22">
        <v>10.3127</v>
      </c>
      <c r="Q129" s="22">
        <v>-1.4511100000000001E-2</v>
      </c>
      <c r="R129" s="22">
        <v>119</v>
      </c>
      <c r="S129" s="22">
        <v>0.49838300000000002</v>
      </c>
      <c r="T129">
        <f t="shared" si="14"/>
        <v>17.914938271604939</v>
      </c>
      <c r="U129">
        <f t="shared" si="15"/>
        <v>8.9443554009876536</v>
      </c>
      <c r="X129" s="9"/>
      <c r="Y129" s="22">
        <v>1.2507600000000001</v>
      </c>
      <c r="Z129" s="22">
        <v>15.858000000000001</v>
      </c>
      <c r="AA129" s="22">
        <v>-1.3815300000000001E-2</v>
      </c>
      <c r="AB129" s="22">
        <v>119</v>
      </c>
      <c r="AC129" s="22">
        <v>1.25</v>
      </c>
      <c r="AD129">
        <f t="shared" si="16"/>
        <v>17.055925925925926</v>
      </c>
      <c r="AE129">
        <f t="shared" si="17"/>
        <v>21.332869911111114</v>
      </c>
      <c r="AF129" s="9"/>
      <c r="AG129" s="22">
        <v>0.49926799999999999</v>
      </c>
      <c r="AH129" s="22">
        <v>19.777899999999999</v>
      </c>
      <c r="AI129" s="22">
        <v>-1.45386E-2</v>
      </c>
      <c r="AJ129" s="22">
        <v>119</v>
      </c>
      <c r="AK129" s="22">
        <v>0.49868800000000002</v>
      </c>
      <c r="AL129">
        <f t="shared" si="18"/>
        <v>17.948888888888888</v>
      </c>
      <c r="AM129">
        <f t="shared" si="19"/>
        <v>8.9613058577777771</v>
      </c>
      <c r="AP129" s="9"/>
      <c r="AQ129" s="22">
        <v>1.2507600000000001</v>
      </c>
      <c r="AR129" s="22">
        <v>25.341200000000001</v>
      </c>
      <c r="AS129" s="22">
        <v>-1.38458E-2</v>
      </c>
      <c r="AT129" s="22">
        <v>119</v>
      </c>
      <c r="AU129" s="22">
        <v>1.24939</v>
      </c>
      <c r="AV129">
        <f t="shared" si="20"/>
        <v>17.093580246913579</v>
      </c>
      <c r="AW129">
        <f t="shared" si="21"/>
        <v>21.379966429629629</v>
      </c>
      <c r="AX129" s="9"/>
      <c r="AY129" s="22">
        <v>0.49926799999999999</v>
      </c>
      <c r="AZ129" s="22">
        <v>29.261099999999999</v>
      </c>
      <c r="BA129" s="22">
        <v>-1.4566000000000001E-2</v>
      </c>
      <c r="BB129" s="22">
        <v>119</v>
      </c>
      <c r="BC129" s="22">
        <v>0.49871799999999999</v>
      </c>
      <c r="BD129">
        <f t="shared" si="22"/>
        <v>17.982716049382717</v>
      </c>
      <c r="BE129">
        <f t="shared" si="23"/>
        <v>8.9781946765432092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6.4028400000000003</v>
      </c>
      <c r="I130" s="22">
        <v>-1.3787799999999999E-2</v>
      </c>
      <c r="J130" s="22">
        <v>120</v>
      </c>
      <c r="K130" s="22">
        <v>1.24542</v>
      </c>
      <c r="L130">
        <f t="shared" si="12"/>
        <v>17.021975308641974</v>
      </c>
      <c r="M130">
        <f t="shared" si="13"/>
        <v>21.204785301234566</v>
      </c>
      <c r="N130" s="9"/>
      <c r="O130" s="22">
        <v>0.50430299999999995</v>
      </c>
      <c r="P130" s="22">
        <v>10.322699999999999</v>
      </c>
      <c r="Q130" s="22">
        <v>-1.4511100000000001E-2</v>
      </c>
      <c r="R130" s="22">
        <v>120</v>
      </c>
      <c r="S130" s="22">
        <v>0.50351000000000001</v>
      </c>
      <c r="T130">
        <f t="shared" si="14"/>
        <v>17.914938271604939</v>
      </c>
      <c r="U130">
        <f t="shared" si="15"/>
        <v>9.0345571151851853</v>
      </c>
      <c r="X130" s="9"/>
      <c r="Y130" s="22">
        <v>1.24573</v>
      </c>
      <c r="Z130" s="22">
        <v>15.8681</v>
      </c>
      <c r="AA130" s="22">
        <v>-1.38245E-2</v>
      </c>
      <c r="AB130" s="22">
        <v>120</v>
      </c>
      <c r="AC130" s="22">
        <v>1.24451</v>
      </c>
      <c r="AD130">
        <f t="shared" si="16"/>
        <v>17.067283950617281</v>
      </c>
      <c r="AE130">
        <f t="shared" si="17"/>
        <v>21.261227635802467</v>
      </c>
      <c r="AF130" s="9"/>
      <c r="AG130" s="22">
        <v>0.50430299999999995</v>
      </c>
      <c r="AH130" s="22">
        <v>19.788</v>
      </c>
      <c r="AI130" s="22">
        <v>-1.45294E-2</v>
      </c>
      <c r="AJ130" s="22">
        <v>120</v>
      </c>
      <c r="AK130" s="22">
        <v>0.50369299999999995</v>
      </c>
      <c r="AL130">
        <f t="shared" si="18"/>
        <v>17.93753086419753</v>
      </c>
      <c r="AM130">
        <f t="shared" si="19"/>
        <v>9.0459506274074055</v>
      </c>
      <c r="AP130" s="9"/>
      <c r="AQ130" s="22">
        <v>1.24573</v>
      </c>
      <c r="AR130" s="22">
        <v>25.351299999999998</v>
      </c>
      <c r="AS130" s="22">
        <v>-1.38519E-2</v>
      </c>
      <c r="AT130" s="22">
        <v>120</v>
      </c>
      <c r="AU130" s="22">
        <v>1.24512</v>
      </c>
      <c r="AV130">
        <f t="shared" si="20"/>
        <v>17.101111111111113</v>
      </c>
      <c r="AW130">
        <f t="shared" si="21"/>
        <v>21.303367144444447</v>
      </c>
      <c r="AX130" s="9"/>
      <c r="AY130" s="22">
        <v>0.50430299999999995</v>
      </c>
      <c r="AZ130" s="22">
        <v>29.2712</v>
      </c>
      <c r="BA130" s="22">
        <v>-1.4559900000000001E-2</v>
      </c>
      <c r="BB130" s="22">
        <v>120</v>
      </c>
      <c r="BC130" s="22">
        <v>0.50351000000000001</v>
      </c>
      <c r="BD130">
        <f t="shared" si="22"/>
        <v>17.975185185185186</v>
      </c>
      <c r="BE130">
        <f t="shared" si="23"/>
        <v>9.0649398144444433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6.4129199999999997</v>
      </c>
      <c r="I131" s="22">
        <v>-1.3797E-2</v>
      </c>
      <c r="J131" s="22">
        <v>121</v>
      </c>
      <c r="K131" s="22">
        <v>1.23993</v>
      </c>
      <c r="L131">
        <f t="shared" si="12"/>
        <v>17.033333333333331</v>
      </c>
      <c r="M131">
        <f t="shared" si="13"/>
        <v>21.133086333333331</v>
      </c>
      <c r="N131" s="9"/>
      <c r="O131" s="22">
        <v>0.50933799999999996</v>
      </c>
      <c r="P131" s="22">
        <v>10.332800000000001</v>
      </c>
      <c r="Q131" s="22">
        <v>-1.4505000000000001E-2</v>
      </c>
      <c r="R131" s="22">
        <v>121</v>
      </c>
      <c r="S131" s="22">
        <v>0.50848400000000005</v>
      </c>
      <c r="T131">
        <f t="shared" si="14"/>
        <v>17.907407407407408</v>
      </c>
      <c r="U131">
        <f t="shared" si="15"/>
        <v>9.1209230740740743</v>
      </c>
      <c r="X131" s="9"/>
      <c r="Y131" s="22">
        <v>1.2406900000000001</v>
      </c>
      <c r="Z131" s="22">
        <v>15.8781</v>
      </c>
      <c r="AA131" s="22">
        <v>-1.38336E-2</v>
      </c>
      <c r="AB131" s="22">
        <v>121</v>
      </c>
      <c r="AC131" s="22">
        <v>1.2396199999999999</v>
      </c>
      <c r="AD131">
        <f t="shared" si="16"/>
        <v>17.078518518518518</v>
      </c>
      <c r="AE131">
        <f t="shared" si="17"/>
        <v>21.18914714074074</v>
      </c>
      <c r="AF131" s="9"/>
      <c r="AG131" s="22">
        <v>0.50933799999999996</v>
      </c>
      <c r="AH131" s="22">
        <v>19.798100000000002</v>
      </c>
      <c r="AI131" s="22">
        <v>-1.4523299999999999E-2</v>
      </c>
      <c r="AJ131" s="22">
        <v>121</v>
      </c>
      <c r="AK131" s="22">
        <v>0.50848400000000005</v>
      </c>
      <c r="AL131">
        <f t="shared" si="18"/>
        <v>17.93</v>
      </c>
      <c r="AM131">
        <f t="shared" si="19"/>
        <v>9.1324303399999991</v>
      </c>
      <c r="AP131" s="9"/>
      <c r="AQ131" s="22">
        <v>1.2406900000000001</v>
      </c>
      <c r="AR131" s="22">
        <v>25.3614</v>
      </c>
      <c r="AS131" s="22">
        <v>-1.3854999999999999E-2</v>
      </c>
      <c r="AT131" s="22">
        <v>121</v>
      </c>
      <c r="AU131" s="22">
        <v>1.23993</v>
      </c>
      <c r="AV131">
        <f t="shared" si="20"/>
        <v>17.104938271604937</v>
      </c>
      <c r="AW131">
        <f t="shared" si="21"/>
        <v>21.22192586419753</v>
      </c>
      <c r="AX131" s="9"/>
      <c r="AY131" s="22">
        <v>0.50933799999999996</v>
      </c>
      <c r="AZ131" s="22">
        <v>29.281300000000002</v>
      </c>
      <c r="BA131" s="22">
        <v>-1.4556899999999999E-2</v>
      </c>
      <c r="BB131" s="22">
        <v>121</v>
      </c>
      <c r="BC131" s="22">
        <v>0.50872799999999996</v>
      </c>
      <c r="BD131">
        <f t="shared" si="22"/>
        <v>17.971481481481479</v>
      </c>
      <c r="BE131">
        <f t="shared" si="23"/>
        <v>9.1535584348148138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6.4229900000000004</v>
      </c>
      <c r="I132" s="22">
        <v>-1.38031E-2</v>
      </c>
      <c r="J132" s="22">
        <v>122</v>
      </c>
      <c r="K132" s="22">
        <v>1.2347399999999999</v>
      </c>
      <c r="L132">
        <f t="shared" si="12"/>
        <v>17.040864197530862</v>
      </c>
      <c r="M132">
        <f t="shared" si="13"/>
        <v>21.056714254320983</v>
      </c>
      <c r="N132" s="9"/>
      <c r="O132" s="22">
        <v>0.514374</v>
      </c>
      <c r="P132" s="22">
        <v>10.3429</v>
      </c>
      <c r="Q132" s="22">
        <v>-1.44989E-2</v>
      </c>
      <c r="R132" s="22">
        <v>122</v>
      </c>
      <c r="S132" s="22">
        <v>0.51364100000000001</v>
      </c>
      <c r="T132">
        <f t="shared" si="14"/>
        <v>17.899876543209874</v>
      </c>
      <c r="U132">
        <f t="shared" si="15"/>
        <v>9.2072310970370363</v>
      </c>
      <c r="X132" s="9"/>
      <c r="Y132" s="22">
        <v>1.23566</v>
      </c>
      <c r="Z132" s="22">
        <v>15.888199999999999</v>
      </c>
      <c r="AA132" s="22">
        <v>-1.38367E-2</v>
      </c>
      <c r="AB132" s="22">
        <v>122</v>
      </c>
      <c r="AC132" s="22">
        <v>1.2341299999999999</v>
      </c>
      <c r="AD132">
        <f t="shared" si="16"/>
        <v>17.082345679012345</v>
      </c>
      <c r="AE132">
        <f t="shared" si="17"/>
        <v>21.107971261728395</v>
      </c>
      <c r="AF132" s="9"/>
      <c r="AG132" s="22">
        <v>0.514374</v>
      </c>
      <c r="AH132" s="22">
        <v>19.8081</v>
      </c>
      <c r="AI132" s="22">
        <v>-1.45203E-2</v>
      </c>
      <c r="AJ132" s="22">
        <v>122</v>
      </c>
      <c r="AK132" s="22">
        <v>0.51354999999999995</v>
      </c>
      <c r="AL132">
        <f t="shared" si="18"/>
        <v>17.926296296296293</v>
      </c>
      <c r="AM132">
        <f t="shared" si="19"/>
        <v>9.2208207311111092</v>
      </c>
      <c r="AP132" s="9"/>
      <c r="AQ132" s="22">
        <v>1.23566</v>
      </c>
      <c r="AR132" s="22">
        <v>25.371400000000001</v>
      </c>
      <c r="AS132" s="22">
        <v>-1.3858000000000001E-2</v>
      </c>
      <c r="AT132" s="22">
        <v>122</v>
      </c>
      <c r="AU132" s="22">
        <v>1.23444</v>
      </c>
      <c r="AV132">
        <f t="shared" si="20"/>
        <v>17.10864197530864</v>
      </c>
      <c r="AW132">
        <f t="shared" si="21"/>
        <v>21.140464543209873</v>
      </c>
      <c r="AX132" s="9"/>
      <c r="AY132" s="22">
        <v>0.514374</v>
      </c>
      <c r="AZ132" s="22">
        <v>29.2913</v>
      </c>
      <c r="BA132" s="22">
        <v>-1.4550799999999999E-2</v>
      </c>
      <c r="BB132" s="22">
        <v>122</v>
      </c>
      <c r="BC132" s="22">
        <v>0.51358000000000004</v>
      </c>
      <c r="BD132">
        <f t="shared" si="22"/>
        <v>17.963950617283949</v>
      </c>
      <c r="BE132">
        <f t="shared" si="23"/>
        <v>9.2401891348148144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6.4330600000000002</v>
      </c>
      <c r="I133" s="22">
        <v>-1.3809200000000001E-2</v>
      </c>
      <c r="J133" s="22">
        <v>123</v>
      </c>
      <c r="K133" s="22">
        <v>1.22986</v>
      </c>
      <c r="L133">
        <f t="shared" si="12"/>
        <v>17.048395061728392</v>
      </c>
      <c r="M133">
        <f t="shared" si="13"/>
        <v>20.980095930864195</v>
      </c>
      <c r="N133" s="9"/>
      <c r="O133" s="22">
        <v>0.51940900000000001</v>
      </c>
      <c r="P133" s="22">
        <v>10.353</v>
      </c>
      <c r="Q133" s="22">
        <v>-1.4489699999999999E-2</v>
      </c>
      <c r="R133" s="22">
        <v>123</v>
      </c>
      <c r="S133" s="22">
        <v>0.51855499999999999</v>
      </c>
      <c r="T133">
        <f t="shared" si="14"/>
        <v>17.888518518518516</v>
      </c>
      <c r="U133">
        <f t="shared" si="15"/>
        <v>9.2914575151851846</v>
      </c>
      <c r="X133" s="9"/>
      <c r="Y133" s="22">
        <v>1.23062</v>
      </c>
      <c r="Z133" s="22">
        <v>15.898300000000001</v>
      </c>
      <c r="AA133" s="22">
        <v>-1.3842800000000001E-2</v>
      </c>
      <c r="AB133" s="22">
        <v>123</v>
      </c>
      <c r="AC133" s="22">
        <v>1.2295499999999999</v>
      </c>
      <c r="AD133">
        <f t="shared" si="16"/>
        <v>17.089876543209876</v>
      </c>
      <c r="AE133">
        <f t="shared" si="17"/>
        <v>21.031143871604939</v>
      </c>
      <c r="AF133" s="9"/>
      <c r="AG133" s="22">
        <v>0.51940900000000001</v>
      </c>
      <c r="AH133" s="22">
        <v>19.818200000000001</v>
      </c>
      <c r="AI133" s="22">
        <v>-1.45142E-2</v>
      </c>
      <c r="AJ133" s="22">
        <v>123</v>
      </c>
      <c r="AK133" s="22">
        <v>0.51864600000000005</v>
      </c>
      <c r="AL133">
        <f t="shared" si="18"/>
        <v>17.918765432098763</v>
      </c>
      <c r="AM133">
        <f t="shared" si="19"/>
        <v>9.3071680343209859</v>
      </c>
      <c r="AP133" s="9"/>
      <c r="AQ133" s="22">
        <v>1.23062</v>
      </c>
      <c r="AR133" s="22">
        <v>25.381499999999999</v>
      </c>
      <c r="AS133" s="22">
        <v>-1.3864100000000001E-2</v>
      </c>
      <c r="AT133" s="22">
        <v>123</v>
      </c>
      <c r="AU133" s="22">
        <v>1.22925</v>
      </c>
      <c r="AV133">
        <f t="shared" si="20"/>
        <v>17.11617283950617</v>
      </c>
      <c r="AW133">
        <f t="shared" si="21"/>
        <v>21.063504619753083</v>
      </c>
      <c r="AX133" s="9"/>
      <c r="AY133" s="22">
        <v>0.51940900000000001</v>
      </c>
      <c r="AZ133" s="22">
        <v>29.301400000000001</v>
      </c>
      <c r="BA133" s="22">
        <v>-1.4544700000000001E-2</v>
      </c>
      <c r="BB133" s="22">
        <v>123</v>
      </c>
      <c r="BC133" s="22">
        <v>0.51867700000000005</v>
      </c>
      <c r="BD133">
        <f t="shared" si="22"/>
        <v>17.956419753086422</v>
      </c>
      <c r="BE133">
        <f t="shared" si="23"/>
        <v>9.3267260275308654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6.44313</v>
      </c>
      <c r="I134" s="22">
        <v>-1.3815300000000001E-2</v>
      </c>
      <c r="J134" s="22">
        <v>124</v>
      </c>
      <c r="K134" s="22">
        <v>1.2240599999999999</v>
      </c>
      <c r="L134">
        <f t="shared" si="12"/>
        <v>17.055925925925926</v>
      </c>
      <c r="M134">
        <f t="shared" si="13"/>
        <v>20.903572255555556</v>
      </c>
      <c r="N134" s="9"/>
      <c r="O134" s="22">
        <v>0.52444500000000005</v>
      </c>
      <c r="P134" s="22">
        <v>10.363</v>
      </c>
      <c r="Q134" s="22">
        <v>-1.4483599999999999E-2</v>
      </c>
      <c r="R134" s="22">
        <v>124</v>
      </c>
      <c r="S134" s="22">
        <v>0.52380400000000005</v>
      </c>
      <c r="T134">
        <f t="shared" si="14"/>
        <v>17.880987654320986</v>
      </c>
      <c r="U134">
        <f t="shared" si="15"/>
        <v>9.3775945703703698</v>
      </c>
      <c r="X134" s="9"/>
      <c r="Y134" s="22">
        <v>1.22559</v>
      </c>
      <c r="Z134" s="22">
        <v>15.908300000000001</v>
      </c>
      <c r="AA134" s="22">
        <v>-1.38458E-2</v>
      </c>
      <c r="AB134" s="22">
        <v>124</v>
      </c>
      <c r="AC134" s="22">
        <v>1.22498</v>
      </c>
      <c r="AD134">
        <f t="shared" si="16"/>
        <v>17.093580246913579</v>
      </c>
      <c r="AE134">
        <f t="shared" si="17"/>
        <v>20.949721014814813</v>
      </c>
      <c r="AF134" s="9"/>
      <c r="AG134" s="22">
        <v>0.52444500000000005</v>
      </c>
      <c r="AH134" s="22">
        <v>19.828299999999999</v>
      </c>
      <c r="AI134" s="22">
        <v>-1.4511100000000001E-2</v>
      </c>
      <c r="AJ134" s="22">
        <v>124</v>
      </c>
      <c r="AK134" s="22">
        <v>0.52377300000000004</v>
      </c>
      <c r="AL134">
        <f t="shared" si="18"/>
        <v>17.914938271604939</v>
      </c>
      <c r="AM134">
        <f t="shared" si="19"/>
        <v>9.3953998018518536</v>
      </c>
      <c r="AP134" s="9"/>
      <c r="AQ134" s="22">
        <v>1.22559</v>
      </c>
      <c r="AR134" s="22">
        <v>25.3916</v>
      </c>
      <c r="AS134" s="22">
        <v>-1.3870199999999999E-2</v>
      </c>
      <c r="AT134" s="22">
        <v>124</v>
      </c>
      <c r="AU134" s="22">
        <v>1.2237499999999999</v>
      </c>
      <c r="AV134">
        <f t="shared" si="20"/>
        <v>17.123703703703701</v>
      </c>
      <c r="AW134">
        <f t="shared" si="21"/>
        <v>20.986640022222218</v>
      </c>
      <c r="AX134" s="9"/>
      <c r="AY134" s="22">
        <v>0.52444500000000005</v>
      </c>
      <c r="AZ134" s="22">
        <v>29.311499999999999</v>
      </c>
      <c r="BA134" s="22">
        <v>-1.45386E-2</v>
      </c>
      <c r="BB134" s="22">
        <v>124</v>
      </c>
      <c r="BC134" s="22">
        <v>0.52359</v>
      </c>
      <c r="BD134">
        <f t="shared" si="22"/>
        <v>17.948888888888888</v>
      </c>
      <c r="BE134">
        <f t="shared" si="23"/>
        <v>9.4132050333333339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6.4531999999999998</v>
      </c>
      <c r="I135" s="22">
        <v>-1.3821399999999999E-2</v>
      </c>
      <c r="J135" s="22">
        <v>125</v>
      </c>
      <c r="K135" s="22">
        <v>1.2188699999999999</v>
      </c>
      <c r="L135">
        <f t="shared" si="12"/>
        <v>17.063456790123453</v>
      </c>
      <c r="M135">
        <f t="shared" si="13"/>
        <v>20.82680218518518</v>
      </c>
      <c r="N135" s="9"/>
      <c r="O135" s="22">
        <v>0.52947999999999995</v>
      </c>
      <c r="P135" s="22">
        <v>10.373100000000001</v>
      </c>
      <c r="Q135" s="22">
        <v>-1.4477500000000001E-2</v>
      </c>
      <c r="R135" s="22">
        <v>125</v>
      </c>
      <c r="S135" s="22">
        <v>0.52880899999999997</v>
      </c>
      <c r="T135">
        <f t="shared" si="14"/>
        <v>17.873456790123456</v>
      </c>
      <c r="U135">
        <f t="shared" si="15"/>
        <v>9.4636379012345664</v>
      </c>
      <c r="X135" s="9"/>
      <c r="Y135" s="22">
        <v>1.22055</v>
      </c>
      <c r="Z135" s="22">
        <v>15.9184</v>
      </c>
      <c r="AA135" s="22">
        <v>-1.3848900000000001E-2</v>
      </c>
      <c r="AB135" s="22">
        <v>125</v>
      </c>
      <c r="AC135" s="22">
        <v>1.2197899999999999</v>
      </c>
      <c r="AD135">
        <f t="shared" si="16"/>
        <v>17.09740740740741</v>
      </c>
      <c r="AE135">
        <f t="shared" si="17"/>
        <v>20.868240611111116</v>
      </c>
      <c r="AF135" s="9"/>
      <c r="AG135" s="22">
        <v>0.52947999999999995</v>
      </c>
      <c r="AH135" s="22">
        <v>19.8384</v>
      </c>
      <c r="AI135" s="22">
        <v>-1.4505000000000001E-2</v>
      </c>
      <c r="AJ135" s="22">
        <v>125</v>
      </c>
      <c r="AK135" s="22">
        <v>0.52877799999999997</v>
      </c>
      <c r="AL135">
        <f t="shared" si="18"/>
        <v>17.907407407407408</v>
      </c>
      <c r="AM135">
        <f t="shared" si="19"/>
        <v>9.4816140740740735</v>
      </c>
      <c r="AP135" s="9"/>
      <c r="AQ135" s="22">
        <v>1.22055</v>
      </c>
      <c r="AR135" s="22">
        <v>25.401700000000002</v>
      </c>
      <c r="AS135" s="22">
        <v>-1.3870199999999999E-2</v>
      </c>
      <c r="AT135" s="22">
        <v>125</v>
      </c>
      <c r="AU135" s="22">
        <v>1.2194799999999999</v>
      </c>
      <c r="AV135">
        <f t="shared" si="20"/>
        <v>17.123703703703701</v>
      </c>
      <c r="AW135">
        <f t="shared" si="21"/>
        <v>20.900336555555551</v>
      </c>
      <c r="AX135" s="9"/>
      <c r="AY135" s="22">
        <v>0.52947999999999995</v>
      </c>
      <c r="AZ135" s="22">
        <v>29.3215</v>
      </c>
      <c r="BA135" s="22">
        <v>-1.45294E-2</v>
      </c>
      <c r="BB135" s="22">
        <v>125</v>
      </c>
      <c r="BC135" s="22">
        <v>0.52853399999999995</v>
      </c>
      <c r="BD135">
        <f t="shared" si="22"/>
        <v>17.93753086419753</v>
      </c>
      <c r="BE135">
        <f t="shared" si="23"/>
        <v>9.4975638419753068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6.4632699999999996</v>
      </c>
      <c r="I136" s="22">
        <v>-1.38245E-2</v>
      </c>
      <c r="J136" s="22">
        <v>126</v>
      </c>
      <c r="K136" s="22">
        <v>1.2145999999999999</v>
      </c>
      <c r="L136">
        <f t="shared" si="12"/>
        <v>17.067283950617281</v>
      </c>
      <c r="M136">
        <f t="shared" si="13"/>
        <v>20.745624987654317</v>
      </c>
      <c r="N136" s="9"/>
      <c r="O136" s="22">
        <v>0.53451499999999996</v>
      </c>
      <c r="P136" s="22">
        <v>10.3832</v>
      </c>
      <c r="Q136" s="22">
        <v>-1.4468399999999999E-2</v>
      </c>
      <c r="R136" s="22">
        <v>126</v>
      </c>
      <c r="S136" s="22">
        <v>0.53378300000000001</v>
      </c>
      <c r="T136">
        <f t="shared" si="14"/>
        <v>17.862222222222222</v>
      </c>
      <c r="U136">
        <f t="shared" si="15"/>
        <v>9.5476257111111096</v>
      </c>
      <c r="X136" s="9"/>
      <c r="Y136" s="22">
        <v>1.2155199999999999</v>
      </c>
      <c r="Z136" s="22">
        <v>15.9285</v>
      </c>
      <c r="AA136" s="22">
        <v>-1.3848900000000001E-2</v>
      </c>
      <c r="AB136" s="22">
        <v>126</v>
      </c>
      <c r="AC136" s="22">
        <v>1.2142900000000001</v>
      </c>
      <c r="AD136">
        <f t="shared" si="16"/>
        <v>17.09740740740741</v>
      </c>
      <c r="AE136">
        <f t="shared" si="17"/>
        <v>20.782240651851854</v>
      </c>
      <c r="AF136" s="9"/>
      <c r="AG136" s="22">
        <v>0.53451499999999996</v>
      </c>
      <c r="AH136" s="22">
        <v>19.848400000000002</v>
      </c>
      <c r="AI136" s="22">
        <v>-1.4501999999999999E-2</v>
      </c>
      <c r="AJ136" s="22">
        <v>126</v>
      </c>
      <c r="AK136" s="22">
        <v>0.53384399999999999</v>
      </c>
      <c r="AL136">
        <f t="shared" si="18"/>
        <v>17.903703703703702</v>
      </c>
      <c r="AM136">
        <f t="shared" si="19"/>
        <v>9.5697981851851832</v>
      </c>
      <c r="AP136" s="9"/>
      <c r="AQ136" s="22">
        <v>1.2155199999999999</v>
      </c>
      <c r="AR136" s="22">
        <v>25.4117</v>
      </c>
      <c r="AS136" s="22">
        <v>-1.3876299999999999E-2</v>
      </c>
      <c r="AT136" s="22">
        <v>126</v>
      </c>
      <c r="AU136" s="22">
        <v>1.2139899999999999</v>
      </c>
      <c r="AV136">
        <f t="shared" si="20"/>
        <v>17.131234567901231</v>
      </c>
      <c r="AW136">
        <f t="shared" si="21"/>
        <v>20.823358241975303</v>
      </c>
      <c r="AX136" s="9"/>
      <c r="AY136" s="22">
        <v>0.53451499999999996</v>
      </c>
      <c r="AZ136" s="22">
        <v>29.331600000000002</v>
      </c>
      <c r="BA136" s="22">
        <v>-1.45264E-2</v>
      </c>
      <c r="BB136" s="22">
        <v>126</v>
      </c>
      <c r="BC136" s="22">
        <v>0.53369100000000003</v>
      </c>
      <c r="BD136">
        <f t="shared" si="22"/>
        <v>17.933827160493827</v>
      </c>
      <c r="BE136">
        <f t="shared" si="23"/>
        <v>9.5858996246913577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6.4733400000000003</v>
      </c>
      <c r="I137" s="22">
        <v>-1.38306E-2</v>
      </c>
      <c r="J137" s="22">
        <v>127</v>
      </c>
      <c r="K137" s="22">
        <v>1.2091099999999999</v>
      </c>
      <c r="L137">
        <f t="shared" si="12"/>
        <v>17.074814814814815</v>
      </c>
      <c r="M137">
        <f t="shared" si="13"/>
        <v>20.668721837037037</v>
      </c>
      <c r="N137" s="9"/>
      <c r="O137" s="22">
        <v>0.539551</v>
      </c>
      <c r="P137" s="22">
        <v>10.3932</v>
      </c>
      <c r="Q137" s="22">
        <v>-1.44653E-2</v>
      </c>
      <c r="R137" s="22">
        <v>127</v>
      </c>
      <c r="S137" s="22">
        <v>0.53891</v>
      </c>
      <c r="T137">
        <f t="shared" si="14"/>
        <v>17.858395061728395</v>
      </c>
      <c r="U137">
        <f t="shared" si="15"/>
        <v>9.6355149139506171</v>
      </c>
      <c r="X137" s="9"/>
      <c r="Y137" s="22">
        <v>1.21048</v>
      </c>
      <c r="Z137" s="22">
        <v>15.938599999999999</v>
      </c>
      <c r="AA137" s="22">
        <v>-1.3854999999999999E-2</v>
      </c>
      <c r="AB137" s="22">
        <v>127</v>
      </c>
      <c r="AC137" s="22">
        <v>1.2094100000000001</v>
      </c>
      <c r="AD137">
        <f t="shared" si="16"/>
        <v>17.104938271604937</v>
      </c>
      <c r="AE137">
        <f t="shared" si="17"/>
        <v>20.705185679012345</v>
      </c>
      <c r="AF137" s="9"/>
      <c r="AG137" s="22">
        <v>0.539551</v>
      </c>
      <c r="AH137" s="22">
        <v>19.858499999999999</v>
      </c>
      <c r="AI137" s="22">
        <v>-1.4501999999999999E-2</v>
      </c>
      <c r="AJ137" s="22">
        <v>127</v>
      </c>
      <c r="AK137" s="22">
        <v>0.53891</v>
      </c>
      <c r="AL137">
        <f t="shared" si="18"/>
        <v>17.903703703703702</v>
      </c>
      <c r="AM137">
        <f t="shared" si="19"/>
        <v>9.6599612370370362</v>
      </c>
      <c r="AP137" s="9"/>
      <c r="AQ137" s="22">
        <v>1.21048</v>
      </c>
      <c r="AR137" s="22">
        <v>25.421800000000001</v>
      </c>
      <c r="AS137" s="22">
        <v>-1.38824E-2</v>
      </c>
      <c r="AT137" s="22">
        <v>127</v>
      </c>
      <c r="AU137" s="22">
        <v>1.2094100000000001</v>
      </c>
      <c r="AV137">
        <f t="shared" si="20"/>
        <v>17.138765432098765</v>
      </c>
      <c r="AW137">
        <f t="shared" si="21"/>
        <v>20.746132780246914</v>
      </c>
      <c r="AX137" s="9"/>
      <c r="AY137" s="22">
        <v>0.539551</v>
      </c>
      <c r="AZ137" s="22">
        <v>29.341699999999999</v>
      </c>
      <c r="BA137" s="22">
        <v>-1.45203E-2</v>
      </c>
      <c r="BB137" s="22">
        <v>127</v>
      </c>
      <c r="BC137" s="22">
        <v>0.53875700000000004</v>
      </c>
      <c r="BD137">
        <f t="shared" si="22"/>
        <v>17.926296296296293</v>
      </c>
      <c r="BE137">
        <f t="shared" si="23"/>
        <v>9.6721510929629613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6.4834100000000001</v>
      </c>
      <c r="I138" s="22">
        <v>-1.38306E-2</v>
      </c>
      <c r="J138" s="22">
        <v>128</v>
      </c>
      <c r="K138" s="22">
        <v>1.2039200000000001</v>
      </c>
      <c r="L138">
        <f t="shared" si="12"/>
        <v>17.074814814814815</v>
      </c>
      <c r="M138">
        <f t="shared" si="13"/>
        <v>20.582664770370371</v>
      </c>
      <c r="N138" s="9"/>
      <c r="O138" s="22">
        <v>0.54458600000000001</v>
      </c>
      <c r="P138" s="22">
        <v>10.4033</v>
      </c>
      <c r="Q138" s="22">
        <v>-1.4462300000000001E-2</v>
      </c>
      <c r="R138" s="22">
        <v>128</v>
      </c>
      <c r="S138" s="22">
        <v>0.54394500000000001</v>
      </c>
      <c r="T138">
        <f t="shared" si="14"/>
        <v>17.854691358024692</v>
      </c>
      <c r="U138">
        <f t="shared" si="15"/>
        <v>9.7234149479012348</v>
      </c>
      <c r="X138" s="9"/>
      <c r="Y138" s="22">
        <v>1.2054400000000001</v>
      </c>
      <c r="Z138" s="22">
        <v>15.948600000000001</v>
      </c>
      <c r="AA138" s="22">
        <v>-1.3864100000000001E-2</v>
      </c>
      <c r="AB138" s="22">
        <v>128</v>
      </c>
      <c r="AC138" s="22">
        <v>1.2051400000000001</v>
      </c>
      <c r="AD138">
        <f t="shared" si="16"/>
        <v>17.11617283950617</v>
      </c>
      <c r="AE138">
        <f t="shared" si="17"/>
        <v>20.63251938765432</v>
      </c>
      <c r="AF138" s="9"/>
      <c r="AG138" s="22">
        <v>0.54458600000000001</v>
      </c>
      <c r="AH138" s="22">
        <v>19.868600000000001</v>
      </c>
      <c r="AI138" s="22">
        <v>-1.44989E-2</v>
      </c>
      <c r="AJ138" s="22">
        <v>128</v>
      </c>
      <c r="AK138" s="22">
        <v>0.54385399999999995</v>
      </c>
      <c r="AL138">
        <f t="shared" si="18"/>
        <v>17.899876543209874</v>
      </c>
      <c r="AM138">
        <f t="shared" si="19"/>
        <v>9.7480221671604923</v>
      </c>
      <c r="AP138" s="9"/>
      <c r="AQ138" s="22">
        <v>1.2054400000000001</v>
      </c>
      <c r="AR138" s="22">
        <v>25.431899999999999</v>
      </c>
      <c r="AS138" s="22">
        <v>-1.38916E-2</v>
      </c>
      <c r="AT138" s="22">
        <v>128</v>
      </c>
      <c r="AU138" s="22">
        <v>1.2045300000000001</v>
      </c>
      <c r="AV138">
        <f t="shared" si="20"/>
        <v>17.150123456790123</v>
      </c>
      <c r="AW138">
        <f t="shared" si="21"/>
        <v>20.673444819753087</v>
      </c>
      <c r="AX138" s="9"/>
      <c r="AY138" s="22">
        <v>0.54458600000000001</v>
      </c>
      <c r="AZ138" s="22">
        <v>29.351800000000001</v>
      </c>
      <c r="BA138" s="22">
        <v>-1.4517199999999999E-2</v>
      </c>
      <c r="BB138" s="22">
        <v>128</v>
      </c>
      <c r="BC138" s="22">
        <v>0.54385399999999995</v>
      </c>
      <c r="BD138">
        <f t="shared" si="22"/>
        <v>17.922469135802466</v>
      </c>
      <c r="BE138">
        <f t="shared" si="23"/>
        <v>9.7603257767901219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6.4934799999999999</v>
      </c>
      <c r="I139" s="22">
        <v>-1.38336E-2</v>
      </c>
      <c r="J139" s="22">
        <v>129</v>
      </c>
      <c r="K139" s="22">
        <v>1.1993400000000001</v>
      </c>
      <c r="L139">
        <f t="shared" si="12"/>
        <v>17.078518518518518</v>
      </c>
      <c r="M139">
        <f t="shared" si="13"/>
        <v>20.501224414814814</v>
      </c>
      <c r="N139" s="9"/>
      <c r="O139" s="22">
        <v>0.54962200000000005</v>
      </c>
      <c r="P139" s="22">
        <v>10.413399999999999</v>
      </c>
      <c r="Q139" s="22">
        <v>-1.4456200000000001E-2</v>
      </c>
      <c r="R139" s="22">
        <v>129</v>
      </c>
      <c r="S139" s="22">
        <v>0.54898100000000005</v>
      </c>
      <c r="T139">
        <f t="shared" si="14"/>
        <v>17.847160493827161</v>
      </c>
      <c r="U139">
        <f t="shared" si="15"/>
        <v>9.809192044938273</v>
      </c>
      <c r="X139" s="9"/>
      <c r="Y139" s="22">
        <v>1.20041</v>
      </c>
      <c r="Z139" s="22">
        <v>15.9587</v>
      </c>
      <c r="AA139" s="22">
        <v>-1.3870199999999999E-2</v>
      </c>
      <c r="AB139" s="22">
        <v>129</v>
      </c>
      <c r="AC139" s="22">
        <v>1.1987300000000001</v>
      </c>
      <c r="AD139">
        <f t="shared" si="16"/>
        <v>17.123703703703701</v>
      </c>
      <c r="AE139">
        <f t="shared" si="17"/>
        <v>20.55546516296296</v>
      </c>
      <c r="AF139" s="9"/>
      <c r="AG139" s="22">
        <v>0.54962200000000005</v>
      </c>
      <c r="AH139" s="22">
        <v>19.878599999999999</v>
      </c>
      <c r="AI139" s="22">
        <v>-1.44958E-2</v>
      </c>
      <c r="AJ139" s="22">
        <v>129</v>
      </c>
      <c r="AK139" s="22">
        <v>0.54885899999999999</v>
      </c>
      <c r="AL139">
        <f t="shared" si="18"/>
        <v>17.896049382716047</v>
      </c>
      <c r="AM139">
        <f t="shared" si="19"/>
        <v>9.8360624538271608</v>
      </c>
      <c r="AP139" s="9"/>
      <c r="AQ139" s="22">
        <v>1.20041</v>
      </c>
      <c r="AR139" s="22">
        <v>25.4419</v>
      </c>
      <c r="AS139" s="22">
        <v>-1.3897700000000001E-2</v>
      </c>
      <c r="AT139" s="22">
        <v>129</v>
      </c>
      <c r="AU139" s="22">
        <v>1.1990400000000001</v>
      </c>
      <c r="AV139">
        <f t="shared" si="20"/>
        <v>17.157654320987653</v>
      </c>
      <c r="AW139">
        <f t="shared" si="21"/>
        <v>20.596219823456789</v>
      </c>
      <c r="AX139" s="9"/>
      <c r="AY139" s="22">
        <v>0.54962200000000005</v>
      </c>
      <c r="AZ139" s="22">
        <v>29.361799999999999</v>
      </c>
      <c r="BA139" s="22">
        <v>-1.4511100000000001E-2</v>
      </c>
      <c r="BB139" s="22">
        <v>129</v>
      </c>
      <c r="BC139" s="22">
        <v>0.54901100000000003</v>
      </c>
      <c r="BD139">
        <f t="shared" si="22"/>
        <v>17.914938271604939</v>
      </c>
      <c r="BE139">
        <f t="shared" si="23"/>
        <v>9.8464442027160501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6.5035499999999997</v>
      </c>
      <c r="I140" s="22">
        <v>-1.38397E-2</v>
      </c>
      <c r="J140" s="22">
        <v>130</v>
      </c>
      <c r="K140" s="22">
        <v>1.1944600000000001</v>
      </c>
      <c r="L140">
        <f t="shared" ref="L140:L203" si="24">-I140/$F$2*1000</f>
        <v>17.086049382716048</v>
      </c>
      <c r="M140">
        <f t="shared" ref="M140:M203" si="25">L140*G140</f>
        <v>20.424150850617284</v>
      </c>
      <c r="N140" s="9"/>
      <c r="O140" s="22">
        <v>0.55465699999999996</v>
      </c>
      <c r="P140" s="22">
        <v>10.423500000000001</v>
      </c>
      <c r="Q140" s="22">
        <v>-1.4456200000000001E-2</v>
      </c>
      <c r="R140" s="22">
        <v>130</v>
      </c>
      <c r="S140" s="22">
        <v>0.55401599999999995</v>
      </c>
      <c r="T140">
        <f t="shared" ref="T140:T203" si="26">-Q140/$F$2*1000</f>
        <v>17.847160493827161</v>
      </c>
      <c r="U140">
        <f t="shared" ref="U140:U203" si="27">T140*O140</f>
        <v>9.899052498024691</v>
      </c>
      <c r="X140" s="9"/>
      <c r="Y140" s="22">
        <v>1.19537</v>
      </c>
      <c r="Z140" s="22">
        <v>15.9688</v>
      </c>
      <c r="AA140" s="22">
        <v>-1.3876299999999999E-2</v>
      </c>
      <c r="AB140" s="22">
        <v>130</v>
      </c>
      <c r="AC140" s="22">
        <v>1.19476</v>
      </c>
      <c r="AD140">
        <f t="shared" ref="AD140:AD203" si="28">-AA140/$F$2*1000</f>
        <v>17.131234567901231</v>
      </c>
      <c r="AE140">
        <f t="shared" ref="AE140:AE203" si="29">AD140*Y140</f>
        <v>20.478163865432094</v>
      </c>
      <c r="AF140" s="9"/>
      <c r="AG140" s="22">
        <v>0.55465699999999996</v>
      </c>
      <c r="AH140" s="22">
        <v>19.8887</v>
      </c>
      <c r="AI140" s="22">
        <v>-1.44867E-2</v>
      </c>
      <c r="AJ140" s="22">
        <v>130</v>
      </c>
      <c r="AK140" s="22">
        <v>0.553925</v>
      </c>
      <c r="AL140">
        <f t="shared" ref="AL140:AL203" si="30">-AI140/$F$2*1000</f>
        <v>17.884814814814817</v>
      </c>
      <c r="AM140">
        <f t="shared" ref="AM140:AM203" si="31">AL140*AG140</f>
        <v>9.9199377307407417</v>
      </c>
      <c r="AP140" s="9"/>
      <c r="AQ140" s="22">
        <v>1.19537</v>
      </c>
      <c r="AR140" s="22">
        <v>25.452000000000002</v>
      </c>
      <c r="AS140" s="22">
        <v>-1.3903799999999999E-2</v>
      </c>
      <c r="AT140" s="22">
        <v>130</v>
      </c>
      <c r="AU140" s="22">
        <v>1.19354</v>
      </c>
      <c r="AV140">
        <f t="shared" ref="AV140:AV203" si="32">-AS140/$F$2*1000</f>
        <v>17.165185185185184</v>
      </c>
      <c r="AW140">
        <f t="shared" ref="AW140:AW203" si="33">AV140*AQ140</f>
        <v>20.518747414814815</v>
      </c>
      <c r="AX140" s="9"/>
      <c r="AY140" s="22">
        <v>0.55465699999999996</v>
      </c>
      <c r="AZ140" s="22">
        <v>29.3719</v>
      </c>
      <c r="BA140" s="22">
        <v>-1.4508099999999999E-2</v>
      </c>
      <c r="BB140" s="22">
        <v>130</v>
      </c>
      <c r="BC140" s="22">
        <v>0.55395499999999998</v>
      </c>
      <c r="BD140">
        <f t="shared" ref="BD140:BD203" si="34">-BA140/$F$2*1000</f>
        <v>17.911234567901232</v>
      </c>
      <c r="BE140">
        <f t="shared" ref="BE140:BE203" si="35">BD140*AY140</f>
        <v>9.9345916317283933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6.51363</v>
      </c>
      <c r="I141" s="22">
        <v>-1.38397E-2</v>
      </c>
      <c r="J141" s="22">
        <v>131</v>
      </c>
      <c r="K141" s="22">
        <v>1.18866</v>
      </c>
      <c r="L141">
        <f t="shared" si="24"/>
        <v>17.086049382716048</v>
      </c>
      <c r="M141">
        <f t="shared" si="25"/>
        <v>20.338208022222219</v>
      </c>
      <c r="N141" s="9"/>
      <c r="O141" s="22">
        <v>0.55969199999999997</v>
      </c>
      <c r="P141" s="22">
        <v>10.4335</v>
      </c>
      <c r="Q141" s="22">
        <v>-1.4456200000000001E-2</v>
      </c>
      <c r="R141" s="22">
        <v>131</v>
      </c>
      <c r="S141" s="22">
        <v>0.55908199999999997</v>
      </c>
      <c r="T141">
        <f t="shared" si="26"/>
        <v>17.847160493827161</v>
      </c>
      <c r="U141">
        <f t="shared" si="27"/>
        <v>9.9889129511111108</v>
      </c>
      <c r="X141" s="9"/>
      <c r="Y141" s="22">
        <v>1.19034</v>
      </c>
      <c r="Z141" s="22">
        <v>15.9788</v>
      </c>
      <c r="AA141" s="22">
        <v>-1.3876299999999999E-2</v>
      </c>
      <c r="AB141" s="22">
        <v>131</v>
      </c>
      <c r="AC141" s="22">
        <v>1.18988</v>
      </c>
      <c r="AD141">
        <f t="shared" si="28"/>
        <v>17.131234567901231</v>
      </c>
      <c r="AE141">
        <f t="shared" si="29"/>
        <v>20.39199375555555</v>
      </c>
      <c r="AF141" s="9"/>
      <c r="AG141" s="22">
        <v>0.55969199999999997</v>
      </c>
      <c r="AH141" s="22">
        <v>19.898800000000001</v>
      </c>
      <c r="AI141" s="22">
        <v>-1.44806E-2</v>
      </c>
      <c r="AJ141" s="22">
        <v>131</v>
      </c>
      <c r="AK141" s="22">
        <v>0.55889900000000003</v>
      </c>
      <c r="AL141">
        <f t="shared" si="30"/>
        <v>17.877283950617283</v>
      </c>
      <c r="AM141">
        <f t="shared" si="31"/>
        <v>10.005772808888887</v>
      </c>
      <c r="AP141" s="9"/>
      <c r="AQ141" s="22">
        <v>1.19034</v>
      </c>
      <c r="AR141" s="22">
        <v>25.4621</v>
      </c>
      <c r="AS141" s="22">
        <v>-1.3913E-2</v>
      </c>
      <c r="AT141" s="22">
        <v>131</v>
      </c>
      <c r="AU141" s="22">
        <v>1.1895800000000001</v>
      </c>
      <c r="AV141">
        <f t="shared" si="32"/>
        <v>17.176543209876542</v>
      </c>
      <c r="AW141">
        <f t="shared" si="33"/>
        <v>20.445926444444442</v>
      </c>
      <c r="AX141" s="9"/>
      <c r="AY141" s="22">
        <v>0.55969199999999997</v>
      </c>
      <c r="AZ141" s="22">
        <v>29.382000000000001</v>
      </c>
      <c r="BA141" s="22">
        <v>-1.4501999999999999E-2</v>
      </c>
      <c r="BB141" s="22">
        <v>131</v>
      </c>
      <c r="BC141" s="22">
        <v>0.55908199999999997</v>
      </c>
      <c r="BD141">
        <f t="shared" si="34"/>
        <v>17.903703703703702</v>
      </c>
      <c r="BE141">
        <f t="shared" si="35"/>
        <v>10.020559733333332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6.5236999999999998</v>
      </c>
      <c r="I142" s="22">
        <v>-1.38458E-2</v>
      </c>
      <c r="J142" s="22">
        <v>132</v>
      </c>
      <c r="K142" s="22">
        <v>1.18408</v>
      </c>
      <c r="L142">
        <f t="shared" si="24"/>
        <v>17.093580246913579</v>
      </c>
      <c r="M142">
        <f t="shared" si="25"/>
        <v>20.261020666666663</v>
      </c>
      <c r="N142" s="9"/>
      <c r="O142" s="22">
        <v>0.56472800000000001</v>
      </c>
      <c r="P142" s="22">
        <v>10.4436</v>
      </c>
      <c r="Q142" s="22">
        <v>-1.44501E-2</v>
      </c>
      <c r="R142" s="22">
        <v>132</v>
      </c>
      <c r="S142" s="22">
        <v>0.56393400000000005</v>
      </c>
      <c r="T142">
        <f t="shared" si="26"/>
        <v>17.839629629629631</v>
      </c>
      <c r="U142">
        <f t="shared" si="27"/>
        <v>10.074538361481482</v>
      </c>
      <c r="X142" s="9"/>
      <c r="Y142" s="22">
        <v>1.1853</v>
      </c>
      <c r="Z142" s="22">
        <v>15.988899999999999</v>
      </c>
      <c r="AA142" s="22">
        <v>-1.38824E-2</v>
      </c>
      <c r="AB142" s="22">
        <v>132</v>
      </c>
      <c r="AC142" s="22">
        <v>1.1843900000000001</v>
      </c>
      <c r="AD142">
        <f t="shared" si="28"/>
        <v>17.138765432098765</v>
      </c>
      <c r="AE142">
        <f t="shared" si="29"/>
        <v>20.314578666666666</v>
      </c>
      <c r="AF142" s="9"/>
      <c r="AG142" s="22">
        <v>0.56472800000000001</v>
      </c>
      <c r="AH142" s="22">
        <v>19.908899999999999</v>
      </c>
      <c r="AI142" s="22">
        <v>-1.4477500000000001E-2</v>
      </c>
      <c r="AJ142" s="22">
        <v>132</v>
      </c>
      <c r="AK142" s="22">
        <v>0.56408700000000001</v>
      </c>
      <c r="AL142">
        <f t="shared" si="30"/>
        <v>17.873456790123456</v>
      </c>
      <c r="AM142">
        <f t="shared" si="31"/>
        <v>10.093641506172839</v>
      </c>
      <c r="AP142" s="9"/>
      <c r="AQ142" s="22">
        <v>1.1853</v>
      </c>
      <c r="AR142" s="22">
        <v>25.472100000000001</v>
      </c>
      <c r="AS142" s="22">
        <v>-1.3916E-2</v>
      </c>
      <c r="AT142" s="22">
        <v>132</v>
      </c>
      <c r="AU142" s="22">
        <v>1.1843900000000001</v>
      </c>
      <c r="AV142">
        <f t="shared" si="32"/>
        <v>17.180246913580245</v>
      </c>
      <c r="AW142">
        <f t="shared" si="33"/>
        <v>20.363746666666664</v>
      </c>
      <c r="AX142" s="9"/>
      <c r="AY142" s="22">
        <v>0.56472800000000001</v>
      </c>
      <c r="AZ142" s="22">
        <v>29.391999999999999</v>
      </c>
      <c r="BA142" s="22">
        <v>-1.44989E-2</v>
      </c>
      <c r="BB142" s="22">
        <v>132</v>
      </c>
      <c r="BC142" s="22">
        <v>0.56414799999999998</v>
      </c>
      <c r="BD142">
        <f t="shared" si="34"/>
        <v>17.899876543209874</v>
      </c>
      <c r="BE142">
        <f t="shared" si="35"/>
        <v>10.108561480493826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6.5337699999999996</v>
      </c>
      <c r="I143" s="22">
        <v>-1.3848900000000001E-2</v>
      </c>
      <c r="J143" s="22">
        <v>133</v>
      </c>
      <c r="K143" s="22">
        <v>1.1795</v>
      </c>
      <c r="L143">
        <f t="shared" si="24"/>
        <v>17.09740740740741</v>
      </c>
      <c r="M143">
        <f t="shared" si="25"/>
        <v>20.179557040740743</v>
      </c>
      <c r="N143" s="9"/>
      <c r="O143" s="22">
        <v>0.56976300000000002</v>
      </c>
      <c r="P143" s="22">
        <v>10.4537</v>
      </c>
      <c r="Q143" s="22">
        <v>-1.4447E-2</v>
      </c>
      <c r="R143" s="22">
        <v>133</v>
      </c>
      <c r="S143" s="22">
        <v>0.56903099999999995</v>
      </c>
      <c r="T143">
        <f t="shared" si="26"/>
        <v>17.8358024691358</v>
      </c>
      <c r="U143">
        <f t="shared" si="27"/>
        <v>10.162180322222222</v>
      </c>
      <c r="X143" s="9"/>
      <c r="Y143" s="22">
        <v>1.1802699999999999</v>
      </c>
      <c r="Z143" s="22">
        <v>15.999000000000001</v>
      </c>
      <c r="AA143" s="22">
        <v>-1.38885E-2</v>
      </c>
      <c r="AB143" s="22">
        <v>133</v>
      </c>
      <c r="AC143" s="22">
        <v>1.1795</v>
      </c>
      <c r="AD143">
        <f t="shared" si="28"/>
        <v>17.146296296296295</v>
      </c>
      <c r="AE143">
        <f t="shared" si="29"/>
        <v>20.237259129629628</v>
      </c>
      <c r="AF143" s="9"/>
      <c r="AG143" s="22">
        <v>0.56976300000000002</v>
      </c>
      <c r="AH143" s="22">
        <v>19.918900000000001</v>
      </c>
      <c r="AI143" s="22">
        <v>-1.4477500000000001E-2</v>
      </c>
      <c r="AJ143" s="22">
        <v>133</v>
      </c>
      <c r="AK143" s="22">
        <v>0.56899999999999995</v>
      </c>
      <c r="AL143">
        <f t="shared" si="30"/>
        <v>17.873456790123456</v>
      </c>
      <c r="AM143">
        <f t="shared" si="31"/>
        <v>10.18363436111111</v>
      </c>
      <c r="AP143" s="9"/>
      <c r="AQ143" s="22">
        <v>1.1802699999999999</v>
      </c>
      <c r="AR143" s="22">
        <v>25.482199999999999</v>
      </c>
      <c r="AS143" s="22">
        <v>-1.39191E-2</v>
      </c>
      <c r="AT143" s="22">
        <v>133</v>
      </c>
      <c r="AU143" s="22">
        <v>1.17889</v>
      </c>
      <c r="AV143">
        <f t="shared" si="32"/>
        <v>17.184074074074076</v>
      </c>
      <c r="AW143">
        <f t="shared" si="33"/>
        <v>20.281847107407408</v>
      </c>
      <c r="AX143" s="9"/>
      <c r="AY143" s="22">
        <v>0.56976300000000002</v>
      </c>
      <c r="AZ143" s="22">
        <v>29.402100000000001</v>
      </c>
      <c r="BA143" s="22">
        <v>-1.44989E-2</v>
      </c>
      <c r="BB143" s="22">
        <v>133</v>
      </c>
      <c r="BC143" s="22">
        <v>0.56899999999999995</v>
      </c>
      <c r="BD143">
        <f t="shared" si="34"/>
        <v>17.899876543209874</v>
      </c>
      <c r="BE143">
        <f t="shared" si="35"/>
        <v>10.198687358888888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6.5438400000000003</v>
      </c>
      <c r="I144" s="22">
        <v>-1.3858000000000001E-2</v>
      </c>
      <c r="J144" s="22">
        <v>134</v>
      </c>
      <c r="K144" s="22">
        <v>1.17432</v>
      </c>
      <c r="L144">
        <f t="shared" si="24"/>
        <v>17.10864197530864</v>
      </c>
      <c r="M144">
        <f t="shared" si="25"/>
        <v>20.106589308641972</v>
      </c>
      <c r="N144" s="9"/>
      <c r="O144" s="22">
        <v>0.57479899999999995</v>
      </c>
      <c r="P144" s="22">
        <v>10.463699999999999</v>
      </c>
      <c r="Q144" s="22">
        <v>-1.4447E-2</v>
      </c>
      <c r="R144" s="22">
        <v>134</v>
      </c>
      <c r="S144" s="22">
        <v>0.57403599999999999</v>
      </c>
      <c r="T144">
        <f t="shared" si="26"/>
        <v>17.8358024691358</v>
      </c>
      <c r="U144">
        <f t="shared" si="27"/>
        <v>10.252001423456788</v>
      </c>
      <c r="X144" s="9"/>
      <c r="Y144" s="22">
        <v>1.17523</v>
      </c>
      <c r="Z144" s="22">
        <v>16.0091</v>
      </c>
      <c r="AA144" s="22">
        <v>-1.3897700000000001E-2</v>
      </c>
      <c r="AB144" s="22">
        <v>134</v>
      </c>
      <c r="AC144" s="22">
        <v>1.17462</v>
      </c>
      <c r="AD144">
        <f t="shared" si="28"/>
        <v>17.157654320987653</v>
      </c>
      <c r="AE144">
        <f t="shared" si="29"/>
        <v>20.164190087654319</v>
      </c>
      <c r="AF144" s="9"/>
      <c r="AG144" s="22">
        <v>0.57479899999999995</v>
      </c>
      <c r="AH144" s="22">
        <v>19.928999999999998</v>
      </c>
      <c r="AI144" s="22">
        <v>-1.4471400000000001E-2</v>
      </c>
      <c r="AJ144" s="22">
        <v>134</v>
      </c>
      <c r="AK144" s="22">
        <v>0.57406599999999997</v>
      </c>
      <c r="AL144">
        <f t="shared" si="30"/>
        <v>17.865925925925925</v>
      </c>
      <c r="AM144">
        <f t="shared" si="31"/>
        <v>10.269316356296295</v>
      </c>
      <c r="AP144" s="9"/>
      <c r="AQ144" s="22">
        <v>1.17523</v>
      </c>
      <c r="AR144" s="22">
        <v>25.4923</v>
      </c>
      <c r="AS144" s="22">
        <v>-1.39252E-2</v>
      </c>
      <c r="AT144" s="22">
        <v>134</v>
      </c>
      <c r="AU144" s="22">
        <v>1.17401</v>
      </c>
      <c r="AV144">
        <f t="shared" si="32"/>
        <v>17.191604938271606</v>
      </c>
      <c r="AW144">
        <f t="shared" si="33"/>
        <v>20.204089871604939</v>
      </c>
      <c r="AX144" s="9"/>
      <c r="AY144" s="22">
        <v>0.57479899999999995</v>
      </c>
      <c r="AZ144" s="22">
        <v>29.412199999999999</v>
      </c>
      <c r="BA144" s="22">
        <v>-1.44928E-2</v>
      </c>
      <c r="BB144" s="22">
        <v>134</v>
      </c>
      <c r="BC144" s="22">
        <v>0.57409699999999997</v>
      </c>
      <c r="BD144">
        <f t="shared" si="34"/>
        <v>17.892345679012344</v>
      </c>
      <c r="BE144">
        <f t="shared" si="35"/>
        <v>10.284502403950615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6.5539100000000001</v>
      </c>
      <c r="I145" s="22">
        <v>-1.3864100000000001E-2</v>
      </c>
      <c r="J145" s="22">
        <v>135</v>
      </c>
      <c r="K145" s="22">
        <v>1.16852</v>
      </c>
      <c r="L145">
        <f t="shared" si="24"/>
        <v>17.11617283950617</v>
      </c>
      <c r="M145">
        <f t="shared" si="25"/>
        <v>20.029345456790118</v>
      </c>
      <c r="N145" s="9"/>
      <c r="O145" s="22">
        <v>0.57983399999999996</v>
      </c>
      <c r="P145" s="22">
        <v>10.473800000000001</v>
      </c>
      <c r="Q145" s="22">
        <v>-1.4444E-2</v>
      </c>
      <c r="R145" s="22">
        <v>135</v>
      </c>
      <c r="S145" s="22">
        <v>0.57919299999999996</v>
      </c>
      <c r="T145">
        <f t="shared" si="26"/>
        <v>17.832098765432097</v>
      </c>
      <c r="U145">
        <f t="shared" si="27"/>
        <v>10.339657155555553</v>
      </c>
      <c r="X145" s="9"/>
      <c r="Y145" s="22">
        <v>1.1701999999999999</v>
      </c>
      <c r="Z145" s="22">
        <v>16.019100000000002</v>
      </c>
      <c r="AA145" s="22">
        <v>-1.3903799999999999E-2</v>
      </c>
      <c r="AB145" s="22">
        <v>135</v>
      </c>
      <c r="AC145" s="22">
        <v>1.16943</v>
      </c>
      <c r="AD145">
        <f t="shared" si="28"/>
        <v>17.165185185185184</v>
      </c>
      <c r="AE145">
        <f t="shared" si="29"/>
        <v>20.086699703703701</v>
      </c>
      <c r="AF145" s="9"/>
      <c r="AG145" s="22">
        <v>0.57983399999999996</v>
      </c>
      <c r="AH145" s="22">
        <v>19.9391</v>
      </c>
      <c r="AI145" s="22">
        <v>-1.44653E-2</v>
      </c>
      <c r="AJ145" s="22">
        <v>135</v>
      </c>
      <c r="AK145" s="22">
        <v>0.57910200000000001</v>
      </c>
      <c r="AL145">
        <f t="shared" si="30"/>
        <v>17.858395061728395</v>
      </c>
      <c r="AM145">
        <f t="shared" si="31"/>
        <v>10.354904642222222</v>
      </c>
      <c r="AP145" s="9"/>
      <c r="AQ145" s="22">
        <v>1.1701999999999999</v>
      </c>
      <c r="AR145" s="22">
        <v>25.502400000000002</v>
      </c>
      <c r="AS145" s="22">
        <v>-1.3931300000000001E-2</v>
      </c>
      <c r="AT145" s="22">
        <v>135</v>
      </c>
      <c r="AU145" s="22">
        <v>1.16882</v>
      </c>
      <c r="AV145">
        <f t="shared" si="32"/>
        <v>17.199135802469137</v>
      </c>
      <c r="AW145">
        <f t="shared" si="33"/>
        <v>20.126428716049382</v>
      </c>
      <c r="AX145" s="9"/>
      <c r="AY145" s="22">
        <v>0.57983399999999996</v>
      </c>
      <c r="AZ145" s="22">
        <v>29.4223</v>
      </c>
      <c r="BA145" s="22">
        <v>-1.44867E-2</v>
      </c>
      <c r="BB145" s="22">
        <v>135</v>
      </c>
      <c r="BC145" s="22">
        <v>0.57922399999999996</v>
      </c>
      <c r="BD145">
        <f t="shared" si="34"/>
        <v>17.884814814814817</v>
      </c>
      <c r="BE145">
        <f t="shared" si="35"/>
        <v>10.370223713333333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6.5639799999999999</v>
      </c>
      <c r="I146" s="22">
        <v>-1.3870199999999999E-2</v>
      </c>
      <c r="J146" s="22">
        <v>136</v>
      </c>
      <c r="K146" s="22">
        <v>1.16364</v>
      </c>
      <c r="L146">
        <f t="shared" si="24"/>
        <v>17.123703703703701</v>
      </c>
      <c r="M146">
        <f t="shared" si="25"/>
        <v>19.951854607407402</v>
      </c>
      <c r="N146" s="9"/>
      <c r="O146" s="22">
        <v>0.58486899999999997</v>
      </c>
      <c r="P146" s="22">
        <v>10.4839</v>
      </c>
      <c r="Q146" s="22">
        <v>-1.44379E-2</v>
      </c>
      <c r="R146" s="22">
        <v>136</v>
      </c>
      <c r="S146" s="22">
        <v>0.58416699999999999</v>
      </c>
      <c r="T146">
        <f t="shared" si="26"/>
        <v>17.824567901234566</v>
      </c>
      <c r="U146">
        <f t="shared" si="27"/>
        <v>10.425037203827159</v>
      </c>
      <c r="X146" s="9"/>
      <c r="Y146" s="22">
        <v>1.16516</v>
      </c>
      <c r="Z146" s="22">
        <v>16.029199999999999</v>
      </c>
      <c r="AA146" s="22">
        <v>-1.3913E-2</v>
      </c>
      <c r="AB146" s="22">
        <v>136</v>
      </c>
      <c r="AC146" s="22">
        <v>1.16455</v>
      </c>
      <c r="AD146">
        <f t="shared" si="28"/>
        <v>17.176543209876542</v>
      </c>
      <c r="AE146">
        <f t="shared" si="29"/>
        <v>20.013421086419751</v>
      </c>
      <c r="AF146" s="9"/>
      <c r="AG146" s="22">
        <v>0.58486899999999997</v>
      </c>
      <c r="AH146" s="22">
        <v>19.949100000000001</v>
      </c>
      <c r="AI146" s="22">
        <v>-1.44592E-2</v>
      </c>
      <c r="AJ146" s="22">
        <v>136</v>
      </c>
      <c r="AK146" s="22">
        <v>0.58413700000000002</v>
      </c>
      <c r="AL146">
        <f t="shared" si="30"/>
        <v>17.850864197530864</v>
      </c>
      <c r="AM146">
        <f t="shared" si="31"/>
        <v>10.440417092345678</v>
      </c>
      <c r="AP146" s="9"/>
      <c r="AQ146" s="22">
        <v>1.16516</v>
      </c>
      <c r="AR146" s="22">
        <v>25.5124</v>
      </c>
      <c r="AS146" s="22">
        <v>-1.3937400000000001E-2</v>
      </c>
      <c r="AT146" s="22">
        <v>136</v>
      </c>
      <c r="AU146" s="22">
        <v>1.16394</v>
      </c>
      <c r="AV146">
        <f t="shared" si="32"/>
        <v>17.206666666666667</v>
      </c>
      <c r="AW146">
        <f t="shared" si="33"/>
        <v>20.048519733333332</v>
      </c>
      <c r="AX146" s="9"/>
      <c r="AY146" s="22">
        <v>0.58486899999999997</v>
      </c>
      <c r="AZ146" s="22">
        <v>29.432300000000001</v>
      </c>
      <c r="BA146" s="22">
        <v>-1.4483599999999999E-2</v>
      </c>
      <c r="BB146" s="22">
        <v>136</v>
      </c>
      <c r="BC146" s="22">
        <v>0.58404500000000004</v>
      </c>
      <c r="BD146">
        <f t="shared" si="34"/>
        <v>17.880987654320986</v>
      </c>
      <c r="BE146">
        <f t="shared" si="35"/>
        <v>10.458035368395061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6.5740499999999997</v>
      </c>
      <c r="I147" s="22">
        <v>-1.38733E-2</v>
      </c>
      <c r="J147" s="22">
        <v>137</v>
      </c>
      <c r="K147" s="22">
        <v>1.15906</v>
      </c>
      <c r="L147">
        <f t="shared" si="24"/>
        <v>17.127530864197528</v>
      </c>
      <c r="M147">
        <f t="shared" si="25"/>
        <v>19.870162381481482</v>
      </c>
      <c r="N147" s="9"/>
      <c r="O147" s="22">
        <v>0.58990500000000001</v>
      </c>
      <c r="P147" s="22">
        <v>10.494</v>
      </c>
      <c r="Q147" s="22">
        <v>-1.44318E-2</v>
      </c>
      <c r="R147" s="22">
        <v>137</v>
      </c>
      <c r="S147" s="22">
        <v>0.58917200000000003</v>
      </c>
      <c r="T147">
        <f t="shared" si="26"/>
        <v>17.817037037037036</v>
      </c>
      <c r="U147">
        <f t="shared" si="27"/>
        <v>10.510359233333332</v>
      </c>
      <c r="X147" s="9"/>
      <c r="Y147" s="22">
        <v>1.1601300000000001</v>
      </c>
      <c r="Z147" s="22">
        <v>16.039300000000001</v>
      </c>
      <c r="AA147" s="22">
        <v>-1.39191E-2</v>
      </c>
      <c r="AB147" s="22">
        <v>137</v>
      </c>
      <c r="AC147" s="22">
        <v>1.1593599999999999</v>
      </c>
      <c r="AD147">
        <f t="shared" si="28"/>
        <v>17.184074074074076</v>
      </c>
      <c r="AE147">
        <f t="shared" si="29"/>
        <v>19.93575985555556</v>
      </c>
      <c r="AF147" s="9"/>
      <c r="AG147" s="22">
        <v>0.58990500000000001</v>
      </c>
      <c r="AH147" s="22">
        <v>19.959199999999999</v>
      </c>
      <c r="AI147" s="22">
        <v>-1.44531E-2</v>
      </c>
      <c r="AJ147" s="22">
        <v>137</v>
      </c>
      <c r="AK147" s="22">
        <v>0.58904999999999996</v>
      </c>
      <c r="AL147">
        <f t="shared" si="30"/>
        <v>17.843333333333334</v>
      </c>
      <c r="AM147">
        <f t="shared" si="31"/>
        <v>10.52587155</v>
      </c>
      <c r="AP147" s="9"/>
      <c r="AQ147" s="22">
        <v>1.1601300000000001</v>
      </c>
      <c r="AR147" s="22">
        <v>25.522500000000001</v>
      </c>
      <c r="AS147" s="22">
        <v>-1.39404E-2</v>
      </c>
      <c r="AT147" s="22">
        <v>137</v>
      </c>
      <c r="AU147" s="22">
        <v>1.15906</v>
      </c>
      <c r="AV147">
        <f t="shared" si="32"/>
        <v>17.21037037037037</v>
      </c>
      <c r="AW147">
        <f t="shared" si="33"/>
        <v>19.966266977777778</v>
      </c>
      <c r="AX147" s="9"/>
      <c r="AY147" s="22">
        <v>0.58990500000000001</v>
      </c>
      <c r="AZ147" s="22">
        <v>29.442399999999999</v>
      </c>
      <c r="BA147" s="22">
        <v>-1.44806E-2</v>
      </c>
      <c r="BB147" s="22">
        <v>137</v>
      </c>
      <c r="BC147" s="22">
        <v>0.58920300000000003</v>
      </c>
      <c r="BD147">
        <f t="shared" si="34"/>
        <v>17.877283950617283</v>
      </c>
      <c r="BE147">
        <f t="shared" si="35"/>
        <v>10.545899188888889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6.5841200000000004</v>
      </c>
      <c r="I148" s="22">
        <v>-1.3876299999999999E-2</v>
      </c>
      <c r="J148" s="22">
        <v>138</v>
      </c>
      <c r="K148" s="22">
        <v>1.15387</v>
      </c>
      <c r="L148">
        <f t="shared" si="24"/>
        <v>17.131234567901231</v>
      </c>
      <c r="M148">
        <f t="shared" si="25"/>
        <v>19.788117737037034</v>
      </c>
      <c r="N148" s="9"/>
      <c r="O148" s="22">
        <v>0.59494000000000002</v>
      </c>
      <c r="P148" s="22">
        <v>10.504</v>
      </c>
      <c r="Q148" s="22">
        <v>-1.44257E-2</v>
      </c>
      <c r="R148" s="22">
        <v>138</v>
      </c>
      <c r="S148" s="22">
        <v>0.59433000000000002</v>
      </c>
      <c r="T148">
        <f t="shared" si="26"/>
        <v>17.809506172839505</v>
      </c>
      <c r="U148">
        <f t="shared" si="27"/>
        <v>10.595587602469136</v>
      </c>
      <c r="X148" s="9"/>
      <c r="Y148" s="22">
        <v>1.15509</v>
      </c>
      <c r="Z148" s="22">
        <v>16.049299999999999</v>
      </c>
      <c r="AA148" s="22">
        <v>-1.39252E-2</v>
      </c>
      <c r="AB148" s="22">
        <v>138</v>
      </c>
      <c r="AC148" s="22">
        <v>1.15479</v>
      </c>
      <c r="AD148">
        <f t="shared" si="28"/>
        <v>17.191604938271606</v>
      </c>
      <c r="AE148">
        <f t="shared" si="29"/>
        <v>19.857850948148148</v>
      </c>
      <c r="AF148" s="9"/>
      <c r="AG148" s="22">
        <v>0.59494000000000002</v>
      </c>
      <c r="AH148" s="22">
        <v>19.9693</v>
      </c>
      <c r="AI148" s="22">
        <v>-1.4444E-2</v>
      </c>
      <c r="AJ148" s="22">
        <v>138</v>
      </c>
      <c r="AK148" s="22">
        <v>0.59429900000000002</v>
      </c>
      <c r="AL148">
        <f t="shared" si="30"/>
        <v>17.832098765432097</v>
      </c>
      <c r="AM148">
        <f t="shared" si="31"/>
        <v>10.609028839506172</v>
      </c>
      <c r="AP148" s="9"/>
      <c r="AQ148" s="22">
        <v>1.15509</v>
      </c>
      <c r="AR148" s="22">
        <v>25.532599999999999</v>
      </c>
      <c r="AS148" s="22">
        <v>-1.39496E-2</v>
      </c>
      <c r="AT148" s="22">
        <v>138</v>
      </c>
      <c r="AU148" s="22">
        <v>1.1541699999999999</v>
      </c>
      <c r="AV148">
        <f t="shared" si="32"/>
        <v>17.221728395061724</v>
      </c>
      <c r="AW148">
        <f t="shared" si="33"/>
        <v>19.892646251851847</v>
      </c>
      <c r="AX148" s="9"/>
      <c r="AY148" s="22">
        <v>0.59494000000000002</v>
      </c>
      <c r="AZ148" s="22">
        <v>29.452500000000001</v>
      </c>
      <c r="BA148" s="22">
        <v>-1.44745E-2</v>
      </c>
      <c r="BB148" s="22">
        <v>138</v>
      </c>
      <c r="BC148" s="22">
        <v>0.59402500000000003</v>
      </c>
      <c r="BD148">
        <f t="shared" si="34"/>
        <v>17.869753086419752</v>
      </c>
      <c r="BE148">
        <f t="shared" si="35"/>
        <v>10.631430901234568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6.5941900000000002</v>
      </c>
      <c r="I149" s="22">
        <v>-1.38824E-2</v>
      </c>
      <c r="J149" s="22">
        <v>139</v>
      </c>
      <c r="K149" s="22">
        <v>1.1492899999999999</v>
      </c>
      <c r="L149">
        <f t="shared" si="24"/>
        <v>17.138765432098765</v>
      </c>
      <c r="M149">
        <f t="shared" si="25"/>
        <v>19.710437185185185</v>
      </c>
      <c r="N149" s="9"/>
      <c r="O149" s="22">
        <v>0.59997599999999995</v>
      </c>
      <c r="P149" s="22">
        <v>10.514099999999999</v>
      </c>
      <c r="Q149" s="22">
        <v>-1.4422600000000001E-2</v>
      </c>
      <c r="R149" s="22">
        <v>139</v>
      </c>
      <c r="S149" s="22">
        <v>0.59930399999999995</v>
      </c>
      <c r="T149">
        <f t="shared" si="26"/>
        <v>17.805679012345678</v>
      </c>
      <c r="U149">
        <f t="shared" si="27"/>
        <v>10.68298007111111</v>
      </c>
      <c r="X149" s="9"/>
      <c r="Y149" s="22">
        <v>1.15005</v>
      </c>
      <c r="Z149" s="22">
        <v>16.0594</v>
      </c>
      <c r="AA149" s="22">
        <v>-1.39252E-2</v>
      </c>
      <c r="AB149" s="22">
        <v>139</v>
      </c>
      <c r="AC149" s="22">
        <v>1.1486799999999999</v>
      </c>
      <c r="AD149">
        <f t="shared" si="28"/>
        <v>17.191604938271606</v>
      </c>
      <c r="AE149">
        <f t="shared" si="29"/>
        <v>19.771205259259261</v>
      </c>
      <c r="AF149" s="9"/>
      <c r="AG149" s="22">
        <v>0.59997599999999995</v>
      </c>
      <c r="AH149" s="22">
        <v>19.979299999999999</v>
      </c>
      <c r="AI149" s="22">
        <v>-1.44379E-2</v>
      </c>
      <c r="AJ149" s="22">
        <v>139</v>
      </c>
      <c r="AK149" s="22">
        <v>0.59924299999999997</v>
      </c>
      <c r="AL149">
        <f t="shared" si="30"/>
        <v>17.824567901234566</v>
      </c>
      <c r="AM149">
        <f t="shared" si="31"/>
        <v>10.69431295111111</v>
      </c>
      <c r="AP149" s="9"/>
      <c r="AQ149" s="22">
        <v>1.15005</v>
      </c>
      <c r="AR149" s="22">
        <v>25.5426</v>
      </c>
      <c r="AS149" s="22">
        <v>-1.3952600000000001E-2</v>
      </c>
      <c r="AT149" s="22">
        <v>139</v>
      </c>
      <c r="AU149" s="22">
        <v>1.1486799999999999</v>
      </c>
      <c r="AV149">
        <f t="shared" si="32"/>
        <v>17.225432098765431</v>
      </c>
      <c r="AW149">
        <f t="shared" si="33"/>
        <v>19.810108185185186</v>
      </c>
      <c r="AX149" s="9"/>
      <c r="AY149" s="22">
        <v>0.59997599999999995</v>
      </c>
      <c r="AZ149" s="22">
        <v>29.462499999999999</v>
      </c>
      <c r="BA149" s="22">
        <v>-1.4471400000000001E-2</v>
      </c>
      <c r="BB149" s="22">
        <v>139</v>
      </c>
      <c r="BC149" s="22">
        <v>0.59927399999999997</v>
      </c>
      <c r="BD149">
        <f t="shared" si="34"/>
        <v>17.865925925925925</v>
      </c>
      <c r="BE149">
        <f t="shared" si="35"/>
        <v>10.719126773333333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6.60426</v>
      </c>
      <c r="I150" s="22">
        <v>-1.38885E-2</v>
      </c>
      <c r="J150" s="22">
        <v>140</v>
      </c>
      <c r="K150" s="22">
        <v>1.1444099999999999</v>
      </c>
      <c r="L150">
        <f t="shared" si="24"/>
        <v>17.146296296296295</v>
      </c>
      <c r="M150">
        <f t="shared" si="25"/>
        <v>19.632852185185182</v>
      </c>
      <c r="N150" s="9"/>
      <c r="O150" s="22">
        <v>0.60501099999999997</v>
      </c>
      <c r="P150" s="22">
        <v>10.5242</v>
      </c>
      <c r="Q150" s="22">
        <v>-1.44165E-2</v>
      </c>
      <c r="R150" s="22">
        <v>140</v>
      </c>
      <c r="S150" s="22">
        <v>0.60443100000000005</v>
      </c>
      <c r="T150">
        <f t="shared" si="26"/>
        <v>17.798148148148147</v>
      </c>
      <c r="U150">
        <f t="shared" si="27"/>
        <v>10.768075409259259</v>
      </c>
      <c r="X150" s="9"/>
      <c r="Y150" s="22">
        <v>1.1450199999999999</v>
      </c>
      <c r="Z150" s="22">
        <v>16.069500000000001</v>
      </c>
      <c r="AA150" s="22">
        <v>-1.3931300000000001E-2</v>
      </c>
      <c r="AB150" s="22">
        <v>140</v>
      </c>
      <c r="AC150" s="22">
        <v>1.1440999999999999</v>
      </c>
      <c r="AD150">
        <f t="shared" si="28"/>
        <v>17.199135802469137</v>
      </c>
      <c r="AE150">
        <f t="shared" si="29"/>
        <v>19.69335447654321</v>
      </c>
      <c r="AF150" s="9"/>
      <c r="AG150" s="22">
        <v>0.60501099999999997</v>
      </c>
      <c r="AH150" s="22">
        <v>19.9894</v>
      </c>
      <c r="AI150" s="22">
        <v>-1.4428699999999999E-2</v>
      </c>
      <c r="AJ150" s="22">
        <v>140</v>
      </c>
      <c r="AK150" s="22">
        <v>0.60433999999999999</v>
      </c>
      <c r="AL150">
        <f t="shared" si="30"/>
        <v>17.813209876543205</v>
      </c>
      <c r="AM150">
        <f t="shared" si="31"/>
        <v>10.77718792061728</v>
      </c>
      <c r="AP150" s="9"/>
      <c r="AQ150" s="22">
        <v>1.1450199999999999</v>
      </c>
      <c r="AR150" s="22">
        <v>25.552700000000002</v>
      </c>
      <c r="AS150" s="22">
        <v>-1.3952600000000001E-2</v>
      </c>
      <c r="AT150" s="22">
        <v>140</v>
      </c>
      <c r="AU150" s="22">
        <v>1.1437999999999999</v>
      </c>
      <c r="AV150">
        <f t="shared" si="32"/>
        <v>17.225432098765431</v>
      </c>
      <c r="AW150">
        <f t="shared" si="33"/>
        <v>19.723464261728392</v>
      </c>
      <c r="AX150" s="9"/>
      <c r="AY150" s="22">
        <v>0.60501099999999997</v>
      </c>
      <c r="AZ150" s="22">
        <v>29.4726</v>
      </c>
      <c r="BA150" s="22">
        <v>-1.4462300000000001E-2</v>
      </c>
      <c r="BB150" s="22">
        <v>140</v>
      </c>
      <c r="BC150" s="22">
        <v>0.60421800000000003</v>
      </c>
      <c r="BD150">
        <f t="shared" si="34"/>
        <v>17.854691358024692</v>
      </c>
      <c r="BE150">
        <f t="shared" si="35"/>
        <v>10.802284673209876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6.6143400000000003</v>
      </c>
      <c r="I151" s="22">
        <v>-1.3894699999999999E-2</v>
      </c>
      <c r="J151" s="22">
        <v>141</v>
      </c>
      <c r="K151" s="22">
        <v>1.1389199999999999</v>
      </c>
      <c r="L151">
        <f t="shared" si="24"/>
        <v>17.153950617283947</v>
      </c>
      <c r="M151">
        <f t="shared" si="25"/>
        <v>19.555160624691354</v>
      </c>
      <c r="N151" s="9"/>
      <c r="O151" s="22">
        <v>0.61004599999999998</v>
      </c>
      <c r="P151" s="22">
        <v>10.5342</v>
      </c>
      <c r="Q151" s="22">
        <v>-1.44165E-2</v>
      </c>
      <c r="R151" s="22">
        <v>141</v>
      </c>
      <c r="S151" s="22">
        <v>0.609344</v>
      </c>
      <c r="T151">
        <f t="shared" si="26"/>
        <v>17.798148148148147</v>
      </c>
      <c r="U151">
        <f t="shared" si="27"/>
        <v>10.857689085185184</v>
      </c>
      <c r="X151" s="9"/>
      <c r="Y151" s="22">
        <v>1.13998</v>
      </c>
      <c r="Z151" s="22">
        <v>16.079599999999999</v>
      </c>
      <c r="AA151" s="22">
        <v>-1.39343E-2</v>
      </c>
      <c r="AB151" s="22">
        <v>141</v>
      </c>
      <c r="AC151" s="22">
        <v>1.1386099999999999</v>
      </c>
      <c r="AD151">
        <f t="shared" si="28"/>
        <v>17.202839506172836</v>
      </c>
      <c r="AE151">
        <f t="shared" si="29"/>
        <v>19.610892980246909</v>
      </c>
      <c r="AF151" s="9"/>
      <c r="AG151" s="22">
        <v>0.61004599999999998</v>
      </c>
      <c r="AH151" s="22">
        <v>19.999500000000001</v>
      </c>
      <c r="AI151" s="22">
        <v>-1.4422600000000001E-2</v>
      </c>
      <c r="AJ151" s="22">
        <v>141</v>
      </c>
      <c r="AK151" s="22">
        <v>0.60928300000000002</v>
      </c>
      <c r="AL151">
        <f t="shared" si="30"/>
        <v>17.805679012345678</v>
      </c>
      <c r="AM151">
        <f t="shared" si="31"/>
        <v>10.86228325876543</v>
      </c>
      <c r="AP151" s="9"/>
      <c r="AQ151" s="22">
        <v>1.13998</v>
      </c>
      <c r="AR151" s="22">
        <v>25.562799999999999</v>
      </c>
      <c r="AS151" s="22">
        <v>-1.39557E-2</v>
      </c>
      <c r="AT151" s="22">
        <v>141</v>
      </c>
      <c r="AU151" s="22">
        <v>1.1392199999999999</v>
      </c>
      <c r="AV151">
        <f t="shared" si="32"/>
        <v>17.229259259259258</v>
      </c>
      <c r="AW151">
        <f t="shared" si="33"/>
        <v>19.64101097037037</v>
      </c>
      <c r="AX151" s="9"/>
      <c r="AY151" s="22">
        <v>0.61004599999999998</v>
      </c>
      <c r="AZ151" s="22">
        <v>29.482700000000001</v>
      </c>
      <c r="BA151" s="22">
        <v>-1.4456200000000001E-2</v>
      </c>
      <c r="BB151" s="22">
        <v>141</v>
      </c>
      <c r="BC151" s="22">
        <v>0.609344</v>
      </c>
      <c r="BD151">
        <f t="shared" si="34"/>
        <v>17.847160493827161</v>
      </c>
      <c r="BE151">
        <f t="shared" si="35"/>
        <v>10.887588870617284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6.6244100000000001</v>
      </c>
      <c r="I152" s="22">
        <v>-1.39069E-2</v>
      </c>
      <c r="J152" s="22">
        <v>142</v>
      </c>
      <c r="K152" s="22">
        <v>1.1340300000000001</v>
      </c>
      <c r="L152">
        <f t="shared" si="24"/>
        <v>17.169012345679011</v>
      </c>
      <c r="M152">
        <f t="shared" si="25"/>
        <v>19.485970561728394</v>
      </c>
      <c r="N152" s="9"/>
      <c r="O152" s="22">
        <v>0.61508200000000002</v>
      </c>
      <c r="P152" s="22">
        <v>10.5443</v>
      </c>
      <c r="Q152" s="22">
        <v>-1.44104E-2</v>
      </c>
      <c r="R152" s="22">
        <v>142</v>
      </c>
      <c r="S152" s="22">
        <v>0.61425799999999997</v>
      </c>
      <c r="T152">
        <f t="shared" si="26"/>
        <v>17.790617283950617</v>
      </c>
      <c r="U152">
        <f t="shared" si="27"/>
        <v>10.942688460246913</v>
      </c>
      <c r="X152" s="9"/>
      <c r="Y152" s="22">
        <v>1.1349499999999999</v>
      </c>
      <c r="Z152" s="22">
        <v>16.089600000000001</v>
      </c>
      <c r="AA152" s="22">
        <v>-1.3937400000000001E-2</v>
      </c>
      <c r="AB152" s="22">
        <v>142</v>
      </c>
      <c r="AC152" s="22">
        <v>1.1343399999999999</v>
      </c>
      <c r="AD152">
        <f t="shared" si="28"/>
        <v>17.206666666666667</v>
      </c>
      <c r="AE152">
        <f t="shared" si="29"/>
        <v>19.528706333333332</v>
      </c>
      <c r="AF152" s="9"/>
      <c r="AG152" s="22">
        <v>0.61508200000000002</v>
      </c>
      <c r="AH152" s="22">
        <v>20.009599999999999</v>
      </c>
      <c r="AI152" s="22">
        <v>-1.44165E-2</v>
      </c>
      <c r="AJ152" s="22">
        <v>142</v>
      </c>
      <c r="AK152" s="22">
        <v>0.61456299999999997</v>
      </c>
      <c r="AL152">
        <f t="shared" si="30"/>
        <v>17.798148148148147</v>
      </c>
      <c r="AM152">
        <f t="shared" si="31"/>
        <v>10.947320559259259</v>
      </c>
      <c r="AP152" s="9"/>
      <c r="AQ152" s="22">
        <v>1.1349499999999999</v>
      </c>
      <c r="AR152" s="22">
        <v>25.572900000000001</v>
      </c>
      <c r="AS152" s="22">
        <v>-1.3964799999999999E-2</v>
      </c>
      <c r="AT152" s="22">
        <v>142</v>
      </c>
      <c r="AU152" s="22">
        <v>1.1340300000000001</v>
      </c>
      <c r="AV152">
        <f t="shared" si="32"/>
        <v>17.240493827160492</v>
      </c>
      <c r="AW152">
        <f t="shared" si="33"/>
        <v>19.5670984691358</v>
      </c>
      <c r="AX152" s="9"/>
      <c r="AY152" s="22">
        <v>0.61508200000000002</v>
      </c>
      <c r="AZ152" s="22">
        <v>29.492799999999999</v>
      </c>
      <c r="BA152" s="22">
        <v>-1.4456200000000001E-2</v>
      </c>
      <c r="BB152" s="22">
        <v>142</v>
      </c>
      <c r="BC152" s="22">
        <v>0.61428799999999995</v>
      </c>
      <c r="BD152">
        <f t="shared" si="34"/>
        <v>17.847160493827161</v>
      </c>
      <c r="BE152">
        <f t="shared" si="35"/>
        <v>10.977467170864198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6.6344799999999999</v>
      </c>
      <c r="I153" s="22">
        <v>-1.3909899999999999E-2</v>
      </c>
      <c r="J153" s="22">
        <v>143</v>
      </c>
      <c r="K153" s="22">
        <v>1.1288499999999999</v>
      </c>
      <c r="L153">
        <f t="shared" si="24"/>
        <v>17.172716049382714</v>
      </c>
      <c r="M153">
        <f t="shared" si="25"/>
        <v>19.403623591358024</v>
      </c>
      <c r="N153" s="9"/>
      <c r="O153" s="22">
        <v>0.62011700000000003</v>
      </c>
      <c r="P153" s="22">
        <v>10.554399999999999</v>
      </c>
      <c r="Q153" s="22">
        <v>-1.4401199999999999E-2</v>
      </c>
      <c r="R153" s="22">
        <v>143</v>
      </c>
      <c r="S153" s="22">
        <v>0.61938499999999996</v>
      </c>
      <c r="T153">
        <f t="shared" si="26"/>
        <v>17.779259259259259</v>
      </c>
      <c r="U153">
        <f t="shared" si="27"/>
        <v>11.025220914074074</v>
      </c>
      <c r="X153" s="9"/>
      <c r="Y153" s="22">
        <v>1.12991</v>
      </c>
      <c r="Z153" s="22">
        <v>16.099699999999999</v>
      </c>
      <c r="AA153" s="22">
        <v>-1.39404E-2</v>
      </c>
      <c r="AB153" s="22">
        <v>143</v>
      </c>
      <c r="AC153" s="22">
        <v>1.1294599999999999</v>
      </c>
      <c r="AD153">
        <f t="shared" si="28"/>
        <v>17.21037037037037</v>
      </c>
      <c r="AE153">
        <f t="shared" si="29"/>
        <v>19.446169585185185</v>
      </c>
      <c r="AF153" s="9"/>
      <c r="AG153" s="22">
        <v>0.62011700000000003</v>
      </c>
      <c r="AH153" s="22">
        <v>20.019600000000001</v>
      </c>
      <c r="AI153" s="22">
        <v>-1.4413499999999999E-2</v>
      </c>
      <c r="AJ153" s="22">
        <v>143</v>
      </c>
      <c r="AK153" s="22">
        <v>0.61956800000000001</v>
      </c>
      <c r="AL153">
        <f t="shared" si="30"/>
        <v>17.794444444444444</v>
      </c>
      <c r="AM153">
        <f t="shared" si="31"/>
        <v>11.034637505555557</v>
      </c>
      <c r="AP153" s="9"/>
      <c r="AQ153" s="22">
        <v>1.12991</v>
      </c>
      <c r="AR153" s="22">
        <v>25.582899999999999</v>
      </c>
      <c r="AS153" s="22">
        <v>-1.3974E-2</v>
      </c>
      <c r="AT153" s="22">
        <v>143</v>
      </c>
      <c r="AU153" s="22">
        <v>1.1285400000000001</v>
      </c>
      <c r="AV153">
        <f t="shared" si="32"/>
        <v>17.251851851851853</v>
      </c>
      <c r="AW153">
        <f t="shared" si="33"/>
        <v>19.493039925925927</v>
      </c>
      <c r="AX153" s="9"/>
      <c r="AY153" s="22">
        <v>0.62011700000000003</v>
      </c>
      <c r="AZ153" s="22">
        <v>29.502800000000001</v>
      </c>
      <c r="BA153" s="22">
        <v>-1.44531E-2</v>
      </c>
      <c r="BB153" s="22">
        <v>143</v>
      </c>
      <c r="BC153" s="22">
        <v>0.61932399999999999</v>
      </c>
      <c r="BD153">
        <f t="shared" si="34"/>
        <v>17.843333333333334</v>
      </c>
      <c r="BE153">
        <f t="shared" si="35"/>
        <v>11.064954336666668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6.6445499999999997</v>
      </c>
      <c r="I154" s="22">
        <v>-1.39191E-2</v>
      </c>
      <c r="J154" s="22">
        <v>144</v>
      </c>
      <c r="K154" s="22">
        <v>1.1239600000000001</v>
      </c>
      <c r="L154">
        <f t="shared" si="24"/>
        <v>17.184074074074076</v>
      </c>
      <c r="M154">
        <f t="shared" si="25"/>
        <v>19.330021244444449</v>
      </c>
      <c r="N154" s="9"/>
      <c r="O154" s="22">
        <v>0.62515299999999996</v>
      </c>
      <c r="P154" s="22">
        <v>10.564399999999999</v>
      </c>
      <c r="Q154" s="22">
        <v>-1.4395099999999999E-2</v>
      </c>
      <c r="R154" s="22">
        <v>144</v>
      </c>
      <c r="S154" s="22">
        <v>0.62441999999999998</v>
      </c>
      <c r="T154">
        <f t="shared" si="26"/>
        <v>17.771728395061729</v>
      </c>
      <c r="U154">
        <f t="shared" si="27"/>
        <v>11.110049321358025</v>
      </c>
      <c r="X154" s="9"/>
      <c r="Y154" s="22">
        <v>1.1248800000000001</v>
      </c>
      <c r="Z154" s="22">
        <v>16.1098</v>
      </c>
      <c r="AA154" s="22">
        <v>-1.3946500000000001E-2</v>
      </c>
      <c r="AB154" s="22">
        <v>144</v>
      </c>
      <c r="AC154" s="22">
        <v>1.1233500000000001</v>
      </c>
      <c r="AD154">
        <f t="shared" si="28"/>
        <v>17.217901234567901</v>
      </c>
      <c r="AE154">
        <f t="shared" si="29"/>
        <v>19.368072740740743</v>
      </c>
      <c r="AF154" s="9"/>
      <c r="AG154" s="22">
        <v>0.62515299999999996</v>
      </c>
      <c r="AH154" s="22">
        <v>20.029699999999998</v>
      </c>
      <c r="AI154" s="22">
        <v>-1.44073E-2</v>
      </c>
      <c r="AJ154" s="22">
        <v>144</v>
      </c>
      <c r="AK154" s="22">
        <v>0.62441999999999998</v>
      </c>
      <c r="AL154">
        <f t="shared" si="30"/>
        <v>17.78679012345679</v>
      </c>
      <c r="AM154">
        <f t="shared" si="31"/>
        <v>11.119465206049382</v>
      </c>
      <c r="AP154" s="9"/>
      <c r="AQ154" s="22">
        <v>1.1248800000000001</v>
      </c>
      <c r="AR154" s="22">
        <v>25.593</v>
      </c>
      <c r="AS154" s="22">
        <v>-1.3974E-2</v>
      </c>
      <c r="AT154" s="22">
        <v>144</v>
      </c>
      <c r="AU154" s="22">
        <v>1.1239600000000001</v>
      </c>
      <c r="AV154">
        <f t="shared" si="32"/>
        <v>17.251851851851853</v>
      </c>
      <c r="AW154">
        <f t="shared" si="33"/>
        <v>19.406263111111116</v>
      </c>
      <c r="AX154" s="9"/>
      <c r="AY154" s="22">
        <v>0.62515299999999996</v>
      </c>
      <c r="AZ154" s="22">
        <v>29.512899999999998</v>
      </c>
      <c r="BA154" s="22">
        <v>-1.44501E-2</v>
      </c>
      <c r="BB154" s="22">
        <v>144</v>
      </c>
      <c r="BC154" s="22">
        <v>0.62448099999999995</v>
      </c>
      <c r="BD154">
        <f t="shared" si="34"/>
        <v>17.839629629629631</v>
      </c>
      <c r="BE154">
        <f t="shared" si="35"/>
        <v>11.152497981851852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6.6546200000000004</v>
      </c>
      <c r="I155" s="22">
        <v>-1.39221E-2</v>
      </c>
      <c r="J155" s="22">
        <v>145</v>
      </c>
      <c r="K155" s="22">
        <v>1.1190800000000001</v>
      </c>
      <c r="L155">
        <f t="shared" si="24"/>
        <v>17.187777777777779</v>
      </c>
      <c r="M155">
        <f t="shared" si="25"/>
        <v>19.247561066666666</v>
      </c>
      <c r="N155" s="9"/>
      <c r="O155" s="22">
        <v>0.63018799999999997</v>
      </c>
      <c r="P155" s="22">
        <v>10.5745</v>
      </c>
      <c r="Q155" s="22">
        <v>-1.4389000000000001E-2</v>
      </c>
      <c r="R155" s="22">
        <v>145</v>
      </c>
      <c r="S155" s="22">
        <v>0.62948599999999999</v>
      </c>
      <c r="T155">
        <f t="shared" si="26"/>
        <v>17.764197530864198</v>
      </c>
      <c r="U155">
        <f t="shared" si="27"/>
        <v>11.194784113580246</v>
      </c>
      <c r="X155" s="9"/>
      <c r="Y155" s="22">
        <v>1.1198399999999999</v>
      </c>
      <c r="Z155" s="22">
        <v>16.119800000000001</v>
      </c>
      <c r="AA155" s="22">
        <v>-1.39496E-2</v>
      </c>
      <c r="AB155" s="22">
        <v>145</v>
      </c>
      <c r="AC155" s="22">
        <v>1.1184700000000001</v>
      </c>
      <c r="AD155">
        <f t="shared" si="28"/>
        <v>17.221728395061724</v>
      </c>
      <c r="AE155">
        <f t="shared" si="29"/>
        <v>19.28558032592592</v>
      </c>
      <c r="AF155" s="9"/>
      <c r="AG155" s="22">
        <v>0.63018799999999997</v>
      </c>
      <c r="AH155" s="22">
        <v>20.0398</v>
      </c>
      <c r="AI155" s="22">
        <v>-1.44073E-2</v>
      </c>
      <c r="AJ155" s="22">
        <v>145</v>
      </c>
      <c r="AK155" s="22">
        <v>0.62933300000000003</v>
      </c>
      <c r="AL155">
        <f t="shared" si="30"/>
        <v>17.78679012345679</v>
      </c>
      <c r="AM155">
        <f t="shared" si="31"/>
        <v>11.209021694320986</v>
      </c>
      <c r="AP155" s="9"/>
      <c r="AQ155" s="22">
        <v>1.1198399999999999</v>
      </c>
      <c r="AR155" s="22">
        <v>25.603100000000001</v>
      </c>
      <c r="AS155" s="22">
        <v>-1.3980100000000001E-2</v>
      </c>
      <c r="AT155" s="22">
        <v>145</v>
      </c>
      <c r="AU155" s="22">
        <v>1.11816</v>
      </c>
      <c r="AV155">
        <f t="shared" si="32"/>
        <v>17.259382716049384</v>
      </c>
      <c r="AW155">
        <f t="shared" si="33"/>
        <v>19.32774714074074</v>
      </c>
      <c r="AX155" s="9"/>
      <c r="AY155" s="22">
        <v>0.63018799999999997</v>
      </c>
      <c r="AZ155" s="22">
        <v>29.523</v>
      </c>
      <c r="BA155" s="22">
        <v>-1.4447E-2</v>
      </c>
      <c r="BB155" s="22">
        <v>145</v>
      </c>
      <c r="BC155" s="22">
        <v>0.62936400000000003</v>
      </c>
      <c r="BD155">
        <f t="shared" si="34"/>
        <v>17.8358024691358</v>
      </c>
      <c r="BE155">
        <f t="shared" si="35"/>
        <v>11.239908686419751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6.6646900000000002</v>
      </c>
      <c r="I156" s="22">
        <v>-1.39282E-2</v>
      </c>
      <c r="J156" s="22">
        <v>146</v>
      </c>
      <c r="K156" s="22">
        <v>1.1142000000000001</v>
      </c>
      <c r="L156">
        <f t="shared" si="24"/>
        <v>17.195308641975309</v>
      </c>
      <c r="M156">
        <f t="shared" si="25"/>
        <v>19.169502027160497</v>
      </c>
      <c r="N156" s="9"/>
      <c r="O156" s="22">
        <v>0.63522299999999998</v>
      </c>
      <c r="P156" s="22">
        <v>10.5846</v>
      </c>
      <c r="Q156" s="22">
        <v>-1.4389000000000001E-2</v>
      </c>
      <c r="R156" s="22">
        <v>146</v>
      </c>
      <c r="S156" s="22">
        <v>0.634552</v>
      </c>
      <c r="T156">
        <f t="shared" si="26"/>
        <v>17.764197530864198</v>
      </c>
      <c r="U156">
        <f t="shared" si="27"/>
        <v>11.284226848148148</v>
      </c>
      <c r="X156" s="9"/>
      <c r="Y156" s="22">
        <v>1.1148100000000001</v>
      </c>
      <c r="Z156" s="22">
        <v>16.129899999999999</v>
      </c>
      <c r="AA156" s="22">
        <v>-1.39557E-2</v>
      </c>
      <c r="AB156" s="22">
        <v>146</v>
      </c>
      <c r="AC156" s="22">
        <v>1.11389</v>
      </c>
      <c r="AD156">
        <f t="shared" si="28"/>
        <v>17.229259259259258</v>
      </c>
      <c r="AE156">
        <f t="shared" si="29"/>
        <v>19.207350514814816</v>
      </c>
      <c r="AF156" s="9"/>
      <c r="AG156" s="22">
        <v>0.63522299999999998</v>
      </c>
      <c r="AH156" s="22">
        <v>20.049800000000001</v>
      </c>
      <c r="AI156" s="22">
        <v>-1.44043E-2</v>
      </c>
      <c r="AJ156" s="22">
        <v>146</v>
      </c>
      <c r="AK156" s="22">
        <v>0.63430799999999998</v>
      </c>
      <c r="AL156">
        <f t="shared" si="30"/>
        <v>17.783086419753086</v>
      </c>
      <c r="AM156">
        <f t="shared" si="31"/>
        <v>11.296225504814814</v>
      </c>
      <c r="AP156" s="9"/>
      <c r="AQ156" s="22">
        <v>1.1148100000000001</v>
      </c>
      <c r="AR156" s="22">
        <v>25.613099999999999</v>
      </c>
      <c r="AS156" s="22">
        <v>-1.3983199999999999E-2</v>
      </c>
      <c r="AT156" s="22">
        <v>146</v>
      </c>
      <c r="AU156" s="22">
        <v>1.11389</v>
      </c>
      <c r="AV156">
        <f t="shared" si="32"/>
        <v>17.263209876543208</v>
      </c>
      <c r="AW156">
        <f t="shared" si="33"/>
        <v>19.245199002469136</v>
      </c>
      <c r="AX156" s="9"/>
      <c r="AY156" s="22">
        <v>0.63522299999999998</v>
      </c>
      <c r="AZ156" s="22">
        <v>29.533000000000001</v>
      </c>
      <c r="BA156" s="22">
        <v>-1.44409E-2</v>
      </c>
      <c r="BB156" s="22">
        <v>146</v>
      </c>
      <c r="BC156" s="22">
        <v>0.634552</v>
      </c>
      <c r="BD156">
        <f t="shared" si="34"/>
        <v>17.828271604938269</v>
      </c>
      <c r="BE156">
        <f t="shared" si="35"/>
        <v>11.324928173703702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6.67476</v>
      </c>
      <c r="I157" s="22">
        <v>-1.39343E-2</v>
      </c>
      <c r="J157" s="22">
        <v>147</v>
      </c>
      <c r="K157" s="22">
        <v>1.1087</v>
      </c>
      <c r="L157">
        <f t="shared" si="24"/>
        <v>17.202839506172836</v>
      </c>
      <c r="M157">
        <f t="shared" si="25"/>
        <v>19.091195198765426</v>
      </c>
      <c r="N157" s="9"/>
      <c r="O157" s="22">
        <v>0.64025900000000002</v>
      </c>
      <c r="P157" s="22">
        <v>10.5947</v>
      </c>
      <c r="Q157" s="22">
        <v>-1.4385999999999999E-2</v>
      </c>
      <c r="R157" s="22">
        <v>147</v>
      </c>
      <c r="S157" s="22">
        <v>0.63952600000000004</v>
      </c>
      <c r="T157">
        <f t="shared" si="26"/>
        <v>17.760493827160492</v>
      </c>
      <c r="U157">
        <f t="shared" si="27"/>
        <v>11.371316017283949</v>
      </c>
      <c r="X157" s="9"/>
      <c r="Y157" s="22">
        <v>1.1097699999999999</v>
      </c>
      <c r="Z157" s="22">
        <v>16.14</v>
      </c>
      <c r="AA157" s="22">
        <v>-1.39618E-2</v>
      </c>
      <c r="AB157" s="22">
        <v>147</v>
      </c>
      <c r="AC157" s="22">
        <v>1.10931</v>
      </c>
      <c r="AD157">
        <f t="shared" si="28"/>
        <v>17.236790123456789</v>
      </c>
      <c r="AE157">
        <f t="shared" si="29"/>
        <v>19.128872575308637</v>
      </c>
      <c r="AF157" s="9"/>
      <c r="AG157" s="22">
        <v>0.64025900000000002</v>
      </c>
      <c r="AH157" s="22">
        <v>20.059899999999999</v>
      </c>
      <c r="AI157" s="22">
        <v>-1.4401199999999999E-2</v>
      </c>
      <c r="AJ157" s="22">
        <v>147</v>
      </c>
      <c r="AK157" s="22">
        <v>0.63946499999999995</v>
      </c>
      <c r="AL157">
        <f t="shared" si="30"/>
        <v>17.779259259259259</v>
      </c>
      <c r="AM157">
        <f t="shared" si="31"/>
        <v>11.383330754074075</v>
      </c>
      <c r="AP157" s="9"/>
      <c r="AQ157" s="22">
        <v>1.1097699999999999</v>
      </c>
      <c r="AR157" s="22">
        <v>25.623200000000001</v>
      </c>
      <c r="AS157" s="22">
        <v>-1.39893E-2</v>
      </c>
      <c r="AT157" s="22">
        <v>147</v>
      </c>
      <c r="AU157" s="22">
        <v>1.1087</v>
      </c>
      <c r="AV157">
        <f t="shared" si="32"/>
        <v>17.270740740740738</v>
      </c>
      <c r="AW157">
        <f t="shared" si="33"/>
        <v>19.166549951851849</v>
      </c>
      <c r="AX157" s="9"/>
      <c r="AY157" s="22">
        <v>0.64025900000000002</v>
      </c>
      <c r="AZ157" s="22">
        <v>29.543099999999999</v>
      </c>
      <c r="BA157" s="22">
        <v>-1.44379E-2</v>
      </c>
      <c r="BB157" s="22">
        <v>147</v>
      </c>
      <c r="BC157" s="22">
        <v>0.63949599999999995</v>
      </c>
      <c r="BD157">
        <f t="shared" si="34"/>
        <v>17.824567901234566</v>
      </c>
      <c r="BE157">
        <f t="shared" si="35"/>
        <v>11.412340019876542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6.6848299999999998</v>
      </c>
      <c r="I158" s="22">
        <v>-1.39404E-2</v>
      </c>
      <c r="J158" s="22">
        <v>148</v>
      </c>
      <c r="K158" s="22">
        <v>1.1041300000000001</v>
      </c>
      <c r="L158">
        <f t="shared" si="24"/>
        <v>17.21037037037037</v>
      </c>
      <c r="M158">
        <f t="shared" si="25"/>
        <v>19.012984562962963</v>
      </c>
      <c r="N158" s="9"/>
      <c r="O158" s="22">
        <v>0.64529400000000003</v>
      </c>
      <c r="P158" s="22">
        <v>10.604699999999999</v>
      </c>
      <c r="Q158" s="22">
        <v>-1.4382900000000001E-2</v>
      </c>
      <c r="R158" s="22">
        <v>148</v>
      </c>
      <c r="S158" s="22">
        <v>0.64459200000000005</v>
      </c>
      <c r="T158">
        <f t="shared" si="26"/>
        <v>17.756666666666668</v>
      </c>
      <c r="U158">
        <f t="shared" si="27"/>
        <v>11.458270460000001</v>
      </c>
      <c r="X158" s="9"/>
      <c r="Y158" s="22">
        <v>1.1047400000000001</v>
      </c>
      <c r="Z158" s="22">
        <v>16.150099999999998</v>
      </c>
      <c r="AA158" s="22">
        <v>-1.39679E-2</v>
      </c>
      <c r="AB158" s="22">
        <v>148</v>
      </c>
      <c r="AC158" s="22">
        <v>1.1035200000000001</v>
      </c>
      <c r="AD158">
        <f t="shared" si="28"/>
        <v>17.244320987654319</v>
      </c>
      <c r="AE158">
        <f t="shared" si="29"/>
        <v>19.050491167901235</v>
      </c>
      <c r="AF158" s="9"/>
      <c r="AG158" s="22">
        <v>0.64529400000000003</v>
      </c>
      <c r="AH158" s="22">
        <v>20.07</v>
      </c>
      <c r="AI158" s="22">
        <v>-1.44043E-2</v>
      </c>
      <c r="AJ158" s="22">
        <v>148</v>
      </c>
      <c r="AK158" s="22">
        <v>0.64456199999999997</v>
      </c>
      <c r="AL158">
        <f t="shared" si="30"/>
        <v>17.783086419753086</v>
      </c>
      <c r="AM158">
        <f t="shared" si="31"/>
        <v>11.475318968148148</v>
      </c>
      <c r="AP158" s="9"/>
      <c r="AQ158" s="22">
        <v>1.1047400000000001</v>
      </c>
      <c r="AR158" s="22">
        <v>25.633299999999998</v>
      </c>
      <c r="AS158" s="22">
        <v>-1.3992299999999999E-2</v>
      </c>
      <c r="AT158" s="22">
        <v>148</v>
      </c>
      <c r="AU158" s="22">
        <v>1.10382</v>
      </c>
      <c r="AV158">
        <f t="shared" si="32"/>
        <v>17.274444444444445</v>
      </c>
      <c r="AW158">
        <f t="shared" si="33"/>
        <v>19.083769755555558</v>
      </c>
      <c r="AX158" s="9"/>
      <c r="AY158" s="22">
        <v>0.64529400000000003</v>
      </c>
      <c r="AZ158" s="22">
        <v>29.5532</v>
      </c>
      <c r="BA158" s="22">
        <v>-1.4434799999999999E-2</v>
      </c>
      <c r="BB158" s="22">
        <v>148</v>
      </c>
      <c r="BC158" s="22">
        <v>0.64465300000000003</v>
      </c>
      <c r="BD158">
        <f t="shared" si="34"/>
        <v>17.820740740740739</v>
      </c>
      <c r="BE158">
        <f t="shared" si="35"/>
        <v>11.499617075555555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6.6948999999999996</v>
      </c>
      <c r="I159" s="22">
        <v>-1.3946500000000001E-2</v>
      </c>
      <c r="J159" s="22">
        <v>149</v>
      </c>
      <c r="K159" s="22">
        <v>1.09894</v>
      </c>
      <c r="L159">
        <f t="shared" si="24"/>
        <v>17.217901234567901</v>
      </c>
      <c r="M159">
        <f t="shared" si="25"/>
        <v>18.934525987654318</v>
      </c>
      <c r="N159" s="9"/>
      <c r="O159" s="22">
        <v>0.65032999999999996</v>
      </c>
      <c r="P159" s="22">
        <v>10.614800000000001</v>
      </c>
      <c r="Q159" s="22">
        <v>-1.4379899999999999E-2</v>
      </c>
      <c r="R159" s="22">
        <v>149</v>
      </c>
      <c r="S159" s="22">
        <v>0.64950600000000003</v>
      </c>
      <c r="T159">
        <f t="shared" si="26"/>
        <v>17.752962962962961</v>
      </c>
      <c r="U159">
        <f t="shared" si="27"/>
        <v>11.545284403703702</v>
      </c>
      <c r="X159" s="9"/>
      <c r="Y159" s="22">
        <v>1.0996999999999999</v>
      </c>
      <c r="Z159" s="22">
        <v>16.1601</v>
      </c>
      <c r="AA159" s="22">
        <v>-1.3974E-2</v>
      </c>
      <c r="AB159" s="22">
        <v>149</v>
      </c>
      <c r="AC159" s="22">
        <v>1.09924</v>
      </c>
      <c r="AD159">
        <f t="shared" si="28"/>
        <v>17.251851851851853</v>
      </c>
      <c r="AE159">
        <f t="shared" si="29"/>
        <v>18.971861481481483</v>
      </c>
      <c r="AF159" s="9"/>
      <c r="AG159" s="22">
        <v>0.65032999999999996</v>
      </c>
      <c r="AH159" s="22">
        <v>20.080100000000002</v>
      </c>
      <c r="AI159" s="22">
        <v>-1.43982E-2</v>
      </c>
      <c r="AJ159" s="22">
        <v>149</v>
      </c>
      <c r="AK159" s="22">
        <v>0.64968899999999996</v>
      </c>
      <c r="AL159">
        <f t="shared" si="30"/>
        <v>17.775555555555556</v>
      </c>
      <c r="AM159">
        <f t="shared" si="31"/>
        <v>11.559977044444445</v>
      </c>
      <c r="AP159" s="9"/>
      <c r="AQ159" s="22">
        <v>1.0996999999999999</v>
      </c>
      <c r="AR159" s="22">
        <v>25.6434</v>
      </c>
      <c r="AS159" s="22">
        <v>-1.3998399999999999E-2</v>
      </c>
      <c r="AT159" s="22">
        <v>149</v>
      </c>
      <c r="AU159" s="22">
        <v>1.09833</v>
      </c>
      <c r="AV159">
        <f t="shared" si="32"/>
        <v>17.281975308641975</v>
      </c>
      <c r="AW159">
        <f t="shared" si="33"/>
        <v>19.004988246913577</v>
      </c>
      <c r="AX159" s="9"/>
      <c r="AY159" s="22">
        <v>0.65032999999999996</v>
      </c>
      <c r="AZ159" s="22">
        <v>29.563300000000002</v>
      </c>
      <c r="BA159" s="22">
        <v>-1.4428699999999999E-2</v>
      </c>
      <c r="BB159" s="22">
        <v>149</v>
      </c>
      <c r="BC159" s="22">
        <v>0.64971900000000005</v>
      </c>
      <c r="BD159">
        <f t="shared" si="34"/>
        <v>17.813209876543205</v>
      </c>
      <c r="BE159">
        <f t="shared" si="35"/>
        <v>11.584464779012341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6.7049700000000003</v>
      </c>
      <c r="I160" s="22">
        <v>-1.39496E-2</v>
      </c>
      <c r="J160" s="22">
        <v>150</v>
      </c>
      <c r="K160" s="22">
        <v>1.09344</v>
      </c>
      <c r="L160">
        <f t="shared" si="24"/>
        <v>17.221728395061724</v>
      </c>
      <c r="M160">
        <f t="shared" si="25"/>
        <v>18.852109422222217</v>
      </c>
      <c r="N160" s="9"/>
      <c r="O160" s="22">
        <v>0.65536499999999998</v>
      </c>
      <c r="P160" s="22">
        <v>10.6249</v>
      </c>
      <c r="Q160" s="22">
        <v>-1.43768E-2</v>
      </c>
      <c r="R160" s="22">
        <v>150</v>
      </c>
      <c r="S160" s="22">
        <v>0.65472399999999997</v>
      </c>
      <c r="T160">
        <f t="shared" si="26"/>
        <v>17.749135802469137</v>
      </c>
      <c r="U160">
        <f t="shared" si="27"/>
        <v>11.632162385185186</v>
      </c>
      <c r="X160" s="9"/>
      <c r="Y160" s="22">
        <v>1.09467</v>
      </c>
      <c r="Z160" s="22">
        <v>16.170200000000001</v>
      </c>
      <c r="AA160" s="22">
        <v>-1.3980100000000001E-2</v>
      </c>
      <c r="AB160" s="22">
        <v>150</v>
      </c>
      <c r="AC160" s="22">
        <v>1.09375</v>
      </c>
      <c r="AD160">
        <f t="shared" si="28"/>
        <v>17.259382716049384</v>
      </c>
      <c r="AE160">
        <f t="shared" si="29"/>
        <v>18.893328477777779</v>
      </c>
      <c r="AF160" s="9"/>
      <c r="AG160" s="22">
        <v>0.65536499999999998</v>
      </c>
      <c r="AH160" s="22">
        <v>20.0901</v>
      </c>
      <c r="AI160" s="22">
        <v>-1.4395099999999999E-2</v>
      </c>
      <c r="AJ160" s="22">
        <v>150</v>
      </c>
      <c r="AK160" s="22">
        <v>0.65460200000000002</v>
      </c>
      <c r="AL160">
        <f t="shared" si="30"/>
        <v>17.771728395061729</v>
      </c>
      <c r="AM160">
        <f t="shared" si="31"/>
        <v>11.64696877962963</v>
      </c>
      <c r="AP160" s="9"/>
      <c r="AQ160" s="22">
        <v>1.09467</v>
      </c>
      <c r="AR160" s="22">
        <v>25.653400000000001</v>
      </c>
      <c r="AS160" s="22">
        <v>-1.40076E-2</v>
      </c>
      <c r="AT160" s="22">
        <v>150</v>
      </c>
      <c r="AU160" s="22">
        <v>1.09314</v>
      </c>
      <c r="AV160">
        <f t="shared" si="32"/>
        <v>17.293333333333333</v>
      </c>
      <c r="AW160">
        <f t="shared" si="33"/>
        <v>18.930493200000001</v>
      </c>
      <c r="AX160" s="9"/>
      <c r="AY160" s="22">
        <v>0.65536499999999998</v>
      </c>
      <c r="AZ160" s="22">
        <v>29.5733</v>
      </c>
      <c r="BA160" s="22">
        <v>-1.4419599999999999E-2</v>
      </c>
      <c r="BB160" s="22">
        <v>150</v>
      </c>
      <c r="BC160" s="22">
        <v>0.65447999999999995</v>
      </c>
      <c r="BD160">
        <f t="shared" si="34"/>
        <v>17.801975308641975</v>
      </c>
      <c r="BE160">
        <f t="shared" si="35"/>
        <v>11.666791548148147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6.7150499999999997</v>
      </c>
      <c r="I161" s="22">
        <v>-1.3952600000000001E-2</v>
      </c>
      <c r="J161" s="22">
        <v>151</v>
      </c>
      <c r="K161" s="22">
        <v>1.08856</v>
      </c>
      <c r="L161">
        <f t="shared" si="24"/>
        <v>17.225432098765431</v>
      </c>
      <c r="M161">
        <f t="shared" si="25"/>
        <v>18.769347577777779</v>
      </c>
      <c r="N161" s="9"/>
      <c r="O161" s="22">
        <v>0.66039999999999999</v>
      </c>
      <c r="P161" s="22">
        <v>10.6349</v>
      </c>
      <c r="Q161" s="22">
        <v>-1.4373800000000001E-2</v>
      </c>
      <c r="R161" s="22">
        <v>151</v>
      </c>
      <c r="S161" s="22">
        <v>0.65969800000000001</v>
      </c>
      <c r="T161">
        <f t="shared" si="26"/>
        <v>17.745432098765431</v>
      </c>
      <c r="U161">
        <f t="shared" si="27"/>
        <v>11.71908335802469</v>
      </c>
      <c r="X161" s="9"/>
      <c r="Y161" s="22">
        <v>1.0896300000000001</v>
      </c>
      <c r="Z161" s="22">
        <v>16.180299999999999</v>
      </c>
      <c r="AA161" s="22">
        <v>-1.3983199999999999E-2</v>
      </c>
      <c r="AB161" s="22">
        <v>151</v>
      </c>
      <c r="AC161" s="22">
        <v>1.08826</v>
      </c>
      <c r="AD161">
        <f t="shared" si="28"/>
        <v>17.263209876543208</v>
      </c>
      <c r="AE161">
        <f t="shared" si="29"/>
        <v>18.810511377777775</v>
      </c>
      <c r="AF161" s="9"/>
      <c r="AG161" s="22">
        <v>0.66039999999999999</v>
      </c>
      <c r="AH161" s="22">
        <v>20.100200000000001</v>
      </c>
      <c r="AI161" s="22">
        <v>-1.4395099999999999E-2</v>
      </c>
      <c r="AJ161" s="22">
        <v>151</v>
      </c>
      <c r="AK161" s="22">
        <v>0.65978999999999999</v>
      </c>
      <c r="AL161">
        <f t="shared" si="30"/>
        <v>17.771728395061729</v>
      </c>
      <c r="AM161">
        <f t="shared" si="31"/>
        <v>11.736449432098766</v>
      </c>
      <c r="AP161" s="9"/>
      <c r="AQ161" s="22">
        <v>1.0896300000000001</v>
      </c>
      <c r="AR161" s="22">
        <v>25.663499999999999</v>
      </c>
      <c r="AS161" s="22">
        <v>-1.40106E-2</v>
      </c>
      <c r="AT161" s="22">
        <v>151</v>
      </c>
      <c r="AU161" s="22">
        <v>1.08856</v>
      </c>
      <c r="AV161">
        <f t="shared" si="32"/>
        <v>17.297037037037036</v>
      </c>
      <c r="AW161">
        <f t="shared" si="33"/>
        <v>18.847370466666668</v>
      </c>
      <c r="AX161" s="9"/>
      <c r="AY161" s="22">
        <v>0.66039999999999999</v>
      </c>
      <c r="AZ161" s="22">
        <v>29.583400000000001</v>
      </c>
      <c r="BA161" s="22">
        <v>-1.4413499999999999E-2</v>
      </c>
      <c r="BB161" s="22">
        <v>151</v>
      </c>
      <c r="BC161" s="22">
        <v>0.65948499999999999</v>
      </c>
      <c r="BD161">
        <f t="shared" si="34"/>
        <v>17.794444444444444</v>
      </c>
      <c r="BE161">
        <f t="shared" si="35"/>
        <v>11.751451111111111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6.7251200000000004</v>
      </c>
      <c r="I162" s="22">
        <v>-1.3958699999999999E-2</v>
      </c>
      <c r="J162" s="22">
        <v>152</v>
      </c>
      <c r="K162" s="22">
        <v>1.08368</v>
      </c>
      <c r="L162">
        <f t="shared" si="24"/>
        <v>17.232962962962961</v>
      </c>
      <c r="M162">
        <f t="shared" si="25"/>
        <v>18.690699299999999</v>
      </c>
      <c r="N162" s="9"/>
      <c r="O162" s="22">
        <v>0.66543600000000003</v>
      </c>
      <c r="P162" s="22">
        <v>10.645</v>
      </c>
      <c r="Q162" s="22">
        <v>-1.43707E-2</v>
      </c>
      <c r="R162" s="22">
        <v>152</v>
      </c>
      <c r="S162" s="22">
        <v>0.66470300000000004</v>
      </c>
      <c r="T162">
        <f t="shared" si="26"/>
        <v>17.741604938271603</v>
      </c>
      <c r="U162">
        <f t="shared" si="27"/>
        <v>11.805902623703703</v>
      </c>
      <c r="X162" s="9"/>
      <c r="Y162" s="22">
        <v>1.0845899999999999</v>
      </c>
      <c r="Z162" s="22">
        <v>16.190300000000001</v>
      </c>
      <c r="AA162" s="22">
        <v>-1.3986200000000001E-2</v>
      </c>
      <c r="AB162" s="22">
        <v>152</v>
      </c>
      <c r="AC162" s="22">
        <v>1.08307</v>
      </c>
      <c r="AD162">
        <f t="shared" si="28"/>
        <v>17.266913580246914</v>
      </c>
      <c r="AE162">
        <f t="shared" si="29"/>
        <v>18.727521799999998</v>
      </c>
      <c r="AF162" s="9"/>
      <c r="AG162" s="22">
        <v>0.66543600000000003</v>
      </c>
      <c r="AH162" s="22">
        <v>20.110299999999999</v>
      </c>
      <c r="AI162" s="22">
        <v>-1.4385999999999999E-2</v>
      </c>
      <c r="AJ162" s="22">
        <v>152</v>
      </c>
      <c r="AK162" s="22">
        <v>0.66476400000000002</v>
      </c>
      <c r="AL162">
        <f t="shared" si="30"/>
        <v>17.760493827160492</v>
      </c>
      <c r="AM162">
        <f t="shared" si="31"/>
        <v>11.81847197037037</v>
      </c>
      <c r="AP162" s="9"/>
      <c r="AQ162" s="22">
        <v>1.0845899999999999</v>
      </c>
      <c r="AR162" s="22">
        <v>25.6736</v>
      </c>
      <c r="AS162" s="22">
        <v>-1.40137E-2</v>
      </c>
      <c r="AT162" s="22">
        <v>152</v>
      </c>
      <c r="AU162" s="22">
        <v>1.0833699999999999</v>
      </c>
      <c r="AV162">
        <f t="shared" si="32"/>
        <v>17.300864197530863</v>
      </c>
      <c r="AW162">
        <f t="shared" si="33"/>
        <v>18.764344299999998</v>
      </c>
      <c r="AX162" s="9"/>
      <c r="AY162" s="22">
        <v>0.66543600000000003</v>
      </c>
      <c r="AZ162" s="22">
        <v>29.593499999999999</v>
      </c>
      <c r="BA162" s="22">
        <v>-1.44073E-2</v>
      </c>
      <c r="BB162" s="22">
        <v>152</v>
      </c>
      <c r="BC162" s="22">
        <v>0.66467299999999996</v>
      </c>
      <c r="BD162">
        <f t="shared" si="34"/>
        <v>17.78679012345679</v>
      </c>
      <c r="BE162">
        <f t="shared" si="35"/>
        <v>11.835970472592592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6.7351900000000002</v>
      </c>
      <c r="I163" s="22">
        <v>-1.39679E-2</v>
      </c>
      <c r="J163" s="22">
        <v>153</v>
      </c>
      <c r="K163" s="22">
        <v>1.0784899999999999</v>
      </c>
      <c r="L163">
        <f t="shared" si="24"/>
        <v>17.244320987654319</v>
      </c>
      <c r="M163">
        <f t="shared" si="25"/>
        <v>18.616279165432097</v>
      </c>
      <c r="N163" s="9"/>
      <c r="O163" s="22">
        <v>0.67047100000000004</v>
      </c>
      <c r="P163" s="22">
        <v>10.655099999999999</v>
      </c>
      <c r="Q163" s="22">
        <v>-1.4367700000000001E-2</v>
      </c>
      <c r="R163" s="22">
        <v>153</v>
      </c>
      <c r="S163" s="22">
        <v>0.66973899999999997</v>
      </c>
      <c r="T163">
        <f t="shared" si="26"/>
        <v>17.7379012345679</v>
      </c>
      <c r="U163">
        <f t="shared" si="27"/>
        <v>11.892748378641976</v>
      </c>
      <c r="X163" s="9"/>
      <c r="Y163" s="22">
        <v>1.0795600000000001</v>
      </c>
      <c r="Z163" s="22">
        <v>16.200399999999998</v>
      </c>
      <c r="AA163" s="22">
        <v>-1.39954E-2</v>
      </c>
      <c r="AB163" s="22">
        <v>153</v>
      </c>
      <c r="AC163" s="22">
        <v>1.0784899999999999</v>
      </c>
      <c r="AD163">
        <f t="shared" si="28"/>
        <v>17.278271604938272</v>
      </c>
      <c r="AE163">
        <f t="shared" si="29"/>
        <v>18.652930893827161</v>
      </c>
      <c r="AF163" s="9"/>
      <c r="AG163" s="22">
        <v>0.67047100000000004</v>
      </c>
      <c r="AH163" s="22">
        <v>20.1203</v>
      </c>
      <c r="AI163" s="22">
        <v>-1.4382900000000001E-2</v>
      </c>
      <c r="AJ163" s="22">
        <v>153</v>
      </c>
      <c r="AK163" s="22">
        <v>0.669678</v>
      </c>
      <c r="AL163">
        <f t="shared" si="30"/>
        <v>17.756666666666668</v>
      </c>
      <c r="AM163">
        <f t="shared" si="31"/>
        <v>11.905330056666669</v>
      </c>
      <c r="AP163" s="9"/>
      <c r="AQ163" s="22">
        <v>1.0795600000000001</v>
      </c>
      <c r="AR163" s="22">
        <v>25.683599999999998</v>
      </c>
      <c r="AS163" s="22">
        <v>-1.40228E-2</v>
      </c>
      <c r="AT163" s="22">
        <v>153</v>
      </c>
      <c r="AU163" s="22">
        <v>1.0790999999999999</v>
      </c>
      <c r="AV163">
        <f t="shared" si="32"/>
        <v>17.312098765432097</v>
      </c>
      <c r="AW163">
        <f t="shared" si="33"/>
        <v>18.689449343209876</v>
      </c>
      <c r="AX163" s="9"/>
      <c r="AY163" s="22">
        <v>0.67047100000000004</v>
      </c>
      <c r="AZ163" s="22">
        <v>29.6035</v>
      </c>
      <c r="BA163" s="22">
        <v>-1.43982E-2</v>
      </c>
      <c r="BB163" s="22">
        <v>153</v>
      </c>
      <c r="BC163" s="22">
        <v>0.66973899999999997</v>
      </c>
      <c r="BD163">
        <f t="shared" si="34"/>
        <v>17.775555555555556</v>
      </c>
      <c r="BE163">
        <f t="shared" si="35"/>
        <v>11.91799450888889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6.74526</v>
      </c>
      <c r="I164" s="22">
        <v>-1.39709E-2</v>
      </c>
      <c r="J164" s="22">
        <v>154</v>
      </c>
      <c r="K164" s="22">
        <v>1.0739099999999999</v>
      </c>
      <c r="L164">
        <f t="shared" si="24"/>
        <v>17.248024691358022</v>
      </c>
      <c r="M164">
        <f t="shared" si="25"/>
        <v>18.533347491358022</v>
      </c>
      <c r="N164" s="9"/>
      <c r="O164" s="22">
        <v>0.67550699999999997</v>
      </c>
      <c r="P164" s="22">
        <v>10.6652</v>
      </c>
      <c r="Q164" s="22">
        <v>-1.4367700000000001E-2</v>
      </c>
      <c r="R164" s="22">
        <v>154</v>
      </c>
      <c r="S164" s="22">
        <v>0.67480499999999999</v>
      </c>
      <c r="T164">
        <f t="shared" si="26"/>
        <v>17.7379012345679</v>
      </c>
      <c r="U164">
        <f t="shared" si="27"/>
        <v>11.982076449259258</v>
      </c>
      <c r="X164" s="9"/>
      <c r="Y164" s="22">
        <v>1.0745199999999999</v>
      </c>
      <c r="Z164" s="22">
        <v>16.2105</v>
      </c>
      <c r="AA164" s="22">
        <v>-1.40015E-2</v>
      </c>
      <c r="AB164" s="22">
        <v>154</v>
      </c>
      <c r="AC164" s="22">
        <v>1.0739099999999999</v>
      </c>
      <c r="AD164">
        <f t="shared" si="28"/>
        <v>17.285802469135803</v>
      </c>
      <c r="AE164">
        <f t="shared" si="29"/>
        <v>18.573940469135803</v>
      </c>
      <c r="AF164" s="9"/>
      <c r="AG164" s="22">
        <v>0.67550699999999997</v>
      </c>
      <c r="AH164" s="22">
        <v>20.130400000000002</v>
      </c>
      <c r="AI164" s="22">
        <v>-1.4382900000000001E-2</v>
      </c>
      <c r="AJ164" s="22">
        <v>154</v>
      </c>
      <c r="AK164" s="22">
        <v>0.67480499999999999</v>
      </c>
      <c r="AL164">
        <f t="shared" si="30"/>
        <v>17.756666666666668</v>
      </c>
      <c r="AM164">
        <f t="shared" si="31"/>
        <v>11.994752630000001</v>
      </c>
      <c r="AP164" s="9"/>
      <c r="AQ164" s="22">
        <v>1.0745199999999999</v>
      </c>
      <c r="AR164" s="22">
        <v>25.6937</v>
      </c>
      <c r="AS164" s="22">
        <v>-1.4025900000000001E-2</v>
      </c>
      <c r="AT164" s="22">
        <v>154</v>
      </c>
      <c r="AU164" s="22">
        <v>1.0732999999999999</v>
      </c>
      <c r="AV164">
        <f t="shared" si="32"/>
        <v>17.315925925925924</v>
      </c>
      <c r="AW164">
        <f t="shared" si="33"/>
        <v>18.606308725925924</v>
      </c>
      <c r="AX164" s="9"/>
      <c r="AY164" s="22">
        <v>0.67550699999999997</v>
      </c>
      <c r="AZ164" s="22">
        <v>29.613600000000002</v>
      </c>
      <c r="BA164" s="22">
        <v>-1.4395099999999999E-2</v>
      </c>
      <c r="BB164" s="22">
        <v>154</v>
      </c>
      <c r="BC164" s="22">
        <v>0.67477399999999998</v>
      </c>
      <c r="BD164">
        <f t="shared" si="34"/>
        <v>17.771728395061729</v>
      </c>
      <c r="BE164">
        <f t="shared" si="35"/>
        <v>12.004926932962963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6.7553299999999998</v>
      </c>
      <c r="I165" s="22">
        <v>-1.3974E-2</v>
      </c>
      <c r="J165" s="22">
        <v>155</v>
      </c>
      <c r="K165" s="22">
        <v>1.06873</v>
      </c>
      <c r="L165">
        <f t="shared" si="24"/>
        <v>17.251851851851853</v>
      </c>
      <c r="M165">
        <f t="shared" si="25"/>
        <v>18.450683037037038</v>
      </c>
      <c r="N165" s="9"/>
      <c r="O165" s="22">
        <v>0.68054199999999998</v>
      </c>
      <c r="P165" s="22">
        <v>10.6752</v>
      </c>
      <c r="Q165" s="22">
        <v>-1.43646E-2</v>
      </c>
      <c r="R165" s="22">
        <v>155</v>
      </c>
      <c r="S165" s="22">
        <v>0.67974900000000005</v>
      </c>
      <c r="T165">
        <f t="shared" si="26"/>
        <v>17.734074074074073</v>
      </c>
      <c r="U165">
        <f t="shared" si="27"/>
        <v>12.068782238518518</v>
      </c>
      <c r="X165" s="9"/>
      <c r="Y165" s="22">
        <v>1.0694900000000001</v>
      </c>
      <c r="Z165" s="22">
        <v>16.220500000000001</v>
      </c>
      <c r="AA165" s="22">
        <v>-1.40015E-2</v>
      </c>
      <c r="AB165" s="22">
        <v>155</v>
      </c>
      <c r="AC165" s="22">
        <v>1.0684199999999999</v>
      </c>
      <c r="AD165">
        <f t="shared" si="28"/>
        <v>17.285802469135803</v>
      </c>
      <c r="AE165">
        <f t="shared" si="29"/>
        <v>18.486992882716052</v>
      </c>
      <c r="AF165" s="9"/>
      <c r="AG165" s="22">
        <v>0.68054199999999998</v>
      </c>
      <c r="AH165" s="22">
        <v>20.140499999999999</v>
      </c>
      <c r="AI165" s="22">
        <v>-1.43768E-2</v>
      </c>
      <c r="AJ165" s="22">
        <v>155</v>
      </c>
      <c r="AK165" s="22">
        <v>0.67990099999999998</v>
      </c>
      <c r="AL165">
        <f t="shared" si="30"/>
        <v>17.749135802469137</v>
      </c>
      <c r="AM165">
        <f t="shared" si="31"/>
        <v>12.079032377283951</v>
      </c>
      <c r="AP165" s="9"/>
      <c r="AQ165" s="22">
        <v>1.0694900000000001</v>
      </c>
      <c r="AR165" s="22">
        <v>25.703800000000001</v>
      </c>
      <c r="AS165" s="22">
        <v>-1.40289E-2</v>
      </c>
      <c r="AT165" s="22">
        <v>155</v>
      </c>
      <c r="AU165" s="22">
        <v>1.06873</v>
      </c>
      <c r="AV165">
        <f t="shared" si="32"/>
        <v>17.319629629629631</v>
      </c>
      <c r="AW165">
        <f t="shared" si="33"/>
        <v>18.523170692592593</v>
      </c>
      <c r="AX165" s="9"/>
      <c r="AY165" s="22">
        <v>0.68054199999999998</v>
      </c>
      <c r="AZ165" s="22">
        <v>29.623699999999999</v>
      </c>
      <c r="BA165" s="22">
        <v>-1.4389000000000001E-2</v>
      </c>
      <c r="BB165" s="22">
        <v>155</v>
      </c>
      <c r="BC165" s="22">
        <v>0.67977900000000002</v>
      </c>
      <c r="BD165">
        <f t="shared" si="34"/>
        <v>17.764197530864198</v>
      </c>
      <c r="BE165">
        <f t="shared" si="35"/>
        <v>12.089282516049384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6.7653999999999996</v>
      </c>
      <c r="I166" s="22">
        <v>-1.3977099999999999E-2</v>
      </c>
      <c r="J166" s="22">
        <v>156</v>
      </c>
      <c r="K166" s="22">
        <v>1.0629299999999999</v>
      </c>
      <c r="L166">
        <f t="shared" si="24"/>
        <v>17.255679012345677</v>
      </c>
      <c r="M166">
        <f t="shared" si="25"/>
        <v>18.367807524691354</v>
      </c>
      <c r="N166" s="9"/>
      <c r="O166" s="22">
        <v>0.68557699999999999</v>
      </c>
      <c r="P166" s="22">
        <v>10.6853</v>
      </c>
      <c r="Q166" s="22">
        <v>-1.43555E-2</v>
      </c>
      <c r="R166" s="22">
        <v>156</v>
      </c>
      <c r="S166" s="22">
        <v>0.68475299999999995</v>
      </c>
      <c r="T166">
        <f t="shared" si="26"/>
        <v>17.722839506172836</v>
      </c>
      <c r="U166">
        <f t="shared" si="27"/>
        <v>12.150371140123454</v>
      </c>
      <c r="X166" s="9"/>
      <c r="Y166" s="22">
        <v>1.0644499999999999</v>
      </c>
      <c r="Z166" s="22">
        <v>16.230599999999999</v>
      </c>
      <c r="AA166" s="22">
        <v>-1.40076E-2</v>
      </c>
      <c r="AB166" s="22">
        <v>156</v>
      </c>
      <c r="AC166" s="22">
        <v>1.0632299999999999</v>
      </c>
      <c r="AD166">
        <f t="shared" si="28"/>
        <v>17.293333333333333</v>
      </c>
      <c r="AE166">
        <f t="shared" si="29"/>
        <v>18.407888666666665</v>
      </c>
      <c r="AF166" s="9"/>
      <c r="AG166" s="22">
        <v>0.68557699999999999</v>
      </c>
      <c r="AH166" s="22">
        <v>20.150600000000001</v>
      </c>
      <c r="AI166" s="22">
        <v>-1.4373800000000001E-2</v>
      </c>
      <c r="AJ166" s="22">
        <v>156</v>
      </c>
      <c r="AK166" s="22">
        <v>0.68487500000000001</v>
      </c>
      <c r="AL166">
        <f t="shared" si="30"/>
        <v>17.745432098765431</v>
      </c>
      <c r="AM166">
        <f t="shared" si="31"/>
        <v>12.165860101975307</v>
      </c>
      <c r="AP166" s="9"/>
      <c r="AQ166" s="22">
        <v>1.0644499999999999</v>
      </c>
      <c r="AR166" s="22">
        <v>25.713899999999999</v>
      </c>
      <c r="AS166" s="22">
        <v>-1.4035000000000001E-2</v>
      </c>
      <c r="AT166" s="22">
        <v>156</v>
      </c>
      <c r="AU166" s="22">
        <v>1.0632299999999999</v>
      </c>
      <c r="AV166">
        <f t="shared" si="32"/>
        <v>17.327160493827162</v>
      </c>
      <c r="AW166">
        <f t="shared" si="33"/>
        <v>18.443895987654319</v>
      </c>
      <c r="AX166" s="9"/>
      <c r="AY166" s="22">
        <v>0.68557699999999999</v>
      </c>
      <c r="AZ166" s="22">
        <v>29.633700000000001</v>
      </c>
      <c r="BA166" s="22">
        <v>-1.4382900000000001E-2</v>
      </c>
      <c r="BB166" s="22">
        <v>156</v>
      </c>
      <c r="BC166" s="22">
        <v>0.68478399999999995</v>
      </c>
      <c r="BD166">
        <f t="shared" si="34"/>
        <v>17.756666666666668</v>
      </c>
      <c r="BE166">
        <f t="shared" si="35"/>
        <v>12.173562263333334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6.7754700000000003</v>
      </c>
      <c r="I167" s="22">
        <v>-1.3986200000000001E-2</v>
      </c>
      <c r="J167" s="22">
        <v>157</v>
      </c>
      <c r="K167" s="22">
        <v>1.0589599999999999</v>
      </c>
      <c r="L167">
        <f t="shared" si="24"/>
        <v>17.266913580246914</v>
      </c>
      <c r="M167">
        <f t="shared" si="25"/>
        <v>18.292913585185186</v>
      </c>
      <c r="N167" s="9"/>
      <c r="O167" s="22">
        <v>0.69061300000000003</v>
      </c>
      <c r="P167" s="22">
        <v>10.695399999999999</v>
      </c>
      <c r="Q167" s="22">
        <v>-1.4346299999999999E-2</v>
      </c>
      <c r="R167" s="22">
        <v>157</v>
      </c>
      <c r="S167" s="22">
        <v>0.68984999999999996</v>
      </c>
      <c r="T167">
        <f t="shared" si="26"/>
        <v>17.711481481481481</v>
      </c>
      <c r="U167">
        <f t="shared" si="27"/>
        <v>12.231779360370371</v>
      </c>
      <c r="X167" s="9"/>
      <c r="Y167" s="22">
        <v>1.05942</v>
      </c>
      <c r="Z167" s="22">
        <v>16.2407</v>
      </c>
      <c r="AA167" s="22">
        <v>-1.40076E-2</v>
      </c>
      <c r="AB167" s="22">
        <v>157</v>
      </c>
      <c r="AC167" s="22">
        <v>1.0580400000000001</v>
      </c>
      <c r="AD167">
        <f t="shared" si="28"/>
        <v>17.293333333333333</v>
      </c>
      <c r="AE167">
        <f t="shared" si="29"/>
        <v>18.3209032</v>
      </c>
      <c r="AF167" s="9"/>
      <c r="AG167" s="22">
        <v>0.69061300000000003</v>
      </c>
      <c r="AH167" s="22">
        <v>20.160599999999999</v>
      </c>
      <c r="AI167" s="22">
        <v>-1.43707E-2</v>
      </c>
      <c r="AJ167" s="22">
        <v>157</v>
      </c>
      <c r="AK167" s="22">
        <v>0.68991100000000005</v>
      </c>
      <c r="AL167">
        <f t="shared" si="30"/>
        <v>17.741604938271603</v>
      </c>
      <c r="AM167">
        <f t="shared" si="31"/>
        <v>12.252583011234567</v>
      </c>
      <c r="AP167" s="9"/>
      <c r="AQ167" s="22">
        <v>1.05942</v>
      </c>
      <c r="AR167" s="22">
        <v>25.7239</v>
      </c>
      <c r="AS167" s="22">
        <v>-1.4041100000000001E-2</v>
      </c>
      <c r="AT167" s="22">
        <v>157</v>
      </c>
      <c r="AU167" s="22">
        <v>1.0586500000000001</v>
      </c>
      <c r="AV167">
        <f t="shared" si="32"/>
        <v>17.334691358024692</v>
      </c>
      <c r="AW167">
        <f t="shared" si="33"/>
        <v>18.364718718518521</v>
      </c>
      <c r="AX167" s="9"/>
      <c r="AY167" s="22">
        <v>0.69061300000000003</v>
      </c>
      <c r="AZ167" s="22">
        <v>29.643799999999999</v>
      </c>
      <c r="BA167" s="22">
        <v>-1.43768E-2</v>
      </c>
      <c r="BB167" s="22">
        <v>157</v>
      </c>
      <c r="BC167" s="22">
        <v>0.68978899999999999</v>
      </c>
      <c r="BD167">
        <f t="shared" si="34"/>
        <v>17.749135802469137</v>
      </c>
      <c r="BE167">
        <f t="shared" si="35"/>
        <v>12.257783923950619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6.7855400000000001</v>
      </c>
      <c r="I168" s="22">
        <v>-1.3992299999999999E-2</v>
      </c>
      <c r="J168" s="22">
        <v>158</v>
      </c>
      <c r="K168" s="22">
        <v>1.0534699999999999</v>
      </c>
      <c r="L168">
        <f t="shared" si="24"/>
        <v>17.274444444444445</v>
      </c>
      <c r="M168">
        <f t="shared" si="25"/>
        <v>18.213828733333337</v>
      </c>
      <c r="N168" s="9"/>
      <c r="O168" s="22">
        <v>0.69564800000000004</v>
      </c>
      <c r="P168" s="22">
        <v>10.705399999999999</v>
      </c>
      <c r="Q168" s="22">
        <v>-1.43433E-2</v>
      </c>
      <c r="R168" s="22">
        <v>158</v>
      </c>
      <c r="S168" s="22">
        <v>0.694824</v>
      </c>
      <c r="T168">
        <f t="shared" si="26"/>
        <v>17.707777777777778</v>
      </c>
      <c r="U168">
        <f t="shared" si="27"/>
        <v>12.318380195555557</v>
      </c>
      <c r="X168" s="9"/>
      <c r="Y168" s="22">
        <v>1.0543800000000001</v>
      </c>
      <c r="Z168" s="22">
        <v>16.250800000000002</v>
      </c>
      <c r="AA168" s="22">
        <v>-1.40137E-2</v>
      </c>
      <c r="AB168" s="22">
        <v>158</v>
      </c>
      <c r="AC168" s="22">
        <v>1.0534699999999999</v>
      </c>
      <c r="AD168">
        <f t="shared" si="28"/>
        <v>17.300864197530863</v>
      </c>
      <c r="AE168">
        <f t="shared" si="29"/>
        <v>18.241685192592595</v>
      </c>
      <c r="AF168" s="9"/>
      <c r="AG168" s="22">
        <v>0.69564800000000004</v>
      </c>
      <c r="AH168" s="22">
        <v>20.1707</v>
      </c>
      <c r="AI168" s="22">
        <v>-1.43707E-2</v>
      </c>
      <c r="AJ168" s="22">
        <v>158</v>
      </c>
      <c r="AK168" s="22">
        <v>0.69509900000000002</v>
      </c>
      <c r="AL168">
        <f t="shared" si="30"/>
        <v>17.741604938271603</v>
      </c>
      <c r="AM168">
        <f t="shared" si="31"/>
        <v>12.341911992098765</v>
      </c>
      <c r="AP168" s="9"/>
      <c r="AQ168" s="22">
        <v>1.0543800000000001</v>
      </c>
      <c r="AR168" s="22">
        <v>25.734000000000002</v>
      </c>
      <c r="AS168" s="22">
        <v>-1.40442E-2</v>
      </c>
      <c r="AT168" s="22">
        <v>158</v>
      </c>
      <c r="AU168" s="22">
        <v>1.0528599999999999</v>
      </c>
      <c r="AV168">
        <f t="shared" si="32"/>
        <v>17.338518518518516</v>
      </c>
      <c r="AW168">
        <f t="shared" si="33"/>
        <v>18.281387155555553</v>
      </c>
      <c r="AX168" s="9"/>
      <c r="AY168" s="22">
        <v>0.69564800000000004</v>
      </c>
      <c r="AZ168" s="22">
        <v>29.6539</v>
      </c>
      <c r="BA168" s="22">
        <v>-1.4367700000000001E-2</v>
      </c>
      <c r="BB168" s="22">
        <v>158</v>
      </c>
      <c r="BC168" s="22">
        <v>0.69488499999999997</v>
      </c>
      <c r="BD168">
        <f t="shared" si="34"/>
        <v>17.7379012345679</v>
      </c>
      <c r="BE168">
        <f t="shared" si="35"/>
        <v>12.339335518024692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6.7956099999999999</v>
      </c>
      <c r="I169" s="22">
        <v>-1.39954E-2</v>
      </c>
      <c r="J169" s="22">
        <v>159</v>
      </c>
      <c r="K169" s="22">
        <v>1.0482800000000001</v>
      </c>
      <c r="L169">
        <f t="shared" si="24"/>
        <v>17.278271604938272</v>
      </c>
      <c r="M169">
        <f t="shared" si="25"/>
        <v>18.130954308641975</v>
      </c>
      <c r="N169" s="9"/>
      <c r="O169" s="22">
        <v>0.70068399999999997</v>
      </c>
      <c r="P169" s="22">
        <v>10.7155</v>
      </c>
      <c r="Q169" s="22">
        <v>-1.4340200000000001E-2</v>
      </c>
      <c r="R169" s="22">
        <v>159</v>
      </c>
      <c r="S169" s="22">
        <v>0.69998199999999999</v>
      </c>
      <c r="T169">
        <f t="shared" si="26"/>
        <v>17.703950617283951</v>
      </c>
      <c r="U169">
        <f t="shared" si="27"/>
        <v>12.404874934320988</v>
      </c>
      <c r="X169" s="9"/>
      <c r="Y169" s="22">
        <v>1.04935</v>
      </c>
      <c r="Z169" s="22">
        <v>16.2608</v>
      </c>
      <c r="AA169" s="22">
        <v>-1.4019800000000001E-2</v>
      </c>
      <c r="AB169" s="22">
        <v>159</v>
      </c>
      <c r="AC169" s="22">
        <v>1.0485800000000001</v>
      </c>
      <c r="AD169">
        <f t="shared" si="28"/>
        <v>17.308395061728394</v>
      </c>
      <c r="AE169">
        <f t="shared" si="29"/>
        <v>18.162564358024689</v>
      </c>
      <c r="AF169" s="9"/>
      <c r="AG169" s="22">
        <v>0.70068399999999997</v>
      </c>
      <c r="AH169" s="22">
        <v>20.180800000000001</v>
      </c>
      <c r="AI169" s="22">
        <v>-1.4367700000000001E-2</v>
      </c>
      <c r="AJ169" s="22">
        <v>159</v>
      </c>
      <c r="AK169" s="22">
        <v>0.70004299999999997</v>
      </c>
      <c r="AL169">
        <f t="shared" si="30"/>
        <v>17.7379012345679</v>
      </c>
      <c r="AM169">
        <f t="shared" si="31"/>
        <v>12.428663588641975</v>
      </c>
      <c r="AP169" s="9"/>
      <c r="AQ169" s="22">
        <v>1.04935</v>
      </c>
      <c r="AR169" s="22">
        <v>25.7441</v>
      </c>
      <c r="AS169" s="22">
        <v>-1.4047199999999999E-2</v>
      </c>
      <c r="AT169" s="22">
        <v>159</v>
      </c>
      <c r="AU169" s="22">
        <v>1.0479700000000001</v>
      </c>
      <c r="AV169">
        <f t="shared" si="32"/>
        <v>17.342222222222222</v>
      </c>
      <c r="AW169">
        <f t="shared" si="33"/>
        <v>18.19806088888889</v>
      </c>
      <c r="AX169" s="9"/>
      <c r="AY169" s="22">
        <v>0.70068399999999997</v>
      </c>
      <c r="AZ169" s="22">
        <v>29.664000000000001</v>
      </c>
      <c r="BA169" s="22">
        <v>-1.4367700000000001E-2</v>
      </c>
      <c r="BB169" s="22">
        <v>159</v>
      </c>
      <c r="BC169" s="22">
        <v>0.70007299999999995</v>
      </c>
      <c r="BD169">
        <f t="shared" si="34"/>
        <v>17.7379012345679</v>
      </c>
      <c r="BE169">
        <f t="shared" si="35"/>
        <v>12.428663588641975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6.8056799999999997</v>
      </c>
      <c r="I170" s="22">
        <v>-1.3998399999999999E-2</v>
      </c>
      <c r="J170" s="22">
        <v>160</v>
      </c>
      <c r="K170" s="22">
        <v>1.0430900000000001</v>
      </c>
      <c r="L170">
        <f t="shared" si="24"/>
        <v>17.281975308641975</v>
      </c>
      <c r="M170">
        <f t="shared" si="25"/>
        <v>18.047739634567904</v>
      </c>
      <c r="N170" s="9"/>
      <c r="O170" s="22">
        <v>0.70571899999999999</v>
      </c>
      <c r="P170" s="22">
        <v>10.7256</v>
      </c>
      <c r="Q170" s="22">
        <v>-1.4334100000000001E-2</v>
      </c>
      <c r="R170" s="22">
        <v>160</v>
      </c>
      <c r="S170" s="22">
        <v>0.70504800000000001</v>
      </c>
      <c r="T170">
        <f t="shared" si="26"/>
        <v>17.69641975308642</v>
      </c>
      <c r="U170">
        <f t="shared" si="27"/>
        <v>12.488699651728396</v>
      </c>
      <c r="X170" s="9"/>
      <c r="Y170" s="22">
        <v>1.0443100000000001</v>
      </c>
      <c r="Z170" s="22">
        <v>16.270900000000001</v>
      </c>
      <c r="AA170" s="22">
        <v>-1.40228E-2</v>
      </c>
      <c r="AB170" s="22">
        <v>160</v>
      </c>
      <c r="AC170" s="22">
        <v>1.0437000000000001</v>
      </c>
      <c r="AD170">
        <f t="shared" si="28"/>
        <v>17.312098765432097</v>
      </c>
      <c r="AE170">
        <f t="shared" si="29"/>
        <v>18.079197861728396</v>
      </c>
      <c r="AF170" s="9"/>
      <c r="AG170" s="22">
        <v>0.70571899999999999</v>
      </c>
      <c r="AH170" s="22">
        <v>20.190799999999999</v>
      </c>
      <c r="AI170" s="22">
        <v>-1.43646E-2</v>
      </c>
      <c r="AJ170" s="22">
        <v>160</v>
      </c>
      <c r="AK170" s="22">
        <v>0.70495600000000003</v>
      </c>
      <c r="AL170">
        <f t="shared" si="30"/>
        <v>17.734074074074073</v>
      </c>
      <c r="AM170">
        <f t="shared" si="31"/>
        <v>12.51527302148148</v>
      </c>
      <c r="AP170" s="9"/>
      <c r="AQ170" s="22">
        <v>1.0443100000000001</v>
      </c>
      <c r="AR170" s="22">
        <v>25.754100000000001</v>
      </c>
      <c r="AS170" s="22">
        <v>-1.40503E-2</v>
      </c>
      <c r="AT170" s="22">
        <v>160</v>
      </c>
      <c r="AU170" s="22">
        <v>1.0424800000000001</v>
      </c>
      <c r="AV170">
        <f t="shared" si="32"/>
        <v>17.34604938271605</v>
      </c>
      <c r="AW170">
        <f t="shared" si="33"/>
        <v>18.114652830864198</v>
      </c>
      <c r="AX170" s="9"/>
      <c r="AY170" s="22">
        <v>0.70571899999999999</v>
      </c>
      <c r="AZ170" s="22">
        <v>29.673999999999999</v>
      </c>
      <c r="BA170" s="22">
        <v>-1.43616E-2</v>
      </c>
      <c r="BB170" s="22">
        <v>160</v>
      </c>
      <c r="BC170" s="22">
        <v>0.70498700000000003</v>
      </c>
      <c r="BD170">
        <f t="shared" si="34"/>
        <v>17.73037037037037</v>
      </c>
      <c r="BE170">
        <f t="shared" si="35"/>
        <v>12.512659247407406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6.81576</v>
      </c>
      <c r="I171" s="22">
        <v>-1.40015E-2</v>
      </c>
      <c r="J171" s="22">
        <v>161</v>
      </c>
      <c r="K171" s="22">
        <v>1.0382100000000001</v>
      </c>
      <c r="L171">
        <f t="shared" si="24"/>
        <v>17.285802469135803</v>
      </c>
      <c r="M171">
        <f t="shared" si="25"/>
        <v>17.964788790123457</v>
      </c>
      <c r="N171" s="9"/>
      <c r="O171" s="22">
        <v>0.710754</v>
      </c>
      <c r="P171" s="22">
        <v>10.7357</v>
      </c>
      <c r="Q171" s="22">
        <v>-1.4328E-2</v>
      </c>
      <c r="R171" s="22">
        <v>161</v>
      </c>
      <c r="S171" s="22">
        <v>0.70986899999999997</v>
      </c>
      <c r="T171">
        <f t="shared" si="26"/>
        <v>17.68888888888889</v>
      </c>
      <c r="U171">
        <f t="shared" si="27"/>
        <v>12.572448533333334</v>
      </c>
      <c r="X171" s="9"/>
      <c r="Y171" s="22">
        <v>1.03928</v>
      </c>
      <c r="Z171" s="22">
        <v>16.280999999999999</v>
      </c>
      <c r="AA171" s="22">
        <v>-1.40289E-2</v>
      </c>
      <c r="AB171" s="22">
        <v>161</v>
      </c>
      <c r="AC171" s="22">
        <v>1.0388200000000001</v>
      </c>
      <c r="AD171">
        <f t="shared" si="28"/>
        <v>17.319629629629631</v>
      </c>
      <c r="AE171">
        <f t="shared" si="29"/>
        <v>17.999944681481484</v>
      </c>
      <c r="AF171" s="9"/>
      <c r="AG171" s="22">
        <v>0.710754</v>
      </c>
      <c r="AH171" s="22">
        <v>20.200900000000001</v>
      </c>
      <c r="AI171" s="22">
        <v>-1.43616E-2</v>
      </c>
      <c r="AJ171" s="22">
        <v>161</v>
      </c>
      <c r="AK171" s="22">
        <v>0.710144</v>
      </c>
      <c r="AL171">
        <f t="shared" si="30"/>
        <v>17.73037037037037</v>
      </c>
      <c r="AM171">
        <f t="shared" si="31"/>
        <v>12.601931662222222</v>
      </c>
      <c r="AP171" s="9"/>
      <c r="AQ171" s="22">
        <v>1.03928</v>
      </c>
      <c r="AR171" s="22">
        <v>25.764199999999999</v>
      </c>
      <c r="AS171" s="22">
        <v>-1.4053299999999999E-2</v>
      </c>
      <c r="AT171" s="22">
        <v>161</v>
      </c>
      <c r="AU171" s="22">
        <v>1.0382100000000001</v>
      </c>
      <c r="AV171">
        <f t="shared" si="32"/>
        <v>17.349753086419753</v>
      </c>
      <c r="AW171">
        <f t="shared" si="33"/>
        <v>18.031251387654322</v>
      </c>
      <c r="AX171" s="9"/>
      <c r="AY171" s="22">
        <v>0.710754</v>
      </c>
      <c r="AZ171" s="22">
        <v>29.684100000000001</v>
      </c>
      <c r="BA171" s="22">
        <v>-1.43555E-2</v>
      </c>
      <c r="BB171" s="22">
        <v>161</v>
      </c>
      <c r="BC171" s="22">
        <v>0.71002200000000004</v>
      </c>
      <c r="BD171">
        <f t="shared" si="34"/>
        <v>17.722839506172836</v>
      </c>
      <c r="BE171">
        <f t="shared" si="35"/>
        <v>12.596579070370368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6.8258299999999998</v>
      </c>
      <c r="I172" s="22">
        <v>-1.40076E-2</v>
      </c>
      <c r="J172" s="22">
        <v>162</v>
      </c>
      <c r="K172" s="22">
        <v>1.0333300000000001</v>
      </c>
      <c r="L172">
        <f t="shared" si="24"/>
        <v>17.293333333333333</v>
      </c>
      <c r="M172">
        <f t="shared" si="25"/>
        <v>17.885457066666667</v>
      </c>
      <c r="N172" s="9"/>
      <c r="O172" s="22">
        <v>0.71579000000000004</v>
      </c>
      <c r="P172" s="22">
        <v>10.745699999999999</v>
      </c>
      <c r="Q172" s="22">
        <v>-1.43219E-2</v>
      </c>
      <c r="R172" s="22">
        <v>162</v>
      </c>
      <c r="S172" s="22">
        <v>0.71514900000000003</v>
      </c>
      <c r="T172">
        <f t="shared" si="26"/>
        <v>17.68135802469136</v>
      </c>
      <c r="U172">
        <f t="shared" si="27"/>
        <v>12.656139260493829</v>
      </c>
      <c r="X172" s="9"/>
      <c r="Y172" s="22">
        <v>1.03424</v>
      </c>
      <c r="Z172" s="22">
        <v>16.291</v>
      </c>
      <c r="AA172" s="22">
        <v>-1.4031999999999999E-2</v>
      </c>
      <c r="AB172" s="22">
        <v>162</v>
      </c>
      <c r="AC172" s="22">
        <v>1.03302</v>
      </c>
      <c r="AD172">
        <f t="shared" si="28"/>
        <v>17.323456790123455</v>
      </c>
      <c r="AE172">
        <f t="shared" si="29"/>
        <v>17.916611950617284</v>
      </c>
      <c r="AF172" s="9"/>
      <c r="AG172" s="22">
        <v>0.71579000000000004</v>
      </c>
      <c r="AH172" s="22">
        <v>20.210999999999999</v>
      </c>
      <c r="AI172" s="22">
        <v>-1.43555E-2</v>
      </c>
      <c r="AJ172" s="22">
        <v>162</v>
      </c>
      <c r="AK172" s="22">
        <v>0.71505700000000005</v>
      </c>
      <c r="AL172">
        <f t="shared" si="30"/>
        <v>17.722839506172836</v>
      </c>
      <c r="AM172">
        <f t="shared" si="31"/>
        <v>12.685831290123454</v>
      </c>
      <c r="AP172" s="9"/>
      <c r="AQ172" s="22">
        <v>1.03424</v>
      </c>
      <c r="AR172" s="22">
        <v>25.7743</v>
      </c>
      <c r="AS172" s="22">
        <v>-1.40594E-2</v>
      </c>
      <c r="AT172" s="22">
        <v>162</v>
      </c>
      <c r="AU172" s="22">
        <v>1.03302</v>
      </c>
      <c r="AV172">
        <f t="shared" si="32"/>
        <v>17.357283950617283</v>
      </c>
      <c r="AW172">
        <f t="shared" si="33"/>
        <v>17.95159735308642</v>
      </c>
      <c r="AX172" s="9"/>
      <c r="AY172" s="22">
        <v>0.71579000000000004</v>
      </c>
      <c r="AZ172" s="22">
        <v>29.694199999999999</v>
      </c>
      <c r="BA172" s="22">
        <v>-1.43524E-2</v>
      </c>
      <c r="BB172" s="22">
        <v>162</v>
      </c>
      <c r="BC172" s="22">
        <v>0.71496599999999999</v>
      </c>
      <c r="BD172">
        <f t="shared" si="34"/>
        <v>17.719012345679008</v>
      </c>
      <c r="BE172">
        <f t="shared" si="35"/>
        <v>12.683091846913578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6.8358999999999996</v>
      </c>
      <c r="I173" s="22">
        <v>-1.40137E-2</v>
      </c>
      <c r="J173" s="22">
        <v>163</v>
      </c>
      <c r="K173" s="22">
        <v>1.02844</v>
      </c>
      <c r="L173">
        <f t="shared" si="24"/>
        <v>17.300864197530863</v>
      </c>
      <c r="M173">
        <f t="shared" si="25"/>
        <v>17.80622244074074</v>
      </c>
      <c r="N173" s="9"/>
      <c r="O173" s="22">
        <v>0.72082500000000005</v>
      </c>
      <c r="P173" s="22">
        <v>10.755800000000001</v>
      </c>
      <c r="Q173" s="22">
        <v>-1.43188E-2</v>
      </c>
      <c r="R173" s="22">
        <v>163</v>
      </c>
      <c r="S173" s="22">
        <v>0.720306</v>
      </c>
      <c r="T173">
        <f t="shared" si="26"/>
        <v>17.677530864197529</v>
      </c>
      <c r="U173">
        <f t="shared" si="27"/>
        <v>12.742406185185185</v>
      </c>
      <c r="X173" s="9"/>
      <c r="Y173" s="22">
        <v>1.02921</v>
      </c>
      <c r="Z173" s="22">
        <v>16.301100000000002</v>
      </c>
      <c r="AA173" s="22">
        <v>-1.4041100000000001E-2</v>
      </c>
      <c r="AB173" s="22">
        <v>163</v>
      </c>
      <c r="AC173" s="22">
        <v>1.0287500000000001</v>
      </c>
      <c r="AD173">
        <f t="shared" si="28"/>
        <v>17.334691358024692</v>
      </c>
      <c r="AE173">
        <f t="shared" si="29"/>
        <v>17.841037692592593</v>
      </c>
      <c r="AF173" s="9"/>
      <c r="AG173" s="22">
        <v>0.72082500000000005</v>
      </c>
      <c r="AH173" s="22">
        <v>20.2211</v>
      </c>
      <c r="AI173" s="22">
        <v>-1.43524E-2</v>
      </c>
      <c r="AJ173" s="22">
        <v>163</v>
      </c>
      <c r="AK173" s="22">
        <v>0.72009299999999998</v>
      </c>
      <c r="AL173">
        <f t="shared" si="30"/>
        <v>17.719012345679008</v>
      </c>
      <c r="AM173">
        <f t="shared" si="31"/>
        <v>12.772307074074073</v>
      </c>
      <c r="AP173" s="9"/>
      <c r="AQ173" s="22">
        <v>1.02921</v>
      </c>
      <c r="AR173" s="22">
        <v>25.784300000000002</v>
      </c>
      <c r="AS173" s="22">
        <v>-1.40625E-2</v>
      </c>
      <c r="AT173" s="22">
        <v>163</v>
      </c>
      <c r="AU173" s="22">
        <v>1.02844</v>
      </c>
      <c r="AV173">
        <f t="shared" si="32"/>
        <v>17.361111111111111</v>
      </c>
      <c r="AW173">
        <f t="shared" si="33"/>
        <v>17.868229166666666</v>
      </c>
      <c r="AX173" s="9"/>
      <c r="AY173" s="22">
        <v>0.72082500000000005</v>
      </c>
      <c r="AZ173" s="22">
        <v>29.7042</v>
      </c>
      <c r="BA173" s="22">
        <v>-1.43524E-2</v>
      </c>
      <c r="BB173" s="22">
        <v>163</v>
      </c>
      <c r="BC173" s="22">
        <v>0.72018400000000005</v>
      </c>
      <c r="BD173">
        <f t="shared" si="34"/>
        <v>17.719012345679008</v>
      </c>
      <c r="BE173">
        <f t="shared" si="35"/>
        <v>12.772307074074073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6.8459700000000003</v>
      </c>
      <c r="I174" s="22">
        <v>-1.4019800000000001E-2</v>
      </c>
      <c r="J174" s="22">
        <v>164</v>
      </c>
      <c r="K174" s="22">
        <v>1.02234</v>
      </c>
      <c r="L174">
        <f t="shared" si="24"/>
        <v>17.308395061728394</v>
      </c>
      <c r="M174">
        <f t="shared" si="25"/>
        <v>17.72673897037037</v>
      </c>
      <c r="N174" s="9"/>
      <c r="O174" s="22">
        <v>0.72586099999999998</v>
      </c>
      <c r="P174" s="22">
        <v>10.7659</v>
      </c>
      <c r="Q174" s="22">
        <v>-1.43158E-2</v>
      </c>
      <c r="R174" s="22">
        <v>164</v>
      </c>
      <c r="S174" s="22">
        <v>0.72521999999999998</v>
      </c>
      <c r="T174">
        <f t="shared" si="26"/>
        <v>17.673827160493826</v>
      </c>
      <c r="U174">
        <f t="shared" si="27"/>
        <v>12.828741856543209</v>
      </c>
      <c r="X174" s="9"/>
      <c r="Y174" s="22">
        <v>1.02417</v>
      </c>
      <c r="Z174" s="22">
        <v>16.311199999999999</v>
      </c>
      <c r="AA174" s="22">
        <v>-1.4047199999999999E-2</v>
      </c>
      <c r="AB174" s="22">
        <v>164</v>
      </c>
      <c r="AC174" s="22">
        <v>1.02325</v>
      </c>
      <c r="AD174">
        <f t="shared" si="28"/>
        <v>17.342222222222222</v>
      </c>
      <c r="AE174">
        <f t="shared" si="29"/>
        <v>17.761383733333332</v>
      </c>
      <c r="AF174" s="9"/>
      <c r="AG174" s="22">
        <v>0.72586099999999998</v>
      </c>
      <c r="AH174" s="22">
        <v>20.231100000000001</v>
      </c>
      <c r="AI174" s="22">
        <v>-1.4346299999999999E-2</v>
      </c>
      <c r="AJ174" s="22">
        <v>164</v>
      </c>
      <c r="AK174" s="22">
        <v>0.72509800000000002</v>
      </c>
      <c r="AL174">
        <f t="shared" si="30"/>
        <v>17.711481481481481</v>
      </c>
      <c r="AM174">
        <f t="shared" si="31"/>
        <v>12.856073659629629</v>
      </c>
      <c r="AP174" s="9"/>
      <c r="AQ174" s="22">
        <v>1.02417</v>
      </c>
      <c r="AR174" s="22">
        <v>25.7944</v>
      </c>
      <c r="AS174" s="22">
        <v>-1.4068600000000001E-2</v>
      </c>
      <c r="AT174" s="22">
        <v>164</v>
      </c>
      <c r="AU174" s="22">
        <v>1.02386</v>
      </c>
      <c r="AV174">
        <f t="shared" si="32"/>
        <v>17.368641975308641</v>
      </c>
      <c r="AW174">
        <f t="shared" si="33"/>
        <v>17.788442051851852</v>
      </c>
      <c r="AX174" s="9"/>
      <c r="AY174" s="22">
        <v>0.72586099999999998</v>
      </c>
      <c r="AZ174" s="22">
        <v>29.714300000000001</v>
      </c>
      <c r="BA174" s="22">
        <v>-1.43494E-2</v>
      </c>
      <c r="BB174" s="22">
        <v>164</v>
      </c>
      <c r="BC174" s="22">
        <v>0.72509800000000002</v>
      </c>
      <c r="BD174">
        <f t="shared" si="34"/>
        <v>17.715308641975309</v>
      </c>
      <c r="BE174">
        <f t="shared" si="35"/>
        <v>12.858851646172839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6.8560400000000001</v>
      </c>
      <c r="I175" s="22">
        <v>-1.4019800000000001E-2</v>
      </c>
      <c r="J175" s="22">
        <v>165</v>
      </c>
      <c r="K175" s="22">
        <v>1.01807</v>
      </c>
      <c r="L175">
        <f t="shared" si="24"/>
        <v>17.308395061728394</v>
      </c>
      <c r="M175">
        <f t="shared" si="25"/>
        <v>17.639504659259259</v>
      </c>
      <c r="N175" s="9"/>
      <c r="O175" s="22">
        <v>0.73089599999999999</v>
      </c>
      <c r="P175" s="22">
        <v>10.7759</v>
      </c>
      <c r="Q175" s="22">
        <v>-1.43097E-2</v>
      </c>
      <c r="R175" s="22">
        <v>165</v>
      </c>
      <c r="S175" s="22">
        <v>0.73013300000000003</v>
      </c>
      <c r="T175">
        <f t="shared" si="26"/>
        <v>17.666296296296295</v>
      </c>
      <c r="U175">
        <f t="shared" si="27"/>
        <v>12.912225297777777</v>
      </c>
      <c r="X175" s="9"/>
      <c r="Y175" s="22">
        <v>1.0191300000000001</v>
      </c>
      <c r="Z175" s="22">
        <v>16.321300000000001</v>
      </c>
      <c r="AA175" s="22">
        <v>-1.40503E-2</v>
      </c>
      <c r="AB175" s="22">
        <v>165</v>
      </c>
      <c r="AC175" s="22">
        <v>1.01807</v>
      </c>
      <c r="AD175">
        <f t="shared" si="28"/>
        <v>17.34604938271605</v>
      </c>
      <c r="AE175">
        <f t="shared" si="29"/>
        <v>17.677879307407409</v>
      </c>
      <c r="AF175" s="9"/>
      <c r="AG175" s="22">
        <v>0.73089599999999999</v>
      </c>
      <c r="AH175" s="22">
        <v>20.241199999999999</v>
      </c>
      <c r="AI175" s="22">
        <v>-1.43372E-2</v>
      </c>
      <c r="AJ175" s="22">
        <v>165</v>
      </c>
      <c r="AK175" s="22">
        <v>0.73013300000000003</v>
      </c>
      <c r="AL175">
        <f t="shared" si="30"/>
        <v>17.700246913580244</v>
      </c>
      <c r="AM175">
        <f t="shared" si="31"/>
        <v>12.937039668148145</v>
      </c>
      <c r="AP175" s="9"/>
      <c r="AQ175" s="22">
        <v>1.0191300000000001</v>
      </c>
      <c r="AR175" s="22">
        <v>25.804500000000001</v>
      </c>
      <c r="AS175" s="22">
        <v>-1.4074700000000001E-2</v>
      </c>
      <c r="AT175" s="22">
        <v>165</v>
      </c>
      <c r="AU175" s="22">
        <v>1.01807</v>
      </c>
      <c r="AV175">
        <f t="shared" si="32"/>
        <v>17.376172839506172</v>
      </c>
      <c r="AW175">
        <f t="shared" si="33"/>
        <v>17.708579025925925</v>
      </c>
      <c r="AX175" s="9"/>
      <c r="AY175" s="22">
        <v>0.73089599999999999</v>
      </c>
      <c r="AZ175" s="22">
        <v>29.724399999999999</v>
      </c>
      <c r="BA175" s="22">
        <v>-1.43494E-2</v>
      </c>
      <c r="BB175" s="22">
        <v>165</v>
      </c>
      <c r="BC175" s="22">
        <v>0.73010299999999995</v>
      </c>
      <c r="BD175">
        <f t="shared" si="34"/>
        <v>17.715308641975309</v>
      </c>
      <c r="BE175">
        <f t="shared" si="35"/>
        <v>12.948048225185184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6.8661099999999999</v>
      </c>
      <c r="I176" s="22">
        <v>-1.4025900000000001E-2</v>
      </c>
      <c r="J176" s="22">
        <v>166</v>
      </c>
      <c r="K176" s="22">
        <v>1.01349</v>
      </c>
      <c r="L176">
        <f t="shared" si="24"/>
        <v>17.315925925925924</v>
      </c>
      <c r="M176">
        <f t="shared" si="25"/>
        <v>17.560080481481481</v>
      </c>
      <c r="N176" s="9"/>
      <c r="O176" s="22">
        <v>0.735931</v>
      </c>
      <c r="P176" s="22">
        <v>10.786</v>
      </c>
      <c r="Q176" s="22">
        <v>-1.43036E-2</v>
      </c>
      <c r="R176" s="22">
        <v>166</v>
      </c>
      <c r="S176" s="22">
        <v>0.73516800000000004</v>
      </c>
      <c r="T176">
        <f t="shared" si="26"/>
        <v>17.658765432098765</v>
      </c>
      <c r="U176">
        <f t="shared" si="27"/>
        <v>12.995632903209875</v>
      </c>
      <c r="X176" s="9"/>
      <c r="Y176" s="22">
        <v>1.0141</v>
      </c>
      <c r="Z176" s="22">
        <v>16.331299999999999</v>
      </c>
      <c r="AA176" s="22">
        <v>-1.40564E-2</v>
      </c>
      <c r="AB176" s="22">
        <v>166</v>
      </c>
      <c r="AC176" s="22">
        <v>1.01288</v>
      </c>
      <c r="AD176">
        <f t="shared" si="28"/>
        <v>17.35358024691358</v>
      </c>
      <c r="AE176">
        <f t="shared" si="29"/>
        <v>17.598265728395063</v>
      </c>
      <c r="AF176" s="9"/>
      <c r="AG176" s="22">
        <v>0.735931</v>
      </c>
      <c r="AH176" s="22">
        <v>20.251300000000001</v>
      </c>
      <c r="AI176" s="22">
        <v>-1.4331099999999999E-2</v>
      </c>
      <c r="AJ176" s="22">
        <v>166</v>
      </c>
      <c r="AK176" s="22">
        <v>0.73510699999999995</v>
      </c>
      <c r="AL176">
        <f t="shared" si="30"/>
        <v>17.692716049382714</v>
      </c>
      <c r="AM176">
        <f t="shared" si="31"/>
        <v>13.020618214938271</v>
      </c>
      <c r="AP176" s="9"/>
      <c r="AQ176" s="22">
        <v>1.0141</v>
      </c>
      <c r="AR176" s="22">
        <v>25.814599999999999</v>
      </c>
      <c r="AS176" s="22">
        <v>-1.40778E-2</v>
      </c>
      <c r="AT176" s="22">
        <v>166</v>
      </c>
      <c r="AU176" s="22">
        <v>1.01227</v>
      </c>
      <c r="AV176">
        <f t="shared" si="32"/>
        <v>17.38</v>
      </c>
      <c r="AW176">
        <f t="shared" si="33"/>
        <v>17.625057999999999</v>
      </c>
      <c r="AX176" s="9"/>
      <c r="AY176" s="22">
        <v>0.735931</v>
      </c>
      <c r="AZ176" s="22">
        <v>29.734500000000001</v>
      </c>
      <c r="BA176" s="22">
        <v>-1.43433E-2</v>
      </c>
      <c r="BB176" s="22">
        <v>166</v>
      </c>
      <c r="BC176" s="22">
        <v>0.73541299999999998</v>
      </c>
      <c r="BD176">
        <f t="shared" si="34"/>
        <v>17.707777777777778</v>
      </c>
      <c r="BE176">
        <f t="shared" si="35"/>
        <v>13.031702607777778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6.8761799999999997</v>
      </c>
      <c r="I177" s="22">
        <v>-1.4025900000000001E-2</v>
      </c>
      <c r="J177" s="22">
        <v>167</v>
      </c>
      <c r="K177" s="22">
        <v>1.00739</v>
      </c>
      <c r="L177">
        <f t="shared" si="24"/>
        <v>17.315925925925924</v>
      </c>
      <c r="M177">
        <f t="shared" si="25"/>
        <v>17.472808214814815</v>
      </c>
      <c r="N177" s="9"/>
      <c r="O177" s="22">
        <v>0.74096700000000004</v>
      </c>
      <c r="P177" s="22">
        <v>10.796099999999999</v>
      </c>
      <c r="Q177" s="22">
        <v>-1.4300500000000001E-2</v>
      </c>
      <c r="R177" s="22">
        <v>167</v>
      </c>
      <c r="S177" s="22">
        <v>0.74017299999999997</v>
      </c>
      <c r="T177">
        <f t="shared" si="26"/>
        <v>17.654938271604937</v>
      </c>
      <c r="U177">
        <f t="shared" si="27"/>
        <v>13.081726646296296</v>
      </c>
      <c r="X177" s="9"/>
      <c r="Y177" s="22">
        <v>1.0090600000000001</v>
      </c>
      <c r="Z177" s="22">
        <v>16.3414</v>
      </c>
      <c r="AA177" s="22">
        <v>-1.40564E-2</v>
      </c>
      <c r="AB177" s="22">
        <v>167</v>
      </c>
      <c r="AC177" s="22">
        <v>1.008</v>
      </c>
      <c r="AD177">
        <f t="shared" si="28"/>
        <v>17.35358024691358</v>
      </c>
      <c r="AE177">
        <f t="shared" si="29"/>
        <v>17.51080368395062</v>
      </c>
      <c r="AF177" s="9"/>
      <c r="AG177" s="22">
        <v>0.74096700000000004</v>
      </c>
      <c r="AH177" s="22">
        <v>20.261299999999999</v>
      </c>
      <c r="AI177" s="22">
        <v>-1.4324999999999999E-2</v>
      </c>
      <c r="AJ177" s="22">
        <v>167</v>
      </c>
      <c r="AK177" s="22">
        <v>0.74026499999999995</v>
      </c>
      <c r="AL177">
        <f t="shared" si="30"/>
        <v>17.685185185185183</v>
      </c>
      <c r="AM177">
        <f t="shared" si="31"/>
        <v>13.104138611111111</v>
      </c>
      <c r="AP177" s="9"/>
      <c r="AQ177" s="22">
        <v>1.0090600000000001</v>
      </c>
      <c r="AR177" s="22">
        <v>25.8246</v>
      </c>
      <c r="AS177" s="22">
        <v>-1.4080799999999999E-2</v>
      </c>
      <c r="AT177" s="22">
        <v>167</v>
      </c>
      <c r="AU177" s="22">
        <v>1.0083</v>
      </c>
      <c r="AV177">
        <f t="shared" si="32"/>
        <v>17.383703703703702</v>
      </c>
      <c r="AW177">
        <f t="shared" si="33"/>
        <v>17.541200059259261</v>
      </c>
      <c r="AX177" s="9"/>
      <c r="AY177" s="22">
        <v>0.74096700000000004</v>
      </c>
      <c r="AZ177" s="22">
        <v>29.744499999999999</v>
      </c>
      <c r="BA177" s="22">
        <v>-1.4334100000000001E-2</v>
      </c>
      <c r="BB177" s="22">
        <v>167</v>
      </c>
      <c r="BC177" s="22">
        <v>0.74035600000000001</v>
      </c>
      <c r="BD177">
        <f t="shared" si="34"/>
        <v>17.69641975308642</v>
      </c>
      <c r="BE177">
        <f t="shared" si="35"/>
        <v>13.112463055185186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6.8862500000000004</v>
      </c>
      <c r="I178" s="22">
        <v>-1.4031999999999999E-2</v>
      </c>
      <c r="J178" s="22">
        <v>168</v>
      </c>
      <c r="K178" s="22">
        <v>1.00342</v>
      </c>
      <c r="L178">
        <f t="shared" si="24"/>
        <v>17.323456790123455</v>
      </c>
      <c r="M178">
        <f t="shared" si="25"/>
        <v>17.393270320987654</v>
      </c>
      <c r="N178" s="9"/>
      <c r="O178" s="22">
        <v>0.74600200000000005</v>
      </c>
      <c r="P178" s="22">
        <v>10.8062</v>
      </c>
      <c r="Q178" s="22">
        <v>-1.4294400000000001E-2</v>
      </c>
      <c r="R178" s="22">
        <v>168</v>
      </c>
      <c r="S178" s="22">
        <v>0.74523899999999998</v>
      </c>
      <c r="T178">
        <f t="shared" si="26"/>
        <v>17.647407407407407</v>
      </c>
      <c r="U178">
        <f t="shared" si="27"/>
        <v>13.165001220740741</v>
      </c>
      <c r="X178" s="9"/>
      <c r="Y178" s="22">
        <v>1.00403</v>
      </c>
      <c r="Z178" s="22">
        <v>16.351500000000001</v>
      </c>
      <c r="AA178" s="22">
        <v>-1.40564E-2</v>
      </c>
      <c r="AB178" s="22">
        <v>168</v>
      </c>
      <c r="AC178" s="22">
        <v>1.00342</v>
      </c>
      <c r="AD178">
        <f t="shared" si="28"/>
        <v>17.35358024691358</v>
      </c>
      <c r="AE178">
        <f t="shared" si="29"/>
        <v>17.423515175308641</v>
      </c>
      <c r="AF178" s="9"/>
      <c r="AG178" s="22">
        <v>0.74600200000000005</v>
      </c>
      <c r="AH178" s="22">
        <v>20.2714</v>
      </c>
      <c r="AI178" s="22">
        <v>-1.43219E-2</v>
      </c>
      <c r="AJ178" s="22">
        <v>168</v>
      </c>
      <c r="AK178" s="22">
        <v>0.74526999999999999</v>
      </c>
      <c r="AL178">
        <f t="shared" si="30"/>
        <v>17.68135802469136</v>
      </c>
      <c r="AM178">
        <f t="shared" si="31"/>
        <v>13.190328449135805</v>
      </c>
      <c r="AP178" s="9"/>
      <c r="AQ178" s="22">
        <v>1.00403</v>
      </c>
      <c r="AR178" s="22">
        <v>25.834700000000002</v>
      </c>
      <c r="AS178" s="22">
        <v>-1.40839E-2</v>
      </c>
      <c r="AT178" s="22">
        <v>168</v>
      </c>
      <c r="AU178" s="22">
        <v>1.0031099999999999</v>
      </c>
      <c r="AV178">
        <f t="shared" si="32"/>
        <v>17.387530864197529</v>
      </c>
      <c r="AW178">
        <f t="shared" si="33"/>
        <v>17.457602613580246</v>
      </c>
      <c r="AX178" s="9"/>
      <c r="AY178" s="22">
        <v>0.74600200000000005</v>
      </c>
      <c r="AZ178" s="22">
        <v>29.7546</v>
      </c>
      <c r="BA178" s="22">
        <v>-1.4331099999999999E-2</v>
      </c>
      <c r="BB178" s="22">
        <v>168</v>
      </c>
      <c r="BC178" s="22">
        <v>0.74526999999999999</v>
      </c>
      <c r="BD178">
        <f t="shared" si="34"/>
        <v>17.692716049382714</v>
      </c>
      <c r="BE178">
        <f t="shared" si="35"/>
        <v>13.198801558271605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6.8963200000000002</v>
      </c>
      <c r="I179" s="22">
        <v>-1.4035000000000001E-2</v>
      </c>
      <c r="J179" s="22">
        <v>169</v>
      </c>
      <c r="K179" s="22">
        <v>0.99822999999999995</v>
      </c>
      <c r="L179">
        <f t="shared" si="24"/>
        <v>17.327160493827162</v>
      </c>
      <c r="M179">
        <f t="shared" si="25"/>
        <v>17.309712043209878</v>
      </c>
      <c r="N179" s="9"/>
      <c r="O179" s="22">
        <v>0.75103799999999998</v>
      </c>
      <c r="P179" s="22">
        <v>10.8162</v>
      </c>
      <c r="Q179" s="22">
        <v>-1.42883E-2</v>
      </c>
      <c r="R179" s="22">
        <v>169</v>
      </c>
      <c r="S179" s="22">
        <v>0.750305</v>
      </c>
      <c r="T179">
        <f t="shared" si="26"/>
        <v>17.639876543209876</v>
      </c>
      <c r="U179">
        <f t="shared" si="27"/>
        <v>13.248217599259259</v>
      </c>
      <c r="X179" s="9"/>
      <c r="Y179" s="22">
        <v>0.99899300000000002</v>
      </c>
      <c r="Z179" s="22">
        <v>16.361499999999999</v>
      </c>
      <c r="AA179" s="22">
        <v>-1.40625E-2</v>
      </c>
      <c r="AB179" s="22">
        <v>169</v>
      </c>
      <c r="AC179" s="22">
        <v>0.99822999999999995</v>
      </c>
      <c r="AD179">
        <f t="shared" si="28"/>
        <v>17.361111111111111</v>
      </c>
      <c r="AE179">
        <f t="shared" si="29"/>
        <v>17.343628472222221</v>
      </c>
      <c r="AF179" s="9"/>
      <c r="AG179" s="22">
        <v>0.75103799999999998</v>
      </c>
      <c r="AH179" s="22">
        <v>20.281500000000001</v>
      </c>
      <c r="AI179" s="22">
        <v>-1.43158E-2</v>
      </c>
      <c r="AJ179" s="22">
        <v>169</v>
      </c>
      <c r="AK179" s="22">
        <v>0.75012199999999996</v>
      </c>
      <c r="AL179">
        <f t="shared" si="30"/>
        <v>17.673827160493826</v>
      </c>
      <c r="AM179">
        <f t="shared" si="31"/>
        <v>13.273715802962961</v>
      </c>
      <c r="AP179" s="9"/>
      <c r="AQ179" s="22">
        <v>0.99899300000000002</v>
      </c>
      <c r="AR179" s="22">
        <v>25.844799999999999</v>
      </c>
      <c r="AS179" s="22">
        <v>-1.4086899999999999E-2</v>
      </c>
      <c r="AT179" s="22">
        <v>169</v>
      </c>
      <c r="AU179" s="22">
        <v>0.99822999999999995</v>
      </c>
      <c r="AV179">
        <f t="shared" si="32"/>
        <v>17.391234567901233</v>
      </c>
      <c r="AW179">
        <f t="shared" si="33"/>
        <v>17.373721594691357</v>
      </c>
      <c r="AX179" s="9"/>
      <c r="AY179" s="22">
        <v>0.75103799999999998</v>
      </c>
      <c r="AZ179" s="22">
        <v>29.764700000000001</v>
      </c>
      <c r="BA179" s="22">
        <v>-1.4324999999999999E-2</v>
      </c>
      <c r="BB179" s="22">
        <v>169</v>
      </c>
      <c r="BC179" s="22">
        <v>0.75024400000000002</v>
      </c>
      <c r="BD179">
        <f t="shared" si="34"/>
        <v>17.685185185185183</v>
      </c>
      <c r="BE179">
        <f t="shared" si="35"/>
        <v>13.28224611111111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6.90639</v>
      </c>
      <c r="I180" s="22">
        <v>-1.40442E-2</v>
      </c>
      <c r="J180" s="22">
        <v>170</v>
      </c>
      <c r="K180" s="22">
        <v>0.99243199999999998</v>
      </c>
      <c r="L180">
        <f t="shared" si="24"/>
        <v>17.338518518518516</v>
      </c>
      <c r="M180">
        <f t="shared" si="25"/>
        <v>17.233759189629627</v>
      </c>
      <c r="N180" s="9"/>
      <c r="O180" s="22">
        <v>0.756073</v>
      </c>
      <c r="P180" s="22">
        <v>10.8263</v>
      </c>
      <c r="Q180" s="22">
        <v>-1.42822E-2</v>
      </c>
      <c r="R180" s="22">
        <v>170</v>
      </c>
      <c r="S180" s="22">
        <v>0.75439500000000004</v>
      </c>
      <c r="T180">
        <f t="shared" si="26"/>
        <v>17.632345679012342</v>
      </c>
      <c r="U180">
        <f t="shared" si="27"/>
        <v>13.331340494567899</v>
      </c>
      <c r="X180" s="9"/>
      <c r="Y180" s="22">
        <v>0.99395800000000001</v>
      </c>
      <c r="Z180" s="22">
        <v>16.371600000000001</v>
      </c>
      <c r="AA180" s="22">
        <v>-1.4071699999999999E-2</v>
      </c>
      <c r="AB180" s="22">
        <v>170</v>
      </c>
      <c r="AC180" s="22">
        <v>0.99304199999999998</v>
      </c>
      <c r="AD180">
        <f t="shared" si="28"/>
        <v>17.372469135802469</v>
      </c>
      <c r="AE180">
        <f t="shared" si="29"/>
        <v>17.267504677283949</v>
      </c>
      <c r="AF180" s="9"/>
      <c r="AG180" s="22">
        <v>0.756073</v>
      </c>
      <c r="AH180" s="22">
        <v>20.291499999999999</v>
      </c>
      <c r="AI180" s="22">
        <v>-1.43097E-2</v>
      </c>
      <c r="AJ180" s="22">
        <v>170</v>
      </c>
      <c r="AK180" s="22">
        <v>0.75531000000000004</v>
      </c>
      <c r="AL180">
        <f t="shared" si="30"/>
        <v>17.666296296296295</v>
      </c>
      <c r="AM180">
        <f t="shared" si="31"/>
        <v>13.357009639629629</v>
      </c>
      <c r="AP180" s="9"/>
      <c r="AQ180" s="22">
        <v>0.99395800000000001</v>
      </c>
      <c r="AR180" s="22">
        <v>25.854800000000001</v>
      </c>
      <c r="AS180" s="22">
        <v>-1.409E-2</v>
      </c>
      <c r="AT180" s="22">
        <v>170</v>
      </c>
      <c r="AU180" s="22">
        <v>0.99273699999999998</v>
      </c>
      <c r="AV180">
        <f t="shared" si="32"/>
        <v>17.39506172839506</v>
      </c>
      <c r="AW180">
        <f t="shared" si="33"/>
        <v>17.289960765432099</v>
      </c>
      <c r="AX180" s="9"/>
      <c r="AY180" s="22">
        <v>0.756073</v>
      </c>
      <c r="AZ180" s="22">
        <v>29.774699999999999</v>
      </c>
      <c r="BA180" s="22">
        <v>-1.43158E-2</v>
      </c>
      <c r="BB180" s="22">
        <v>170</v>
      </c>
      <c r="BC180" s="22">
        <v>0.75531000000000004</v>
      </c>
      <c r="BD180">
        <f t="shared" si="34"/>
        <v>17.673827160493826</v>
      </c>
      <c r="BE180">
        <f t="shared" si="35"/>
        <v>13.362703522716048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6.9164700000000003</v>
      </c>
      <c r="I181" s="22">
        <v>-1.40503E-2</v>
      </c>
      <c r="J181" s="22">
        <v>171</v>
      </c>
      <c r="K181" s="22">
        <v>0.98815900000000001</v>
      </c>
      <c r="L181">
        <f t="shared" si="24"/>
        <v>17.34604938271605</v>
      </c>
      <c r="M181">
        <f t="shared" si="25"/>
        <v>17.15388984765432</v>
      </c>
      <c r="N181" s="9"/>
      <c r="O181" s="22">
        <v>0.76110800000000001</v>
      </c>
      <c r="P181" s="22">
        <v>10.836399999999999</v>
      </c>
      <c r="Q181" s="22">
        <v>-1.42761E-2</v>
      </c>
      <c r="R181" s="22">
        <v>171</v>
      </c>
      <c r="S181" s="22">
        <v>0.76019300000000001</v>
      </c>
      <c r="T181">
        <f t="shared" si="26"/>
        <v>17.624814814814812</v>
      </c>
      <c r="U181">
        <f t="shared" si="27"/>
        <v>13.414387554074072</v>
      </c>
      <c r="X181" s="9"/>
      <c r="Y181" s="22">
        <v>0.98892199999999997</v>
      </c>
      <c r="Z181" s="22">
        <v>16.381699999999999</v>
      </c>
      <c r="AA181" s="22">
        <v>-1.4080799999999999E-2</v>
      </c>
      <c r="AB181" s="22">
        <v>171</v>
      </c>
      <c r="AC181" s="22">
        <v>0.98815900000000001</v>
      </c>
      <c r="AD181">
        <f t="shared" si="28"/>
        <v>17.383703703703702</v>
      </c>
      <c r="AE181">
        <f t="shared" si="29"/>
        <v>17.191127034074071</v>
      </c>
      <c r="AF181" s="9"/>
      <c r="AG181" s="22">
        <v>0.76110800000000001</v>
      </c>
      <c r="AH181" s="22">
        <v>20.301600000000001</v>
      </c>
      <c r="AI181" s="22">
        <v>-1.4306599999999999E-2</v>
      </c>
      <c r="AJ181" s="22">
        <v>171</v>
      </c>
      <c r="AK181" s="22">
        <v>0.76019300000000001</v>
      </c>
      <c r="AL181">
        <f t="shared" si="30"/>
        <v>17.662469135802468</v>
      </c>
      <c r="AM181">
        <f t="shared" si="31"/>
        <v>13.443046559012345</v>
      </c>
      <c r="AP181" s="9"/>
      <c r="AQ181" s="22">
        <v>0.98892199999999997</v>
      </c>
      <c r="AR181" s="22">
        <v>25.864899999999999</v>
      </c>
      <c r="AS181" s="22">
        <v>-1.40961E-2</v>
      </c>
      <c r="AT181" s="22">
        <v>171</v>
      </c>
      <c r="AU181" s="22">
        <v>0.98785400000000001</v>
      </c>
      <c r="AV181">
        <f t="shared" si="32"/>
        <v>17.40259259259259</v>
      </c>
      <c r="AW181">
        <f t="shared" si="33"/>
        <v>17.209806671851847</v>
      </c>
      <c r="AX181" s="9"/>
      <c r="AY181" s="22">
        <v>0.76110800000000001</v>
      </c>
      <c r="AZ181" s="22">
        <v>29.784800000000001</v>
      </c>
      <c r="BA181" s="22">
        <v>-1.43097E-2</v>
      </c>
      <c r="BB181" s="22">
        <v>171</v>
      </c>
      <c r="BC181" s="22">
        <v>0.76080300000000001</v>
      </c>
      <c r="BD181">
        <f t="shared" si="34"/>
        <v>17.666296296296295</v>
      </c>
      <c r="BE181">
        <f t="shared" si="35"/>
        <v>13.445959441481481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6.9265400000000001</v>
      </c>
      <c r="I182" s="22">
        <v>-1.4053299999999999E-2</v>
      </c>
      <c r="J182" s="22">
        <v>172</v>
      </c>
      <c r="K182" s="22">
        <v>0.98266600000000004</v>
      </c>
      <c r="L182">
        <f t="shared" si="24"/>
        <v>17.349753086419753</v>
      </c>
      <c r="M182">
        <f t="shared" si="25"/>
        <v>17.070196514938271</v>
      </c>
      <c r="N182" s="9"/>
      <c r="O182" s="22">
        <v>0.76614400000000005</v>
      </c>
      <c r="P182" s="22">
        <v>10.846399999999999</v>
      </c>
      <c r="Q182" s="22">
        <v>-1.427E-2</v>
      </c>
      <c r="R182" s="22">
        <v>172</v>
      </c>
      <c r="S182" s="22">
        <v>0.76568599999999998</v>
      </c>
      <c r="T182">
        <f t="shared" si="26"/>
        <v>17.617283950617285</v>
      </c>
      <c r="U182">
        <f t="shared" si="27"/>
        <v>13.49737639506173</v>
      </c>
      <c r="X182" s="9"/>
      <c r="Y182" s="22">
        <v>0.98388699999999996</v>
      </c>
      <c r="Z182" s="22">
        <v>16.3918</v>
      </c>
      <c r="AA182" s="22">
        <v>-1.4086899999999999E-2</v>
      </c>
      <c r="AB182" s="22">
        <v>172</v>
      </c>
      <c r="AC182" s="22">
        <v>0.98236100000000004</v>
      </c>
      <c r="AD182">
        <f t="shared" si="28"/>
        <v>17.391234567901233</v>
      </c>
      <c r="AE182">
        <f t="shared" si="29"/>
        <v>17.111009605308638</v>
      </c>
      <c r="AF182" s="9"/>
      <c r="AG182" s="22">
        <v>0.76614400000000005</v>
      </c>
      <c r="AH182" s="22">
        <v>20.311699999999998</v>
      </c>
      <c r="AI182" s="22">
        <v>-1.43036E-2</v>
      </c>
      <c r="AJ182" s="22">
        <v>172</v>
      </c>
      <c r="AK182" s="22">
        <v>0.76507599999999998</v>
      </c>
      <c r="AL182">
        <f t="shared" si="30"/>
        <v>17.658765432098765</v>
      </c>
      <c r="AM182">
        <f t="shared" si="31"/>
        <v>13.529157183209877</v>
      </c>
      <c r="AP182" s="9"/>
      <c r="AQ182" s="22">
        <v>0.98388699999999996</v>
      </c>
      <c r="AR182" s="22">
        <v>25.875</v>
      </c>
      <c r="AS182" s="22">
        <v>-1.4108300000000001E-2</v>
      </c>
      <c r="AT182" s="22">
        <v>172</v>
      </c>
      <c r="AU182" s="22">
        <v>0.98266600000000004</v>
      </c>
      <c r="AV182">
        <f t="shared" si="32"/>
        <v>17.417654320987655</v>
      </c>
      <c r="AW182">
        <f t="shared" si="33"/>
        <v>17.137003656913581</v>
      </c>
      <c r="AX182" s="9"/>
      <c r="AY182" s="22">
        <v>0.76614400000000005</v>
      </c>
      <c r="AZ182" s="22">
        <v>29.794899999999998</v>
      </c>
      <c r="BA182" s="22">
        <v>-1.43036E-2</v>
      </c>
      <c r="BB182" s="22">
        <v>172</v>
      </c>
      <c r="BC182" s="22">
        <v>0.76538099999999998</v>
      </c>
      <c r="BD182">
        <f t="shared" si="34"/>
        <v>17.658765432098765</v>
      </c>
      <c r="BE182">
        <f t="shared" si="35"/>
        <v>13.529157183209877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6.9366099999999999</v>
      </c>
      <c r="I183" s="22">
        <v>-1.40594E-2</v>
      </c>
      <c r="J183" s="22">
        <v>173</v>
      </c>
      <c r="K183" s="22">
        <v>0.97808799999999996</v>
      </c>
      <c r="L183">
        <f t="shared" si="24"/>
        <v>17.357283950617283</v>
      </c>
      <c r="M183">
        <f t="shared" si="25"/>
        <v>16.99019475234568</v>
      </c>
      <c r="N183" s="9"/>
      <c r="O183" s="22">
        <v>0.77117899999999995</v>
      </c>
      <c r="P183" s="22">
        <v>10.8565</v>
      </c>
      <c r="Q183" s="22">
        <v>-1.4263899999999999E-2</v>
      </c>
      <c r="R183" s="22">
        <v>173</v>
      </c>
      <c r="S183" s="22">
        <v>0.77026399999999995</v>
      </c>
      <c r="T183">
        <f t="shared" si="26"/>
        <v>17.609753086419751</v>
      </c>
      <c r="U183">
        <f t="shared" si="27"/>
        <v>13.580271775432097</v>
      </c>
      <c r="X183" s="9"/>
      <c r="Y183" s="22">
        <v>0.97885100000000003</v>
      </c>
      <c r="Z183" s="22">
        <v>16.401800000000001</v>
      </c>
      <c r="AA183" s="22">
        <v>-1.4093E-2</v>
      </c>
      <c r="AB183" s="22">
        <v>173</v>
      </c>
      <c r="AC183" s="22">
        <v>0.97808799999999996</v>
      </c>
      <c r="AD183">
        <f t="shared" si="28"/>
        <v>17.398765432098763</v>
      </c>
      <c r="AE183">
        <f t="shared" si="29"/>
        <v>17.030798941975306</v>
      </c>
      <c r="AF183" s="9"/>
      <c r="AG183" s="22">
        <v>0.77117899999999995</v>
      </c>
      <c r="AH183" s="22">
        <v>20.3218</v>
      </c>
      <c r="AI183" s="22">
        <v>-1.4300500000000001E-2</v>
      </c>
      <c r="AJ183" s="22">
        <v>173</v>
      </c>
      <c r="AK183" s="22">
        <v>0.77056899999999995</v>
      </c>
      <c r="AL183">
        <f t="shared" si="30"/>
        <v>17.654938271604937</v>
      </c>
      <c r="AM183">
        <f t="shared" si="31"/>
        <v>13.615117641358022</v>
      </c>
      <c r="AP183" s="9"/>
      <c r="AQ183" s="22">
        <v>0.97885100000000003</v>
      </c>
      <c r="AR183" s="22">
        <v>25.885100000000001</v>
      </c>
      <c r="AS183" s="22">
        <v>-1.4114399999999999E-2</v>
      </c>
      <c r="AT183" s="22">
        <v>173</v>
      </c>
      <c r="AU183" s="22">
        <v>0.97747799999999996</v>
      </c>
      <c r="AV183">
        <f t="shared" si="32"/>
        <v>17.425185185185182</v>
      </c>
      <c r="AW183">
        <f t="shared" si="33"/>
        <v>17.0566599437037</v>
      </c>
      <c r="AX183" s="9"/>
      <c r="AY183" s="22">
        <v>0.77117899999999995</v>
      </c>
      <c r="AZ183" s="22">
        <v>29.805</v>
      </c>
      <c r="BA183" s="22">
        <v>-1.4300500000000001E-2</v>
      </c>
      <c r="BB183" s="22">
        <v>173</v>
      </c>
      <c r="BC183" s="22">
        <v>0.77056899999999995</v>
      </c>
      <c r="BD183">
        <f t="shared" si="34"/>
        <v>17.654938271604937</v>
      </c>
      <c r="BE183">
        <f t="shared" si="35"/>
        <v>13.615117641358022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6.9466799999999997</v>
      </c>
      <c r="I184" s="22">
        <v>-1.40594E-2</v>
      </c>
      <c r="J184" s="22">
        <v>174</v>
      </c>
      <c r="K184" s="22">
        <v>0.97289999999999999</v>
      </c>
      <c r="L184">
        <f t="shared" si="24"/>
        <v>17.357283950617283</v>
      </c>
      <c r="M184">
        <f t="shared" si="25"/>
        <v>16.902800827654321</v>
      </c>
      <c r="N184" s="9"/>
      <c r="O184" s="22">
        <v>0.77621499999999999</v>
      </c>
      <c r="P184" s="22">
        <v>10.8666</v>
      </c>
      <c r="Q184" s="22">
        <v>-1.4257799999999999E-2</v>
      </c>
      <c r="R184" s="22">
        <v>174</v>
      </c>
      <c r="S184" s="22">
        <v>0.775146</v>
      </c>
      <c r="T184">
        <f t="shared" si="26"/>
        <v>17.60222222222222</v>
      </c>
      <c r="U184">
        <f t="shared" si="27"/>
        <v>13.663108922222222</v>
      </c>
      <c r="X184" s="9"/>
      <c r="Y184" s="22">
        <v>0.97381600000000001</v>
      </c>
      <c r="Z184" s="22">
        <v>16.411899999999999</v>
      </c>
      <c r="AA184" s="22">
        <v>-1.41022E-2</v>
      </c>
      <c r="AB184" s="22">
        <v>174</v>
      </c>
      <c r="AC184" s="22">
        <v>0.97289999999999999</v>
      </c>
      <c r="AD184">
        <f t="shared" si="28"/>
        <v>17.410123456790124</v>
      </c>
      <c r="AE184">
        <f t="shared" si="29"/>
        <v>16.954256784197533</v>
      </c>
      <c r="AF184" s="9"/>
      <c r="AG184" s="22">
        <v>0.77621499999999999</v>
      </c>
      <c r="AH184" s="22">
        <v>20.331800000000001</v>
      </c>
      <c r="AI184" s="22">
        <v>-1.4294400000000001E-2</v>
      </c>
      <c r="AJ184" s="22">
        <v>174</v>
      </c>
      <c r="AK184" s="22">
        <v>0.774536</v>
      </c>
      <c r="AL184">
        <f t="shared" si="30"/>
        <v>17.647407407407407</v>
      </c>
      <c r="AM184">
        <f t="shared" si="31"/>
        <v>13.69818234074074</v>
      </c>
      <c r="AP184" s="9"/>
      <c r="AQ184" s="22">
        <v>0.97381600000000001</v>
      </c>
      <c r="AR184" s="22">
        <v>25.895099999999999</v>
      </c>
      <c r="AS184" s="22">
        <v>-1.4123500000000001E-2</v>
      </c>
      <c r="AT184" s="22">
        <v>174</v>
      </c>
      <c r="AU184" s="22">
        <v>0.97289999999999999</v>
      </c>
      <c r="AV184">
        <f t="shared" si="32"/>
        <v>17.436419753086419</v>
      </c>
      <c r="AW184">
        <f t="shared" si="33"/>
        <v>16.979864538271606</v>
      </c>
      <c r="AX184" s="9"/>
      <c r="AY184" s="22">
        <v>0.77621499999999999</v>
      </c>
      <c r="AZ184" s="22">
        <v>29.815000000000001</v>
      </c>
      <c r="BA184" s="22">
        <v>-1.4297499999999999E-2</v>
      </c>
      <c r="BB184" s="22">
        <v>174</v>
      </c>
      <c r="BC184" s="22">
        <v>0.77545200000000003</v>
      </c>
      <c r="BD184">
        <f t="shared" si="34"/>
        <v>17.651234567901231</v>
      </c>
      <c r="BE184">
        <f t="shared" si="35"/>
        <v>13.701153040123453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6.9567500000000004</v>
      </c>
      <c r="I185" s="22">
        <v>-1.4065599999999999E-2</v>
      </c>
      <c r="J185" s="22">
        <v>175</v>
      </c>
      <c r="K185" s="22">
        <v>0.96771200000000002</v>
      </c>
      <c r="L185">
        <f t="shared" si="24"/>
        <v>17.364938271604938</v>
      </c>
      <c r="M185">
        <f t="shared" si="25"/>
        <v>16.822822263703703</v>
      </c>
      <c r="N185" s="9"/>
      <c r="O185" s="22">
        <v>0.78125</v>
      </c>
      <c r="P185" s="22">
        <v>10.8767</v>
      </c>
      <c r="Q185" s="22">
        <v>-1.42548E-2</v>
      </c>
      <c r="R185" s="22">
        <v>175</v>
      </c>
      <c r="S185" s="22">
        <v>0.78064</v>
      </c>
      <c r="T185">
        <f t="shared" si="26"/>
        <v>17.598518518518517</v>
      </c>
      <c r="U185">
        <f t="shared" si="27"/>
        <v>13.748842592592592</v>
      </c>
      <c r="X185" s="9"/>
      <c r="Y185" s="22">
        <v>0.968781</v>
      </c>
      <c r="Z185" s="22">
        <v>16.422000000000001</v>
      </c>
      <c r="AA185" s="22">
        <v>-1.4108300000000001E-2</v>
      </c>
      <c r="AB185" s="22">
        <v>175</v>
      </c>
      <c r="AC185" s="22">
        <v>0.96710200000000002</v>
      </c>
      <c r="AD185">
        <f t="shared" si="28"/>
        <v>17.417654320987655</v>
      </c>
      <c r="AE185">
        <f t="shared" si="29"/>
        <v>16.87389257074074</v>
      </c>
      <c r="AF185" s="9"/>
      <c r="AG185" s="22">
        <v>0.78125</v>
      </c>
      <c r="AH185" s="22">
        <v>20.341899999999999</v>
      </c>
      <c r="AI185" s="22">
        <v>-1.4294400000000001E-2</v>
      </c>
      <c r="AJ185" s="22">
        <v>175</v>
      </c>
      <c r="AK185" s="22">
        <v>0.78064</v>
      </c>
      <c r="AL185">
        <f t="shared" si="30"/>
        <v>17.647407407407407</v>
      </c>
      <c r="AM185">
        <f t="shared" si="31"/>
        <v>13.787037037037036</v>
      </c>
      <c r="AP185" s="9"/>
      <c r="AQ185" s="22">
        <v>0.968781</v>
      </c>
      <c r="AR185" s="22">
        <v>25.905200000000001</v>
      </c>
      <c r="AS185" s="22">
        <v>-1.41266E-2</v>
      </c>
      <c r="AT185" s="22">
        <v>175</v>
      </c>
      <c r="AU185" s="22">
        <v>0.96771200000000002</v>
      </c>
      <c r="AV185">
        <f t="shared" si="32"/>
        <v>17.440246913580246</v>
      </c>
      <c r="AW185">
        <f t="shared" si="33"/>
        <v>16.895779845185185</v>
      </c>
      <c r="AX185" s="9"/>
      <c r="AY185" s="22">
        <v>0.78125</v>
      </c>
      <c r="AZ185" s="22">
        <v>29.825099999999999</v>
      </c>
      <c r="BA185" s="22">
        <v>-1.4294400000000001E-2</v>
      </c>
      <c r="BB185" s="22">
        <v>175</v>
      </c>
      <c r="BC185" s="22">
        <v>0.78033399999999997</v>
      </c>
      <c r="BD185">
        <f t="shared" si="34"/>
        <v>17.647407407407407</v>
      </c>
      <c r="BE185">
        <f t="shared" si="35"/>
        <v>13.787037037037036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6.9668200000000002</v>
      </c>
      <c r="I186" s="22">
        <v>-1.4068600000000001E-2</v>
      </c>
      <c r="J186" s="22">
        <v>176</v>
      </c>
      <c r="K186" s="22">
        <v>0.96282999999999996</v>
      </c>
      <c r="L186">
        <f t="shared" si="24"/>
        <v>17.368641975308641</v>
      </c>
      <c r="M186">
        <f t="shared" si="25"/>
        <v>16.738941860493824</v>
      </c>
      <c r="N186" s="9"/>
      <c r="O186" s="22">
        <v>0.78628500000000001</v>
      </c>
      <c r="P186" s="22">
        <v>10.886699999999999</v>
      </c>
      <c r="Q186" s="22">
        <v>-1.42548E-2</v>
      </c>
      <c r="R186" s="22">
        <v>176</v>
      </c>
      <c r="S186" s="22">
        <v>0.78643799999999997</v>
      </c>
      <c r="T186">
        <f t="shared" si="26"/>
        <v>17.598518518518517</v>
      </c>
      <c r="U186">
        <f t="shared" si="27"/>
        <v>13.837451133333333</v>
      </c>
      <c r="X186" s="9"/>
      <c r="Y186" s="22">
        <v>0.96374499999999996</v>
      </c>
      <c r="Z186" s="22">
        <v>16.431999999999999</v>
      </c>
      <c r="AA186" s="22">
        <v>-1.4114399999999999E-2</v>
      </c>
      <c r="AB186" s="22">
        <v>176</v>
      </c>
      <c r="AC186" s="22">
        <v>0.96252400000000005</v>
      </c>
      <c r="AD186">
        <f t="shared" si="28"/>
        <v>17.425185185185182</v>
      </c>
      <c r="AE186">
        <f t="shared" si="29"/>
        <v>16.793435096296292</v>
      </c>
      <c r="AF186" s="9"/>
      <c r="AG186" s="22">
        <v>0.78628500000000001</v>
      </c>
      <c r="AH186" s="22">
        <v>20.352</v>
      </c>
      <c r="AI186" s="22">
        <v>-1.4291399999999999E-2</v>
      </c>
      <c r="AJ186" s="22">
        <v>176</v>
      </c>
      <c r="AK186" s="22">
        <v>0.78552200000000005</v>
      </c>
      <c r="AL186">
        <f t="shared" si="30"/>
        <v>17.643703703703704</v>
      </c>
      <c r="AM186">
        <f t="shared" si="31"/>
        <v>13.872979566666666</v>
      </c>
      <c r="AP186" s="9"/>
      <c r="AQ186" s="22">
        <v>0.96374499999999996</v>
      </c>
      <c r="AR186" s="22">
        <v>25.915299999999998</v>
      </c>
      <c r="AS186" s="22">
        <v>-1.4129600000000001E-2</v>
      </c>
      <c r="AT186" s="22">
        <v>176</v>
      </c>
      <c r="AU186" s="22">
        <v>0.96252400000000005</v>
      </c>
      <c r="AV186">
        <f t="shared" si="32"/>
        <v>17.443950617283949</v>
      </c>
      <c r="AW186">
        <f t="shared" si="33"/>
        <v>16.81152018765432</v>
      </c>
      <c r="AX186" s="9"/>
      <c r="AY186" s="22">
        <v>0.78628500000000001</v>
      </c>
      <c r="AZ186" s="22">
        <v>29.8352</v>
      </c>
      <c r="BA186" s="22">
        <v>-1.42883E-2</v>
      </c>
      <c r="BB186" s="22">
        <v>176</v>
      </c>
      <c r="BC186" s="22">
        <v>0.78521700000000005</v>
      </c>
      <c r="BD186">
        <f t="shared" si="34"/>
        <v>17.639876543209876</v>
      </c>
      <c r="BE186">
        <f t="shared" si="35"/>
        <v>13.869970327777779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6.97689</v>
      </c>
      <c r="I187" s="22">
        <v>-1.4071699999999999E-2</v>
      </c>
      <c r="J187" s="22">
        <v>177</v>
      </c>
      <c r="K187" s="22">
        <v>0.95703099999999997</v>
      </c>
      <c r="L187">
        <f t="shared" si="24"/>
        <v>17.372469135802469</v>
      </c>
      <c r="M187">
        <f t="shared" si="25"/>
        <v>16.655159885185185</v>
      </c>
      <c r="N187" s="9"/>
      <c r="O187" s="22">
        <v>0.79132100000000005</v>
      </c>
      <c r="P187" s="22">
        <v>10.896800000000001</v>
      </c>
      <c r="Q187" s="22">
        <v>-1.42548E-2</v>
      </c>
      <c r="R187" s="22">
        <v>177</v>
      </c>
      <c r="S187" s="22">
        <v>0.79010000000000002</v>
      </c>
      <c r="T187">
        <f t="shared" si="26"/>
        <v>17.598518518518517</v>
      </c>
      <c r="U187">
        <f t="shared" si="27"/>
        <v>13.926077272592593</v>
      </c>
      <c r="X187" s="9"/>
      <c r="Y187" s="22">
        <v>0.95870999999999995</v>
      </c>
      <c r="Z187" s="22">
        <v>16.4421</v>
      </c>
      <c r="AA187" s="22">
        <v>-1.41174E-2</v>
      </c>
      <c r="AB187" s="22">
        <v>177</v>
      </c>
      <c r="AC187" s="22">
        <v>0.95764199999999999</v>
      </c>
      <c r="AD187">
        <f t="shared" si="28"/>
        <v>17.428888888888888</v>
      </c>
      <c r="AE187">
        <f t="shared" si="29"/>
        <v>16.709250066666666</v>
      </c>
      <c r="AF187" s="9"/>
      <c r="AG187" s="22">
        <v>0.79132100000000005</v>
      </c>
      <c r="AH187" s="22">
        <v>20.361999999999998</v>
      </c>
      <c r="AI187" s="22">
        <v>-1.42883E-2</v>
      </c>
      <c r="AJ187" s="22">
        <v>177</v>
      </c>
      <c r="AK187" s="22">
        <v>0.78979500000000002</v>
      </c>
      <c r="AL187">
        <f t="shared" si="30"/>
        <v>17.639876543209876</v>
      </c>
      <c r="AM187">
        <f t="shared" si="31"/>
        <v>13.958804746049383</v>
      </c>
      <c r="AP187" s="9"/>
      <c r="AQ187" s="22">
        <v>0.95870999999999995</v>
      </c>
      <c r="AR187" s="22">
        <v>25.9253</v>
      </c>
      <c r="AS187" s="22">
        <v>-1.4135699999999999E-2</v>
      </c>
      <c r="AT187" s="22">
        <v>177</v>
      </c>
      <c r="AU187" s="22">
        <v>0.95703099999999997</v>
      </c>
      <c r="AV187">
        <f t="shared" si="32"/>
        <v>17.45148148148148</v>
      </c>
      <c r="AW187">
        <f t="shared" si="33"/>
        <v>16.730909811111108</v>
      </c>
      <c r="AX187" s="9"/>
      <c r="AY187" s="22">
        <v>0.79132100000000005</v>
      </c>
      <c r="AZ187" s="22">
        <v>29.845199999999998</v>
      </c>
      <c r="BA187" s="22">
        <v>-1.4285300000000001E-2</v>
      </c>
      <c r="BB187" s="22">
        <v>177</v>
      </c>
      <c r="BC187" s="22">
        <v>0.79040500000000002</v>
      </c>
      <c r="BD187">
        <f t="shared" si="34"/>
        <v>17.636172839506173</v>
      </c>
      <c r="BE187">
        <f t="shared" si="35"/>
        <v>13.955873927530865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6.9869599999999998</v>
      </c>
      <c r="I188" s="22">
        <v>-1.40839E-2</v>
      </c>
      <c r="J188" s="22">
        <v>178</v>
      </c>
      <c r="K188" s="22">
        <v>0.95245400000000002</v>
      </c>
      <c r="L188">
        <f t="shared" si="24"/>
        <v>17.387530864197529</v>
      </c>
      <c r="M188">
        <f t="shared" si="25"/>
        <v>16.582036109382717</v>
      </c>
      <c r="N188" s="9"/>
      <c r="O188" s="22">
        <v>0.79635599999999995</v>
      </c>
      <c r="P188" s="22">
        <v>10.9069</v>
      </c>
      <c r="Q188" s="22">
        <v>-1.42487E-2</v>
      </c>
      <c r="R188" s="22">
        <v>178</v>
      </c>
      <c r="S188" s="22">
        <v>0.79589799999999999</v>
      </c>
      <c r="T188">
        <f t="shared" si="26"/>
        <v>17.590987654320987</v>
      </c>
      <c r="U188">
        <f t="shared" si="27"/>
        <v>14.008688564444443</v>
      </c>
      <c r="X188" s="9"/>
      <c r="Y188" s="22">
        <v>0.95367400000000002</v>
      </c>
      <c r="Z188" s="22">
        <v>16.452200000000001</v>
      </c>
      <c r="AA188" s="22">
        <v>-1.4120499999999999E-2</v>
      </c>
      <c r="AB188" s="22">
        <v>178</v>
      </c>
      <c r="AC188" s="22">
        <v>0.95245400000000002</v>
      </c>
      <c r="AD188">
        <f t="shared" si="28"/>
        <v>17.432716049382716</v>
      </c>
      <c r="AE188">
        <f t="shared" si="29"/>
        <v>16.625128045679013</v>
      </c>
      <c r="AF188" s="9"/>
      <c r="AG188" s="22">
        <v>0.79635599999999995</v>
      </c>
      <c r="AH188" s="22">
        <v>20.3721</v>
      </c>
      <c r="AI188" s="22">
        <v>-1.42822E-2</v>
      </c>
      <c r="AJ188" s="22">
        <v>178</v>
      </c>
      <c r="AK188" s="22">
        <v>0.79528799999999999</v>
      </c>
      <c r="AL188">
        <f t="shared" si="30"/>
        <v>17.632345679012342</v>
      </c>
      <c r="AM188">
        <f t="shared" si="31"/>
        <v>14.041624275555552</v>
      </c>
      <c r="AP188" s="9"/>
      <c r="AQ188" s="22">
        <v>0.95367400000000002</v>
      </c>
      <c r="AR188" s="22">
        <v>25.935400000000001</v>
      </c>
      <c r="AS188" s="22">
        <v>-1.41388E-2</v>
      </c>
      <c r="AT188" s="22">
        <v>178</v>
      </c>
      <c r="AU188" s="22">
        <v>0.95245400000000002</v>
      </c>
      <c r="AV188">
        <f t="shared" si="32"/>
        <v>17.455308641975307</v>
      </c>
      <c r="AW188">
        <f t="shared" si="33"/>
        <v>16.646674013827159</v>
      </c>
      <c r="AX188" s="9"/>
      <c r="AY188" s="22">
        <v>0.79635599999999995</v>
      </c>
      <c r="AZ188" s="22">
        <v>29.8553</v>
      </c>
      <c r="BA188" s="22">
        <v>-1.42822E-2</v>
      </c>
      <c r="BB188" s="22">
        <v>178</v>
      </c>
      <c r="BC188" s="22">
        <v>0.79589799999999999</v>
      </c>
      <c r="BD188">
        <f t="shared" si="34"/>
        <v>17.632345679012342</v>
      </c>
      <c r="BE188">
        <f t="shared" si="35"/>
        <v>14.041624275555552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6.9970299999999996</v>
      </c>
      <c r="I189" s="22">
        <v>-1.4086899999999999E-2</v>
      </c>
      <c r="J189" s="22">
        <v>179</v>
      </c>
      <c r="K189" s="22">
        <v>0.94726600000000005</v>
      </c>
      <c r="L189">
        <f t="shared" si="24"/>
        <v>17.391234567901233</v>
      </c>
      <c r="M189">
        <f t="shared" si="25"/>
        <v>16.498003369259258</v>
      </c>
      <c r="N189" s="9"/>
      <c r="O189" s="22">
        <v>0.80139199999999999</v>
      </c>
      <c r="P189" s="22">
        <v>10.9169</v>
      </c>
      <c r="Q189" s="22">
        <v>-1.4245600000000001E-2</v>
      </c>
      <c r="R189" s="22">
        <v>179</v>
      </c>
      <c r="S189" s="22">
        <v>0.80078099999999997</v>
      </c>
      <c r="T189">
        <f t="shared" si="26"/>
        <v>17.58716049382716</v>
      </c>
      <c r="U189">
        <f t="shared" si="27"/>
        <v>14.094209722469135</v>
      </c>
      <c r="X189" s="9"/>
      <c r="Y189" s="22">
        <v>0.94863900000000001</v>
      </c>
      <c r="Z189" s="22">
        <v>16.462299999999999</v>
      </c>
      <c r="AA189" s="22">
        <v>-1.4123500000000001E-2</v>
      </c>
      <c r="AB189" s="22">
        <v>179</v>
      </c>
      <c r="AC189" s="22">
        <v>0.94757100000000005</v>
      </c>
      <c r="AD189">
        <f t="shared" si="28"/>
        <v>17.436419753086419</v>
      </c>
      <c r="AE189">
        <f t="shared" si="29"/>
        <v>16.540867798148149</v>
      </c>
      <c r="AF189" s="9"/>
      <c r="AG189" s="22">
        <v>0.80139199999999999</v>
      </c>
      <c r="AH189" s="22">
        <v>20.382200000000001</v>
      </c>
      <c r="AI189" s="22">
        <v>-1.42731E-2</v>
      </c>
      <c r="AJ189" s="22">
        <v>179</v>
      </c>
      <c r="AK189" s="22">
        <v>0.80017099999999997</v>
      </c>
      <c r="AL189">
        <f t="shared" si="30"/>
        <v>17.621111111111112</v>
      </c>
      <c r="AM189">
        <f t="shared" si="31"/>
        <v>14.121417475555557</v>
      </c>
      <c r="AP189" s="9"/>
      <c r="AQ189" s="22">
        <v>0.94863900000000001</v>
      </c>
      <c r="AR189" s="22">
        <v>25.945499999999999</v>
      </c>
      <c r="AS189" s="22">
        <v>-1.41449E-2</v>
      </c>
      <c r="AT189" s="22">
        <v>179</v>
      </c>
      <c r="AU189" s="22">
        <v>0.94757100000000005</v>
      </c>
      <c r="AV189">
        <f t="shared" si="32"/>
        <v>17.462839506172838</v>
      </c>
      <c r="AW189">
        <f t="shared" si="33"/>
        <v>16.565930606296295</v>
      </c>
      <c r="AX189" s="9"/>
      <c r="AY189" s="22">
        <v>0.80139199999999999</v>
      </c>
      <c r="AZ189" s="22">
        <v>29.865400000000001</v>
      </c>
      <c r="BA189" s="22">
        <v>-1.42761E-2</v>
      </c>
      <c r="BB189" s="22">
        <v>179</v>
      </c>
      <c r="BC189" s="22">
        <v>0.80047599999999997</v>
      </c>
      <c r="BD189">
        <f t="shared" si="34"/>
        <v>17.624814814814812</v>
      </c>
      <c r="BE189">
        <f t="shared" si="35"/>
        <v>14.124385594074072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7.0071000000000003</v>
      </c>
      <c r="I190" s="22">
        <v>-1.409E-2</v>
      </c>
      <c r="J190" s="22">
        <v>180</v>
      </c>
      <c r="K190" s="22">
        <v>0.94268799999999997</v>
      </c>
      <c r="L190">
        <f t="shared" si="24"/>
        <v>17.39506172839506</v>
      </c>
      <c r="M190">
        <f t="shared" si="25"/>
        <v>16.414049827160493</v>
      </c>
      <c r="N190" s="9"/>
      <c r="O190" s="22">
        <v>0.806427</v>
      </c>
      <c r="P190" s="22">
        <v>10.927</v>
      </c>
      <c r="Q190" s="22">
        <v>-1.42395E-2</v>
      </c>
      <c r="R190" s="22">
        <v>180</v>
      </c>
      <c r="S190" s="22">
        <v>0.80505400000000005</v>
      </c>
      <c r="T190">
        <f t="shared" si="26"/>
        <v>17.579629629629629</v>
      </c>
      <c r="U190">
        <f t="shared" si="27"/>
        <v>14.176687983333332</v>
      </c>
      <c r="X190" s="9"/>
      <c r="Y190" s="22">
        <v>0.943604</v>
      </c>
      <c r="Z190" s="22">
        <v>16.472300000000001</v>
      </c>
      <c r="AA190" s="22">
        <v>-1.41266E-2</v>
      </c>
      <c r="AB190" s="22">
        <v>180</v>
      </c>
      <c r="AC190" s="22">
        <v>0.94268799999999997</v>
      </c>
      <c r="AD190">
        <f t="shared" si="28"/>
        <v>17.440246913580246</v>
      </c>
      <c r="AE190">
        <f t="shared" si="29"/>
        <v>16.456686748641975</v>
      </c>
      <c r="AF190" s="9"/>
      <c r="AG190" s="22">
        <v>0.806427</v>
      </c>
      <c r="AH190" s="22">
        <v>20.392299999999999</v>
      </c>
      <c r="AI190" s="22">
        <v>-1.4263899999999999E-2</v>
      </c>
      <c r="AJ190" s="22">
        <v>180</v>
      </c>
      <c r="AK190" s="22">
        <v>0.80535900000000005</v>
      </c>
      <c r="AL190">
        <f t="shared" si="30"/>
        <v>17.609753086419751</v>
      </c>
      <c r="AM190">
        <f t="shared" si="31"/>
        <v>14.200980352222221</v>
      </c>
      <c r="AP190" s="9"/>
      <c r="AQ190" s="22">
        <v>0.943604</v>
      </c>
      <c r="AR190" s="22">
        <v>25.9556</v>
      </c>
      <c r="AS190" s="22">
        <v>-1.4154099999999999E-2</v>
      </c>
      <c r="AT190" s="22">
        <v>180</v>
      </c>
      <c r="AU190" s="22">
        <v>0.94268799999999997</v>
      </c>
      <c r="AV190">
        <f t="shared" si="32"/>
        <v>17.474197530864195</v>
      </c>
      <c r="AW190">
        <f t="shared" si="33"/>
        <v>16.488722686913579</v>
      </c>
      <c r="AX190" s="9"/>
      <c r="AY190" s="22">
        <v>0.806427</v>
      </c>
      <c r="AZ190" s="22">
        <v>29.875499999999999</v>
      </c>
      <c r="BA190" s="22">
        <v>-1.427E-2</v>
      </c>
      <c r="BB190" s="22">
        <v>180</v>
      </c>
      <c r="BC190" s="22">
        <v>0.80566400000000005</v>
      </c>
      <c r="BD190">
        <f t="shared" si="34"/>
        <v>17.617283950617285</v>
      </c>
      <c r="BE190">
        <f t="shared" si="35"/>
        <v>14.207053444444446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7.0171799999999998</v>
      </c>
      <c r="I191" s="22">
        <v>-1.4093E-2</v>
      </c>
      <c r="J191" s="22">
        <v>181</v>
      </c>
      <c r="K191" s="22">
        <v>0.93811</v>
      </c>
      <c r="L191">
        <f t="shared" si="24"/>
        <v>17.398765432098763</v>
      </c>
      <c r="M191">
        <f t="shared" si="25"/>
        <v>16.329924474074073</v>
      </c>
      <c r="N191" s="9"/>
      <c r="O191" s="22">
        <v>0.81146200000000002</v>
      </c>
      <c r="P191" s="22">
        <v>10.937099999999999</v>
      </c>
      <c r="Q191" s="22">
        <v>-1.42334E-2</v>
      </c>
      <c r="R191" s="22">
        <v>181</v>
      </c>
      <c r="S191" s="22">
        <v>0.81085200000000002</v>
      </c>
      <c r="T191">
        <f t="shared" si="26"/>
        <v>17.572098765432099</v>
      </c>
      <c r="U191">
        <f t="shared" si="27"/>
        <v>14.259090408395062</v>
      </c>
      <c r="X191" s="9"/>
      <c r="Y191" s="22">
        <v>0.93856799999999996</v>
      </c>
      <c r="Z191" s="22">
        <v>16.482399999999998</v>
      </c>
      <c r="AA191" s="22">
        <v>-1.41266E-2</v>
      </c>
      <c r="AB191" s="22">
        <v>181</v>
      </c>
      <c r="AC191" s="22">
        <v>0.937195</v>
      </c>
      <c r="AD191">
        <f t="shared" si="28"/>
        <v>17.440246913580246</v>
      </c>
      <c r="AE191">
        <f t="shared" si="29"/>
        <v>16.368857665185185</v>
      </c>
      <c r="AF191" s="9"/>
      <c r="AG191" s="22">
        <v>0.81146200000000002</v>
      </c>
      <c r="AH191" s="22">
        <v>20.4023</v>
      </c>
      <c r="AI191" s="22">
        <v>-1.42548E-2</v>
      </c>
      <c r="AJ191" s="22">
        <v>181</v>
      </c>
      <c r="AK191" s="22">
        <v>0.81085200000000002</v>
      </c>
      <c r="AL191">
        <f t="shared" si="30"/>
        <v>17.598518518518517</v>
      </c>
      <c r="AM191">
        <f t="shared" si="31"/>
        <v>14.280529034074073</v>
      </c>
      <c r="AP191" s="9"/>
      <c r="AQ191" s="22">
        <v>0.93856799999999996</v>
      </c>
      <c r="AR191" s="22">
        <v>25.965599999999998</v>
      </c>
      <c r="AS191" s="22">
        <v>-1.4163200000000001E-2</v>
      </c>
      <c r="AT191" s="22">
        <v>181</v>
      </c>
      <c r="AU191" s="22">
        <v>0.9375</v>
      </c>
      <c r="AV191">
        <f t="shared" si="32"/>
        <v>17.485432098765433</v>
      </c>
      <c r="AW191">
        <f t="shared" si="33"/>
        <v>16.411267034074072</v>
      </c>
      <c r="AX191" s="9"/>
      <c r="AY191" s="22">
        <v>0.81146200000000002</v>
      </c>
      <c r="AZ191" s="22">
        <v>29.8855</v>
      </c>
      <c r="BA191" s="22">
        <v>-1.4263899999999999E-2</v>
      </c>
      <c r="BB191" s="22">
        <v>181</v>
      </c>
      <c r="BC191" s="22">
        <v>0.81024200000000002</v>
      </c>
      <c r="BD191">
        <f t="shared" si="34"/>
        <v>17.609753086419751</v>
      </c>
      <c r="BE191">
        <f t="shared" si="35"/>
        <v>14.289645459012345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7.0272500000000004</v>
      </c>
      <c r="I192" s="22">
        <v>-1.40961E-2</v>
      </c>
      <c r="J192" s="22">
        <v>182</v>
      </c>
      <c r="K192" s="22">
        <v>0.93231200000000003</v>
      </c>
      <c r="L192">
        <f t="shared" si="24"/>
        <v>17.40259259259259</v>
      </c>
      <c r="M192">
        <f t="shared" si="25"/>
        <v>16.245894470740737</v>
      </c>
      <c r="N192" s="9"/>
      <c r="O192" s="22">
        <v>0.81649799999999995</v>
      </c>
      <c r="P192" s="22">
        <v>10.947100000000001</v>
      </c>
      <c r="Q192" s="22">
        <v>-1.42273E-2</v>
      </c>
      <c r="R192" s="22">
        <v>182</v>
      </c>
      <c r="S192" s="22">
        <v>0.81573499999999999</v>
      </c>
      <c r="T192">
        <f t="shared" si="26"/>
        <v>17.564567901234565</v>
      </c>
      <c r="U192">
        <f t="shared" si="27"/>
        <v>14.341434562222219</v>
      </c>
      <c r="X192" s="9"/>
      <c r="Y192" s="22">
        <v>0.93353299999999995</v>
      </c>
      <c r="Z192" s="22">
        <v>16.4925</v>
      </c>
      <c r="AA192" s="22">
        <v>-1.41266E-2</v>
      </c>
      <c r="AB192" s="22">
        <v>182</v>
      </c>
      <c r="AC192" s="22">
        <v>0.93292200000000003</v>
      </c>
      <c r="AD192">
        <f t="shared" si="28"/>
        <v>17.440246913580246</v>
      </c>
      <c r="AE192">
        <f t="shared" si="29"/>
        <v>16.281046021975307</v>
      </c>
      <c r="AF192" s="9"/>
      <c r="AG192" s="22">
        <v>0.81649799999999995</v>
      </c>
      <c r="AH192" s="22">
        <v>20.412400000000002</v>
      </c>
      <c r="AI192" s="22">
        <v>-1.4245600000000001E-2</v>
      </c>
      <c r="AJ192" s="22">
        <v>182</v>
      </c>
      <c r="AK192" s="22">
        <v>0.81542999999999999</v>
      </c>
      <c r="AL192">
        <f t="shared" si="30"/>
        <v>17.58716049382716</v>
      </c>
      <c r="AM192">
        <f t="shared" si="31"/>
        <v>14.359881368888887</v>
      </c>
      <c r="AP192" s="9"/>
      <c r="AQ192" s="22">
        <v>0.93353299999999995</v>
      </c>
      <c r="AR192" s="22">
        <v>25.9757</v>
      </c>
      <c r="AS192" s="22">
        <v>-1.4169299999999999E-2</v>
      </c>
      <c r="AT192" s="22">
        <v>182</v>
      </c>
      <c r="AU192" s="22">
        <v>0.93261700000000003</v>
      </c>
      <c r="AV192">
        <f t="shared" si="32"/>
        <v>17.492962962962959</v>
      </c>
      <c r="AW192">
        <f t="shared" si="33"/>
        <v>16.330258193703699</v>
      </c>
      <c r="AX192" s="9"/>
      <c r="AY192" s="22">
        <v>0.81649799999999995</v>
      </c>
      <c r="AZ192" s="22">
        <v>29.895600000000002</v>
      </c>
      <c r="BA192" s="22">
        <v>-1.42609E-2</v>
      </c>
      <c r="BB192" s="22">
        <v>182</v>
      </c>
      <c r="BC192" s="22">
        <v>0.81603999999999999</v>
      </c>
      <c r="BD192">
        <f t="shared" si="34"/>
        <v>17.606049382716048</v>
      </c>
      <c r="BE192">
        <f t="shared" si="35"/>
        <v>14.375304108888887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7.0373200000000002</v>
      </c>
      <c r="I193" s="22">
        <v>-1.40991E-2</v>
      </c>
      <c r="J193" s="22">
        <v>183</v>
      </c>
      <c r="K193" s="22">
        <v>0.92742899999999995</v>
      </c>
      <c r="L193">
        <f t="shared" si="24"/>
        <v>17.406296296296293</v>
      </c>
      <c r="M193">
        <f t="shared" si="25"/>
        <v>16.161693892222221</v>
      </c>
      <c r="N193" s="9"/>
      <c r="O193" s="22">
        <v>0.82153299999999996</v>
      </c>
      <c r="P193" s="22">
        <v>10.9572</v>
      </c>
      <c r="Q193" s="22">
        <v>-1.4218099999999999E-2</v>
      </c>
      <c r="R193" s="22">
        <v>183</v>
      </c>
      <c r="S193" s="22">
        <v>0.82031299999999996</v>
      </c>
      <c r="T193">
        <f t="shared" si="26"/>
        <v>17.553209876543207</v>
      </c>
      <c r="U193">
        <f t="shared" si="27"/>
        <v>14.420541169506169</v>
      </c>
      <c r="X193" s="9"/>
      <c r="Y193" s="22">
        <v>0.92849700000000002</v>
      </c>
      <c r="Z193" s="22">
        <v>16.502500000000001</v>
      </c>
      <c r="AA193" s="22">
        <v>-1.41266E-2</v>
      </c>
      <c r="AB193" s="22">
        <v>183</v>
      </c>
      <c r="AC193" s="22">
        <v>0.92712399999999995</v>
      </c>
      <c r="AD193">
        <f t="shared" si="28"/>
        <v>17.440246913580246</v>
      </c>
      <c r="AE193">
        <f t="shared" si="29"/>
        <v>16.193216938518518</v>
      </c>
      <c r="AF193" s="9"/>
      <c r="AG193" s="22">
        <v>0.82153299999999996</v>
      </c>
      <c r="AH193" s="22">
        <v>20.422499999999999</v>
      </c>
      <c r="AI193" s="22">
        <v>-1.42395E-2</v>
      </c>
      <c r="AJ193" s="22">
        <v>183</v>
      </c>
      <c r="AK193" s="22">
        <v>0.82031299999999996</v>
      </c>
      <c r="AL193">
        <f t="shared" si="30"/>
        <v>17.579629629629629</v>
      </c>
      <c r="AM193">
        <f t="shared" si="31"/>
        <v>14.442245868518517</v>
      </c>
      <c r="AP193" s="9"/>
      <c r="AQ193" s="22">
        <v>0.92849700000000002</v>
      </c>
      <c r="AR193" s="22">
        <v>25.985800000000001</v>
      </c>
      <c r="AS193" s="22">
        <v>-1.41724E-2</v>
      </c>
      <c r="AT193" s="22">
        <v>183</v>
      </c>
      <c r="AU193" s="22">
        <v>0.92742899999999995</v>
      </c>
      <c r="AV193">
        <f t="shared" si="32"/>
        <v>17.496790123456787</v>
      </c>
      <c r="AW193">
        <f t="shared" si="33"/>
        <v>16.245717139259256</v>
      </c>
      <c r="AX193" s="9"/>
      <c r="AY193" s="22">
        <v>0.82153299999999996</v>
      </c>
      <c r="AZ193" s="22">
        <v>29.9057</v>
      </c>
      <c r="BA193" s="22">
        <v>-1.4257799999999999E-2</v>
      </c>
      <c r="BB193" s="22">
        <v>183</v>
      </c>
      <c r="BC193" s="22">
        <v>0.82031299999999996</v>
      </c>
      <c r="BD193">
        <f t="shared" si="34"/>
        <v>17.60222222222222</v>
      </c>
      <c r="BE193">
        <f t="shared" si="35"/>
        <v>14.460806428888887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7.04739</v>
      </c>
      <c r="I194" s="22">
        <v>-1.41022E-2</v>
      </c>
      <c r="J194" s="22">
        <v>184</v>
      </c>
      <c r="K194" s="22">
        <v>0.92224099999999998</v>
      </c>
      <c r="L194">
        <f t="shared" si="24"/>
        <v>17.410123456790124</v>
      </c>
      <c r="M194">
        <f t="shared" si="25"/>
        <v>16.077587427654322</v>
      </c>
      <c r="N194" s="9"/>
      <c r="O194" s="22">
        <v>0.826569</v>
      </c>
      <c r="P194" s="22">
        <v>10.9673</v>
      </c>
      <c r="Q194" s="22">
        <v>-1.42151E-2</v>
      </c>
      <c r="R194" s="22">
        <v>184</v>
      </c>
      <c r="S194" s="22">
        <v>0.82580600000000004</v>
      </c>
      <c r="T194">
        <f t="shared" si="26"/>
        <v>17.549506172839507</v>
      </c>
      <c r="U194">
        <f t="shared" si="27"/>
        <v>14.505877767777779</v>
      </c>
      <c r="X194" s="9"/>
      <c r="Y194" s="22">
        <v>0.92346200000000001</v>
      </c>
      <c r="Z194" s="22">
        <v>16.512599999999999</v>
      </c>
      <c r="AA194" s="22">
        <v>-1.41266E-2</v>
      </c>
      <c r="AB194" s="22">
        <v>184</v>
      </c>
      <c r="AC194" s="22">
        <v>0.92285200000000001</v>
      </c>
      <c r="AD194">
        <f t="shared" si="28"/>
        <v>17.440246913580246</v>
      </c>
      <c r="AE194">
        <f t="shared" si="29"/>
        <v>16.105405295308643</v>
      </c>
      <c r="AF194" s="9"/>
      <c r="AG194" s="22">
        <v>0.826569</v>
      </c>
      <c r="AH194" s="22">
        <v>20.432500000000001</v>
      </c>
      <c r="AI194" s="22">
        <v>-1.4236499999999999E-2</v>
      </c>
      <c r="AJ194" s="22">
        <v>184</v>
      </c>
      <c r="AK194" s="22">
        <v>0.82580600000000004</v>
      </c>
      <c r="AL194">
        <f t="shared" si="30"/>
        <v>17.575925925925926</v>
      </c>
      <c r="AM194">
        <f t="shared" si="31"/>
        <v>14.527715516666667</v>
      </c>
      <c r="AP194" s="9"/>
      <c r="AQ194" s="22">
        <v>0.92346200000000001</v>
      </c>
      <c r="AR194" s="22">
        <v>25.995799999999999</v>
      </c>
      <c r="AS194" s="22">
        <v>-1.4169299999999999E-2</v>
      </c>
      <c r="AT194" s="22">
        <v>184</v>
      </c>
      <c r="AU194" s="22">
        <v>0.92224099999999998</v>
      </c>
      <c r="AV194">
        <f t="shared" si="32"/>
        <v>17.492962962962959</v>
      </c>
      <c r="AW194">
        <f t="shared" si="33"/>
        <v>16.1540865637037</v>
      </c>
      <c r="AX194" s="9"/>
      <c r="AY194" s="22">
        <v>0.826569</v>
      </c>
      <c r="AZ194" s="22">
        <v>29.915700000000001</v>
      </c>
      <c r="BA194" s="22">
        <v>-1.4257799999999999E-2</v>
      </c>
      <c r="BB194" s="22">
        <v>184</v>
      </c>
      <c r="BC194" s="22">
        <v>0.82519500000000001</v>
      </c>
      <c r="BD194">
        <f t="shared" si="34"/>
        <v>17.60222222222222</v>
      </c>
      <c r="BE194">
        <f t="shared" si="35"/>
        <v>14.549451219999998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7.0574599999999998</v>
      </c>
      <c r="I195" s="22">
        <v>-1.41052E-2</v>
      </c>
      <c r="J195" s="22">
        <v>185</v>
      </c>
      <c r="K195" s="22">
        <v>0.91766400000000004</v>
      </c>
      <c r="L195">
        <f t="shared" si="24"/>
        <v>17.413827160493828</v>
      </c>
      <c r="M195">
        <f t="shared" si="25"/>
        <v>15.993329037530865</v>
      </c>
      <c r="N195" s="9"/>
      <c r="O195" s="22">
        <v>0.83160400000000001</v>
      </c>
      <c r="P195" s="22">
        <v>10.977399999999999</v>
      </c>
      <c r="Q195" s="22">
        <v>-1.4212000000000001E-2</v>
      </c>
      <c r="R195" s="22">
        <v>185</v>
      </c>
      <c r="S195" s="22">
        <v>0.83068799999999998</v>
      </c>
      <c r="T195">
        <f t="shared" si="26"/>
        <v>17.54567901234568</v>
      </c>
      <c r="U195">
        <f t="shared" si="27"/>
        <v>14.591056849382717</v>
      </c>
      <c r="X195" s="9"/>
      <c r="Y195" s="22">
        <v>0.91842699999999999</v>
      </c>
      <c r="Z195" s="22">
        <v>16.5227</v>
      </c>
      <c r="AA195" s="22">
        <v>-1.41327E-2</v>
      </c>
      <c r="AB195" s="22">
        <v>185</v>
      </c>
      <c r="AC195" s="22">
        <v>0.91766400000000004</v>
      </c>
      <c r="AD195">
        <f t="shared" si="28"/>
        <v>17.447777777777777</v>
      </c>
      <c r="AE195">
        <f t="shared" si="29"/>
        <v>16.024510201111109</v>
      </c>
      <c r="AF195" s="9"/>
      <c r="AG195" s="22">
        <v>0.83160400000000001</v>
      </c>
      <c r="AH195" s="22">
        <v>20.442599999999999</v>
      </c>
      <c r="AI195" s="22">
        <v>-1.42334E-2</v>
      </c>
      <c r="AJ195" s="22">
        <v>185</v>
      </c>
      <c r="AK195" s="22">
        <v>0.83099400000000001</v>
      </c>
      <c r="AL195">
        <f t="shared" si="30"/>
        <v>17.572098765432099</v>
      </c>
      <c r="AM195">
        <f t="shared" si="31"/>
        <v>14.613027621728396</v>
      </c>
      <c r="AP195" s="9"/>
      <c r="AQ195" s="22">
        <v>0.91842699999999999</v>
      </c>
      <c r="AR195" s="22">
        <v>26.0059</v>
      </c>
      <c r="AS195" s="22">
        <v>-1.4169299999999999E-2</v>
      </c>
      <c r="AT195" s="22">
        <v>185</v>
      </c>
      <c r="AU195" s="22">
        <v>0.91796900000000003</v>
      </c>
      <c r="AV195">
        <f t="shared" si="32"/>
        <v>17.492962962962959</v>
      </c>
      <c r="AW195">
        <f t="shared" si="33"/>
        <v>16.066009495185181</v>
      </c>
      <c r="AX195" s="9"/>
      <c r="AY195" s="22">
        <v>0.83160400000000001</v>
      </c>
      <c r="AZ195" s="22">
        <v>29.925799999999999</v>
      </c>
      <c r="BA195" s="22">
        <v>-1.4257799999999999E-2</v>
      </c>
      <c r="BB195" s="22">
        <v>185</v>
      </c>
      <c r="BC195" s="22">
        <v>0.83099400000000001</v>
      </c>
      <c r="BD195">
        <f t="shared" si="34"/>
        <v>17.60222222222222</v>
      </c>
      <c r="BE195">
        <f t="shared" si="35"/>
        <v>14.638078408888887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7.0675299999999996</v>
      </c>
      <c r="I196" s="22">
        <v>-1.41113E-2</v>
      </c>
      <c r="J196" s="22">
        <v>186</v>
      </c>
      <c r="K196" s="22">
        <v>0.91278099999999995</v>
      </c>
      <c r="L196">
        <f t="shared" si="24"/>
        <v>17.421358024691358</v>
      </c>
      <c r="M196">
        <f t="shared" si="25"/>
        <v>15.912511627530863</v>
      </c>
      <c r="N196" s="9"/>
      <c r="O196" s="22">
        <v>0.83663900000000002</v>
      </c>
      <c r="P196" s="22">
        <v>10.987399999999999</v>
      </c>
      <c r="Q196" s="22">
        <v>-1.42059E-2</v>
      </c>
      <c r="R196" s="22">
        <v>186</v>
      </c>
      <c r="S196" s="22">
        <v>0.83557099999999995</v>
      </c>
      <c r="T196">
        <f t="shared" si="26"/>
        <v>17.538148148148146</v>
      </c>
      <c r="U196">
        <f t="shared" si="27"/>
        <v>14.673098728518516</v>
      </c>
      <c r="X196" s="9"/>
      <c r="Y196" s="22">
        <v>0.91339099999999995</v>
      </c>
      <c r="Z196" s="22">
        <v>16.532699999999998</v>
      </c>
      <c r="AA196" s="22">
        <v>-1.41388E-2</v>
      </c>
      <c r="AB196" s="22">
        <v>186</v>
      </c>
      <c r="AC196" s="22">
        <v>0.91186500000000004</v>
      </c>
      <c r="AD196">
        <f t="shared" si="28"/>
        <v>17.455308641975307</v>
      </c>
      <c r="AE196">
        <f t="shared" si="29"/>
        <v>15.943521815802468</v>
      </c>
      <c r="AF196" s="9"/>
      <c r="AG196" s="22">
        <v>0.83663900000000002</v>
      </c>
      <c r="AH196" s="22">
        <v>20.4527</v>
      </c>
      <c r="AI196" s="22">
        <v>-1.42303E-2</v>
      </c>
      <c r="AJ196" s="22">
        <v>186</v>
      </c>
      <c r="AK196" s="22">
        <v>0.83618199999999998</v>
      </c>
      <c r="AL196">
        <f t="shared" si="30"/>
        <v>17.568271604938271</v>
      </c>
      <c r="AM196">
        <f t="shared" si="31"/>
        <v>14.698301187283951</v>
      </c>
      <c r="AP196" s="9"/>
      <c r="AQ196" s="22">
        <v>0.91339099999999995</v>
      </c>
      <c r="AR196" s="22">
        <v>26.015999999999998</v>
      </c>
      <c r="AS196" s="22">
        <v>-1.41724E-2</v>
      </c>
      <c r="AT196" s="22">
        <v>186</v>
      </c>
      <c r="AU196" s="22">
        <v>0.91308599999999995</v>
      </c>
      <c r="AV196">
        <f t="shared" si="32"/>
        <v>17.496790123456787</v>
      </c>
      <c r="AW196">
        <f t="shared" si="33"/>
        <v>15.981410627654316</v>
      </c>
      <c r="AX196" s="9"/>
      <c r="AY196" s="22">
        <v>0.83663900000000002</v>
      </c>
      <c r="AZ196" s="22">
        <v>29.9359</v>
      </c>
      <c r="BA196" s="22">
        <v>-1.42548E-2</v>
      </c>
      <c r="BB196" s="22">
        <v>186</v>
      </c>
      <c r="BC196" s="22">
        <v>0.83526599999999995</v>
      </c>
      <c r="BD196">
        <f t="shared" si="34"/>
        <v>17.598518518518517</v>
      </c>
      <c r="BE196">
        <f t="shared" si="35"/>
        <v>14.723606934814814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7.0776000000000003</v>
      </c>
      <c r="I197" s="22">
        <v>-1.41174E-2</v>
      </c>
      <c r="J197" s="22">
        <v>187</v>
      </c>
      <c r="K197" s="22">
        <v>0.90759299999999998</v>
      </c>
      <c r="L197">
        <f t="shared" si="24"/>
        <v>17.428888888888888</v>
      </c>
      <c r="M197">
        <f t="shared" si="25"/>
        <v>15.831635795555556</v>
      </c>
      <c r="N197" s="9"/>
      <c r="O197" s="22">
        <v>0.84167499999999995</v>
      </c>
      <c r="P197" s="22">
        <v>10.9975</v>
      </c>
      <c r="Q197" s="22">
        <v>-1.4202899999999999E-2</v>
      </c>
      <c r="R197" s="22">
        <v>187</v>
      </c>
      <c r="S197" s="22">
        <v>0.84045400000000003</v>
      </c>
      <c r="T197">
        <f t="shared" si="26"/>
        <v>17.534444444444443</v>
      </c>
      <c r="U197">
        <f t="shared" si="27"/>
        <v>14.758303527777775</v>
      </c>
      <c r="X197" s="9"/>
      <c r="Y197" s="22">
        <v>0.90835600000000005</v>
      </c>
      <c r="Z197" s="22">
        <v>16.5428</v>
      </c>
      <c r="AA197" s="22">
        <v>-1.41418E-2</v>
      </c>
      <c r="AB197" s="22">
        <v>187</v>
      </c>
      <c r="AC197" s="22">
        <v>0.90759299999999998</v>
      </c>
      <c r="AD197">
        <f t="shared" si="28"/>
        <v>17.45901234567901</v>
      </c>
      <c r="AE197">
        <f t="shared" si="29"/>
        <v>15.858998618271604</v>
      </c>
      <c r="AF197" s="9"/>
      <c r="AG197" s="22">
        <v>0.84167499999999995</v>
      </c>
      <c r="AH197" s="22">
        <v>20.462800000000001</v>
      </c>
      <c r="AI197" s="22">
        <v>-1.42303E-2</v>
      </c>
      <c r="AJ197" s="22">
        <v>187</v>
      </c>
      <c r="AK197" s="22">
        <v>0.84014900000000003</v>
      </c>
      <c r="AL197">
        <f t="shared" si="30"/>
        <v>17.568271604938271</v>
      </c>
      <c r="AM197">
        <f t="shared" si="31"/>
        <v>14.786775003086419</v>
      </c>
      <c r="AP197" s="9"/>
      <c r="AQ197" s="22">
        <v>0.90835600000000005</v>
      </c>
      <c r="AR197" s="22">
        <v>26.0261</v>
      </c>
      <c r="AS197" s="22">
        <v>-1.4175399999999999E-2</v>
      </c>
      <c r="AT197" s="22">
        <v>187</v>
      </c>
      <c r="AU197" s="22">
        <v>0.90728799999999998</v>
      </c>
      <c r="AV197">
        <f t="shared" si="32"/>
        <v>17.500493827160494</v>
      </c>
      <c r="AW197">
        <f t="shared" si="33"/>
        <v>15.896678570864198</v>
      </c>
      <c r="AX197" s="9"/>
      <c r="AY197" s="22">
        <v>0.84167499999999995</v>
      </c>
      <c r="AZ197" s="22">
        <v>29.945900000000002</v>
      </c>
      <c r="BA197" s="22">
        <v>-1.42487E-2</v>
      </c>
      <c r="BB197" s="22">
        <v>187</v>
      </c>
      <c r="BC197" s="22">
        <v>0.84045400000000003</v>
      </c>
      <c r="BD197">
        <f t="shared" si="34"/>
        <v>17.590987654320987</v>
      </c>
      <c r="BE197">
        <f t="shared" si="35"/>
        <v>14.805894533950616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7.0876700000000001</v>
      </c>
      <c r="I198" s="22">
        <v>-1.4123500000000001E-2</v>
      </c>
      <c r="J198" s="22">
        <v>188</v>
      </c>
      <c r="K198" s="22">
        <v>0.90210000000000001</v>
      </c>
      <c r="L198">
        <f t="shared" si="24"/>
        <v>17.436419753086419</v>
      </c>
      <c r="M198">
        <f t="shared" si="25"/>
        <v>15.750666691358024</v>
      </c>
      <c r="N198" s="9"/>
      <c r="O198" s="22">
        <v>0.84670999999999996</v>
      </c>
      <c r="P198" s="22">
        <v>11.0076</v>
      </c>
      <c r="Q198" s="22">
        <v>-1.4196800000000001E-2</v>
      </c>
      <c r="R198" s="22">
        <v>188</v>
      </c>
      <c r="S198" s="22">
        <v>0.84533700000000001</v>
      </c>
      <c r="T198">
        <f t="shared" si="26"/>
        <v>17.526913580246916</v>
      </c>
      <c r="U198">
        <f t="shared" si="27"/>
        <v>14.840212997530866</v>
      </c>
      <c r="X198" s="9"/>
      <c r="Y198" s="22">
        <v>0.90332000000000001</v>
      </c>
      <c r="Z198" s="22">
        <v>16.552900000000001</v>
      </c>
      <c r="AA198" s="22">
        <v>-1.41479E-2</v>
      </c>
      <c r="AB198" s="22">
        <v>188</v>
      </c>
      <c r="AC198" s="22">
        <v>0.90240500000000001</v>
      </c>
      <c r="AD198">
        <f t="shared" si="28"/>
        <v>17.466543209876541</v>
      </c>
      <c r="AE198">
        <f t="shared" si="29"/>
        <v>15.777877812345677</v>
      </c>
      <c r="AF198" s="9"/>
      <c r="AG198" s="22">
        <v>0.84670999999999996</v>
      </c>
      <c r="AH198" s="22">
        <v>20.472799999999999</v>
      </c>
      <c r="AI198" s="22">
        <v>-1.42273E-2</v>
      </c>
      <c r="AJ198" s="22">
        <v>188</v>
      </c>
      <c r="AK198" s="22">
        <v>0.846252</v>
      </c>
      <c r="AL198">
        <f t="shared" si="30"/>
        <v>17.564567901234565</v>
      </c>
      <c r="AM198">
        <f t="shared" si="31"/>
        <v>14.872095287654318</v>
      </c>
      <c r="AP198" s="9"/>
      <c r="AQ198" s="22">
        <v>0.90332000000000001</v>
      </c>
      <c r="AR198" s="22">
        <v>26.036100000000001</v>
      </c>
      <c r="AS198" s="22">
        <v>-1.41785E-2</v>
      </c>
      <c r="AT198" s="22">
        <v>188</v>
      </c>
      <c r="AU198" s="22">
        <v>0.90301500000000001</v>
      </c>
      <c r="AV198">
        <f t="shared" si="32"/>
        <v>17.504320987654321</v>
      </c>
      <c r="AW198">
        <f t="shared" si="33"/>
        <v>15.812003234567902</v>
      </c>
      <c r="AX198" s="9"/>
      <c r="AY198" s="22">
        <v>0.84670999999999996</v>
      </c>
      <c r="AZ198" s="22">
        <v>29.956</v>
      </c>
      <c r="BA198" s="22">
        <v>-1.4242599999999999E-2</v>
      </c>
      <c r="BB198" s="22">
        <v>188</v>
      </c>
      <c r="BC198" s="22">
        <v>0.845642</v>
      </c>
      <c r="BD198">
        <f t="shared" si="34"/>
        <v>17.583456790123453</v>
      </c>
      <c r="BE198">
        <f t="shared" si="35"/>
        <v>14.888088698765428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7.0977399999999999</v>
      </c>
      <c r="I199" s="22">
        <v>-1.41266E-2</v>
      </c>
      <c r="J199" s="22">
        <v>189</v>
      </c>
      <c r="K199" s="22">
        <v>0.89660600000000001</v>
      </c>
      <c r="L199">
        <f t="shared" si="24"/>
        <v>17.440246913580246</v>
      </c>
      <c r="M199">
        <f t="shared" si="25"/>
        <v>15.666312198765432</v>
      </c>
      <c r="N199" s="9"/>
      <c r="O199" s="22">
        <v>0.851746</v>
      </c>
      <c r="P199" s="22">
        <v>11.0176</v>
      </c>
      <c r="Q199" s="22">
        <v>-1.41876E-2</v>
      </c>
      <c r="R199" s="22">
        <v>189</v>
      </c>
      <c r="S199" s="22">
        <v>0.85052499999999998</v>
      </c>
      <c r="T199">
        <f t="shared" si="26"/>
        <v>17.515555555555554</v>
      </c>
      <c r="U199">
        <f t="shared" si="27"/>
        <v>14.918804382222222</v>
      </c>
      <c r="X199" s="9"/>
      <c r="Y199" s="22">
        <v>0.898285</v>
      </c>
      <c r="Z199" s="22">
        <v>16.562999999999999</v>
      </c>
      <c r="AA199" s="22">
        <v>-1.4154099999999999E-2</v>
      </c>
      <c r="AB199" s="22">
        <v>189</v>
      </c>
      <c r="AC199" s="22">
        <v>0.89721700000000004</v>
      </c>
      <c r="AD199">
        <f t="shared" si="28"/>
        <v>17.474197530864195</v>
      </c>
      <c r="AE199">
        <f t="shared" si="29"/>
        <v>15.696809529012343</v>
      </c>
      <c r="AF199" s="9"/>
      <c r="AG199" s="22">
        <v>0.851746</v>
      </c>
      <c r="AH199" s="22">
        <v>20.482900000000001</v>
      </c>
      <c r="AI199" s="22">
        <v>-1.42212E-2</v>
      </c>
      <c r="AJ199" s="22">
        <v>189</v>
      </c>
      <c r="AK199" s="22">
        <v>0.85082999999999998</v>
      </c>
      <c r="AL199">
        <f t="shared" si="30"/>
        <v>17.557037037037034</v>
      </c>
      <c r="AM199">
        <f t="shared" si="31"/>
        <v>14.954136068148145</v>
      </c>
      <c r="AP199" s="9"/>
      <c r="AQ199" s="22">
        <v>0.898285</v>
      </c>
      <c r="AR199" s="22">
        <v>26.046199999999999</v>
      </c>
      <c r="AS199" s="22">
        <v>-1.41846E-2</v>
      </c>
      <c r="AT199" s="22">
        <v>189</v>
      </c>
      <c r="AU199" s="22">
        <v>0.89721700000000004</v>
      </c>
      <c r="AV199">
        <f t="shared" si="32"/>
        <v>17.511851851851851</v>
      </c>
      <c r="AW199">
        <f t="shared" si="33"/>
        <v>15.73063384074074</v>
      </c>
      <c r="AX199" s="9"/>
      <c r="AY199" s="22">
        <v>0.851746</v>
      </c>
      <c r="AZ199" s="22">
        <v>29.966100000000001</v>
      </c>
      <c r="BA199" s="22">
        <v>-1.42303E-2</v>
      </c>
      <c r="BB199" s="22">
        <v>189</v>
      </c>
      <c r="BC199" s="22">
        <v>0.85082999999999998</v>
      </c>
      <c r="BD199">
        <f t="shared" si="34"/>
        <v>17.568271604938271</v>
      </c>
      <c r="BE199">
        <f t="shared" si="35"/>
        <v>14.963705066419752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7.1078099999999997</v>
      </c>
      <c r="I200" s="22">
        <v>-1.41327E-2</v>
      </c>
      <c r="J200" s="22">
        <v>190</v>
      </c>
      <c r="K200" s="22">
        <v>0.89263899999999996</v>
      </c>
      <c r="L200">
        <f t="shared" si="24"/>
        <v>17.447777777777777</v>
      </c>
      <c r="M200">
        <f t="shared" si="25"/>
        <v>15.585227499999998</v>
      </c>
      <c r="N200" s="9"/>
      <c r="O200" s="22">
        <v>0.85678100000000001</v>
      </c>
      <c r="P200" s="22">
        <v>11.027699999999999</v>
      </c>
      <c r="Q200" s="22">
        <v>-1.41846E-2</v>
      </c>
      <c r="R200" s="22">
        <v>190</v>
      </c>
      <c r="S200" s="22">
        <v>0.85601799999999995</v>
      </c>
      <c r="T200">
        <f t="shared" si="26"/>
        <v>17.511851851851851</v>
      </c>
      <c r="U200">
        <f t="shared" si="27"/>
        <v>15.003821941481482</v>
      </c>
      <c r="X200" s="9"/>
      <c r="Y200" s="22">
        <v>0.89324999999999999</v>
      </c>
      <c r="Z200" s="22">
        <v>16.573</v>
      </c>
      <c r="AA200" s="22">
        <v>-1.4163200000000001E-2</v>
      </c>
      <c r="AB200" s="22">
        <v>190</v>
      </c>
      <c r="AC200" s="22">
        <v>0.89202899999999996</v>
      </c>
      <c r="AD200">
        <f t="shared" si="28"/>
        <v>17.485432098765433</v>
      </c>
      <c r="AE200">
        <f t="shared" si="29"/>
        <v>15.618862222222223</v>
      </c>
      <c r="AF200" s="9"/>
      <c r="AG200" s="22">
        <v>0.85678100000000001</v>
      </c>
      <c r="AH200" s="22">
        <v>20.492999999999999</v>
      </c>
      <c r="AI200" s="22">
        <v>-1.42151E-2</v>
      </c>
      <c r="AJ200" s="22">
        <v>190</v>
      </c>
      <c r="AK200" s="22">
        <v>0.85571299999999995</v>
      </c>
      <c r="AL200">
        <f t="shared" si="30"/>
        <v>17.549506172839507</v>
      </c>
      <c r="AM200">
        <f t="shared" si="31"/>
        <v>15.036083448271606</v>
      </c>
      <c r="AP200" s="9"/>
      <c r="AQ200" s="22">
        <v>0.89324999999999999</v>
      </c>
      <c r="AR200" s="22">
        <v>26.0563</v>
      </c>
      <c r="AS200" s="22">
        <v>-1.4190700000000001E-2</v>
      </c>
      <c r="AT200" s="22">
        <v>190</v>
      </c>
      <c r="AU200" s="22">
        <v>0.89233399999999996</v>
      </c>
      <c r="AV200">
        <f t="shared" si="32"/>
        <v>17.519382716049382</v>
      </c>
      <c r="AW200">
        <f t="shared" si="33"/>
        <v>15.649188611111111</v>
      </c>
      <c r="AX200" s="9"/>
      <c r="AY200" s="22">
        <v>0.85678100000000001</v>
      </c>
      <c r="AZ200" s="22">
        <v>29.976199999999999</v>
      </c>
      <c r="BA200" s="22">
        <v>-1.42273E-2</v>
      </c>
      <c r="BB200" s="22">
        <v>190</v>
      </c>
      <c r="BC200" s="22">
        <v>0.85601799999999995</v>
      </c>
      <c r="BD200">
        <f t="shared" si="34"/>
        <v>17.564567901234565</v>
      </c>
      <c r="BE200">
        <f t="shared" si="35"/>
        <v>15.048988050987651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7.1178900000000001</v>
      </c>
      <c r="I201" s="22">
        <v>-1.4135699999999999E-2</v>
      </c>
      <c r="J201" s="22">
        <v>191</v>
      </c>
      <c r="K201" s="22">
        <v>0.88714599999999999</v>
      </c>
      <c r="L201">
        <f t="shared" si="24"/>
        <v>17.45148148148148</v>
      </c>
      <c r="M201">
        <f t="shared" si="25"/>
        <v>15.500650172592589</v>
      </c>
      <c r="N201" s="9"/>
      <c r="O201" s="22">
        <v>0.86181600000000003</v>
      </c>
      <c r="P201" s="22">
        <v>11.037800000000001</v>
      </c>
      <c r="Q201" s="22">
        <v>-1.41815E-2</v>
      </c>
      <c r="R201" s="22">
        <v>191</v>
      </c>
      <c r="S201" s="22">
        <v>0.86029100000000003</v>
      </c>
      <c r="T201">
        <f t="shared" si="26"/>
        <v>17.508024691358024</v>
      </c>
      <c r="U201">
        <f t="shared" si="27"/>
        <v>15.088695807407408</v>
      </c>
      <c r="X201" s="9"/>
      <c r="Y201" s="22">
        <v>0.88821399999999995</v>
      </c>
      <c r="Z201" s="22">
        <v>16.583100000000002</v>
      </c>
      <c r="AA201" s="22">
        <v>-1.4169299999999999E-2</v>
      </c>
      <c r="AB201" s="22">
        <v>191</v>
      </c>
      <c r="AC201" s="22">
        <v>0.88714599999999999</v>
      </c>
      <c r="AD201">
        <f t="shared" si="28"/>
        <v>17.492962962962959</v>
      </c>
      <c r="AE201">
        <f t="shared" si="29"/>
        <v>15.537494605185181</v>
      </c>
      <c r="AF201" s="9"/>
      <c r="AG201" s="22">
        <v>0.86181600000000003</v>
      </c>
      <c r="AH201" s="22">
        <v>20.503</v>
      </c>
      <c r="AI201" s="22">
        <v>-1.4212000000000001E-2</v>
      </c>
      <c r="AJ201" s="22">
        <v>191</v>
      </c>
      <c r="AK201" s="22">
        <v>0.86090100000000003</v>
      </c>
      <c r="AL201">
        <f t="shared" si="30"/>
        <v>17.54567901234568</v>
      </c>
      <c r="AM201">
        <f t="shared" si="31"/>
        <v>15.121146903703705</v>
      </c>
      <c r="AP201" s="9"/>
      <c r="AQ201" s="22">
        <v>0.88821399999999995</v>
      </c>
      <c r="AR201" s="22">
        <v>26.066299999999998</v>
      </c>
      <c r="AS201" s="22">
        <v>-1.4196800000000001E-2</v>
      </c>
      <c r="AT201" s="22">
        <v>191</v>
      </c>
      <c r="AU201" s="22">
        <v>0.88684099999999999</v>
      </c>
      <c r="AV201">
        <f t="shared" si="32"/>
        <v>17.526913580246916</v>
      </c>
      <c r="AW201">
        <f t="shared" si="33"/>
        <v>15.567650018765432</v>
      </c>
      <c r="AX201" s="9"/>
      <c r="AY201" s="22">
        <v>0.86181600000000003</v>
      </c>
      <c r="AZ201" s="22">
        <v>29.9862</v>
      </c>
      <c r="BA201" s="22">
        <v>-1.42212E-2</v>
      </c>
      <c r="BB201" s="22">
        <v>191</v>
      </c>
      <c r="BC201" s="22">
        <v>0.86090100000000003</v>
      </c>
      <c r="BD201">
        <f t="shared" si="34"/>
        <v>17.557037037037034</v>
      </c>
      <c r="BE201">
        <f t="shared" si="35"/>
        <v>15.130935431111109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7.1279599999999999</v>
      </c>
      <c r="I202" s="22">
        <v>-1.41449E-2</v>
      </c>
      <c r="J202" s="22">
        <v>192</v>
      </c>
      <c r="K202" s="22">
        <v>0.88195800000000002</v>
      </c>
      <c r="L202">
        <f t="shared" si="24"/>
        <v>17.462839506172838</v>
      </c>
      <c r="M202">
        <f t="shared" si="25"/>
        <v>15.422813132222222</v>
      </c>
      <c r="N202" s="9"/>
      <c r="O202" s="22">
        <v>0.86685199999999996</v>
      </c>
      <c r="P202" s="22">
        <v>11.0479</v>
      </c>
      <c r="Q202" s="22">
        <v>-1.4175399999999999E-2</v>
      </c>
      <c r="R202" s="22">
        <v>192</v>
      </c>
      <c r="S202" s="22">
        <v>0.866089</v>
      </c>
      <c r="T202">
        <f t="shared" si="26"/>
        <v>17.500493827160494</v>
      </c>
      <c r="U202">
        <f t="shared" si="27"/>
        <v>15.170338075061727</v>
      </c>
      <c r="X202" s="9"/>
      <c r="Y202" s="22">
        <v>0.88317900000000005</v>
      </c>
      <c r="Z202" s="22">
        <v>16.5932</v>
      </c>
      <c r="AA202" s="22">
        <v>-1.41724E-2</v>
      </c>
      <c r="AB202" s="22">
        <v>192</v>
      </c>
      <c r="AC202" s="22">
        <v>0.88256800000000002</v>
      </c>
      <c r="AD202">
        <f t="shared" si="28"/>
        <v>17.496790123456787</v>
      </c>
      <c r="AE202">
        <f t="shared" si="29"/>
        <v>15.452797604444442</v>
      </c>
      <c r="AF202" s="9"/>
      <c r="AG202" s="22">
        <v>0.86685199999999996</v>
      </c>
      <c r="AH202" s="22">
        <v>20.513100000000001</v>
      </c>
      <c r="AI202" s="22">
        <v>-1.42059E-2</v>
      </c>
      <c r="AJ202" s="22">
        <v>192</v>
      </c>
      <c r="AK202" s="22">
        <v>0.865784</v>
      </c>
      <c r="AL202">
        <f t="shared" si="30"/>
        <v>17.538148148148146</v>
      </c>
      <c r="AM202">
        <f t="shared" si="31"/>
        <v>15.202978798518515</v>
      </c>
      <c r="AP202" s="9"/>
      <c r="AQ202" s="22">
        <v>0.88317900000000005</v>
      </c>
      <c r="AR202" s="22">
        <v>26.0764</v>
      </c>
      <c r="AS202" s="22">
        <v>-1.4202899999999999E-2</v>
      </c>
      <c r="AT202" s="22">
        <v>192</v>
      </c>
      <c r="AU202" s="22">
        <v>0.88226300000000002</v>
      </c>
      <c r="AV202">
        <f t="shared" si="32"/>
        <v>17.534444444444443</v>
      </c>
      <c r="AW202">
        <f t="shared" si="33"/>
        <v>15.486053109999999</v>
      </c>
      <c r="AX202" s="9"/>
      <c r="AY202" s="22">
        <v>0.86685199999999996</v>
      </c>
      <c r="AZ202" s="22">
        <v>29.996300000000002</v>
      </c>
      <c r="BA202" s="22">
        <v>-1.4218099999999999E-2</v>
      </c>
      <c r="BB202" s="22">
        <v>192</v>
      </c>
      <c r="BC202" s="22">
        <v>0.866089</v>
      </c>
      <c r="BD202">
        <f t="shared" si="34"/>
        <v>17.553209876543207</v>
      </c>
      <c r="BE202">
        <f t="shared" si="35"/>
        <v>15.216035087901231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7.1380299999999997</v>
      </c>
      <c r="I203" s="22">
        <v>-1.41479E-2</v>
      </c>
      <c r="J203" s="22">
        <v>193</v>
      </c>
      <c r="K203" s="22">
        <v>0.87707500000000005</v>
      </c>
      <c r="L203">
        <f t="shared" si="24"/>
        <v>17.466543209876541</v>
      </c>
      <c r="M203">
        <f t="shared" si="25"/>
        <v>15.338122653950615</v>
      </c>
      <c r="N203" s="9"/>
      <c r="O203" s="22">
        <v>0.87188699999999997</v>
      </c>
      <c r="P203" s="22">
        <v>11.0579</v>
      </c>
      <c r="Q203" s="22">
        <v>-1.41724E-2</v>
      </c>
      <c r="R203" s="22">
        <v>193</v>
      </c>
      <c r="S203" s="22">
        <v>0.87097199999999997</v>
      </c>
      <c r="T203">
        <f t="shared" si="26"/>
        <v>17.496790123456787</v>
      </c>
      <c r="U203">
        <f t="shared" si="27"/>
        <v>15.255223850370367</v>
      </c>
      <c r="X203" s="9"/>
      <c r="Y203" s="22">
        <v>0.87814300000000001</v>
      </c>
      <c r="Z203" s="22">
        <v>16.603200000000001</v>
      </c>
      <c r="AA203" s="22">
        <v>-1.4175399999999999E-2</v>
      </c>
      <c r="AB203" s="22">
        <v>193</v>
      </c>
      <c r="AC203" s="22">
        <v>0.87707500000000005</v>
      </c>
      <c r="AD203">
        <f t="shared" si="28"/>
        <v>17.500493827160494</v>
      </c>
      <c r="AE203">
        <f t="shared" si="29"/>
        <v>15.367936150864198</v>
      </c>
      <c r="AF203" s="9"/>
      <c r="AG203" s="22">
        <v>0.87188699999999997</v>
      </c>
      <c r="AH203" s="22">
        <v>20.523199999999999</v>
      </c>
      <c r="AI203" s="22">
        <v>-1.4196800000000001E-2</v>
      </c>
      <c r="AJ203" s="22">
        <v>193</v>
      </c>
      <c r="AK203" s="22">
        <v>0.87097199999999997</v>
      </c>
      <c r="AL203">
        <f t="shared" si="30"/>
        <v>17.526913580246916</v>
      </c>
      <c r="AM203">
        <f t="shared" si="31"/>
        <v>15.281488100740741</v>
      </c>
      <c r="AP203" s="9"/>
      <c r="AQ203" s="22">
        <v>0.87814300000000001</v>
      </c>
      <c r="AR203" s="22">
        <v>26.086500000000001</v>
      </c>
      <c r="AS203" s="22">
        <v>-1.4212000000000001E-2</v>
      </c>
      <c r="AT203" s="22">
        <v>193</v>
      </c>
      <c r="AU203" s="22">
        <v>0.87738000000000005</v>
      </c>
      <c r="AV203">
        <f t="shared" si="32"/>
        <v>17.54567901234568</v>
      </c>
      <c r="AW203">
        <f t="shared" si="33"/>
        <v>15.407615204938272</v>
      </c>
      <c r="AX203" s="9"/>
      <c r="AY203" s="22">
        <v>0.87188699999999997</v>
      </c>
      <c r="AZ203" s="22">
        <v>30.006399999999999</v>
      </c>
      <c r="BA203" s="22">
        <v>-1.4208999999999999E-2</v>
      </c>
      <c r="BB203" s="22">
        <v>193</v>
      </c>
      <c r="BC203" s="22">
        <v>0.87066699999999997</v>
      </c>
      <c r="BD203">
        <f t="shared" si="34"/>
        <v>17.541975308641973</v>
      </c>
      <c r="BE203">
        <f t="shared" si="35"/>
        <v>15.294620225925923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7.1481000000000003</v>
      </c>
      <c r="I204" s="22">
        <v>-1.4151E-2</v>
      </c>
      <c r="J204" s="22">
        <v>194</v>
      </c>
      <c r="K204" s="22">
        <v>0.87188699999999997</v>
      </c>
      <c r="L204">
        <f t="shared" ref="L204:L267" si="36">-I204/$F$2*1000</f>
        <v>17.470370370370368</v>
      </c>
      <c r="M204">
        <f t="shared" ref="M204:M267" si="37">L204*G204</f>
        <v>15.253520133333332</v>
      </c>
      <c r="N204" s="9"/>
      <c r="O204" s="22">
        <v>0.87692300000000001</v>
      </c>
      <c r="P204" s="22">
        <v>11.068</v>
      </c>
      <c r="Q204" s="22">
        <v>-1.4169299999999999E-2</v>
      </c>
      <c r="R204" s="22">
        <v>194</v>
      </c>
      <c r="S204" s="22">
        <v>0.87646500000000005</v>
      </c>
      <c r="T204">
        <f t="shared" ref="T204:T267" si="38">-Q204/$F$2*1000</f>
        <v>17.492962962962959</v>
      </c>
      <c r="U204">
        <f t="shared" ref="U204:U267" si="39">T204*O204</f>
        <v>15.339981560370367</v>
      </c>
      <c r="X204" s="9"/>
      <c r="Y204" s="22">
        <v>0.873108</v>
      </c>
      <c r="Z204" s="22">
        <v>16.613299999999999</v>
      </c>
      <c r="AA204" s="22">
        <v>-1.41815E-2</v>
      </c>
      <c r="AB204" s="22">
        <v>194</v>
      </c>
      <c r="AC204" s="22">
        <v>0.87219199999999997</v>
      </c>
      <c r="AD204">
        <f t="shared" ref="AD204:AD267" si="40">-AA204/$F$2*1000</f>
        <v>17.508024691358024</v>
      </c>
      <c r="AE204">
        <f t="shared" ref="AE204:AE267" si="41">AD204*Y204</f>
        <v>15.286396422222222</v>
      </c>
      <c r="AF204" s="9"/>
      <c r="AG204" s="22">
        <v>0.87692300000000001</v>
      </c>
      <c r="AH204" s="22">
        <v>20.533300000000001</v>
      </c>
      <c r="AI204" s="22">
        <v>-1.4190700000000001E-2</v>
      </c>
      <c r="AJ204" s="22">
        <v>194</v>
      </c>
      <c r="AK204" s="22">
        <v>0.87554900000000002</v>
      </c>
      <c r="AL204">
        <f t="shared" ref="AL204:AL267" si="42">-AI204/$F$2*1000</f>
        <v>17.519382716049382</v>
      </c>
      <c r="AM204">
        <f t="shared" ref="AM204:AM267" si="43">AL204*AG204</f>
        <v>15.363149649506171</v>
      </c>
      <c r="AP204" s="9"/>
      <c r="AQ204" s="22">
        <v>0.873108</v>
      </c>
      <c r="AR204" s="22">
        <v>26.096499999999999</v>
      </c>
      <c r="AS204" s="22">
        <v>-1.4218099999999999E-2</v>
      </c>
      <c r="AT204" s="22">
        <v>194</v>
      </c>
      <c r="AU204" s="22">
        <v>0.87219199999999997</v>
      </c>
      <c r="AV204">
        <f t="shared" ref="AV204:AV267" si="44">-AS204/$F$2*1000</f>
        <v>17.553209876543207</v>
      </c>
      <c r="AW204">
        <f t="shared" ref="AW204:AW267" si="45">AV204*AQ204</f>
        <v>15.325847968888887</v>
      </c>
      <c r="AX204" s="9"/>
      <c r="AY204" s="22">
        <v>0.87692300000000001</v>
      </c>
      <c r="AZ204" s="22">
        <v>30.016400000000001</v>
      </c>
      <c r="BA204" s="22">
        <v>-1.42059E-2</v>
      </c>
      <c r="BB204" s="22">
        <v>194</v>
      </c>
      <c r="BC204" s="22">
        <v>0.87585400000000002</v>
      </c>
      <c r="BD204">
        <f t="shared" ref="BD204:BD267" si="46">-BA204/$F$2*1000</f>
        <v>17.538148148148146</v>
      </c>
      <c r="BE204">
        <f t="shared" ref="BE204:BE267" si="47">BD204*AY204</f>
        <v>15.379605488518516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7.1581700000000001</v>
      </c>
      <c r="I205" s="22">
        <v>-1.4157100000000001E-2</v>
      </c>
      <c r="J205" s="22">
        <v>195</v>
      </c>
      <c r="K205" s="22">
        <v>0.86761500000000003</v>
      </c>
      <c r="L205">
        <f t="shared" si="36"/>
        <v>17.477901234567902</v>
      </c>
      <c r="M205">
        <f t="shared" si="37"/>
        <v>15.172094158395062</v>
      </c>
      <c r="N205" s="9"/>
      <c r="O205" s="22">
        <v>0.88195800000000002</v>
      </c>
      <c r="P205" s="22">
        <v>11.078099999999999</v>
      </c>
      <c r="Q205" s="22">
        <v>-1.41663E-2</v>
      </c>
      <c r="R205" s="22">
        <v>195</v>
      </c>
      <c r="S205" s="22">
        <v>0.88104199999999999</v>
      </c>
      <c r="T205">
        <f t="shared" si="38"/>
        <v>17.489259259259256</v>
      </c>
      <c r="U205">
        <f t="shared" si="39"/>
        <v>15.424792117777775</v>
      </c>
      <c r="X205" s="9"/>
      <c r="Y205" s="22">
        <v>0.86807299999999998</v>
      </c>
      <c r="Z205" s="22">
        <v>16.6234</v>
      </c>
      <c r="AA205" s="22">
        <v>-1.4190700000000001E-2</v>
      </c>
      <c r="AB205" s="22">
        <v>195</v>
      </c>
      <c r="AC205" s="22">
        <v>0.866699</v>
      </c>
      <c r="AD205">
        <f t="shared" si="40"/>
        <v>17.519382716049382</v>
      </c>
      <c r="AE205">
        <f t="shared" si="41"/>
        <v>15.208103112469134</v>
      </c>
      <c r="AF205" s="9"/>
      <c r="AG205" s="22">
        <v>0.88195800000000002</v>
      </c>
      <c r="AH205" s="22">
        <v>20.543299999999999</v>
      </c>
      <c r="AI205" s="22">
        <v>-1.41785E-2</v>
      </c>
      <c r="AJ205" s="22">
        <v>195</v>
      </c>
      <c r="AK205" s="22">
        <v>0.88073699999999999</v>
      </c>
      <c r="AL205">
        <f t="shared" si="42"/>
        <v>17.504320987654321</v>
      </c>
      <c r="AM205">
        <f t="shared" si="43"/>
        <v>15.43807592962963</v>
      </c>
      <c r="AP205" s="9"/>
      <c r="AQ205" s="22">
        <v>0.86807299999999998</v>
      </c>
      <c r="AR205" s="22">
        <v>26.1066</v>
      </c>
      <c r="AS205" s="22">
        <v>-1.42273E-2</v>
      </c>
      <c r="AT205" s="22">
        <v>195</v>
      </c>
      <c r="AU205" s="22">
        <v>0.867004</v>
      </c>
      <c r="AV205">
        <f t="shared" si="44"/>
        <v>17.564567901234565</v>
      </c>
      <c r="AW205">
        <f t="shared" si="45"/>
        <v>15.247327151728392</v>
      </c>
      <c r="AX205" s="9"/>
      <c r="AY205" s="22">
        <v>0.88195800000000002</v>
      </c>
      <c r="AZ205" s="22">
        <v>30.026499999999999</v>
      </c>
      <c r="BA205" s="22">
        <v>-1.4202899999999999E-2</v>
      </c>
      <c r="BB205" s="22">
        <v>195</v>
      </c>
      <c r="BC205" s="22">
        <v>0.88043199999999999</v>
      </c>
      <c r="BD205">
        <f t="shared" si="46"/>
        <v>17.534444444444443</v>
      </c>
      <c r="BE205">
        <f t="shared" si="47"/>
        <v>15.464643553333332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7.1682399999999999</v>
      </c>
      <c r="I206" s="22">
        <v>-1.4157100000000001E-2</v>
      </c>
      <c r="J206" s="22">
        <v>196</v>
      </c>
      <c r="K206" s="22">
        <v>0.86151100000000003</v>
      </c>
      <c r="L206">
        <f t="shared" si="36"/>
        <v>17.477901234567902</v>
      </c>
      <c r="M206">
        <f t="shared" si="37"/>
        <v>15.08407544777778</v>
      </c>
      <c r="N206" s="9"/>
      <c r="O206" s="22">
        <v>0.88699300000000003</v>
      </c>
      <c r="P206" s="22">
        <v>11.088100000000001</v>
      </c>
      <c r="Q206" s="22">
        <v>-1.41602E-2</v>
      </c>
      <c r="R206" s="22">
        <v>196</v>
      </c>
      <c r="S206" s="22">
        <v>0.88592499999999996</v>
      </c>
      <c r="T206">
        <f t="shared" si="38"/>
        <v>17.481728395061729</v>
      </c>
      <c r="U206">
        <f t="shared" si="39"/>
        <v>15.506170714320989</v>
      </c>
      <c r="X206" s="9"/>
      <c r="Y206" s="22">
        <v>0.86303700000000005</v>
      </c>
      <c r="Z206" s="22">
        <v>16.633500000000002</v>
      </c>
      <c r="AA206" s="22">
        <v>-1.41937E-2</v>
      </c>
      <c r="AB206" s="22">
        <v>196</v>
      </c>
      <c r="AC206" s="22">
        <v>0.86181600000000003</v>
      </c>
      <c r="AD206">
        <f t="shared" si="40"/>
        <v>17.523086419753085</v>
      </c>
      <c r="AE206">
        <f t="shared" si="41"/>
        <v>15.123071934444445</v>
      </c>
      <c r="AF206" s="9"/>
      <c r="AG206" s="22">
        <v>0.88699300000000003</v>
      </c>
      <c r="AH206" s="22">
        <v>20.5534</v>
      </c>
      <c r="AI206" s="22">
        <v>-1.4175399999999999E-2</v>
      </c>
      <c r="AJ206" s="22">
        <v>196</v>
      </c>
      <c r="AK206" s="22">
        <v>0.88653599999999999</v>
      </c>
      <c r="AL206">
        <f t="shared" si="42"/>
        <v>17.500493827160494</v>
      </c>
      <c r="AM206">
        <f t="shared" si="43"/>
        <v>15.522815521234568</v>
      </c>
      <c r="AP206" s="9"/>
      <c r="AQ206" s="22">
        <v>0.86303700000000005</v>
      </c>
      <c r="AR206" s="22">
        <v>26.116700000000002</v>
      </c>
      <c r="AS206" s="22">
        <v>-1.42334E-2</v>
      </c>
      <c r="AT206" s="22">
        <v>196</v>
      </c>
      <c r="AU206" s="22">
        <v>0.86181600000000003</v>
      </c>
      <c r="AV206">
        <f t="shared" si="44"/>
        <v>17.572098765432099</v>
      </c>
      <c r="AW206">
        <f t="shared" si="45"/>
        <v>15.165371402222224</v>
      </c>
      <c r="AX206" s="9"/>
      <c r="AY206" s="22">
        <v>0.88699300000000003</v>
      </c>
      <c r="AZ206" s="22">
        <v>30.0366</v>
      </c>
      <c r="BA206" s="22">
        <v>-1.41998E-2</v>
      </c>
      <c r="BB206" s="22">
        <v>196</v>
      </c>
      <c r="BC206" s="22">
        <v>0.88653599999999999</v>
      </c>
      <c r="BD206">
        <f t="shared" si="46"/>
        <v>17.530617283950615</v>
      </c>
      <c r="BE206">
        <f t="shared" si="47"/>
        <v>15.549534816543209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7.1783099999999997</v>
      </c>
      <c r="I207" s="22">
        <v>-1.4163200000000001E-2</v>
      </c>
      <c r="J207" s="22">
        <v>197</v>
      </c>
      <c r="K207" s="22">
        <v>0.85693399999999997</v>
      </c>
      <c r="L207">
        <f t="shared" si="36"/>
        <v>17.485432098765433</v>
      </c>
      <c r="M207">
        <f t="shared" si="37"/>
        <v>15.00253571160494</v>
      </c>
      <c r="N207" s="9"/>
      <c r="O207" s="22">
        <v>0.89202899999999996</v>
      </c>
      <c r="P207" s="22">
        <v>11.0982</v>
      </c>
      <c r="Q207" s="22">
        <v>-1.4154099999999999E-2</v>
      </c>
      <c r="R207" s="22">
        <v>197</v>
      </c>
      <c r="S207" s="22">
        <v>0.89111300000000004</v>
      </c>
      <c r="T207">
        <f t="shared" si="38"/>
        <v>17.474197530864195</v>
      </c>
      <c r="U207">
        <f t="shared" si="39"/>
        <v>15.587490949259257</v>
      </c>
      <c r="X207" s="9"/>
      <c r="Y207" s="22">
        <v>0.85800200000000004</v>
      </c>
      <c r="Z207" s="22">
        <v>16.6435</v>
      </c>
      <c r="AA207" s="22">
        <v>-1.4202899999999999E-2</v>
      </c>
      <c r="AB207" s="22">
        <v>197</v>
      </c>
      <c r="AC207" s="22">
        <v>0.85693399999999997</v>
      </c>
      <c r="AD207">
        <f t="shared" si="40"/>
        <v>17.534444444444443</v>
      </c>
      <c r="AE207">
        <f t="shared" si="41"/>
        <v>15.044588402222221</v>
      </c>
      <c r="AF207" s="9"/>
      <c r="AG207" s="22">
        <v>0.89202899999999996</v>
      </c>
      <c r="AH207" s="22">
        <v>20.563500000000001</v>
      </c>
      <c r="AI207" s="22">
        <v>-1.41724E-2</v>
      </c>
      <c r="AJ207" s="22">
        <v>197</v>
      </c>
      <c r="AK207" s="22">
        <v>0.89080800000000004</v>
      </c>
      <c r="AL207">
        <f t="shared" si="42"/>
        <v>17.496790123456787</v>
      </c>
      <c r="AM207">
        <f t="shared" si="43"/>
        <v>15.607644197037034</v>
      </c>
      <c r="AP207" s="9"/>
      <c r="AQ207" s="22">
        <v>0.85800200000000004</v>
      </c>
      <c r="AR207" s="22">
        <v>26.126799999999999</v>
      </c>
      <c r="AS207" s="22">
        <v>-1.42334E-2</v>
      </c>
      <c r="AT207" s="22">
        <v>197</v>
      </c>
      <c r="AU207" s="22">
        <v>0.85723899999999997</v>
      </c>
      <c r="AV207">
        <f t="shared" si="44"/>
        <v>17.572098765432099</v>
      </c>
      <c r="AW207">
        <f t="shared" si="45"/>
        <v>15.076895884938272</v>
      </c>
      <c r="AX207" s="9"/>
      <c r="AY207" s="22">
        <v>0.89202899999999996</v>
      </c>
      <c r="AZ207" s="22">
        <v>30.046700000000001</v>
      </c>
      <c r="BA207" s="22">
        <v>-1.4196800000000001E-2</v>
      </c>
      <c r="BB207" s="22">
        <v>197</v>
      </c>
      <c r="BC207" s="22">
        <v>0.89080800000000004</v>
      </c>
      <c r="BD207">
        <f t="shared" si="46"/>
        <v>17.526913580246916</v>
      </c>
      <c r="BE207">
        <f t="shared" si="47"/>
        <v>15.634515194074075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7.1883800000000004</v>
      </c>
      <c r="I208" s="22">
        <v>-1.41663E-2</v>
      </c>
      <c r="J208" s="22">
        <v>198</v>
      </c>
      <c r="K208" s="22">
        <v>0.852356</v>
      </c>
      <c r="L208">
        <f t="shared" si="36"/>
        <v>17.489259259259256</v>
      </c>
      <c r="M208">
        <f t="shared" si="37"/>
        <v>14.917743513333331</v>
      </c>
      <c r="N208" s="9"/>
      <c r="O208" s="22">
        <v>0.89706399999999997</v>
      </c>
      <c r="P208" s="22">
        <v>11.1083</v>
      </c>
      <c r="Q208" s="22">
        <v>-1.41479E-2</v>
      </c>
      <c r="R208" s="22">
        <v>198</v>
      </c>
      <c r="S208" s="22">
        <v>0.89630100000000001</v>
      </c>
      <c r="T208">
        <f t="shared" si="38"/>
        <v>17.466543209876541</v>
      </c>
      <c r="U208">
        <f t="shared" si="39"/>
        <v>15.668607118024688</v>
      </c>
      <c r="X208" s="9"/>
      <c r="Y208" s="22">
        <v>0.852966</v>
      </c>
      <c r="Z208" s="22">
        <v>16.653600000000001</v>
      </c>
      <c r="AA208" s="22">
        <v>-1.4212000000000001E-2</v>
      </c>
      <c r="AB208" s="22">
        <v>198</v>
      </c>
      <c r="AC208" s="22">
        <v>0.852051</v>
      </c>
      <c r="AD208">
        <f t="shared" si="40"/>
        <v>17.54567901234568</v>
      </c>
      <c r="AE208">
        <f t="shared" si="41"/>
        <v>14.965867644444446</v>
      </c>
      <c r="AF208" s="9"/>
      <c r="AG208" s="22">
        <v>0.89706399999999997</v>
      </c>
      <c r="AH208" s="22">
        <v>20.573499999999999</v>
      </c>
      <c r="AI208" s="22">
        <v>-1.4169299999999999E-2</v>
      </c>
      <c r="AJ208" s="22">
        <v>198</v>
      </c>
      <c r="AK208" s="22">
        <v>0.89569100000000001</v>
      </c>
      <c r="AL208">
        <f t="shared" si="42"/>
        <v>17.492962962962959</v>
      </c>
      <c r="AM208">
        <f t="shared" si="43"/>
        <v>15.692307327407404</v>
      </c>
      <c r="AP208" s="9"/>
      <c r="AQ208" s="22">
        <v>0.852966</v>
      </c>
      <c r="AR208" s="22">
        <v>26.136800000000001</v>
      </c>
      <c r="AS208" s="22">
        <v>-1.42334E-2</v>
      </c>
      <c r="AT208" s="22">
        <v>198</v>
      </c>
      <c r="AU208" s="22">
        <v>0.85143999999999997</v>
      </c>
      <c r="AV208">
        <f t="shared" si="44"/>
        <v>17.572098765432099</v>
      </c>
      <c r="AW208">
        <f t="shared" si="45"/>
        <v>14.988402795555556</v>
      </c>
      <c r="AX208" s="9"/>
      <c r="AY208" s="22">
        <v>0.89706399999999997</v>
      </c>
      <c r="AZ208" s="22">
        <v>30.056699999999999</v>
      </c>
      <c r="BA208" s="22">
        <v>-1.4196800000000001E-2</v>
      </c>
      <c r="BB208" s="22">
        <v>198</v>
      </c>
      <c r="BC208" s="22">
        <v>0.89599600000000001</v>
      </c>
      <c r="BD208">
        <f t="shared" si="46"/>
        <v>17.526913580246916</v>
      </c>
      <c r="BE208">
        <f t="shared" si="47"/>
        <v>15.722763203950619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7.1984500000000002</v>
      </c>
      <c r="I209" s="22">
        <v>-1.41724E-2</v>
      </c>
      <c r="J209" s="22">
        <v>199</v>
      </c>
      <c r="K209" s="22">
        <v>0.84655800000000003</v>
      </c>
      <c r="L209">
        <f t="shared" si="36"/>
        <v>17.496790123456787</v>
      </c>
      <c r="M209">
        <f t="shared" si="37"/>
        <v>14.836070746172837</v>
      </c>
      <c r="N209" s="9"/>
      <c r="O209" s="22">
        <v>0.90210000000000001</v>
      </c>
      <c r="P209" s="22">
        <v>11.118399999999999</v>
      </c>
      <c r="Q209" s="22">
        <v>-1.41418E-2</v>
      </c>
      <c r="R209" s="22">
        <v>199</v>
      </c>
      <c r="S209" s="22">
        <v>0.90118399999999999</v>
      </c>
      <c r="T209">
        <f t="shared" si="38"/>
        <v>17.45901234567901</v>
      </c>
      <c r="U209">
        <f t="shared" si="39"/>
        <v>15.749775037037036</v>
      </c>
      <c r="X209" s="9"/>
      <c r="Y209" s="22">
        <v>0.84793099999999999</v>
      </c>
      <c r="Z209" s="22">
        <v>16.663699999999999</v>
      </c>
      <c r="AA209" s="22">
        <v>-1.4218099999999999E-2</v>
      </c>
      <c r="AB209" s="22">
        <v>199</v>
      </c>
      <c r="AC209" s="22">
        <v>0.84686300000000003</v>
      </c>
      <c r="AD209">
        <f t="shared" si="40"/>
        <v>17.553209876543207</v>
      </c>
      <c r="AE209">
        <f t="shared" si="41"/>
        <v>14.883910803827158</v>
      </c>
      <c r="AF209" s="9"/>
      <c r="AG209" s="22">
        <v>0.90210000000000001</v>
      </c>
      <c r="AH209" s="22">
        <v>20.583600000000001</v>
      </c>
      <c r="AI209" s="22">
        <v>-1.41663E-2</v>
      </c>
      <c r="AJ209" s="22">
        <v>199</v>
      </c>
      <c r="AK209" s="22">
        <v>0.90087899999999999</v>
      </c>
      <c r="AL209">
        <f t="shared" si="42"/>
        <v>17.489259259259256</v>
      </c>
      <c r="AM209">
        <f t="shared" si="43"/>
        <v>15.777060777777775</v>
      </c>
      <c r="AP209" s="9"/>
      <c r="AQ209" s="22">
        <v>0.84793099999999999</v>
      </c>
      <c r="AR209" s="22">
        <v>26.146899999999999</v>
      </c>
      <c r="AS209" s="22">
        <v>-1.42395E-2</v>
      </c>
      <c r="AT209" s="22">
        <v>199</v>
      </c>
      <c r="AU209" s="22">
        <v>0.84716800000000003</v>
      </c>
      <c r="AV209">
        <f t="shared" si="44"/>
        <v>17.579629629629629</v>
      </c>
      <c r="AW209">
        <f t="shared" si="45"/>
        <v>14.90631293148148</v>
      </c>
      <c r="AX209" s="9"/>
      <c r="AY209" s="22">
        <v>0.90210000000000001</v>
      </c>
      <c r="AZ209" s="22">
        <v>30.066800000000001</v>
      </c>
      <c r="BA209" s="22">
        <v>-1.41876E-2</v>
      </c>
      <c r="BB209" s="22">
        <v>199</v>
      </c>
      <c r="BC209" s="22">
        <v>0.90118399999999999</v>
      </c>
      <c r="BD209">
        <f t="shared" si="46"/>
        <v>17.515555555555554</v>
      </c>
      <c r="BE209">
        <f t="shared" si="47"/>
        <v>15.800782666666667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7.20852</v>
      </c>
      <c r="I210" s="22">
        <v>-1.4175399999999999E-2</v>
      </c>
      <c r="J210" s="22">
        <v>200</v>
      </c>
      <c r="K210" s="22">
        <v>0.84167499999999995</v>
      </c>
      <c r="L210">
        <f t="shared" si="36"/>
        <v>17.500493827160494</v>
      </c>
      <c r="M210">
        <f t="shared" si="37"/>
        <v>14.751096244938271</v>
      </c>
      <c r="N210" s="9"/>
      <c r="O210" s="22">
        <v>0.90713500000000002</v>
      </c>
      <c r="P210" s="22">
        <v>11.128399999999999</v>
      </c>
      <c r="Q210" s="22">
        <v>-1.41327E-2</v>
      </c>
      <c r="R210" s="22">
        <v>200</v>
      </c>
      <c r="S210" s="22">
        <v>0.90606699999999996</v>
      </c>
      <c r="T210">
        <f t="shared" si="38"/>
        <v>17.447777777777777</v>
      </c>
      <c r="U210">
        <f t="shared" si="39"/>
        <v>15.827489894444444</v>
      </c>
      <c r="X210" s="9"/>
      <c r="Y210" s="22">
        <v>0.84289599999999998</v>
      </c>
      <c r="Z210" s="22">
        <v>16.6737</v>
      </c>
      <c r="AA210" s="22">
        <v>-1.4224199999999999E-2</v>
      </c>
      <c r="AB210" s="22">
        <v>200</v>
      </c>
      <c r="AC210" s="22">
        <v>0.84106400000000003</v>
      </c>
      <c r="AD210">
        <f t="shared" si="40"/>
        <v>17.560740740740737</v>
      </c>
      <c r="AE210">
        <f t="shared" si="41"/>
        <v>14.801878127407404</v>
      </c>
      <c r="AF210" s="9"/>
      <c r="AG210" s="22">
        <v>0.90713500000000002</v>
      </c>
      <c r="AH210" s="22">
        <v>20.593699999999998</v>
      </c>
      <c r="AI210" s="22">
        <v>-1.41602E-2</v>
      </c>
      <c r="AJ210" s="22">
        <v>200</v>
      </c>
      <c r="AK210" s="22">
        <v>0.90606699999999996</v>
      </c>
      <c r="AL210">
        <f t="shared" si="42"/>
        <v>17.481728395061729</v>
      </c>
      <c r="AM210">
        <f t="shared" si="43"/>
        <v>15.858287687654322</v>
      </c>
      <c r="AP210" s="9"/>
      <c r="AQ210" s="22">
        <v>0.84289599999999998</v>
      </c>
      <c r="AR210" s="22">
        <v>26.157</v>
      </c>
      <c r="AS210" s="22">
        <v>-1.4242599999999999E-2</v>
      </c>
      <c r="AT210" s="22">
        <v>200</v>
      </c>
      <c r="AU210" s="22">
        <v>0.84197999999999995</v>
      </c>
      <c r="AV210">
        <f t="shared" si="44"/>
        <v>17.583456790123453</v>
      </c>
      <c r="AW210">
        <f t="shared" si="45"/>
        <v>14.821025394567897</v>
      </c>
      <c r="AX210" s="9"/>
      <c r="AY210" s="22">
        <v>0.90713500000000002</v>
      </c>
      <c r="AZ210" s="22">
        <v>30.076899999999998</v>
      </c>
      <c r="BA210" s="22">
        <v>-1.41846E-2</v>
      </c>
      <c r="BB210" s="22">
        <v>200</v>
      </c>
      <c r="BC210" s="22">
        <v>0.90606699999999996</v>
      </c>
      <c r="BD210">
        <f t="shared" si="46"/>
        <v>17.511851851851851</v>
      </c>
      <c r="BE210">
        <f t="shared" si="47"/>
        <v>15.885613729629629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7.2186000000000003</v>
      </c>
      <c r="I211" s="22">
        <v>-1.41785E-2</v>
      </c>
      <c r="J211" s="22">
        <v>201</v>
      </c>
      <c r="K211" s="22">
        <v>0.83740199999999998</v>
      </c>
      <c r="L211">
        <f t="shared" si="36"/>
        <v>17.504320987654321</v>
      </c>
      <c r="M211">
        <f t="shared" si="37"/>
        <v>14.66617038271605</v>
      </c>
      <c r="N211" s="9"/>
      <c r="O211" s="22">
        <v>0.91217000000000004</v>
      </c>
      <c r="P211" s="22">
        <v>11.138500000000001</v>
      </c>
      <c r="Q211" s="22">
        <v>-1.41266E-2</v>
      </c>
      <c r="R211" s="22">
        <v>201</v>
      </c>
      <c r="S211" s="22">
        <v>0.91095000000000004</v>
      </c>
      <c r="T211">
        <f t="shared" si="38"/>
        <v>17.440246913580246</v>
      </c>
      <c r="U211">
        <f t="shared" si="39"/>
        <v>15.908470027160494</v>
      </c>
      <c r="X211" s="9"/>
      <c r="Y211" s="22">
        <v>0.83786000000000005</v>
      </c>
      <c r="Z211" s="22">
        <v>16.683800000000002</v>
      </c>
      <c r="AA211" s="22">
        <v>-1.42303E-2</v>
      </c>
      <c r="AB211" s="22">
        <v>201</v>
      </c>
      <c r="AC211" s="22">
        <v>0.83648699999999998</v>
      </c>
      <c r="AD211">
        <f t="shared" si="40"/>
        <v>17.568271604938271</v>
      </c>
      <c r="AE211">
        <f t="shared" si="41"/>
        <v>14.71975204691358</v>
      </c>
      <c r="AF211" s="9"/>
      <c r="AG211" s="22">
        <v>0.91217000000000004</v>
      </c>
      <c r="AH211" s="22">
        <v>20.6037</v>
      </c>
      <c r="AI211" s="22">
        <v>-1.4154099999999999E-2</v>
      </c>
      <c r="AJ211" s="22">
        <v>201</v>
      </c>
      <c r="AK211" s="22">
        <v>0.91186500000000004</v>
      </c>
      <c r="AL211">
        <f t="shared" si="42"/>
        <v>17.474197530864195</v>
      </c>
      <c r="AM211">
        <f t="shared" si="43"/>
        <v>15.939438761728393</v>
      </c>
      <c r="AP211" s="9"/>
      <c r="AQ211" s="22">
        <v>0.83786000000000005</v>
      </c>
      <c r="AR211" s="22">
        <v>26.167000000000002</v>
      </c>
      <c r="AS211" s="22">
        <v>-1.4245600000000001E-2</v>
      </c>
      <c r="AT211" s="22">
        <v>201</v>
      </c>
      <c r="AU211" s="22">
        <v>0.83740199999999998</v>
      </c>
      <c r="AV211">
        <f t="shared" si="44"/>
        <v>17.58716049382716</v>
      </c>
      <c r="AW211">
        <f t="shared" si="45"/>
        <v>14.735578291358024</v>
      </c>
      <c r="AX211" s="9"/>
      <c r="AY211" s="22">
        <v>0.91217000000000004</v>
      </c>
      <c r="AZ211" s="22">
        <v>30.0869</v>
      </c>
      <c r="BA211" s="22">
        <v>-1.41815E-2</v>
      </c>
      <c r="BB211" s="22">
        <v>201</v>
      </c>
      <c r="BC211" s="22">
        <v>0.91156000000000004</v>
      </c>
      <c r="BD211">
        <f t="shared" si="46"/>
        <v>17.508024691358024</v>
      </c>
      <c r="BE211">
        <f t="shared" si="47"/>
        <v>15.970294882716049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7.2286700000000002</v>
      </c>
      <c r="I212" s="22">
        <v>-1.41876E-2</v>
      </c>
      <c r="J212" s="22">
        <v>202</v>
      </c>
      <c r="K212" s="22">
        <v>0.83160400000000001</v>
      </c>
      <c r="L212">
        <f t="shared" si="36"/>
        <v>17.515555555555554</v>
      </c>
      <c r="M212">
        <f t="shared" si="37"/>
        <v>14.587392555555555</v>
      </c>
      <c r="N212" s="9"/>
      <c r="O212" s="22">
        <v>0.91720599999999997</v>
      </c>
      <c r="P212" s="22">
        <v>11.1486</v>
      </c>
      <c r="Q212" s="22">
        <v>-1.41174E-2</v>
      </c>
      <c r="R212" s="22">
        <v>202</v>
      </c>
      <c r="S212" s="22">
        <v>0.91613800000000001</v>
      </c>
      <c r="T212">
        <f t="shared" si="38"/>
        <v>17.428888888888888</v>
      </c>
      <c r="U212">
        <f t="shared" si="39"/>
        <v>15.985881462222221</v>
      </c>
      <c r="X212" s="9"/>
      <c r="Y212" s="22">
        <v>0.83282500000000004</v>
      </c>
      <c r="Z212" s="22">
        <v>16.693899999999999</v>
      </c>
      <c r="AA212" s="22">
        <v>-1.42334E-2</v>
      </c>
      <c r="AB212" s="22">
        <v>202</v>
      </c>
      <c r="AC212" s="22">
        <v>0.83221400000000001</v>
      </c>
      <c r="AD212">
        <f t="shared" si="40"/>
        <v>17.572098765432099</v>
      </c>
      <c r="AE212">
        <f t="shared" si="41"/>
        <v>14.634483154320987</v>
      </c>
      <c r="AF212" s="9"/>
      <c r="AG212" s="22">
        <v>0.91720599999999997</v>
      </c>
      <c r="AH212" s="22">
        <v>20.613800000000001</v>
      </c>
      <c r="AI212" s="22">
        <v>-1.4151E-2</v>
      </c>
      <c r="AJ212" s="22">
        <v>202</v>
      </c>
      <c r="AK212" s="22">
        <v>0.91583300000000001</v>
      </c>
      <c r="AL212">
        <f t="shared" si="42"/>
        <v>17.470370370370368</v>
      </c>
      <c r="AM212">
        <f t="shared" si="43"/>
        <v>16.023928525925925</v>
      </c>
      <c r="AP212" s="9"/>
      <c r="AQ212" s="22">
        <v>0.83282500000000004</v>
      </c>
      <c r="AR212" s="22">
        <v>26.177099999999999</v>
      </c>
      <c r="AS212" s="22">
        <v>-1.4251700000000001E-2</v>
      </c>
      <c r="AT212" s="22">
        <v>202</v>
      </c>
      <c r="AU212" s="22">
        <v>0.83190900000000001</v>
      </c>
      <c r="AV212">
        <f t="shared" si="44"/>
        <v>17.594691358024694</v>
      </c>
      <c r="AW212">
        <f t="shared" si="45"/>
        <v>14.653298830246916</v>
      </c>
      <c r="AX212" s="9"/>
      <c r="AY212" s="22">
        <v>0.91720599999999997</v>
      </c>
      <c r="AZ212" s="22">
        <v>30.097000000000001</v>
      </c>
      <c r="BA212" s="22">
        <v>-1.41785E-2</v>
      </c>
      <c r="BB212" s="22">
        <v>202</v>
      </c>
      <c r="BC212" s="22">
        <v>0.91552699999999998</v>
      </c>
      <c r="BD212">
        <f t="shared" si="46"/>
        <v>17.504320987654321</v>
      </c>
      <c r="BE212">
        <f t="shared" si="47"/>
        <v>16.055068235802469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7.23874</v>
      </c>
      <c r="I213" s="22">
        <v>-1.4190700000000001E-2</v>
      </c>
      <c r="J213" s="22">
        <v>203</v>
      </c>
      <c r="K213" s="22">
        <v>0.82733199999999996</v>
      </c>
      <c r="L213">
        <f t="shared" si="36"/>
        <v>17.519382716049382</v>
      </c>
      <c r="M213">
        <f t="shared" si="37"/>
        <v>14.502352299135802</v>
      </c>
      <c r="N213" s="9"/>
      <c r="O213" s="22">
        <v>0.92224099999999998</v>
      </c>
      <c r="P213" s="22">
        <v>11.1586</v>
      </c>
      <c r="Q213" s="22">
        <v>-1.41174E-2</v>
      </c>
      <c r="R213" s="22">
        <v>203</v>
      </c>
      <c r="S213" s="22">
        <v>0.92163099999999998</v>
      </c>
      <c r="T213">
        <f t="shared" si="38"/>
        <v>17.428888888888888</v>
      </c>
      <c r="U213">
        <f t="shared" si="39"/>
        <v>16.073635917777779</v>
      </c>
      <c r="X213" s="9"/>
      <c r="Y213" s="22">
        <v>0.827789</v>
      </c>
      <c r="Z213" s="22">
        <v>16.704000000000001</v>
      </c>
      <c r="AA213" s="22">
        <v>-1.42334E-2</v>
      </c>
      <c r="AB213" s="22">
        <v>203</v>
      </c>
      <c r="AC213" s="22">
        <v>0.82733199999999996</v>
      </c>
      <c r="AD213">
        <f t="shared" si="40"/>
        <v>17.572098765432099</v>
      </c>
      <c r="AE213">
        <f t="shared" si="41"/>
        <v>14.545990064938271</v>
      </c>
      <c r="AF213" s="9"/>
      <c r="AG213" s="22">
        <v>0.92224099999999998</v>
      </c>
      <c r="AH213" s="22">
        <v>20.623899999999999</v>
      </c>
      <c r="AI213" s="22">
        <v>-1.4151E-2</v>
      </c>
      <c r="AJ213" s="22">
        <v>203</v>
      </c>
      <c r="AK213" s="22">
        <v>0.92132599999999998</v>
      </c>
      <c r="AL213">
        <f t="shared" si="42"/>
        <v>17.470370370370368</v>
      </c>
      <c r="AM213">
        <f t="shared" si="43"/>
        <v>16.111891840740739</v>
      </c>
      <c r="AP213" s="9"/>
      <c r="AQ213" s="22">
        <v>0.827789</v>
      </c>
      <c r="AR213" s="22">
        <v>26.187200000000001</v>
      </c>
      <c r="AS213" s="22">
        <v>-1.42548E-2</v>
      </c>
      <c r="AT213" s="22">
        <v>203</v>
      </c>
      <c r="AU213" s="22">
        <v>0.82702600000000004</v>
      </c>
      <c r="AV213">
        <f t="shared" si="44"/>
        <v>17.598518518518517</v>
      </c>
      <c r="AW213">
        <f t="shared" si="45"/>
        <v>14.567860045925926</v>
      </c>
      <c r="AX213" s="9"/>
      <c r="AY213" s="22">
        <v>0.92224099999999998</v>
      </c>
      <c r="AZ213" s="22">
        <v>30.107099999999999</v>
      </c>
      <c r="BA213" s="22">
        <v>-1.41724E-2</v>
      </c>
      <c r="BB213" s="22">
        <v>203</v>
      </c>
      <c r="BC213" s="22">
        <v>0.92102099999999998</v>
      </c>
      <c r="BD213">
        <f t="shared" si="46"/>
        <v>17.496790123456787</v>
      </c>
      <c r="BE213">
        <f t="shared" si="47"/>
        <v>16.136257220246911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7.2488099999999998</v>
      </c>
      <c r="I214" s="22">
        <v>-1.41998E-2</v>
      </c>
      <c r="J214" s="22">
        <v>204</v>
      </c>
      <c r="K214" s="22">
        <v>0.82214399999999999</v>
      </c>
      <c r="L214">
        <f t="shared" si="36"/>
        <v>17.530617283950615</v>
      </c>
      <c r="M214">
        <f t="shared" si="37"/>
        <v>14.423385492839504</v>
      </c>
      <c r="N214" s="9"/>
      <c r="O214" s="22">
        <v>0.92727700000000002</v>
      </c>
      <c r="P214" s="22">
        <v>11.168699999999999</v>
      </c>
      <c r="Q214" s="22">
        <v>-1.41174E-2</v>
      </c>
      <c r="R214" s="22">
        <v>204</v>
      </c>
      <c r="S214" s="22">
        <v>0.92620800000000003</v>
      </c>
      <c r="T214">
        <f t="shared" si="38"/>
        <v>17.428888888888888</v>
      </c>
      <c r="U214">
        <f t="shared" si="39"/>
        <v>16.161407802222222</v>
      </c>
      <c r="X214" s="9"/>
      <c r="Y214" s="22">
        <v>0.82275399999999999</v>
      </c>
      <c r="Z214" s="22">
        <v>16.713999999999999</v>
      </c>
      <c r="AA214" s="22">
        <v>-1.42395E-2</v>
      </c>
      <c r="AB214" s="22">
        <v>204</v>
      </c>
      <c r="AC214" s="22">
        <v>0.82183799999999996</v>
      </c>
      <c r="AD214">
        <f t="shared" si="40"/>
        <v>17.579629629629629</v>
      </c>
      <c r="AE214">
        <f t="shared" si="41"/>
        <v>14.463710596296295</v>
      </c>
      <c r="AF214" s="9"/>
      <c r="AG214" s="22">
        <v>0.92727700000000002</v>
      </c>
      <c r="AH214" s="22">
        <v>20.634</v>
      </c>
      <c r="AI214" s="22">
        <v>-1.41479E-2</v>
      </c>
      <c r="AJ214" s="22">
        <v>204</v>
      </c>
      <c r="AK214" s="22">
        <v>0.92651399999999995</v>
      </c>
      <c r="AL214">
        <f t="shared" si="42"/>
        <v>17.466543209876541</v>
      </c>
      <c r="AM214">
        <f t="shared" si="43"/>
        <v>16.196323788024689</v>
      </c>
      <c r="AP214" s="9"/>
      <c r="AQ214" s="22">
        <v>0.82275399999999999</v>
      </c>
      <c r="AR214" s="22">
        <v>26.197299999999998</v>
      </c>
      <c r="AS214" s="22">
        <v>-1.42548E-2</v>
      </c>
      <c r="AT214" s="22">
        <v>204</v>
      </c>
      <c r="AU214" s="22">
        <v>0.82214399999999999</v>
      </c>
      <c r="AV214">
        <f t="shared" si="44"/>
        <v>17.598518518518517</v>
      </c>
      <c r="AW214">
        <f t="shared" si="45"/>
        <v>14.479251505185184</v>
      </c>
      <c r="AX214" s="9"/>
      <c r="AY214" s="22">
        <v>0.92727700000000002</v>
      </c>
      <c r="AZ214" s="22">
        <v>30.1172</v>
      </c>
      <c r="BA214" s="22">
        <v>-1.4169299999999999E-2</v>
      </c>
      <c r="BB214" s="22">
        <v>204</v>
      </c>
      <c r="BC214" s="22">
        <v>0.92651399999999995</v>
      </c>
      <c r="BD214">
        <f t="shared" si="46"/>
        <v>17.492962962962959</v>
      </c>
      <c r="BE214">
        <f t="shared" si="47"/>
        <v>16.220822217407406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7.2588800000000004</v>
      </c>
      <c r="I215" s="22">
        <v>-1.42059E-2</v>
      </c>
      <c r="J215" s="22">
        <v>205</v>
      </c>
      <c r="K215" s="22">
        <v>0.81664999999999999</v>
      </c>
      <c r="L215">
        <f t="shared" si="36"/>
        <v>17.538148148148146</v>
      </c>
      <c r="M215">
        <f t="shared" si="37"/>
        <v>14.341276965555553</v>
      </c>
      <c r="N215" s="9"/>
      <c r="O215" s="22">
        <v>0.93231200000000003</v>
      </c>
      <c r="P215" s="22">
        <v>11.178800000000001</v>
      </c>
      <c r="Q215" s="22">
        <v>-1.4114399999999999E-2</v>
      </c>
      <c r="R215" s="22">
        <v>205</v>
      </c>
      <c r="S215" s="22">
        <v>0.931091</v>
      </c>
      <c r="T215">
        <f t="shared" si="38"/>
        <v>17.425185185185182</v>
      </c>
      <c r="U215">
        <f t="shared" si="39"/>
        <v>16.245709250370368</v>
      </c>
      <c r="X215" s="9"/>
      <c r="Y215" s="22">
        <v>0.81771899999999997</v>
      </c>
      <c r="Z215" s="22">
        <v>16.7241</v>
      </c>
      <c r="AA215" s="22">
        <v>-1.4245600000000001E-2</v>
      </c>
      <c r="AB215" s="22">
        <v>205</v>
      </c>
      <c r="AC215" s="22">
        <v>0.81695600000000002</v>
      </c>
      <c r="AD215">
        <f t="shared" si="40"/>
        <v>17.58716049382716</v>
      </c>
      <c r="AE215">
        <f t="shared" si="41"/>
        <v>14.38135529185185</v>
      </c>
      <c r="AF215" s="9"/>
      <c r="AG215" s="22">
        <v>0.93231200000000003</v>
      </c>
      <c r="AH215" s="22">
        <v>20.643999999999998</v>
      </c>
      <c r="AI215" s="22">
        <v>-1.41418E-2</v>
      </c>
      <c r="AJ215" s="22">
        <v>205</v>
      </c>
      <c r="AK215" s="22">
        <v>0.93170200000000003</v>
      </c>
      <c r="AL215">
        <f t="shared" si="42"/>
        <v>17.45901234567901</v>
      </c>
      <c r="AM215">
        <f t="shared" si="43"/>
        <v>16.277246718024688</v>
      </c>
      <c r="AP215" s="9"/>
      <c r="AQ215" s="22">
        <v>0.81771899999999997</v>
      </c>
      <c r="AR215" s="22">
        <v>26.2073</v>
      </c>
      <c r="AS215" s="22">
        <v>-1.42609E-2</v>
      </c>
      <c r="AT215" s="22">
        <v>205</v>
      </c>
      <c r="AU215" s="22">
        <v>0.81634499999999999</v>
      </c>
      <c r="AV215">
        <f t="shared" si="44"/>
        <v>17.606049382716048</v>
      </c>
      <c r="AW215">
        <f t="shared" si="45"/>
        <v>14.396801095185184</v>
      </c>
      <c r="AX215" s="9"/>
      <c r="AY215" s="22">
        <v>0.93231200000000003</v>
      </c>
      <c r="AZ215" s="22">
        <v>30.127199999999998</v>
      </c>
      <c r="BA215" s="22">
        <v>-1.4163200000000001E-2</v>
      </c>
      <c r="BB215" s="22">
        <v>205</v>
      </c>
      <c r="BC215" s="22">
        <v>0.931396</v>
      </c>
      <c r="BD215">
        <f t="shared" si="46"/>
        <v>17.485432098765433</v>
      </c>
      <c r="BE215">
        <f t="shared" si="47"/>
        <v>16.3018781708642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7.2689500000000002</v>
      </c>
      <c r="I216" s="22">
        <v>-1.42151E-2</v>
      </c>
      <c r="J216" s="22">
        <v>206</v>
      </c>
      <c r="K216" s="22">
        <v>0.81237800000000004</v>
      </c>
      <c r="L216">
        <f t="shared" si="36"/>
        <v>17.549506172839507</v>
      </c>
      <c r="M216">
        <f t="shared" si="37"/>
        <v>14.262185325061729</v>
      </c>
      <c r="N216" s="9"/>
      <c r="O216" s="22">
        <v>0.93734700000000004</v>
      </c>
      <c r="P216" s="22">
        <v>11.1889</v>
      </c>
      <c r="Q216" s="22">
        <v>-1.41113E-2</v>
      </c>
      <c r="R216" s="22">
        <v>206</v>
      </c>
      <c r="S216" s="22">
        <v>0.93689</v>
      </c>
      <c r="T216">
        <f t="shared" si="38"/>
        <v>17.421358024691358</v>
      </c>
      <c r="U216">
        <f t="shared" si="39"/>
        <v>16.32985768037037</v>
      </c>
      <c r="X216" s="9"/>
      <c r="Y216" s="22">
        <v>0.81268300000000004</v>
      </c>
      <c r="Z216" s="22">
        <v>16.734200000000001</v>
      </c>
      <c r="AA216" s="22">
        <v>-1.42487E-2</v>
      </c>
      <c r="AB216" s="22">
        <v>206</v>
      </c>
      <c r="AC216" s="22">
        <v>0.81207300000000004</v>
      </c>
      <c r="AD216">
        <f t="shared" si="40"/>
        <v>17.590987654320987</v>
      </c>
      <c r="AE216">
        <f t="shared" si="41"/>
        <v>14.295896619876544</v>
      </c>
      <c r="AF216" s="9"/>
      <c r="AG216" s="22">
        <v>0.93734700000000004</v>
      </c>
      <c r="AH216" s="22">
        <v>20.6541</v>
      </c>
      <c r="AI216" s="22">
        <v>-1.41388E-2</v>
      </c>
      <c r="AJ216" s="22">
        <v>206</v>
      </c>
      <c r="AK216" s="22">
        <v>0.93689</v>
      </c>
      <c r="AL216">
        <f t="shared" si="42"/>
        <v>17.455308641975307</v>
      </c>
      <c r="AM216">
        <f t="shared" si="43"/>
        <v>16.361681189629628</v>
      </c>
      <c r="AP216" s="9"/>
      <c r="AQ216" s="22">
        <v>0.81268300000000004</v>
      </c>
      <c r="AR216" s="22">
        <v>26.217400000000001</v>
      </c>
      <c r="AS216" s="22">
        <v>-1.42609E-2</v>
      </c>
      <c r="AT216" s="22">
        <v>206</v>
      </c>
      <c r="AU216" s="22">
        <v>0.81207300000000004</v>
      </c>
      <c r="AV216">
        <f t="shared" si="44"/>
        <v>17.606049382716048</v>
      </c>
      <c r="AW216">
        <f t="shared" si="45"/>
        <v>14.308137030493826</v>
      </c>
      <c r="AX216" s="9"/>
      <c r="AY216" s="22">
        <v>0.93734700000000004</v>
      </c>
      <c r="AZ216" s="22">
        <v>30.1373</v>
      </c>
      <c r="BA216" s="22">
        <v>-1.41602E-2</v>
      </c>
      <c r="BB216" s="22">
        <v>206</v>
      </c>
      <c r="BC216" s="22">
        <v>0.93689</v>
      </c>
      <c r="BD216">
        <f t="shared" si="46"/>
        <v>17.481728395061729</v>
      </c>
      <c r="BE216">
        <f t="shared" si="47"/>
        <v>16.386445665925926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7.27902</v>
      </c>
      <c r="I217" s="22">
        <v>-1.42212E-2</v>
      </c>
      <c r="J217" s="22">
        <v>207</v>
      </c>
      <c r="K217" s="22">
        <v>0.80657999999999996</v>
      </c>
      <c r="L217">
        <f t="shared" si="36"/>
        <v>17.557037037037034</v>
      </c>
      <c r="M217">
        <f t="shared" si="37"/>
        <v>14.179905848888888</v>
      </c>
      <c r="N217" s="9"/>
      <c r="O217" s="22">
        <v>0.94238299999999997</v>
      </c>
      <c r="P217" s="22">
        <v>11.1989</v>
      </c>
      <c r="Q217" s="22">
        <v>-1.41052E-2</v>
      </c>
      <c r="R217" s="22">
        <v>207</v>
      </c>
      <c r="S217" s="22">
        <v>0.94146700000000005</v>
      </c>
      <c r="T217">
        <f t="shared" si="38"/>
        <v>17.413827160493828</v>
      </c>
      <c r="U217">
        <f t="shared" si="39"/>
        <v>16.410494680987654</v>
      </c>
      <c r="X217" s="9"/>
      <c r="Y217" s="22">
        <v>0.80764800000000003</v>
      </c>
      <c r="Z217" s="22">
        <v>16.744199999999999</v>
      </c>
      <c r="AA217" s="22">
        <v>-1.4257799999999999E-2</v>
      </c>
      <c r="AB217" s="22">
        <v>207</v>
      </c>
      <c r="AC217" s="22">
        <v>0.80657999999999996</v>
      </c>
      <c r="AD217">
        <f t="shared" si="40"/>
        <v>17.60222222222222</v>
      </c>
      <c r="AE217">
        <f t="shared" si="41"/>
        <v>14.216399573333332</v>
      </c>
      <c r="AF217" s="9"/>
      <c r="AG217" s="22">
        <v>0.94238299999999997</v>
      </c>
      <c r="AH217" s="22">
        <v>20.664200000000001</v>
      </c>
      <c r="AI217" s="22">
        <v>-1.41327E-2</v>
      </c>
      <c r="AJ217" s="22">
        <v>207</v>
      </c>
      <c r="AK217" s="22">
        <v>0.94146700000000005</v>
      </c>
      <c r="AL217">
        <f t="shared" si="42"/>
        <v>17.447777777777777</v>
      </c>
      <c r="AM217">
        <f t="shared" si="43"/>
        <v>16.442489165555553</v>
      </c>
      <c r="AP217" s="9"/>
      <c r="AQ217" s="22">
        <v>0.80764800000000003</v>
      </c>
      <c r="AR217" s="22">
        <v>26.227499999999999</v>
      </c>
      <c r="AS217" s="22">
        <v>-1.4267E-2</v>
      </c>
      <c r="AT217" s="22">
        <v>207</v>
      </c>
      <c r="AU217" s="22">
        <v>0.80657999999999996</v>
      </c>
      <c r="AV217">
        <f t="shared" si="44"/>
        <v>17.613580246913582</v>
      </c>
      <c r="AW217">
        <f t="shared" si="45"/>
        <v>14.225572859259261</v>
      </c>
      <c r="AX217" s="9"/>
      <c r="AY217" s="22">
        <v>0.94238299999999997</v>
      </c>
      <c r="AZ217" s="22">
        <v>30.147400000000001</v>
      </c>
      <c r="BA217" s="22">
        <v>-1.4154099999999999E-2</v>
      </c>
      <c r="BB217" s="22">
        <v>207</v>
      </c>
      <c r="BC217" s="22">
        <v>0.94146700000000005</v>
      </c>
      <c r="BD217">
        <f t="shared" si="46"/>
        <v>17.474197530864195</v>
      </c>
      <c r="BE217">
        <f t="shared" si="47"/>
        <v>16.467386691728393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7.2890899999999998</v>
      </c>
      <c r="I218" s="22">
        <v>-1.42212E-2</v>
      </c>
      <c r="J218" s="22">
        <v>208</v>
      </c>
      <c r="K218" s="22">
        <v>0.80108599999999996</v>
      </c>
      <c r="L218">
        <f t="shared" si="36"/>
        <v>17.557037037037034</v>
      </c>
      <c r="M218">
        <f t="shared" si="37"/>
        <v>14.091488610370368</v>
      </c>
      <c r="N218" s="9"/>
      <c r="O218" s="22">
        <v>0.94741799999999998</v>
      </c>
      <c r="P218" s="22">
        <v>11.209</v>
      </c>
      <c r="Q218" s="22">
        <v>-1.40961E-2</v>
      </c>
      <c r="R218" s="22">
        <v>208</v>
      </c>
      <c r="S218" s="22">
        <v>0.94604500000000002</v>
      </c>
      <c r="T218">
        <f t="shared" si="38"/>
        <v>17.40259259259259</v>
      </c>
      <c r="U218">
        <f t="shared" si="39"/>
        <v>16.487529468888887</v>
      </c>
      <c r="X218" s="9"/>
      <c r="Y218" s="22">
        <v>0.80261199999999999</v>
      </c>
      <c r="Z218" s="22">
        <v>16.754300000000001</v>
      </c>
      <c r="AA218" s="22">
        <v>-1.4263899999999999E-2</v>
      </c>
      <c r="AB218" s="22">
        <v>208</v>
      </c>
      <c r="AC218" s="22">
        <v>0.80139199999999999</v>
      </c>
      <c r="AD218">
        <f t="shared" si="40"/>
        <v>17.609753086419751</v>
      </c>
      <c r="AE218">
        <f t="shared" si="41"/>
        <v>14.133799144197528</v>
      </c>
      <c r="AF218" s="9"/>
      <c r="AG218" s="22">
        <v>0.94741799999999998</v>
      </c>
      <c r="AH218" s="22">
        <v>20.674199999999999</v>
      </c>
      <c r="AI218" s="22">
        <v>-1.41266E-2</v>
      </c>
      <c r="AJ218" s="22">
        <v>208</v>
      </c>
      <c r="AK218" s="22">
        <v>0.94635000000000002</v>
      </c>
      <c r="AL218">
        <f t="shared" si="42"/>
        <v>17.440246913580246</v>
      </c>
      <c r="AM218">
        <f t="shared" si="43"/>
        <v>16.523203850370368</v>
      </c>
      <c r="AP218" s="9"/>
      <c r="AQ218" s="22">
        <v>0.80261199999999999</v>
      </c>
      <c r="AR218" s="22">
        <v>26.237500000000001</v>
      </c>
      <c r="AS218" s="22">
        <v>-1.42761E-2</v>
      </c>
      <c r="AT218" s="22">
        <v>208</v>
      </c>
      <c r="AU218" s="22">
        <v>0.80139199999999999</v>
      </c>
      <c r="AV218">
        <f t="shared" si="44"/>
        <v>17.624814814814812</v>
      </c>
      <c r="AW218">
        <f t="shared" si="45"/>
        <v>14.145887868148145</v>
      </c>
      <c r="AX218" s="9"/>
      <c r="AY218" s="22">
        <v>0.94741799999999998</v>
      </c>
      <c r="AZ218" s="22">
        <v>30.157399999999999</v>
      </c>
      <c r="BA218" s="22">
        <v>-1.41479E-2</v>
      </c>
      <c r="BB218" s="22">
        <v>208</v>
      </c>
      <c r="BC218" s="22">
        <v>0.94604500000000002</v>
      </c>
      <c r="BD218">
        <f t="shared" si="46"/>
        <v>17.466543209876541</v>
      </c>
      <c r="BE218">
        <f t="shared" si="47"/>
        <v>16.548117434814813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7.2991599999999996</v>
      </c>
      <c r="I219" s="22">
        <v>-1.4224199999999999E-2</v>
      </c>
      <c r="J219" s="22">
        <v>209</v>
      </c>
      <c r="K219" s="22">
        <v>0.79711900000000002</v>
      </c>
      <c r="L219">
        <f t="shared" si="36"/>
        <v>17.560740740740737</v>
      </c>
      <c r="M219">
        <f t="shared" si="37"/>
        <v>14.006042917777775</v>
      </c>
      <c r="N219" s="9"/>
      <c r="O219" s="22">
        <v>0.95245400000000002</v>
      </c>
      <c r="P219" s="22">
        <v>11.219099999999999</v>
      </c>
      <c r="Q219" s="22">
        <v>-1.4093E-2</v>
      </c>
      <c r="R219" s="22">
        <v>209</v>
      </c>
      <c r="S219" s="22">
        <v>0.951233</v>
      </c>
      <c r="T219">
        <f t="shared" si="38"/>
        <v>17.398765432098763</v>
      </c>
      <c r="U219">
        <f t="shared" si="39"/>
        <v>16.571523730864197</v>
      </c>
      <c r="X219" s="9"/>
      <c r="Y219" s="22">
        <v>0.79757699999999998</v>
      </c>
      <c r="Z219" s="22">
        <v>16.764399999999998</v>
      </c>
      <c r="AA219" s="22">
        <v>-1.427E-2</v>
      </c>
      <c r="AB219" s="22">
        <v>209</v>
      </c>
      <c r="AC219" s="22">
        <v>0.79681400000000002</v>
      </c>
      <c r="AD219">
        <f t="shared" si="40"/>
        <v>17.617283950617285</v>
      </c>
      <c r="AE219">
        <f t="shared" si="41"/>
        <v>14.051140481481482</v>
      </c>
      <c r="AF219" s="9"/>
      <c r="AG219" s="22">
        <v>0.95245400000000002</v>
      </c>
      <c r="AH219" s="22">
        <v>20.6843</v>
      </c>
      <c r="AI219" s="22">
        <v>-1.4123500000000001E-2</v>
      </c>
      <c r="AJ219" s="22">
        <v>209</v>
      </c>
      <c r="AK219" s="22">
        <v>0.950928</v>
      </c>
      <c r="AL219">
        <f t="shared" si="42"/>
        <v>17.436419753086419</v>
      </c>
      <c r="AM219">
        <f t="shared" si="43"/>
        <v>16.607387739506173</v>
      </c>
      <c r="AP219" s="9"/>
      <c r="AQ219" s="22">
        <v>0.79757699999999998</v>
      </c>
      <c r="AR219" s="22">
        <v>26.247599999999998</v>
      </c>
      <c r="AS219" s="22">
        <v>-1.42822E-2</v>
      </c>
      <c r="AT219" s="22">
        <v>209</v>
      </c>
      <c r="AU219" s="22">
        <v>0.79681400000000002</v>
      </c>
      <c r="AV219">
        <f t="shared" si="44"/>
        <v>17.632345679012342</v>
      </c>
      <c r="AW219">
        <f t="shared" si="45"/>
        <v>14.063153369629626</v>
      </c>
      <c r="AX219" s="9"/>
      <c r="AY219" s="22">
        <v>0.95245400000000002</v>
      </c>
      <c r="AZ219" s="22">
        <v>30.1675</v>
      </c>
      <c r="BA219" s="22">
        <v>-1.41449E-2</v>
      </c>
      <c r="BB219" s="22">
        <v>209</v>
      </c>
      <c r="BC219" s="22">
        <v>0.95153799999999999</v>
      </c>
      <c r="BD219">
        <f t="shared" si="46"/>
        <v>17.462839506172838</v>
      </c>
      <c r="BE219">
        <f t="shared" si="47"/>
        <v>16.632551339012345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7.3092300000000003</v>
      </c>
      <c r="I220" s="22">
        <v>-1.42273E-2</v>
      </c>
      <c r="J220" s="22">
        <v>210</v>
      </c>
      <c r="K220" s="22">
        <v>0.79162600000000005</v>
      </c>
      <c r="L220">
        <f t="shared" si="36"/>
        <v>17.564567901234565</v>
      </c>
      <c r="M220">
        <f t="shared" si="37"/>
        <v>13.920657773580244</v>
      </c>
      <c r="N220" s="9"/>
      <c r="O220" s="22">
        <v>0.95748900000000003</v>
      </c>
      <c r="P220" s="22">
        <v>11.229100000000001</v>
      </c>
      <c r="Q220" s="22">
        <v>-1.409E-2</v>
      </c>
      <c r="R220" s="22">
        <v>210</v>
      </c>
      <c r="S220" s="22">
        <v>0.95642099999999997</v>
      </c>
      <c r="T220">
        <f t="shared" si="38"/>
        <v>17.39506172839506</v>
      </c>
      <c r="U220">
        <f t="shared" si="39"/>
        <v>16.65558025925926</v>
      </c>
      <c r="X220" s="9"/>
      <c r="Y220" s="22">
        <v>0.79254199999999997</v>
      </c>
      <c r="Z220" s="22">
        <v>16.7745</v>
      </c>
      <c r="AA220" s="22">
        <v>-1.427E-2</v>
      </c>
      <c r="AB220" s="22">
        <v>210</v>
      </c>
      <c r="AC220" s="22">
        <v>0.79193100000000005</v>
      </c>
      <c r="AD220">
        <f t="shared" si="40"/>
        <v>17.617283950617285</v>
      </c>
      <c r="AE220">
        <f t="shared" si="41"/>
        <v>13.962437456790123</v>
      </c>
      <c r="AF220" s="9"/>
      <c r="AG220" s="22">
        <v>0.95748900000000003</v>
      </c>
      <c r="AH220" s="22">
        <v>20.694400000000002</v>
      </c>
      <c r="AI220" s="22">
        <v>-1.41174E-2</v>
      </c>
      <c r="AJ220" s="22">
        <v>210</v>
      </c>
      <c r="AK220" s="22">
        <v>0.95672599999999997</v>
      </c>
      <c r="AL220">
        <f t="shared" si="42"/>
        <v>17.428888888888888</v>
      </c>
      <c r="AM220">
        <f t="shared" si="43"/>
        <v>16.687969393333333</v>
      </c>
      <c r="AP220" s="9"/>
      <c r="AQ220" s="22">
        <v>0.79254199999999997</v>
      </c>
      <c r="AR220" s="22">
        <v>26.2577</v>
      </c>
      <c r="AS220" s="22">
        <v>-1.42883E-2</v>
      </c>
      <c r="AT220" s="22">
        <v>210</v>
      </c>
      <c r="AU220" s="22">
        <v>0.79162600000000005</v>
      </c>
      <c r="AV220">
        <f t="shared" si="44"/>
        <v>17.639876543209876</v>
      </c>
      <c r="AW220">
        <f t="shared" si="45"/>
        <v>13.980343035308641</v>
      </c>
      <c r="AX220" s="9"/>
      <c r="AY220" s="22">
        <v>0.95748900000000003</v>
      </c>
      <c r="AZ220" s="22">
        <v>30.177600000000002</v>
      </c>
      <c r="BA220" s="22">
        <v>-1.41388E-2</v>
      </c>
      <c r="BB220" s="22">
        <v>210</v>
      </c>
      <c r="BC220" s="22">
        <v>0.95642099999999997</v>
      </c>
      <c r="BD220">
        <f t="shared" si="46"/>
        <v>17.455308641975307</v>
      </c>
      <c r="BE220">
        <f t="shared" si="47"/>
        <v>16.713266016296295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7.3193099999999998</v>
      </c>
      <c r="I221" s="22">
        <v>-1.42334E-2</v>
      </c>
      <c r="J221" s="22">
        <v>211</v>
      </c>
      <c r="K221" s="22">
        <v>0.78674299999999997</v>
      </c>
      <c r="L221">
        <f t="shared" si="36"/>
        <v>17.572098765432099</v>
      </c>
      <c r="M221">
        <f t="shared" si="37"/>
        <v>13.838133210370371</v>
      </c>
      <c r="N221" s="9"/>
      <c r="O221" s="22">
        <v>0.96252400000000005</v>
      </c>
      <c r="P221" s="22">
        <v>11.2392</v>
      </c>
      <c r="Q221" s="22">
        <v>-1.40839E-2</v>
      </c>
      <c r="R221" s="22">
        <v>211</v>
      </c>
      <c r="S221" s="22">
        <v>0.96160900000000005</v>
      </c>
      <c r="T221">
        <f t="shared" si="38"/>
        <v>17.387530864197529</v>
      </c>
      <c r="U221">
        <f t="shared" si="39"/>
        <v>16.735915757530865</v>
      </c>
      <c r="X221" s="9"/>
      <c r="Y221" s="22">
        <v>0.78750600000000004</v>
      </c>
      <c r="Z221" s="22">
        <v>16.784500000000001</v>
      </c>
      <c r="AA221" s="22">
        <v>-1.42731E-2</v>
      </c>
      <c r="AB221" s="22">
        <v>211</v>
      </c>
      <c r="AC221" s="22">
        <v>0.78643799999999997</v>
      </c>
      <c r="AD221">
        <f t="shared" si="40"/>
        <v>17.621111111111112</v>
      </c>
      <c r="AE221">
        <f t="shared" si="41"/>
        <v>13.876730726666668</v>
      </c>
      <c r="AF221" s="9"/>
      <c r="AG221" s="22">
        <v>0.96252400000000005</v>
      </c>
      <c r="AH221" s="22">
        <v>20.704499999999999</v>
      </c>
      <c r="AI221" s="22">
        <v>-1.41113E-2</v>
      </c>
      <c r="AJ221" s="22">
        <v>211</v>
      </c>
      <c r="AK221" s="22">
        <v>0.96099900000000005</v>
      </c>
      <c r="AL221">
        <f t="shared" si="42"/>
        <v>17.421358024691358</v>
      </c>
      <c r="AM221">
        <f t="shared" si="43"/>
        <v>16.768475211358027</v>
      </c>
      <c r="AP221" s="9"/>
      <c r="AQ221" s="22">
        <v>0.78750600000000004</v>
      </c>
      <c r="AR221" s="22">
        <v>26.267800000000001</v>
      </c>
      <c r="AS221" s="22">
        <v>-1.4294400000000001E-2</v>
      </c>
      <c r="AT221" s="22">
        <v>211</v>
      </c>
      <c r="AU221" s="22">
        <v>0.78643799999999997</v>
      </c>
      <c r="AV221">
        <f t="shared" si="44"/>
        <v>17.647407407407407</v>
      </c>
      <c r="AW221">
        <f t="shared" si="45"/>
        <v>13.897439217777778</v>
      </c>
      <c r="AX221" s="9"/>
      <c r="AY221" s="22">
        <v>0.96252400000000005</v>
      </c>
      <c r="AZ221" s="22">
        <v>30.1877</v>
      </c>
      <c r="BA221" s="22">
        <v>-1.4135699999999999E-2</v>
      </c>
      <c r="BB221" s="22">
        <v>211</v>
      </c>
      <c r="BC221" s="22">
        <v>0.96099900000000005</v>
      </c>
      <c r="BD221">
        <f t="shared" si="46"/>
        <v>17.45148148148148</v>
      </c>
      <c r="BE221">
        <f t="shared" si="47"/>
        <v>16.79746976148148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7.3293799999999996</v>
      </c>
      <c r="I222" s="22">
        <v>-1.42395E-2</v>
      </c>
      <c r="J222" s="22">
        <v>212</v>
      </c>
      <c r="K222" s="22">
        <v>0.78216600000000003</v>
      </c>
      <c r="L222">
        <f t="shared" si="36"/>
        <v>17.579629629629629</v>
      </c>
      <c r="M222">
        <f t="shared" si="37"/>
        <v>13.755550375925926</v>
      </c>
      <c r="N222" s="9"/>
      <c r="O222" s="22">
        <v>0.96755999999999998</v>
      </c>
      <c r="P222" s="22">
        <v>11.2493</v>
      </c>
      <c r="Q222" s="22">
        <v>-1.40778E-2</v>
      </c>
      <c r="R222" s="22">
        <v>212</v>
      </c>
      <c r="S222" s="22">
        <v>0.96649200000000002</v>
      </c>
      <c r="T222">
        <f t="shared" si="38"/>
        <v>17.38</v>
      </c>
      <c r="U222">
        <f t="shared" si="39"/>
        <v>16.8161928</v>
      </c>
      <c r="X222" s="9"/>
      <c r="Y222" s="22">
        <v>0.78247100000000003</v>
      </c>
      <c r="Z222" s="22">
        <v>16.794599999999999</v>
      </c>
      <c r="AA222" s="22">
        <v>-1.42761E-2</v>
      </c>
      <c r="AB222" s="22">
        <v>212</v>
      </c>
      <c r="AC222" s="22">
        <v>0.78186</v>
      </c>
      <c r="AD222">
        <f t="shared" si="40"/>
        <v>17.624814814814812</v>
      </c>
      <c r="AE222">
        <f t="shared" si="41"/>
        <v>13.790906472962961</v>
      </c>
      <c r="AF222" s="9"/>
      <c r="AG222" s="22">
        <v>0.96755999999999998</v>
      </c>
      <c r="AH222" s="22">
        <v>20.714500000000001</v>
      </c>
      <c r="AI222" s="22">
        <v>-1.41052E-2</v>
      </c>
      <c r="AJ222" s="22">
        <v>212</v>
      </c>
      <c r="AK222" s="22">
        <v>0.96618700000000002</v>
      </c>
      <c r="AL222">
        <f t="shared" si="42"/>
        <v>17.413827160493828</v>
      </c>
      <c r="AM222">
        <f t="shared" si="43"/>
        <v>16.848922607407406</v>
      </c>
      <c r="AP222" s="9"/>
      <c r="AQ222" s="22">
        <v>0.78247100000000003</v>
      </c>
      <c r="AR222" s="22">
        <v>26.277799999999999</v>
      </c>
      <c r="AS222" s="22">
        <v>-1.4300500000000001E-2</v>
      </c>
      <c r="AT222" s="22">
        <v>212</v>
      </c>
      <c r="AU222" s="22">
        <v>0.781555</v>
      </c>
      <c r="AV222">
        <f t="shared" si="44"/>
        <v>17.654938271604937</v>
      </c>
      <c r="AW222">
        <f t="shared" si="45"/>
        <v>13.814477204320987</v>
      </c>
      <c r="AX222" s="9"/>
      <c r="AY222" s="22">
        <v>0.96755999999999998</v>
      </c>
      <c r="AZ222" s="22">
        <v>30.197700000000001</v>
      </c>
      <c r="BA222" s="22">
        <v>-1.4129600000000001E-2</v>
      </c>
      <c r="BB222" s="22">
        <v>212</v>
      </c>
      <c r="BC222" s="22">
        <v>0.96649200000000002</v>
      </c>
      <c r="BD222">
        <f t="shared" si="46"/>
        <v>17.443950617283949</v>
      </c>
      <c r="BE222">
        <f t="shared" si="47"/>
        <v>16.878068859259258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7.3394500000000003</v>
      </c>
      <c r="I223" s="22">
        <v>-1.4242599999999999E-2</v>
      </c>
      <c r="J223" s="22">
        <v>213</v>
      </c>
      <c r="K223" s="22">
        <v>0.77636700000000003</v>
      </c>
      <c r="L223">
        <f t="shared" si="36"/>
        <v>17.583456790123453</v>
      </c>
      <c r="M223">
        <f t="shared" si="37"/>
        <v>13.669994729629627</v>
      </c>
      <c r="N223" s="9"/>
      <c r="O223" s="22">
        <v>0.97259499999999999</v>
      </c>
      <c r="P223" s="22">
        <v>11.2593</v>
      </c>
      <c r="Q223" s="22">
        <v>-1.4074700000000001E-2</v>
      </c>
      <c r="R223" s="22">
        <v>213</v>
      </c>
      <c r="S223" s="22">
        <v>0.97137499999999999</v>
      </c>
      <c r="T223">
        <f t="shared" si="38"/>
        <v>17.376172839506172</v>
      </c>
      <c r="U223">
        <f t="shared" si="39"/>
        <v>16.899978822839504</v>
      </c>
      <c r="X223" s="9"/>
      <c r="Y223" s="22">
        <v>0.77743499999999999</v>
      </c>
      <c r="Z223" s="22">
        <v>16.8047</v>
      </c>
      <c r="AA223" s="22">
        <v>-1.4279200000000001E-2</v>
      </c>
      <c r="AB223" s="22">
        <v>213</v>
      </c>
      <c r="AC223" s="22">
        <v>0.77606200000000003</v>
      </c>
      <c r="AD223">
        <f t="shared" si="40"/>
        <v>17.628641975308639</v>
      </c>
      <c r="AE223">
        <f t="shared" si="41"/>
        <v>13.705123274074072</v>
      </c>
      <c r="AF223" s="9"/>
      <c r="AG223" s="22">
        <v>0.97259499999999999</v>
      </c>
      <c r="AH223" s="22">
        <v>20.724599999999999</v>
      </c>
      <c r="AI223" s="22">
        <v>-1.41022E-2</v>
      </c>
      <c r="AJ223" s="22">
        <v>213</v>
      </c>
      <c r="AK223" s="22">
        <v>0.97106899999999996</v>
      </c>
      <c r="AL223">
        <f t="shared" si="42"/>
        <v>17.410123456790124</v>
      </c>
      <c r="AM223">
        <f t="shared" si="43"/>
        <v>16.932999023456791</v>
      </c>
      <c r="AP223" s="9"/>
      <c r="AQ223" s="22">
        <v>0.77743499999999999</v>
      </c>
      <c r="AR223" s="22">
        <v>26.2879</v>
      </c>
      <c r="AS223" s="22">
        <v>-1.43036E-2</v>
      </c>
      <c r="AT223" s="22">
        <v>213</v>
      </c>
      <c r="AU223" s="22">
        <v>0.77636700000000003</v>
      </c>
      <c r="AV223">
        <f t="shared" si="44"/>
        <v>17.658765432098765</v>
      </c>
      <c r="AW223">
        <f t="shared" si="45"/>
        <v>13.728542303703703</v>
      </c>
      <c r="AX223" s="9"/>
      <c r="AY223" s="22">
        <v>0.97259499999999999</v>
      </c>
      <c r="AZ223" s="22">
        <v>30.207799999999999</v>
      </c>
      <c r="BA223" s="22">
        <v>-1.41266E-2</v>
      </c>
      <c r="BB223" s="22">
        <v>213</v>
      </c>
      <c r="BC223" s="22">
        <v>0.97137499999999999</v>
      </c>
      <c r="BD223">
        <f t="shared" si="46"/>
        <v>17.440246913580246</v>
      </c>
      <c r="BE223">
        <f t="shared" si="47"/>
        <v>16.962296946913579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7.3495200000000001</v>
      </c>
      <c r="I224" s="22">
        <v>-1.42487E-2</v>
      </c>
      <c r="J224" s="22">
        <v>214</v>
      </c>
      <c r="K224" s="22">
        <v>0.77148399999999995</v>
      </c>
      <c r="L224">
        <f t="shared" si="36"/>
        <v>17.590987654320987</v>
      </c>
      <c r="M224">
        <f t="shared" si="37"/>
        <v>13.587278864197529</v>
      </c>
      <c r="N224" s="9"/>
      <c r="O224" s="22">
        <v>0.97763100000000003</v>
      </c>
      <c r="P224" s="22">
        <v>11.269399999999999</v>
      </c>
      <c r="Q224" s="22">
        <v>-1.4068600000000001E-2</v>
      </c>
      <c r="R224" s="22">
        <v>214</v>
      </c>
      <c r="S224" s="22">
        <v>0.97717299999999996</v>
      </c>
      <c r="T224">
        <f t="shared" si="38"/>
        <v>17.368641975308641</v>
      </c>
      <c r="U224">
        <f t="shared" si="39"/>
        <v>16.980122822962961</v>
      </c>
      <c r="X224" s="9"/>
      <c r="Y224" s="22">
        <v>0.77239999999999998</v>
      </c>
      <c r="Z224" s="22">
        <v>16.814699999999998</v>
      </c>
      <c r="AA224" s="22">
        <v>-1.42883E-2</v>
      </c>
      <c r="AB224" s="22">
        <v>214</v>
      </c>
      <c r="AC224" s="22">
        <v>0.77178999999999998</v>
      </c>
      <c r="AD224">
        <f t="shared" si="40"/>
        <v>17.639876543209876</v>
      </c>
      <c r="AE224">
        <f t="shared" si="41"/>
        <v>13.625040641975309</v>
      </c>
      <c r="AF224" s="9"/>
      <c r="AG224" s="22">
        <v>0.97763100000000003</v>
      </c>
      <c r="AH224" s="22">
        <v>20.7347</v>
      </c>
      <c r="AI224" s="22">
        <v>-1.40961E-2</v>
      </c>
      <c r="AJ224" s="22">
        <v>214</v>
      </c>
      <c r="AK224" s="22">
        <v>0.97686799999999996</v>
      </c>
      <c r="AL224">
        <f t="shared" si="42"/>
        <v>17.40259259259259</v>
      </c>
      <c r="AM224">
        <f t="shared" si="43"/>
        <v>17.013313998888886</v>
      </c>
      <c r="AP224" s="9"/>
      <c r="AQ224" s="22">
        <v>0.77239999999999998</v>
      </c>
      <c r="AR224" s="22">
        <v>26.297999999999998</v>
      </c>
      <c r="AS224" s="22">
        <v>-1.43036E-2</v>
      </c>
      <c r="AT224" s="22">
        <v>214</v>
      </c>
      <c r="AU224" s="22">
        <v>0.77117899999999995</v>
      </c>
      <c r="AV224">
        <f t="shared" si="44"/>
        <v>17.658765432098765</v>
      </c>
      <c r="AW224">
        <f t="shared" si="45"/>
        <v>13.639630419753086</v>
      </c>
      <c r="AX224" s="9"/>
      <c r="AY224" s="22">
        <v>0.97763100000000003</v>
      </c>
      <c r="AZ224" s="22">
        <v>30.2179</v>
      </c>
      <c r="BA224" s="22">
        <v>-1.4120499999999999E-2</v>
      </c>
      <c r="BB224" s="22">
        <v>214</v>
      </c>
      <c r="BC224" s="22">
        <v>0.97656299999999996</v>
      </c>
      <c r="BD224">
        <f t="shared" si="46"/>
        <v>17.432716049382716</v>
      </c>
      <c r="BE224">
        <f t="shared" si="47"/>
        <v>17.042763624074073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7.3595899999999999</v>
      </c>
      <c r="I225" s="22">
        <v>-1.4251700000000001E-2</v>
      </c>
      <c r="J225" s="22">
        <v>215</v>
      </c>
      <c r="K225" s="22">
        <v>0.76690700000000001</v>
      </c>
      <c r="L225">
        <f t="shared" si="36"/>
        <v>17.594691358024694</v>
      </c>
      <c r="M225">
        <f t="shared" si="37"/>
        <v>13.501550333950618</v>
      </c>
      <c r="N225" s="9"/>
      <c r="O225" s="22">
        <v>0.98266600000000004</v>
      </c>
      <c r="P225" s="22">
        <v>11.279500000000001</v>
      </c>
      <c r="Q225" s="22">
        <v>-1.4065599999999999E-2</v>
      </c>
      <c r="R225" s="22">
        <v>215</v>
      </c>
      <c r="S225" s="22">
        <v>0.98175000000000001</v>
      </c>
      <c r="T225">
        <f t="shared" si="38"/>
        <v>17.364938271604938</v>
      </c>
      <c r="U225">
        <f t="shared" si="39"/>
        <v>17.063934431604938</v>
      </c>
      <c r="X225" s="9"/>
      <c r="Y225" s="22">
        <v>0.76736499999999996</v>
      </c>
      <c r="Z225" s="22">
        <v>16.8248</v>
      </c>
      <c r="AA225" s="22">
        <v>-1.4291399999999999E-2</v>
      </c>
      <c r="AB225" s="22">
        <v>215</v>
      </c>
      <c r="AC225" s="22">
        <v>0.76660200000000001</v>
      </c>
      <c r="AD225">
        <f t="shared" si="40"/>
        <v>17.643703703703704</v>
      </c>
      <c r="AE225">
        <f t="shared" si="41"/>
        <v>13.539160692592592</v>
      </c>
      <c r="AF225" s="9"/>
      <c r="AG225" s="22">
        <v>0.98266600000000004</v>
      </c>
      <c r="AH225" s="22">
        <v>20.744700000000002</v>
      </c>
      <c r="AI225" s="22">
        <v>-1.409E-2</v>
      </c>
      <c r="AJ225" s="22">
        <v>215</v>
      </c>
      <c r="AK225" s="22">
        <v>0.98175000000000001</v>
      </c>
      <c r="AL225">
        <f t="shared" si="42"/>
        <v>17.39506172839506</v>
      </c>
      <c r="AM225">
        <f t="shared" si="43"/>
        <v>17.093535728395061</v>
      </c>
      <c r="AP225" s="9"/>
      <c r="AQ225" s="22">
        <v>0.76736499999999996</v>
      </c>
      <c r="AR225" s="22">
        <v>26.308</v>
      </c>
      <c r="AS225" s="22">
        <v>-1.43097E-2</v>
      </c>
      <c r="AT225" s="22">
        <v>215</v>
      </c>
      <c r="AU225" s="22">
        <v>0.76629599999999998</v>
      </c>
      <c r="AV225">
        <f t="shared" si="44"/>
        <v>17.666296296296295</v>
      </c>
      <c r="AW225">
        <f t="shared" si="45"/>
        <v>13.556497457407406</v>
      </c>
      <c r="AX225" s="9"/>
      <c r="AY225" s="22">
        <v>0.98266600000000004</v>
      </c>
      <c r="AZ225" s="22">
        <v>30.227900000000002</v>
      </c>
      <c r="BA225" s="22">
        <v>-1.41113E-2</v>
      </c>
      <c r="BB225" s="22">
        <v>215</v>
      </c>
      <c r="BC225" s="22">
        <v>0.98114000000000001</v>
      </c>
      <c r="BD225">
        <f t="shared" si="46"/>
        <v>17.421358024691358</v>
      </c>
      <c r="BE225">
        <f t="shared" si="47"/>
        <v>17.11937620469136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7.3696599999999997</v>
      </c>
      <c r="I226" s="22">
        <v>-1.42548E-2</v>
      </c>
      <c r="J226" s="22">
        <v>216</v>
      </c>
      <c r="K226" s="22">
        <v>0.76171900000000003</v>
      </c>
      <c r="L226">
        <f t="shared" si="36"/>
        <v>17.598518518518517</v>
      </c>
      <c r="M226">
        <f t="shared" si="37"/>
        <v>13.415861023703703</v>
      </c>
      <c r="N226" s="9"/>
      <c r="O226" s="22">
        <v>0.98770100000000005</v>
      </c>
      <c r="P226" s="22">
        <v>11.2896</v>
      </c>
      <c r="Q226" s="22">
        <v>-1.40594E-2</v>
      </c>
      <c r="R226" s="22">
        <v>216</v>
      </c>
      <c r="S226" s="22">
        <v>0.98602299999999998</v>
      </c>
      <c r="T226">
        <f t="shared" si="38"/>
        <v>17.357283950617283</v>
      </c>
      <c r="U226">
        <f t="shared" si="39"/>
        <v>17.143806715308642</v>
      </c>
      <c r="X226" s="9"/>
      <c r="Y226" s="22">
        <v>0.76232900000000003</v>
      </c>
      <c r="Z226" s="22">
        <v>16.834900000000001</v>
      </c>
      <c r="AA226" s="22">
        <v>-1.4294400000000001E-2</v>
      </c>
      <c r="AB226" s="22">
        <v>216</v>
      </c>
      <c r="AC226" s="22">
        <v>0.76080300000000001</v>
      </c>
      <c r="AD226">
        <f t="shared" si="40"/>
        <v>17.647407407407407</v>
      </c>
      <c r="AE226">
        <f t="shared" si="41"/>
        <v>13.453130441481482</v>
      </c>
      <c r="AF226" s="9"/>
      <c r="AG226" s="22">
        <v>0.98770100000000005</v>
      </c>
      <c r="AH226" s="22">
        <v>20.754799999999999</v>
      </c>
      <c r="AI226" s="22">
        <v>-1.40839E-2</v>
      </c>
      <c r="AJ226" s="22">
        <v>216</v>
      </c>
      <c r="AK226" s="22">
        <v>0.98663299999999998</v>
      </c>
      <c r="AL226">
        <f t="shared" si="42"/>
        <v>17.387530864197529</v>
      </c>
      <c r="AM226">
        <f t="shared" si="43"/>
        <v>17.173681622098766</v>
      </c>
      <c r="AP226" s="9"/>
      <c r="AQ226" s="22">
        <v>0.76232900000000003</v>
      </c>
      <c r="AR226" s="22">
        <v>26.318100000000001</v>
      </c>
      <c r="AS226" s="22">
        <v>-1.4312699999999999E-2</v>
      </c>
      <c r="AT226" s="22">
        <v>216</v>
      </c>
      <c r="AU226" s="22">
        <v>0.76080300000000001</v>
      </c>
      <c r="AV226">
        <f t="shared" si="44"/>
        <v>17.669999999999998</v>
      </c>
      <c r="AW226">
        <f t="shared" si="45"/>
        <v>13.470353429999999</v>
      </c>
      <c r="AX226" s="9"/>
      <c r="AY226" s="22">
        <v>0.98770100000000005</v>
      </c>
      <c r="AZ226" s="22">
        <v>30.238</v>
      </c>
      <c r="BA226" s="22">
        <v>-1.41022E-2</v>
      </c>
      <c r="BB226" s="22">
        <v>216</v>
      </c>
      <c r="BC226" s="22">
        <v>0.98663299999999998</v>
      </c>
      <c r="BD226">
        <f t="shared" si="46"/>
        <v>17.410123456790124</v>
      </c>
      <c r="BE226">
        <f t="shared" si="47"/>
        <v>17.195996348395063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7.3797300000000003</v>
      </c>
      <c r="I227" s="22">
        <v>-1.4257799999999999E-2</v>
      </c>
      <c r="J227" s="22">
        <v>217</v>
      </c>
      <c r="K227" s="22">
        <v>0.75622599999999995</v>
      </c>
      <c r="L227">
        <f t="shared" si="36"/>
        <v>17.60222222222222</v>
      </c>
      <c r="M227">
        <f t="shared" si="37"/>
        <v>13.330057275555555</v>
      </c>
      <c r="N227" s="9"/>
      <c r="O227" s="22">
        <v>0.99273699999999998</v>
      </c>
      <c r="P227" s="22">
        <v>11.2996</v>
      </c>
      <c r="Q227" s="22">
        <v>-1.40564E-2</v>
      </c>
      <c r="R227" s="22">
        <v>217</v>
      </c>
      <c r="S227" s="22">
        <v>0.99151599999999995</v>
      </c>
      <c r="T227">
        <f t="shared" si="38"/>
        <v>17.35358024691358</v>
      </c>
      <c r="U227">
        <f t="shared" si="39"/>
        <v>17.227541193580247</v>
      </c>
      <c r="X227" s="9"/>
      <c r="Y227" s="22">
        <v>0.75729400000000002</v>
      </c>
      <c r="Z227" s="22">
        <v>16.844999999999999</v>
      </c>
      <c r="AA227" s="22">
        <v>-1.4300500000000001E-2</v>
      </c>
      <c r="AB227" s="22">
        <v>217</v>
      </c>
      <c r="AC227" s="22">
        <v>0.75592000000000004</v>
      </c>
      <c r="AD227">
        <f t="shared" si="40"/>
        <v>17.654938271604937</v>
      </c>
      <c r="AE227">
        <f t="shared" si="41"/>
        <v>13.36997882345679</v>
      </c>
      <c r="AF227" s="9"/>
      <c r="AG227" s="22">
        <v>0.99273699999999998</v>
      </c>
      <c r="AH227" s="22">
        <v>20.764900000000001</v>
      </c>
      <c r="AI227" s="22">
        <v>-1.4080799999999999E-2</v>
      </c>
      <c r="AJ227" s="22">
        <v>217</v>
      </c>
      <c r="AK227" s="22">
        <v>0.99090599999999995</v>
      </c>
      <c r="AL227">
        <f t="shared" si="42"/>
        <v>17.383703703703702</v>
      </c>
      <c r="AM227">
        <f t="shared" si="43"/>
        <v>17.257445863703701</v>
      </c>
      <c r="AP227" s="9"/>
      <c r="AQ227" s="22">
        <v>0.75729400000000002</v>
      </c>
      <c r="AR227" s="22">
        <v>26.328199999999999</v>
      </c>
      <c r="AS227" s="22">
        <v>-1.43188E-2</v>
      </c>
      <c r="AT227" s="22">
        <v>217</v>
      </c>
      <c r="AU227" s="22">
        <v>0.75653099999999995</v>
      </c>
      <c r="AV227">
        <f t="shared" si="44"/>
        <v>17.677530864197529</v>
      </c>
      <c r="AW227">
        <f t="shared" si="45"/>
        <v>13.387088058271603</v>
      </c>
      <c r="AX227" s="9"/>
      <c r="AY227" s="22">
        <v>0.99273699999999998</v>
      </c>
      <c r="AZ227" s="22">
        <v>30.248100000000001</v>
      </c>
      <c r="BA227" s="22">
        <v>-1.40991E-2</v>
      </c>
      <c r="BB227" s="22">
        <v>217</v>
      </c>
      <c r="BC227" s="22">
        <v>0.99151599999999995</v>
      </c>
      <c r="BD227">
        <f t="shared" si="46"/>
        <v>17.406296296296293</v>
      </c>
      <c r="BE227">
        <f t="shared" si="47"/>
        <v>17.279874366296294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7.3898000000000001</v>
      </c>
      <c r="I228" s="22">
        <v>-1.42609E-2</v>
      </c>
      <c r="J228" s="22">
        <v>218</v>
      </c>
      <c r="K228" s="22">
        <v>0.75103799999999998</v>
      </c>
      <c r="L228">
        <f t="shared" si="36"/>
        <v>17.606049382716048</v>
      </c>
      <c r="M228">
        <f t="shared" si="37"/>
        <v>13.244291496543209</v>
      </c>
      <c r="N228" s="9"/>
      <c r="O228" s="22">
        <v>0.99777199999999999</v>
      </c>
      <c r="P228" s="22">
        <v>11.309699999999999</v>
      </c>
      <c r="Q228" s="22">
        <v>-1.4053299999999999E-2</v>
      </c>
      <c r="R228" s="22">
        <v>218</v>
      </c>
      <c r="S228" s="22">
        <v>0.99639900000000003</v>
      </c>
      <c r="T228">
        <f t="shared" si="38"/>
        <v>17.349753086419753</v>
      </c>
      <c r="U228">
        <f t="shared" si="39"/>
        <v>17.311097836543208</v>
      </c>
      <c r="X228" s="9"/>
      <c r="Y228" s="22">
        <v>0.75225799999999998</v>
      </c>
      <c r="Z228" s="22">
        <v>16.855</v>
      </c>
      <c r="AA228" s="22">
        <v>-1.43036E-2</v>
      </c>
      <c r="AB228" s="22">
        <v>218</v>
      </c>
      <c r="AC228" s="22">
        <v>0.75164799999999998</v>
      </c>
      <c r="AD228">
        <f t="shared" si="40"/>
        <v>17.658765432098765</v>
      </c>
      <c r="AE228">
        <f t="shared" si="41"/>
        <v>13.283947566419751</v>
      </c>
      <c r="AF228" s="9"/>
      <c r="AG228" s="22">
        <v>0.99777199999999999</v>
      </c>
      <c r="AH228" s="22">
        <v>20.774999999999999</v>
      </c>
      <c r="AI228" s="22">
        <v>-1.4074700000000001E-2</v>
      </c>
      <c r="AJ228" s="22">
        <v>218</v>
      </c>
      <c r="AK228" s="22">
        <v>0.99731400000000003</v>
      </c>
      <c r="AL228">
        <f t="shared" si="42"/>
        <v>17.376172839506172</v>
      </c>
      <c r="AM228">
        <f t="shared" si="43"/>
        <v>17.337458726419751</v>
      </c>
      <c r="AP228" s="9"/>
      <c r="AQ228" s="22">
        <v>0.75225799999999998</v>
      </c>
      <c r="AR228" s="22">
        <v>26.3383</v>
      </c>
      <c r="AS228" s="22">
        <v>-1.4324999999999999E-2</v>
      </c>
      <c r="AT228" s="22">
        <v>218</v>
      </c>
      <c r="AU228" s="22">
        <v>0.75134299999999998</v>
      </c>
      <c r="AV228">
        <f t="shared" si="44"/>
        <v>17.685185185185183</v>
      </c>
      <c r="AW228">
        <f t="shared" si="45"/>
        <v>13.303822037037035</v>
      </c>
      <c r="AX228" s="9"/>
      <c r="AY228" s="22">
        <v>0.99777199999999999</v>
      </c>
      <c r="AZ228" s="22">
        <v>30.258199999999999</v>
      </c>
      <c r="BA228" s="22">
        <v>-1.4093E-2</v>
      </c>
      <c r="BB228" s="22">
        <v>218</v>
      </c>
      <c r="BC228" s="22">
        <v>0.99731400000000003</v>
      </c>
      <c r="BD228">
        <f t="shared" si="46"/>
        <v>17.398765432098763</v>
      </c>
      <c r="BE228">
        <f t="shared" si="47"/>
        <v>17.360000982716048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7.3998699999999999</v>
      </c>
      <c r="I229" s="22">
        <v>-1.4263899999999999E-2</v>
      </c>
      <c r="J229" s="22">
        <v>219</v>
      </c>
      <c r="K229" s="22">
        <v>0.74655199999999999</v>
      </c>
      <c r="L229">
        <f t="shared" si="36"/>
        <v>17.609753086419751</v>
      </c>
      <c r="M229">
        <f t="shared" si="37"/>
        <v>13.158412530493825</v>
      </c>
      <c r="N229" s="9"/>
      <c r="O229" s="22">
        <v>1.00281</v>
      </c>
      <c r="P229" s="22">
        <v>11.319800000000001</v>
      </c>
      <c r="Q229" s="22">
        <v>-1.4041100000000001E-2</v>
      </c>
      <c r="R229" s="22">
        <v>219</v>
      </c>
      <c r="S229" s="22">
        <v>1.00159</v>
      </c>
      <c r="T229">
        <f t="shared" si="38"/>
        <v>17.334691358024692</v>
      </c>
      <c r="U229">
        <f t="shared" si="39"/>
        <v>17.383401840740742</v>
      </c>
      <c r="X229" s="9"/>
      <c r="Y229" s="22">
        <v>0.74722299999999997</v>
      </c>
      <c r="Z229" s="22">
        <v>16.865100000000002</v>
      </c>
      <c r="AA229" s="22">
        <v>-1.4312699999999999E-2</v>
      </c>
      <c r="AB229" s="22">
        <v>219</v>
      </c>
      <c r="AC229" s="22">
        <v>0.74639900000000003</v>
      </c>
      <c r="AD229">
        <f t="shared" si="40"/>
        <v>17.669999999999998</v>
      </c>
      <c r="AE229">
        <f t="shared" si="41"/>
        <v>13.203430409999998</v>
      </c>
      <c r="AF229" s="9"/>
      <c r="AG229" s="22">
        <v>1.00281</v>
      </c>
      <c r="AH229" s="22">
        <v>20.785</v>
      </c>
      <c r="AI229" s="22">
        <v>-1.4068600000000001E-2</v>
      </c>
      <c r="AJ229" s="22">
        <v>219</v>
      </c>
      <c r="AK229" s="22">
        <v>1.0024999999999999</v>
      </c>
      <c r="AL229">
        <f t="shared" si="42"/>
        <v>17.368641975308641</v>
      </c>
      <c r="AM229">
        <f t="shared" si="43"/>
        <v>17.417447859259259</v>
      </c>
      <c r="AP229" s="9"/>
      <c r="AQ229" s="22">
        <v>0.74722299999999997</v>
      </c>
      <c r="AR229" s="22">
        <v>26.348299999999998</v>
      </c>
      <c r="AS229" s="22">
        <v>-1.4331099999999999E-2</v>
      </c>
      <c r="AT229" s="22">
        <v>219</v>
      </c>
      <c r="AU229" s="22">
        <v>0.74642900000000001</v>
      </c>
      <c r="AV229">
        <f t="shared" si="44"/>
        <v>17.692716049382714</v>
      </c>
      <c r="AW229">
        <f t="shared" si="45"/>
        <v>13.2204043645679</v>
      </c>
      <c r="AX229" s="9"/>
      <c r="AY229" s="22">
        <v>1.00281</v>
      </c>
      <c r="AZ229" s="22">
        <v>30.2682</v>
      </c>
      <c r="BA229" s="22">
        <v>-1.409E-2</v>
      </c>
      <c r="BB229" s="22">
        <v>219</v>
      </c>
      <c r="BC229" s="22">
        <v>1.00098</v>
      </c>
      <c r="BD229">
        <f t="shared" si="46"/>
        <v>17.39506172839506</v>
      </c>
      <c r="BE229">
        <f t="shared" si="47"/>
        <v>17.44394185185185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7.4099399999999997</v>
      </c>
      <c r="I230" s="22">
        <v>-1.42731E-2</v>
      </c>
      <c r="J230" s="22">
        <v>220</v>
      </c>
      <c r="K230" s="22">
        <v>0.741425</v>
      </c>
      <c r="L230">
        <f t="shared" si="36"/>
        <v>17.621111111111112</v>
      </c>
      <c r="M230">
        <f t="shared" si="37"/>
        <v>13.078177213333333</v>
      </c>
      <c r="N230" s="9"/>
      <c r="O230" s="22">
        <v>1.0078400000000001</v>
      </c>
      <c r="P230" s="22">
        <v>11.329800000000001</v>
      </c>
      <c r="Q230" s="22">
        <v>-1.4035000000000001E-2</v>
      </c>
      <c r="R230" s="22">
        <v>220</v>
      </c>
      <c r="S230" s="22">
        <v>1.0067699999999999</v>
      </c>
      <c r="T230">
        <f t="shared" si="38"/>
        <v>17.327160493827162</v>
      </c>
      <c r="U230">
        <f t="shared" si="39"/>
        <v>17.463005432098768</v>
      </c>
      <c r="X230" s="9"/>
      <c r="Y230" s="22">
        <v>0.74218799999999996</v>
      </c>
      <c r="Z230" s="22">
        <v>16.8752</v>
      </c>
      <c r="AA230" s="22">
        <v>-1.4312699999999999E-2</v>
      </c>
      <c r="AB230" s="22">
        <v>220</v>
      </c>
      <c r="AC230" s="22">
        <v>0.74145499999999998</v>
      </c>
      <c r="AD230">
        <f t="shared" si="40"/>
        <v>17.669999999999998</v>
      </c>
      <c r="AE230">
        <f t="shared" si="41"/>
        <v>13.114461959999998</v>
      </c>
      <c r="AF230" s="9"/>
      <c r="AG230" s="22">
        <v>1.0078400000000001</v>
      </c>
      <c r="AH230" s="22">
        <v>20.795100000000001</v>
      </c>
      <c r="AI230" s="22">
        <v>-1.4065599999999999E-2</v>
      </c>
      <c r="AJ230" s="22">
        <v>220</v>
      </c>
      <c r="AK230" s="22">
        <v>1.0067699999999999</v>
      </c>
      <c r="AL230">
        <f t="shared" si="42"/>
        <v>17.364938271604938</v>
      </c>
      <c r="AM230">
        <f t="shared" si="43"/>
        <v>17.501079387654322</v>
      </c>
      <c r="AP230" s="9"/>
      <c r="AQ230" s="22">
        <v>0.74218799999999996</v>
      </c>
      <c r="AR230" s="22">
        <v>26.3584</v>
      </c>
      <c r="AS230" s="22">
        <v>-1.43372E-2</v>
      </c>
      <c r="AT230" s="22">
        <v>220</v>
      </c>
      <c r="AU230" s="22">
        <v>0.74160800000000004</v>
      </c>
      <c r="AV230">
        <f t="shared" si="44"/>
        <v>17.700246913580244</v>
      </c>
      <c r="AW230">
        <f t="shared" si="45"/>
        <v>13.136910856296293</v>
      </c>
      <c r="AX230" s="9"/>
      <c r="AY230" s="22">
        <v>1.0078400000000001</v>
      </c>
      <c r="AZ230" s="22">
        <v>30.278300000000002</v>
      </c>
      <c r="BA230" s="22">
        <v>-1.4086899999999999E-2</v>
      </c>
      <c r="BB230" s="22">
        <v>220</v>
      </c>
      <c r="BC230" s="22">
        <v>1.0067699999999999</v>
      </c>
      <c r="BD230">
        <f t="shared" si="46"/>
        <v>17.391234567901233</v>
      </c>
      <c r="BE230">
        <f t="shared" si="47"/>
        <v>17.527581846913581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7.4200200000000001</v>
      </c>
      <c r="I231" s="22">
        <v>-1.42822E-2</v>
      </c>
      <c r="J231" s="22">
        <v>221</v>
      </c>
      <c r="K231" s="22">
        <v>0.73654200000000003</v>
      </c>
      <c r="L231">
        <f t="shared" si="36"/>
        <v>17.632345679012342</v>
      </c>
      <c r="M231">
        <f t="shared" si="37"/>
        <v>12.997718881975306</v>
      </c>
      <c r="N231" s="9"/>
      <c r="O231" s="22">
        <v>1.01288</v>
      </c>
      <c r="P231" s="22">
        <v>11.3399</v>
      </c>
      <c r="Q231" s="22">
        <v>-1.4031999999999999E-2</v>
      </c>
      <c r="R231" s="22">
        <v>221</v>
      </c>
      <c r="S231" s="22">
        <v>1.01196</v>
      </c>
      <c r="T231">
        <f t="shared" si="38"/>
        <v>17.323456790123455</v>
      </c>
      <c r="U231">
        <f t="shared" si="39"/>
        <v>17.546582913580245</v>
      </c>
      <c r="X231" s="9"/>
      <c r="Y231" s="22">
        <v>0.73715200000000003</v>
      </c>
      <c r="Z231" s="22">
        <v>16.885200000000001</v>
      </c>
      <c r="AA231" s="22">
        <v>-1.43188E-2</v>
      </c>
      <c r="AB231" s="22">
        <v>221</v>
      </c>
      <c r="AC231" s="22">
        <v>0.73638899999999996</v>
      </c>
      <c r="AD231">
        <f t="shared" si="40"/>
        <v>17.677530864197529</v>
      </c>
      <c r="AE231">
        <f t="shared" si="41"/>
        <v>13.031027231604938</v>
      </c>
      <c r="AF231" s="9"/>
      <c r="AG231" s="22">
        <v>1.01288</v>
      </c>
      <c r="AH231" s="22">
        <v>20.805199999999999</v>
      </c>
      <c r="AI231" s="22">
        <v>-1.40625E-2</v>
      </c>
      <c r="AJ231" s="22">
        <v>221</v>
      </c>
      <c r="AK231" s="22">
        <v>1.01196</v>
      </c>
      <c r="AL231">
        <f t="shared" si="42"/>
        <v>17.361111111111111</v>
      </c>
      <c r="AM231">
        <f t="shared" si="43"/>
        <v>17.584722222222222</v>
      </c>
      <c r="AP231" s="9"/>
      <c r="AQ231" s="22">
        <v>0.73715200000000003</v>
      </c>
      <c r="AR231" s="22">
        <v>26.368500000000001</v>
      </c>
      <c r="AS231" s="22">
        <v>-1.4340200000000001E-2</v>
      </c>
      <c r="AT231" s="22">
        <v>221</v>
      </c>
      <c r="AU231" s="22">
        <v>0.73638899999999996</v>
      </c>
      <c r="AV231">
        <f t="shared" si="44"/>
        <v>17.703950617283951</v>
      </c>
      <c r="AW231">
        <f t="shared" si="45"/>
        <v>13.050502605432099</v>
      </c>
      <c r="AX231" s="9"/>
      <c r="AY231" s="22">
        <v>1.01288</v>
      </c>
      <c r="AZ231" s="22">
        <v>30.288399999999999</v>
      </c>
      <c r="BA231" s="22">
        <v>-1.4080799999999999E-2</v>
      </c>
      <c r="BB231" s="22">
        <v>221</v>
      </c>
      <c r="BC231" s="22">
        <v>1.01166</v>
      </c>
      <c r="BD231">
        <f t="shared" si="46"/>
        <v>17.383703703703702</v>
      </c>
      <c r="BE231">
        <f t="shared" si="47"/>
        <v>17.607605807407406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7.4300899999999999</v>
      </c>
      <c r="I232" s="22">
        <v>-1.4285300000000001E-2</v>
      </c>
      <c r="J232" s="22">
        <v>222</v>
      </c>
      <c r="K232" s="22">
        <v>0.73141500000000004</v>
      </c>
      <c r="L232">
        <f t="shared" si="36"/>
        <v>17.636172839506173</v>
      </c>
      <c r="M232">
        <f t="shared" si="37"/>
        <v>12.91174195074074</v>
      </c>
      <c r="N232" s="9"/>
      <c r="O232" s="22">
        <v>1.0179100000000001</v>
      </c>
      <c r="P232" s="22">
        <v>11.35</v>
      </c>
      <c r="Q232" s="22">
        <v>-1.40289E-2</v>
      </c>
      <c r="R232" s="22">
        <v>222</v>
      </c>
      <c r="S232" s="22">
        <v>1.01715</v>
      </c>
      <c r="T232">
        <f t="shared" si="38"/>
        <v>17.319629629629631</v>
      </c>
      <c r="U232">
        <f t="shared" si="39"/>
        <v>17.629824196296298</v>
      </c>
      <c r="X232" s="9"/>
      <c r="Y232" s="22">
        <v>0.73211700000000002</v>
      </c>
      <c r="Z232" s="22">
        <v>16.895299999999999</v>
      </c>
      <c r="AA232" s="22">
        <v>-1.43219E-2</v>
      </c>
      <c r="AB232" s="22">
        <v>222</v>
      </c>
      <c r="AC232" s="22">
        <v>0.73135399999999995</v>
      </c>
      <c r="AD232">
        <f t="shared" si="40"/>
        <v>17.68135802469136</v>
      </c>
      <c r="AE232">
        <f t="shared" si="41"/>
        <v>12.944822792962965</v>
      </c>
      <c r="AF232" s="9"/>
      <c r="AG232" s="22">
        <v>1.0179100000000001</v>
      </c>
      <c r="AH232" s="22">
        <v>20.815200000000001</v>
      </c>
      <c r="AI232" s="22">
        <v>-1.40594E-2</v>
      </c>
      <c r="AJ232" s="22">
        <v>222</v>
      </c>
      <c r="AK232" s="22">
        <v>1.01685</v>
      </c>
      <c r="AL232">
        <f t="shared" si="42"/>
        <v>17.357283950617283</v>
      </c>
      <c r="AM232">
        <f t="shared" si="43"/>
        <v>17.668152906172839</v>
      </c>
      <c r="AP232" s="9"/>
      <c r="AQ232" s="22">
        <v>0.73211700000000002</v>
      </c>
      <c r="AR232" s="22">
        <v>26.378499999999999</v>
      </c>
      <c r="AS232" s="22">
        <v>-1.43494E-2</v>
      </c>
      <c r="AT232" s="22">
        <v>222</v>
      </c>
      <c r="AU232" s="22">
        <v>0.73117100000000002</v>
      </c>
      <c r="AV232">
        <f t="shared" si="44"/>
        <v>17.715308641975309</v>
      </c>
      <c r="AW232">
        <f t="shared" si="45"/>
        <v>12.969678617037037</v>
      </c>
      <c r="AX232" s="9"/>
      <c r="AY232" s="22">
        <v>1.0179100000000001</v>
      </c>
      <c r="AZ232" s="22">
        <v>30.298400000000001</v>
      </c>
      <c r="BA232" s="22">
        <v>-1.4074700000000001E-2</v>
      </c>
      <c r="BB232" s="22">
        <v>222</v>
      </c>
      <c r="BC232" s="22">
        <v>1.01715</v>
      </c>
      <c r="BD232">
        <f t="shared" si="46"/>
        <v>17.376172839506172</v>
      </c>
      <c r="BE232">
        <f t="shared" si="47"/>
        <v>17.68738009506173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7.4401599999999997</v>
      </c>
      <c r="I233" s="22">
        <v>-1.42883E-2</v>
      </c>
      <c r="J233" s="22">
        <v>223</v>
      </c>
      <c r="K233" s="22">
        <v>0.72631800000000002</v>
      </c>
      <c r="L233">
        <f t="shared" si="36"/>
        <v>17.639876543209876</v>
      </c>
      <c r="M233">
        <f t="shared" si="37"/>
        <v>12.825619076913579</v>
      </c>
      <c r="N233" s="9"/>
      <c r="O233" s="22">
        <v>1.02295</v>
      </c>
      <c r="P233" s="22">
        <v>11.360099999999999</v>
      </c>
      <c r="Q233" s="22">
        <v>-1.40228E-2</v>
      </c>
      <c r="R233" s="22">
        <v>223</v>
      </c>
      <c r="S233" s="22">
        <v>1.02173</v>
      </c>
      <c r="T233">
        <f t="shared" si="38"/>
        <v>17.312098765432097</v>
      </c>
      <c r="U233">
        <f t="shared" si="39"/>
        <v>17.709411432098765</v>
      </c>
      <c r="X233" s="9"/>
      <c r="Y233" s="22">
        <v>0.72708099999999998</v>
      </c>
      <c r="Z233" s="22">
        <v>16.9054</v>
      </c>
      <c r="AA233" s="22">
        <v>-1.43219E-2</v>
      </c>
      <c r="AB233" s="22">
        <v>223</v>
      </c>
      <c r="AC233" s="22">
        <v>0.72634900000000002</v>
      </c>
      <c r="AD233">
        <f t="shared" si="40"/>
        <v>17.68135802469136</v>
      </c>
      <c r="AE233">
        <f t="shared" si="41"/>
        <v>12.855779473950617</v>
      </c>
      <c r="AF233" s="9"/>
      <c r="AG233" s="22">
        <v>1.02295</v>
      </c>
      <c r="AH233" s="22">
        <v>20.825299999999999</v>
      </c>
      <c r="AI233" s="22">
        <v>-1.40564E-2</v>
      </c>
      <c r="AJ233" s="22">
        <v>223</v>
      </c>
      <c r="AK233" s="22">
        <v>1.02203</v>
      </c>
      <c r="AL233">
        <f t="shared" si="42"/>
        <v>17.35358024691358</v>
      </c>
      <c r="AM233">
        <f t="shared" si="43"/>
        <v>17.751844913580246</v>
      </c>
      <c r="AP233" s="9"/>
      <c r="AQ233" s="22">
        <v>0.72708099999999998</v>
      </c>
      <c r="AR233" s="22">
        <v>26.3886</v>
      </c>
      <c r="AS233" s="22">
        <v>-1.43524E-2</v>
      </c>
      <c r="AT233" s="22">
        <v>223</v>
      </c>
      <c r="AU233" s="22">
        <v>0.726379</v>
      </c>
      <c r="AV233">
        <f t="shared" si="44"/>
        <v>17.719012345679008</v>
      </c>
      <c r="AW233">
        <f t="shared" si="45"/>
        <v>12.883157215308639</v>
      </c>
      <c r="AX233" s="9"/>
      <c r="AY233" s="22">
        <v>1.02295</v>
      </c>
      <c r="AZ233" s="22">
        <v>30.308499999999999</v>
      </c>
      <c r="BA233" s="22">
        <v>-1.4071699999999999E-2</v>
      </c>
      <c r="BB233" s="22">
        <v>223</v>
      </c>
      <c r="BC233" s="22">
        <v>1.02234</v>
      </c>
      <c r="BD233">
        <f t="shared" si="46"/>
        <v>17.372469135802469</v>
      </c>
      <c r="BE233">
        <f t="shared" si="47"/>
        <v>17.771167302469134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7.4502300000000004</v>
      </c>
      <c r="I234" s="22">
        <v>-1.42883E-2</v>
      </c>
      <c r="J234" s="22">
        <v>224</v>
      </c>
      <c r="K234" s="22">
        <v>0.72131299999999998</v>
      </c>
      <c r="L234">
        <f t="shared" si="36"/>
        <v>17.639876543209876</v>
      </c>
      <c r="M234">
        <f t="shared" si="37"/>
        <v>12.736802298518517</v>
      </c>
      <c r="N234" s="9"/>
      <c r="O234" s="22">
        <v>1.0279799999999999</v>
      </c>
      <c r="P234" s="22">
        <v>11.370100000000001</v>
      </c>
      <c r="Q234" s="22">
        <v>-1.40167E-2</v>
      </c>
      <c r="R234" s="22">
        <v>224</v>
      </c>
      <c r="S234" s="22">
        <v>1.0269200000000001</v>
      </c>
      <c r="T234">
        <f t="shared" si="38"/>
        <v>17.304567901234567</v>
      </c>
      <c r="U234">
        <f t="shared" si="39"/>
        <v>17.788749711111109</v>
      </c>
      <c r="X234" s="9"/>
      <c r="Y234" s="22">
        <v>0.72204599999999997</v>
      </c>
      <c r="Z234" s="22">
        <v>16.915400000000002</v>
      </c>
      <c r="AA234" s="22">
        <v>-1.4324999999999999E-2</v>
      </c>
      <c r="AB234" s="22">
        <v>224</v>
      </c>
      <c r="AC234" s="22">
        <v>0.72128300000000001</v>
      </c>
      <c r="AD234">
        <f t="shared" si="40"/>
        <v>17.685185185185183</v>
      </c>
      <c r="AE234">
        <f t="shared" si="41"/>
        <v>12.76951722222222</v>
      </c>
      <c r="AF234" s="9"/>
      <c r="AG234" s="22">
        <v>1.0279799999999999</v>
      </c>
      <c r="AH234" s="22">
        <v>20.8354</v>
      </c>
      <c r="AI234" s="22">
        <v>-1.40503E-2</v>
      </c>
      <c r="AJ234" s="22">
        <v>224</v>
      </c>
      <c r="AK234" s="22">
        <v>1.0269200000000001</v>
      </c>
      <c r="AL234">
        <f t="shared" si="42"/>
        <v>17.34604938271605</v>
      </c>
      <c r="AM234">
        <f t="shared" si="43"/>
        <v>17.831391844444443</v>
      </c>
      <c r="AP234" s="9"/>
      <c r="AQ234" s="22">
        <v>0.72204599999999997</v>
      </c>
      <c r="AR234" s="22">
        <v>26.398700000000002</v>
      </c>
      <c r="AS234" s="22">
        <v>-1.43555E-2</v>
      </c>
      <c r="AT234" s="22">
        <v>224</v>
      </c>
      <c r="AU234" s="22">
        <v>0.72119100000000003</v>
      </c>
      <c r="AV234">
        <f t="shared" si="44"/>
        <v>17.722839506172836</v>
      </c>
      <c r="AW234">
        <f t="shared" si="45"/>
        <v>12.796705374074071</v>
      </c>
      <c r="AX234" s="9"/>
      <c r="AY234" s="22">
        <v>1.0279799999999999</v>
      </c>
      <c r="AZ234" s="22">
        <v>30.3186</v>
      </c>
      <c r="BA234" s="22">
        <v>-1.4065599999999999E-2</v>
      </c>
      <c r="BB234" s="22">
        <v>224</v>
      </c>
      <c r="BC234" s="22">
        <v>1.0269200000000001</v>
      </c>
      <c r="BD234">
        <f t="shared" si="46"/>
        <v>17.364938271604938</v>
      </c>
      <c r="BE234">
        <f t="shared" si="47"/>
        <v>17.850809244444442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7.4603000000000002</v>
      </c>
      <c r="I235" s="22">
        <v>-1.4291399999999999E-2</v>
      </c>
      <c r="J235" s="22">
        <v>225</v>
      </c>
      <c r="K235" s="22">
        <v>0.71633899999999995</v>
      </c>
      <c r="L235">
        <f t="shared" si="36"/>
        <v>17.643703703703704</v>
      </c>
      <c r="M235">
        <f t="shared" si="37"/>
        <v>12.650711992592592</v>
      </c>
      <c r="N235" s="9"/>
      <c r="O235" s="22">
        <v>1.03302</v>
      </c>
      <c r="P235" s="22">
        <v>11.3802</v>
      </c>
      <c r="Q235" s="22">
        <v>-1.40137E-2</v>
      </c>
      <c r="R235" s="22">
        <v>225</v>
      </c>
      <c r="S235" s="22">
        <v>1.0321</v>
      </c>
      <c r="T235">
        <f t="shared" si="38"/>
        <v>17.300864197530863</v>
      </c>
      <c r="U235">
        <f t="shared" si="39"/>
        <v>17.872138733333333</v>
      </c>
      <c r="X235" s="9"/>
      <c r="Y235" s="22">
        <v>0.71701000000000004</v>
      </c>
      <c r="Z235" s="22">
        <v>16.9255</v>
      </c>
      <c r="AA235" s="22">
        <v>-1.4328E-2</v>
      </c>
      <c r="AB235" s="22">
        <v>225</v>
      </c>
      <c r="AC235" s="22">
        <v>0.71636999999999995</v>
      </c>
      <c r="AD235">
        <f t="shared" si="40"/>
        <v>17.68888888888889</v>
      </c>
      <c r="AE235">
        <f t="shared" si="41"/>
        <v>12.683110222222224</v>
      </c>
      <c r="AF235" s="9"/>
      <c r="AG235" s="22">
        <v>1.03302</v>
      </c>
      <c r="AH235" s="22">
        <v>20.845500000000001</v>
      </c>
      <c r="AI235" s="22">
        <v>-1.40442E-2</v>
      </c>
      <c r="AJ235" s="22">
        <v>225</v>
      </c>
      <c r="AK235" s="22">
        <v>1.0318000000000001</v>
      </c>
      <c r="AL235">
        <f t="shared" si="42"/>
        <v>17.338518518518516</v>
      </c>
      <c r="AM235">
        <f t="shared" si="43"/>
        <v>17.911036399999997</v>
      </c>
      <c r="AP235" s="9"/>
      <c r="AQ235" s="22">
        <v>0.71701000000000004</v>
      </c>
      <c r="AR235" s="22">
        <v>26.408799999999999</v>
      </c>
      <c r="AS235" s="22">
        <v>-1.43585E-2</v>
      </c>
      <c r="AT235" s="22">
        <v>225</v>
      </c>
      <c r="AU235" s="22">
        <v>0.71621699999999999</v>
      </c>
      <c r="AV235">
        <f t="shared" si="44"/>
        <v>17.726543209876542</v>
      </c>
      <c r="AW235">
        <f t="shared" si="45"/>
        <v>12.71010874691358</v>
      </c>
      <c r="AX235" s="9"/>
      <c r="AY235" s="22">
        <v>1.03302</v>
      </c>
      <c r="AZ235" s="22">
        <v>30.328600000000002</v>
      </c>
      <c r="BA235" s="22">
        <v>-1.40594E-2</v>
      </c>
      <c r="BB235" s="22">
        <v>225</v>
      </c>
      <c r="BC235" s="22">
        <v>1.0321</v>
      </c>
      <c r="BD235">
        <f t="shared" si="46"/>
        <v>17.357283950617283</v>
      </c>
      <c r="BE235">
        <f t="shared" si="47"/>
        <v>17.930421466666665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7.47037</v>
      </c>
      <c r="I236" s="22">
        <v>-1.4300500000000001E-2</v>
      </c>
      <c r="J236" s="22">
        <v>226</v>
      </c>
      <c r="K236" s="22">
        <v>0.71106000000000003</v>
      </c>
      <c r="L236">
        <f t="shared" si="36"/>
        <v>17.654938271604937</v>
      </c>
      <c r="M236">
        <f t="shared" si="37"/>
        <v>12.569874675925925</v>
      </c>
      <c r="N236" s="9"/>
      <c r="O236" s="22">
        <v>1.03806</v>
      </c>
      <c r="P236" s="22">
        <v>11.3903</v>
      </c>
      <c r="Q236" s="22">
        <v>-1.40106E-2</v>
      </c>
      <c r="R236" s="22">
        <v>226</v>
      </c>
      <c r="S236" s="22">
        <v>1.03668</v>
      </c>
      <c r="T236">
        <f t="shared" si="38"/>
        <v>17.297037037037036</v>
      </c>
      <c r="U236">
        <f t="shared" si="39"/>
        <v>17.955362266666665</v>
      </c>
      <c r="X236" s="9"/>
      <c r="Y236" s="22">
        <v>0.71197500000000002</v>
      </c>
      <c r="Z236" s="22">
        <v>16.935600000000001</v>
      </c>
      <c r="AA236" s="22">
        <v>-1.4334100000000001E-2</v>
      </c>
      <c r="AB236" s="22">
        <v>226</v>
      </c>
      <c r="AC236" s="22">
        <v>0.71118199999999998</v>
      </c>
      <c r="AD236">
        <f t="shared" si="40"/>
        <v>17.69641975308642</v>
      </c>
      <c r="AE236">
        <f t="shared" si="41"/>
        <v>12.599408453703704</v>
      </c>
      <c r="AF236" s="9"/>
      <c r="AG236" s="22">
        <v>1.03806</v>
      </c>
      <c r="AH236" s="22">
        <v>20.855499999999999</v>
      </c>
      <c r="AI236" s="22">
        <v>-1.4041100000000001E-2</v>
      </c>
      <c r="AJ236" s="22">
        <v>226</v>
      </c>
      <c r="AK236" s="22">
        <v>1.03729</v>
      </c>
      <c r="AL236">
        <f t="shared" si="42"/>
        <v>17.334691358024692</v>
      </c>
      <c r="AM236">
        <f t="shared" si="43"/>
        <v>17.994449711111113</v>
      </c>
      <c r="AP236" s="9"/>
      <c r="AQ236" s="22">
        <v>0.71197500000000002</v>
      </c>
      <c r="AR236" s="22">
        <v>26.418800000000001</v>
      </c>
      <c r="AS236" s="22">
        <v>-1.43616E-2</v>
      </c>
      <c r="AT236" s="22">
        <v>226</v>
      </c>
      <c r="AU236" s="22">
        <v>0.71133400000000002</v>
      </c>
      <c r="AV236">
        <f t="shared" si="44"/>
        <v>17.73037037037037</v>
      </c>
      <c r="AW236">
        <f t="shared" si="45"/>
        <v>12.623580444444444</v>
      </c>
      <c r="AX236" s="9"/>
      <c r="AY236" s="22">
        <v>1.03806</v>
      </c>
      <c r="AZ236" s="22">
        <v>30.338699999999999</v>
      </c>
      <c r="BA236" s="22">
        <v>-1.40564E-2</v>
      </c>
      <c r="BB236" s="22">
        <v>226</v>
      </c>
      <c r="BC236" s="22">
        <v>1.03729</v>
      </c>
      <c r="BD236">
        <f t="shared" si="46"/>
        <v>17.35358024691358</v>
      </c>
      <c r="BE236">
        <f t="shared" si="47"/>
        <v>18.014057511111112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7.4804399999999998</v>
      </c>
      <c r="I237" s="22">
        <v>-1.43097E-2</v>
      </c>
      <c r="J237" s="22">
        <v>227</v>
      </c>
      <c r="K237" s="22">
        <v>0.70645100000000005</v>
      </c>
      <c r="L237">
        <f t="shared" si="36"/>
        <v>17.666296296296295</v>
      </c>
      <c r="M237">
        <f t="shared" si="37"/>
        <v>12.489011503703702</v>
      </c>
      <c r="N237" s="9"/>
      <c r="O237" s="22">
        <v>1.0430900000000001</v>
      </c>
      <c r="P237" s="22">
        <v>11.4003</v>
      </c>
      <c r="Q237" s="22">
        <v>-1.40076E-2</v>
      </c>
      <c r="R237" s="22">
        <v>227</v>
      </c>
      <c r="S237" s="22">
        <v>1.0412600000000001</v>
      </c>
      <c r="T237">
        <f t="shared" si="38"/>
        <v>17.293333333333333</v>
      </c>
      <c r="U237">
        <f t="shared" si="39"/>
        <v>18.038503066666667</v>
      </c>
      <c r="X237" s="9"/>
      <c r="Y237" s="22">
        <v>0.70694000000000001</v>
      </c>
      <c r="Z237" s="22">
        <v>16.945699999999999</v>
      </c>
      <c r="AA237" s="22">
        <v>-1.43372E-2</v>
      </c>
      <c r="AB237" s="22">
        <v>227</v>
      </c>
      <c r="AC237" s="22">
        <v>0.70626800000000001</v>
      </c>
      <c r="AD237">
        <f t="shared" si="40"/>
        <v>17.700246913580244</v>
      </c>
      <c r="AE237">
        <f t="shared" si="41"/>
        <v>12.513012553086417</v>
      </c>
      <c r="AF237" s="9"/>
      <c r="AG237" s="22">
        <v>1.0430900000000001</v>
      </c>
      <c r="AH237" s="22">
        <v>20.865600000000001</v>
      </c>
      <c r="AI237" s="22">
        <v>-1.4035000000000001E-2</v>
      </c>
      <c r="AJ237" s="22">
        <v>227</v>
      </c>
      <c r="AK237" s="22">
        <v>1.0418700000000001</v>
      </c>
      <c r="AL237">
        <f t="shared" si="42"/>
        <v>17.327160493827162</v>
      </c>
      <c r="AM237">
        <f t="shared" si="43"/>
        <v>18.073787839506174</v>
      </c>
      <c r="AP237" s="9"/>
      <c r="AQ237" s="22">
        <v>0.70694000000000001</v>
      </c>
      <c r="AR237" s="22">
        <v>26.428899999999999</v>
      </c>
      <c r="AS237" s="22">
        <v>-1.4367700000000001E-2</v>
      </c>
      <c r="AT237" s="22">
        <v>227</v>
      </c>
      <c r="AU237" s="22">
        <v>0.70632899999999998</v>
      </c>
      <c r="AV237">
        <f t="shared" si="44"/>
        <v>17.7379012345679</v>
      </c>
      <c r="AW237">
        <f t="shared" si="45"/>
        <v>12.539631898765432</v>
      </c>
      <c r="AX237" s="9"/>
      <c r="AY237" s="22">
        <v>1.0430900000000001</v>
      </c>
      <c r="AZ237" s="22">
        <v>30.348800000000001</v>
      </c>
      <c r="BA237" s="22">
        <v>-1.4053299999999999E-2</v>
      </c>
      <c r="BB237" s="22">
        <v>227</v>
      </c>
      <c r="BC237" s="22">
        <v>1.0418700000000001</v>
      </c>
      <c r="BD237">
        <f t="shared" si="46"/>
        <v>17.349753086419753</v>
      </c>
      <c r="BE237">
        <f t="shared" si="47"/>
        <v>18.097353946913582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7.4905099999999996</v>
      </c>
      <c r="I238" s="22">
        <v>-1.43158E-2</v>
      </c>
      <c r="J238" s="22">
        <v>228</v>
      </c>
      <c r="K238" s="22">
        <v>0.70117200000000002</v>
      </c>
      <c r="L238">
        <f t="shared" si="36"/>
        <v>17.673827160493826</v>
      </c>
      <c r="M238">
        <f t="shared" si="37"/>
        <v>12.405329979259257</v>
      </c>
      <c r="N238" s="9"/>
      <c r="O238" s="22">
        <v>1.04813</v>
      </c>
      <c r="P238" s="22">
        <v>11.410399999999999</v>
      </c>
      <c r="Q238" s="22">
        <v>-1.40015E-2</v>
      </c>
      <c r="R238" s="22">
        <v>228</v>
      </c>
      <c r="S238" s="22">
        <v>1.0467500000000001</v>
      </c>
      <c r="T238">
        <f t="shared" si="38"/>
        <v>17.285802469135803</v>
      </c>
      <c r="U238">
        <f t="shared" si="39"/>
        <v>18.117768141975308</v>
      </c>
      <c r="X238" s="9"/>
      <c r="Y238" s="22">
        <v>0.70190399999999997</v>
      </c>
      <c r="Z238" s="22">
        <v>16.9557</v>
      </c>
      <c r="AA238" s="22">
        <v>-1.4340200000000001E-2</v>
      </c>
      <c r="AB238" s="22">
        <v>228</v>
      </c>
      <c r="AC238" s="22">
        <v>0.70111100000000004</v>
      </c>
      <c r="AD238">
        <f t="shared" si="40"/>
        <v>17.703950617283951</v>
      </c>
      <c r="AE238">
        <f t="shared" si="41"/>
        <v>12.426473754074074</v>
      </c>
      <c r="AF238" s="9"/>
      <c r="AG238" s="22">
        <v>1.04813</v>
      </c>
      <c r="AH238" s="22">
        <v>20.875699999999998</v>
      </c>
      <c r="AI238" s="22">
        <v>-1.4025900000000001E-2</v>
      </c>
      <c r="AJ238" s="22">
        <v>228</v>
      </c>
      <c r="AK238" s="22">
        <v>1.0461400000000001</v>
      </c>
      <c r="AL238">
        <f t="shared" si="42"/>
        <v>17.315925925925924</v>
      </c>
      <c r="AM238">
        <f t="shared" si="43"/>
        <v>18.149341440740738</v>
      </c>
      <c r="AP238" s="9"/>
      <c r="AQ238" s="22">
        <v>0.70190399999999997</v>
      </c>
      <c r="AR238" s="22">
        <v>26.439</v>
      </c>
      <c r="AS238" s="22">
        <v>-1.43707E-2</v>
      </c>
      <c r="AT238" s="22">
        <v>228</v>
      </c>
      <c r="AU238" s="22">
        <v>0.70117200000000002</v>
      </c>
      <c r="AV238">
        <f t="shared" si="44"/>
        <v>17.741604938271603</v>
      </c>
      <c r="AW238">
        <f t="shared" si="45"/>
        <v>12.452903472592592</v>
      </c>
      <c r="AX238" s="9"/>
      <c r="AY238" s="22">
        <v>1.04813</v>
      </c>
      <c r="AZ238" s="22">
        <v>30.358899999999998</v>
      </c>
      <c r="BA238" s="22">
        <v>-1.4047199999999999E-2</v>
      </c>
      <c r="BB238" s="22">
        <v>228</v>
      </c>
      <c r="BC238" s="22">
        <v>1.0473600000000001</v>
      </c>
      <c r="BD238">
        <f t="shared" si="46"/>
        <v>17.342222222222222</v>
      </c>
      <c r="BE238">
        <f t="shared" si="47"/>
        <v>18.176903377777776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7.5005800000000002</v>
      </c>
      <c r="I239" s="22">
        <v>-1.43219E-2</v>
      </c>
      <c r="J239" s="22">
        <v>229</v>
      </c>
      <c r="K239" s="22">
        <v>0.69622799999999996</v>
      </c>
      <c r="L239">
        <f t="shared" si="36"/>
        <v>17.68135802469136</v>
      </c>
      <c r="M239">
        <f t="shared" si="37"/>
        <v>12.321590285308643</v>
      </c>
      <c r="N239" s="9"/>
      <c r="O239" s="22">
        <v>1.0531600000000001</v>
      </c>
      <c r="P239" s="22">
        <v>11.420500000000001</v>
      </c>
      <c r="Q239" s="22">
        <v>-1.3998399999999999E-2</v>
      </c>
      <c r="R239" s="22">
        <v>229</v>
      </c>
      <c r="S239" s="22">
        <v>1.0516399999999999</v>
      </c>
      <c r="T239">
        <f t="shared" si="38"/>
        <v>17.281975308641975</v>
      </c>
      <c r="U239">
        <f t="shared" si="39"/>
        <v>18.200685116049385</v>
      </c>
      <c r="X239" s="9"/>
      <c r="Y239" s="22">
        <v>0.69686899999999996</v>
      </c>
      <c r="Z239" s="22">
        <v>16.965800000000002</v>
      </c>
      <c r="AA239" s="22">
        <v>-1.43433E-2</v>
      </c>
      <c r="AB239" s="22">
        <v>229</v>
      </c>
      <c r="AC239" s="22">
        <v>0.696106</v>
      </c>
      <c r="AD239">
        <f t="shared" si="40"/>
        <v>17.707777777777778</v>
      </c>
      <c r="AE239">
        <f t="shared" si="41"/>
        <v>12.340001392222222</v>
      </c>
      <c r="AF239" s="9"/>
      <c r="AG239" s="22">
        <v>1.0531600000000001</v>
      </c>
      <c r="AH239" s="22">
        <v>20.8857</v>
      </c>
      <c r="AI239" s="22">
        <v>-1.40228E-2</v>
      </c>
      <c r="AJ239" s="22">
        <v>229</v>
      </c>
      <c r="AK239" s="22">
        <v>1.0516399999999999</v>
      </c>
      <c r="AL239">
        <f t="shared" si="42"/>
        <v>17.312098765432097</v>
      </c>
      <c r="AM239">
        <f t="shared" si="43"/>
        <v>18.232409935802469</v>
      </c>
      <c r="AP239" s="9"/>
      <c r="AQ239" s="22">
        <v>0.69686899999999996</v>
      </c>
      <c r="AR239" s="22">
        <v>26.449000000000002</v>
      </c>
      <c r="AS239" s="22">
        <v>-1.4373800000000001E-2</v>
      </c>
      <c r="AT239" s="22">
        <v>229</v>
      </c>
      <c r="AU239" s="22">
        <v>0.69616699999999998</v>
      </c>
      <c r="AV239">
        <f t="shared" si="44"/>
        <v>17.745432098765431</v>
      </c>
      <c r="AW239">
        <f t="shared" si="45"/>
        <v>12.366241521234565</v>
      </c>
      <c r="AX239" s="9"/>
      <c r="AY239" s="22">
        <v>1.0531600000000001</v>
      </c>
      <c r="AZ239" s="22">
        <v>30.3689</v>
      </c>
      <c r="BA239" s="22">
        <v>-1.4047199999999999E-2</v>
      </c>
      <c r="BB239" s="22">
        <v>229</v>
      </c>
      <c r="BC239" s="22">
        <v>1.0519400000000001</v>
      </c>
      <c r="BD239">
        <f t="shared" si="46"/>
        <v>17.342222222222222</v>
      </c>
      <c r="BE239">
        <f t="shared" si="47"/>
        <v>18.264134755555556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7.51065</v>
      </c>
      <c r="I240" s="22">
        <v>-1.4328E-2</v>
      </c>
      <c r="J240" s="22">
        <v>230</v>
      </c>
      <c r="K240" s="22">
        <v>0.69116200000000005</v>
      </c>
      <c r="L240">
        <f t="shared" si="36"/>
        <v>17.68888888888889</v>
      </c>
      <c r="M240">
        <f t="shared" si="37"/>
        <v>12.237757066666669</v>
      </c>
      <c r="N240" s="9"/>
      <c r="O240" s="22">
        <v>1.0582</v>
      </c>
      <c r="P240" s="22">
        <v>11.4306</v>
      </c>
      <c r="Q240" s="22">
        <v>-1.3992299999999999E-2</v>
      </c>
      <c r="R240" s="22">
        <v>230</v>
      </c>
      <c r="S240" s="22">
        <v>1.0571299999999999</v>
      </c>
      <c r="T240">
        <f t="shared" si="38"/>
        <v>17.274444444444445</v>
      </c>
      <c r="U240">
        <f t="shared" si="39"/>
        <v>18.279817111111111</v>
      </c>
      <c r="X240" s="9"/>
      <c r="Y240" s="22">
        <v>0.69183300000000003</v>
      </c>
      <c r="Z240" s="22">
        <v>16.975899999999999</v>
      </c>
      <c r="AA240" s="22">
        <v>-1.43524E-2</v>
      </c>
      <c r="AB240" s="22">
        <v>230</v>
      </c>
      <c r="AC240" s="22">
        <v>0.69110099999999997</v>
      </c>
      <c r="AD240">
        <f t="shared" si="40"/>
        <v>17.719012345679008</v>
      </c>
      <c r="AE240">
        <f t="shared" si="41"/>
        <v>12.258597468148146</v>
      </c>
      <c r="AF240" s="9"/>
      <c r="AG240" s="22">
        <v>1.0582</v>
      </c>
      <c r="AH240" s="22">
        <v>20.895800000000001</v>
      </c>
      <c r="AI240" s="22">
        <v>-1.40228E-2</v>
      </c>
      <c r="AJ240" s="22">
        <v>230</v>
      </c>
      <c r="AK240" s="22">
        <v>1.0568200000000001</v>
      </c>
      <c r="AL240">
        <f t="shared" si="42"/>
        <v>17.312098765432097</v>
      </c>
      <c r="AM240">
        <f t="shared" si="43"/>
        <v>18.319662913580245</v>
      </c>
      <c r="AP240" s="9"/>
      <c r="AQ240" s="22">
        <v>0.69183300000000003</v>
      </c>
      <c r="AR240" s="22">
        <v>26.459099999999999</v>
      </c>
      <c r="AS240" s="22">
        <v>-1.43768E-2</v>
      </c>
      <c r="AT240" s="22">
        <v>230</v>
      </c>
      <c r="AU240" s="22">
        <v>0.69103999999999999</v>
      </c>
      <c r="AV240">
        <f t="shared" si="44"/>
        <v>17.749135802469137</v>
      </c>
      <c r="AW240">
        <f t="shared" si="45"/>
        <v>12.279437869629632</v>
      </c>
      <c r="AX240" s="9"/>
      <c r="AY240" s="22">
        <v>1.0582</v>
      </c>
      <c r="AZ240" s="22">
        <v>30.379000000000001</v>
      </c>
      <c r="BA240" s="22">
        <v>-1.4041100000000001E-2</v>
      </c>
      <c r="BB240" s="22">
        <v>230</v>
      </c>
      <c r="BC240" s="22">
        <v>1.0574300000000001</v>
      </c>
      <c r="BD240">
        <f t="shared" si="46"/>
        <v>17.334691358024692</v>
      </c>
      <c r="BE240">
        <f t="shared" si="47"/>
        <v>18.343570395061729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7.5207300000000004</v>
      </c>
      <c r="I241" s="22">
        <v>-1.4328E-2</v>
      </c>
      <c r="J241" s="22">
        <v>231</v>
      </c>
      <c r="K241" s="22">
        <v>0.68606599999999995</v>
      </c>
      <c r="L241">
        <f t="shared" si="36"/>
        <v>17.68888888888889</v>
      </c>
      <c r="M241">
        <f t="shared" si="37"/>
        <v>12.148693511111112</v>
      </c>
      <c r="N241" s="9"/>
      <c r="O241" s="22">
        <v>1.0632299999999999</v>
      </c>
      <c r="P241" s="22">
        <v>11.4406</v>
      </c>
      <c r="Q241" s="22">
        <v>-1.39893E-2</v>
      </c>
      <c r="R241" s="22">
        <v>231</v>
      </c>
      <c r="S241" s="22">
        <v>1.0623199999999999</v>
      </c>
      <c r="T241">
        <f t="shared" si="38"/>
        <v>17.270740740740738</v>
      </c>
      <c r="U241">
        <f t="shared" si="39"/>
        <v>18.362769677777774</v>
      </c>
      <c r="X241" s="9"/>
      <c r="Y241" s="22">
        <v>0.68679800000000002</v>
      </c>
      <c r="Z241" s="22">
        <v>16.985900000000001</v>
      </c>
      <c r="AA241" s="22">
        <v>-1.43616E-2</v>
      </c>
      <c r="AB241" s="22">
        <v>231</v>
      </c>
      <c r="AC241" s="22">
        <v>0.685944</v>
      </c>
      <c r="AD241">
        <f t="shared" si="40"/>
        <v>17.73037037037037</v>
      </c>
      <c r="AE241">
        <f t="shared" si="41"/>
        <v>12.177182909629629</v>
      </c>
      <c r="AF241" s="9"/>
      <c r="AG241" s="22">
        <v>1.0632299999999999</v>
      </c>
      <c r="AH241" s="22">
        <v>20.905899999999999</v>
      </c>
      <c r="AI241" s="22">
        <v>-1.40167E-2</v>
      </c>
      <c r="AJ241" s="22">
        <v>231</v>
      </c>
      <c r="AK241" s="22">
        <v>1.0623199999999999</v>
      </c>
      <c r="AL241">
        <f t="shared" si="42"/>
        <v>17.304567901234567</v>
      </c>
      <c r="AM241">
        <f t="shared" si="43"/>
        <v>18.398735729629628</v>
      </c>
      <c r="AP241" s="9"/>
      <c r="AQ241" s="22">
        <v>0.68679800000000002</v>
      </c>
      <c r="AR241" s="22">
        <v>26.469200000000001</v>
      </c>
      <c r="AS241" s="22">
        <v>-1.4382900000000001E-2</v>
      </c>
      <c r="AT241" s="22">
        <v>231</v>
      </c>
      <c r="AU241" s="22">
        <v>0.68618800000000002</v>
      </c>
      <c r="AV241">
        <f t="shared" si="44"/>
        <v>17.756666666666668</v>
      </c>
      <c r="AW241">
        <f t="shared" si="45"/>
        <v>12.195243153333335</v>
      </c>
      <c r="AX241" s="9"/>
      <c r="AY241" s="22">
        <v>1.0632299999999999</v>
      </c>
      <c r="AZ241" s="22">
        <v>30.389099999999999</v>
      </c>
      <c r="BA241" s="22">
        <v>-1.40381E-2</v>
      </c>
      <c r="BB241" s="22">
        <v>231</v>
      </c>
      <c r="BC241" s="22">
        <v>1.0620099999999999</v>
      </c>
      <c r="BD241">
        <f t="shared" si="46"/>
        <v>17.330987654320985</v>
      </c>
      <c r="BE241">
        <f t="shared" si="47"/>
        <v>18.426826003703699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7.5308000000000002</v>
      </c>
      <c r="I242" s="22">
        <v>-1.4331099999999999E-2</v>
      </c>
      <c r="J242" s="22">
        <v>232</v>
      </c>
      <c r="K242" s="22">
        <v>0.68112200000000001</v>
      </c>
      <c r="L242">
        <f t="shared" si="36"/>
        <v>17.692716049382714</v>
      </c>
      <c r="M242">
        <f t="shared" si="37"/>
        <v>12.062239171975307</v>
      </c>
      <c r="N242" s="9"/>
      <c r="O242" s="22">
        <v>1.0682700000000001</v>
      </c>
      <c r="P242" s="22">
        <v>11.450699999999999</v>
      </c>
      <c r="Q242" s="22">
        <v>-1.3986200000000001E-2</v>
      </c>
      <c r="R242" s="22">
        <v>232</v>
      </c>
      <c r="S242" s="22">
        <v>1.0674999999999999</v>
      </c>
      <c r="T242">
        <f t="shared" si="38"/>
        <v>17.266913580246914</v>
      </c>
      <c r="U242">
        <f t="shared" si="39"/>
        <v>18.445725770370373</v>
      </c>
      <c r="X242" s="9"/>
      <c r="Y242" s="22">
        <v>0.68176300000000001</v>
      </c>
      <c r="Z242" s="22">
        <v>16.995999999999999</v>
      </c>
      <c r="AA242" s="22">
        <v>-1.4367700000000001E-2</v>
      </c>
      <c r="AB242" s="22">
        <v>232</v>
      </c>
      <c r="AC242" s="22">
        <v>0.68115199999999998</v>
      </c>
      <c r="AD242">
        <f t="shared" si="40"/>
        <v>17.7379012345679</v>
      </c>
      <c r="AE242">
        <f t="shared" si="41"/>
        <v>12.093044759382716</v>
      </c>
      <c r="AF242" s="9"/>
      <c r="AG242" s="22">
        <v>1.0682700000000001</v>
      </c>
      <c r="AH242" s="22">
        <v>20.916</v>
      </c>
      <c r="AI242" s="22">
        <v>-1.40106E-2</v>
      </c>
      <c r="AJ242" s="22">
        <v>232</v>
      </c>
      <c r="AK242" s="22">
        <v>1.0674999999999999</v>
      </c>
      <c r="AL242">
        <f t="shared" si="42"/>
        <v>17.297037037037036</v>
      </c>
      <c r="AM242">
        <f t="shared" si="43"/>
        <v>18.477905755555554</v>
      </c>
      <c r="AP242" s="9"/>
      <c r="AQ242" s="22">
        <v>0.68176300000000001</v>
      </c>
      <c r="AR242" s="22">
        <v>26.479199999999999</v>
      </c>
      <c r="AS242" s="22">
        <v>-1.4385999999999999E-2</v>
      </c>
      <c r="AT242" s="22">
        <v>232</v>
      </c>
      <c r="AU242" s="22">
        <v>0.68124399999999996</v>
      </c>
      <c r="AV242">
        <f t="shared" si="44"/>
        <v>17.760493827160492</v>
      </c>
      <c r="AW242">
        <f t="shared" si="45"/>
        <v>12.108447553086418</v>
      </c>
      <c r="AX242" s="9"/>
      <c r="AY242" s="22">
        <v>1.0682700000000001</v>
      </c>
      <c r="AZ242" s="22">
        <v>30.399100000000001</v>
      </c>
      <c r="BA242" s="22">
        <v>-1.40289E-2</v>
      </c>
      <c r="BB242" s="22">
        <v>232</v>
      </c>
      <c r="BC242" s="22">
        <v>1.0674999999999999</v>
      </c>
      <c r="BD242">
        <f t="shared" si="46"/>
        <v>17.319629629629631</v>
      </c>
      <c r="BE242">
        <f t="shared" si="47"/>
        <v>18.502040744444447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7.54087</v>
      </c>
      <c r="I243" s="22">
        <v>-1.4334100000000001E-2</v>
      </c>
      <c r="J243" s="22">
        <v>233</v>
      </c>
      <c r="K243" s="22">
        <v>0.67599500000000001</v>
      </c>
      <c r="L243">
        <f t="shared" si="36"/>
        <v>17.69641975308642</v>
      </c>
      <c r="M243">
        <f t="shared" si="37"/>
        <v>11.975645050246914</v>
      </c>
      <c r="N243" s="9"/>
      <c r="O243" s="22">
        <v>1.0732999999999999</v>
      </c>
      <c r="P243" s="22">
        <v>11.460800000000001</v>
      </c>
      <c r="Q243" s="22">
        <v>-1.3980100000000001E-2</v>
      </c>
      <c r="R243" s="22">
        <v>233</v>
      </c>
      <c r="S243" s="22">
        <v>1.0726899999999999</v>
      </c>
      <c r="T243">
        <f t="shared" si="38"/>
        <v>17.259382716049384</v>
      </c>
      <c r="U243">
        <f t="shared" si="39"/>
        <v>18.524495469135804</v>
      </c>
      <c r="X243" s="9"/>
      <c r="Y243" s="22">
        <v>0.67672699999999997</v>
      </c>
      <c r="Z243" s="22">
        <v>17.0061</v>
      </c>
      <c r="AA243" s="22">
        <v>-1.4373800000000001E-2</v>
      </c>
      <c r="AB243" s="22">
        <v>233</v>
      </c>
      <c r="AC243" s="22">
        <v>0.67605599999999999</v>
      </c>
      <c r="AD243">
        <f t="shared" si="40"/>
        <v>17.745432098765431</v>
      </c>
      <c r="AE243">
        <f t="shared" si="41"/>
        <v>12.008813027901233</v>
      </c>
      <c r="AF243" s="9"/>
      <c r="AG243" s="22">
        <v>1.0732999999999999</v>
      </c>
      <c r="AH243" s="22">
        <v>20.925999999999998</v>
      </c>
      <c r="AI243" s="22">
        <v>-1.40106E-2</v>
      </c>
      <c r="AJ243" s="22">
        <v>233</v>
      </c>
      <c r="AK243" s="22">
        <v>1.0720799999999999</v>
      </c>
      <c r="AL243">
        <f t="shared" si="42"/>
        <v>17.297037037037036</v>
      </c>
      <c r="AM243">
        <f t="shared" si="43"/>
        <v>18.564909851851848</v>
      </c>
      <c r="AP243" s="9"/>
      <c r="AQ243" s="22">
        <v>0.67672699999999997</v>
      </c>
      <c r="AR243" s="22">
        <v>26.4893</v>
      </c>
      <c r="AS243" s="22">
        <v>-1.4389000000000001E-2</v>
      </c>
      <c r="AT243" s="22">
        <v>233</v>
      </c>
      <c r="AU243" s="22">
        <v>0.67578099999999997</v>
      </c>
      <c r="AV243">
        <f t="shared" si="44"/>
        <v>17.764197530864198</v>
      </c>
      <c r="AW243">
        <f t="shared" si="45"/>
        <v>12.021512102469135</v>
      </c>
      <c r="AX243" s="9"/>
      <c r="AY243" s="22">
        <v>1.0732999999999999</v>
      </c>
      <c r="AZ243" s="22">
        <v>30.409199999999998</v>
      </c>
      <c r="BA243" s="22">
        <v>-1.40228E-2</v>
      </c>
      <c r="BB243" s="22">
        <v>233</v>
      </c>
      <c r="BC243" s="22">
        <v>1.0720799999999999</v>
      </c>
      <c r="BD243">
        <f t="shared" si="46"/>
        <v>17.312098765432097</v>
      </c>
      <c r="BE243">
        <f t="shared" si="47"/>
        <v>18.581075604938267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7.5509399999999998</v>
      </c>
      <c r="I244" s="22">
        <v>-1.43372E-2</v>
      </c>
      <c r="J244" s="22">
        <v>234</v>
      </c>
      <c r="K244" s="22">
        <v>0.67083700000000002</v>
      </c>
      <c r="L244">
        <f t="shared" si="36"/>
        <v>17.700246913580244</v>
      </c>
      <c r="M244">
        <f t="shared" si="37"/>
        <v>11.88911424987654</v>
      </c>
      <c r="N244" s="9"/>
      <c r="O244" s="22">
        <v>1.0783400000000001</v>
      </c>
      <c r="P244" s="22">
        <v>11.470800000000001</v>
      </c>
      <c r="Q244" s="22">
        <v>-1.3977099999999999E-2</v>
      </c>
      <c r="R244" s="22">
        <v>234</v>
      </c>
      <c r="S244" s="22">
        <v>1.0772699999999999</v>
      </c>
      <c r="T244">
        <f t="shared" si="38"/>
        <v>17.255679012345677</v>
      </c>
      <c r="U244">
        <f t="shared" si="39"/>
        <v>18.60748890617284</v>
      </c>
      <c r="X244" s="9"/>
      <c r="Y244" s="22">
        <v>0.67169199999999996</v>
      </c>
      <c r="Z244" s="22">
        <v>17.016200000000001</v>
      </c>
      <c r="AA244" s="22">
        <v>-1.4379899999999999E-2</v>
      </c>
      <c r="AB244" s="22">
        <v>234</v>
      </c>
      <c r="AC244" s="22">
        <v>0.67086800000000002</v>
      </c>
      <c r="AD244">
        <f t="shared" si="40"/>
        <v>17.752962962962961</v>
      </c>
      <c r="AE244">
        <f t="shared" si="41"/>
        <v>11.924523198518516</v>
      </c>
      <c r="AF244" s="9"/>
      <c r="AG244" s="22">
        <v>1.0783400000000001</v>
      </c>
      <c r="AH244" s="22">
        <v>20.9361</v>
      </c>
      <c r="AI244" s="22">
        <v>-1.40076E-2</v>
      </c>
      <c r="AJ244" s="22">
        <v>234</v>
      </c>
      <c r="AK244" s="22">
        <v>1.07697</v>
      </c>
      <c r="AL244">
        <f t="shared" si="42"/>
        <v>17.293333333333333</v>
      </c>
      <c r="AM244">
        <f t="shared" si="43"/>
        <v>18.648093066666668</v>
      </c>
      <c r="AP244" s="9"/>
      <c r="AQ244" s="22">
        <v>0.67169199999999996</v>
      </c>
      <c r="AR244" s="22">
        <v>26.499400000000001</v>
      </c>
      <c r="AS244" s="22">
        <v>-1.43982E-2</v>
      </c>
      <c r="AT244" s="22">
        <v>234</v>
      </c>
      <c r="AU244" s="22">
        <v>0.67098999999999998</v>
      </c>
      <c r="AV244">
        <f t="shared" si="44"/>
        <v>17.775555555555556</v>
      </c>
      <c r="AW244">
        <f t="shared" si="45"/>
        <v>11.939698462222221</v>
      </c>
      <c r="AX244" s="9"/>
      <c r="AY244" s="22">
        <v>1.0783400000000001</v>
      </c>
      <c r="AZ244" s="22">
        <v>30.4193</v>
      </c>
      <c r="BA244" s="22">
        <v>-1.4019800000000001E-2</v>
      </c>
      <c r="BB244" s="22">
        <v>234</v>
      </c>
      <c r="BC244" s="22">
        <v>1.0772699999999999</v>
      </c>
      <c r="BD244">
        <f t="shared" si="46"/>
        <v>17.308395061728394</v>
      </c>
      <c r="BE244">
        <f t="shared" si="47"/>
        <v>18.664334730864198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7.5610099999999996</v>
      </c>
      <c r="I245" s="22">
        <v>-1.43433E-2</v>
      </c>
      <c r="J245" s="22">
        <v>235</v>
      </c>
      <c r="K245" s="22">
        <v>0.66598500000000005</v>
      </c>
      <c r="L245">
        <f t="shared" si="36"/>
        <v>17.707777777777778</v>
      </c>
      <c r="M245">
        <f t="shared" si="37"/>
        <v>11.804996302222223</v>
      </c>
      <c r="N245" s="9"/>
      <c r="O245" s="22">
        <v>1.0833699999999999</v>
      </c>
      <c r="P245" s="22">
        <v>11.4809</v>
      </c>
      <c r="Q245" s="22">
        <v>-1.39709E-2</v>
      </c>
      <c r="R245" s="22">
        <v>235</v>
      </c>
      <c r="S245" s="22">
        <v>1.0821499999999999</v>
      </c>
      <c r="T245">
        <f t="shared" si="38"/>
        <v>17.248024691358022</v>
      </c>
      <c r="U245">
        <f t="shared" si="39"/>
        <v>18.685992509876538</v>
      </c>
      <c r="X245" s="9"/>
      <c r="Y245" s="22">
        <v>0.66665600000000003</v>
      </c>
      <c r="Z245" s="22">
        <v>17.026199999999999</v>
      </c>
      <c r="AA245" s="22">
        <v>-1.4382900000000001E-2</v>
      </c>
      <c r="AB245" s="22">
        <v>235</v>
      </c>
      <c r="AC245" s="22">
        <v>0.66635100000000003</v>
      </c>
      <c r="AD245">
        <f t="shared" si="40"/>
        <v>17.756666666666668</v>
      </c>
      <c r="AE245">
        <f t="shared" si="41"/>
        <v>11.837588373333334</v>
      </c>
      <c r="AF245" s="9"/>
      <c r="AG245" s="22">
        <v>1.0833699999999999</v>
      </c>
      <c r="AH245" s="22">
        <v>20.946200000000001</v>
      </c>
      <c r="AI245" s="22">
        <v>-1.40045E-2</v>
      </c>
      <c r="AJ245" s="22">
        <v>235</v>
      </c>
      <c r="AK245" s="22">
        <v>1.08307</v>
      </c>
      <c r="AL245">
        <f t="shared" si="42"/>
        <v>17.289506172839506</v>
      </c>
      <c r="AM245">
        <f t="shared" si="43"/>
        <v>18.730932302469135</v>
      </c>
      <c r="AP245" s="9"/>
      <c r="AQ245" s="22">
        <v>0.66665600000000003</v>
      </c>
      <c r="AR245" s="22">
        <v>26.509499999999999</v>
      </c>
      <c r="AS245" s="22">
        <v>-1.44043E-2</v>
      </c>
      <c r="AT245" s="22">
        <v>235</v>
      </c>
      <c r="AU245" s="22">
        <v>0.66595499999999996</v>
      </c>
      <c r="AV245">
        <f t="shared" si="44"/>
        <v>17.783086419753086</v>
      </c>
      <c r="AW245">
        <f t="shared" si="45"/>
        <v>11.855201260246915</v>
      </c>
      <c r="AX245" s="9"/>
      <c r="AY245" s="22">
        <v>1.0833699999999999</v>
      </c>
      <c r="AZ245" s="22">
        <v>30.429400000000001</v>
      </c>
      <c r="BA245" s="22">
        <v>-1.40137E-2</v>
      </c>
      <c r="BB245" s="22">
        <v>235</v>
      </c>
      <c r="BC245" s="22">
        <v>1.0827599999999999</v>
      </c>
      <c r="BD245">
        <f t="shared" si="46"/>
        <v>17.300864197530863</v>
      </c>
      <c r="BE245">
        <f t="shared" si="47"/>
        <v>18.743237245679012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7.5710800000000003</v>
      </c>
      <c r="I246" s="22">
        <v>-1.4346299999999999E-2</v>
      </c>
      <c r="J246" s="22">
        <v>236</v>
      </c>
      <c r="K246" s="22">
        <v>0.66091900000000003</v>
      </c>
      <c r="L246">
        <f t="shared" si="36"/>
        <v>17.711481481481481</v>
      </c>
      <c r="M246">
        <f t="shared" si="37"/>
        <v>11.718288089259259</v>
      </c>
      <c r="N246" s="9"/>
      <c r="O246" s="22">
        <v>1.0884100000000001</v>
      </c>
      <c r="P246" s="22">
        <v>11.491</v>
      </c>
      <c r="Q246" s="22">
        <v>-1.3964799999999999E-2</v>
      </c>
      <c r="R246" s="22">
        <v>236</v>
      </c>
      <c r="S246" s="22">
        <v>1.08765</v>
      </c>
      <c r="T246">
        <f t="shared" si="38"/>
        <v>17.240493827160492</v>
      </c>
      <c r="U246">
        <f t="shared" si="39"/>
        <v>18.764725886419754</v>
      </c>
      <c r="X246" s="9"/>
      <c r="Y246" s="22">
        <v>0.66162100000000001</v>
      </c>
      <c r="Z246" s="22">
        <v>17.036300000000001</v>
      </c>
      <c r="AA246" s="22">
        <v>-1.4389000000000001E-2</v>
      </c>
      <c r="AB246" s="22">
        <v>236</v>
      </c>
      <c r="AC246" s="22">
        <v>0.66061400000000003</v>
      </c>
      <c r="AD246">
        <f t="shared" si="40"/>
        <v>17.764197530864198</v>
      </c>
      <c r="AE246">
        <f t="shared" si="41"/>
        <v>11.753166134567902</v>
      </c>
      <c r="AF246" s="9"/>
      <c r="AG246" s="22">
        <v>1.0884100000000001</v>
      </c>
      <c r="AH246" s="22">
        <v>20.956199999999999</v>
      </c>
      <c r="AI246" s="22">
        <v>-1.3998399999999999E-2</v>
      </c>
      <c r="AJ246" s="22">
        <v>236</v>
      </c>
      <c r="AK246" s="22">
        <v>1.08734</v>
      </c>
      <c r="AL246">
        <f t="shared" si="42"/>
        <v>17.281975308641975</v>
      </c>
      <c r="AM246">
        <f t="shared" si="43"/>
        <v>18.809874745679014</v>
      </c>
      <c r="AP246" s="9"/>
      <c r="AQ246" s="22">
        <v>0.66162100000000001</v>
      </c>
      <c r="AR246" s="22">
        <v>26.519500000000001</v>
      </c>
      <c r="AS246" s="22">
        <v>-1.44043E-2</v>
      </c>
      <c r="AT246" s="22">
        <v>236</v>
      </c>
      <c r="AU246" s="22">
        <v>0.66091900000000003</v>
      </c>
      <c r="AV246">
        <f t="shared" si="44"/>
        <v>17.783086419753086</v>
      </c>
      <c r="AW246">
        <f t="shared" si="45"/>
        <v>11.765663420123458</v>
      </c>
      <c r="AX246" s="9"/>
      <c r="AY246" s="22">
        <v>1.0884100000000001</v>
      </c>
      <c r="AZ246" s="22">
        <v>30.439399999999999</v>
      </c>
      <c r="BA246" s="22">
        <v>-1.40076E-2</v>
      </c>
      <c r="BB246" s="22">
        <v>236</v>
      </c>
      <c r="BC246" s="22">
        <v>1.08734</v>
      </c>
      <c r="BD246">
        <f t="shared" si="46"/>
        <v>17.293333333333333</v>
      </c>
      <c r="BE246">
        <f t="shared" si="47"/>
        <v>18.822236933333336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7.5811500000000001</v>
      </c>
      <c r="I247" s="22">
        <v>-1.43494E-2</v>
      </c>
      <c r="J247" s="22">
        <v>237</v>
      </c>
      <c r="K247" s="22">
        <v>0.655914</v>
      </c>
      <c r="L247">
        <f t="shared" si="36"/>
        <v>17.715308641975309</v>
      </c>
      <c r="M247">
        <f t="shared" si="37"/>
        <v>11.631623640000001</v>
      </c>
      <c r="N247" s="9"/>
      <c r="O247" s="22">
        <v>1.09344</v>
      </c>
      <c r="P247" s="22">
        <v>11.501099999999999</v>
      </c>
      <c r="Q247" s="22">
        <v>-1.3958699999999999E-2</v>
      </c>
      <c r="R247" s="22">
        <v>237</v>
      </c>
      <c r="S247" s="22">
        <v>1.09253</v>
      </c>
      <c r="T247">
        <f t="shared" si="38"/>
        <v>17.232962962962961</v>
      </c>
      <c r="U247">
        <f t="shared" si="39"/>
        <v>18.843211022222221</v>
      </c>
      <c r="X247" s="9"/>
      <c r="Y247" s="22">
        <v>0.656586</v>
      </c>
      <c r="Z247" s="22">
        <v>17.046399999999998</v>
      </c>
      <c r="AA247" s="22">
        <v>-1.43921E-2</v>
      </c>
      <c r="AB247" s="22">
        <v>237</v>
      </c>
      <c r="AC247" s="22">
        <v>0.65579200000000004</v>
      </c>
      <c r="AD247">
        <f t="shared" si="40"/>
        <v>17.768024691358022</v>
      </c>
      <c r="AE247">
        <f t="shared" si="41"/>
        <v>11.666236259999998</v>
      </c>
      <c r="AF247" s="9"/>
      <c r="AG247" s="22">
        <v>1.09344</v>
      </c>
      <c r="AH247" s="22">
        <v>20.9663</v>
      </c>
      <c r="AI247" s="22">
        <v>-1.3992299999999999E-2</v>
      </c>
      <c r="AJ247" s="22">
        <v>237</v>
      </c>
      <c r="AK247" s="22">
        <v>1.09222</v>
      </c>
      <c r="AL247">
        <f t="shared" si="42"/>
        <v>17.274444444444445</v>
      </c>
      <c r="AM247">
        <f t="shared" si="43"/>
        <v>18.888568533333334</v>
      </c>
      <c r="AP247" s="9"/>
      <c r="AQ247" s="22">
        <v>0.656586</v>
      </c>
      <c r="AR247" s="22">
        <v>26.529599999999999</v>
      </c>
      <c r="AS247" s="22">
        <v>-1.44104E-2</v>
      </c>
      <c r="AT247" s="22">
        <v>237</v>
      </c>
      <c r="AU247" s="22">
        <v>0.65585300000000002</v>
      </c>
      <c r="AV247">
        <f t="shared" si="44"/>
        <v>17.790617283950617</v>
      </c>
      <c r="AW247">
        <f t="shared" si="45"/>
        <v>11.68107024</v>
      </c>
      <c r="AX247" s="9"/>
      <c r="AY247" s="22">
        <v>1.09344</v>
      </c>
      <c r="AZ247" s="22">
        <v>30.4495</v>
      </c>
      <c r="BA247" s="22">
        <v>-1.3998399999999999E-2</v>
      </c>
      <c r="BB247" s="22">
        <v>237</v>
      </c>
      <c r="BC247" s="22">
        <v>1.09253</v>
      </c>
      <c r="BD247">
        <f t="shared" si="46"/>
        <v>17.281975308641975</v>
      </c>
      <c r="BE247">
        <f t="shared" si="47"/>
        <v>18.89680308148148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7.5912199999999999</v>
      </c>
      <c r="I248" s="22">
        <v>-1.43585E-2</v>
      </c>
      <c r="J248" s="22">
        <v>238</v>
      </c>
      <c r="K248" s="22">
        <v>0.65097000000000005</v>
      </c>
      <c r="L248">
        <f t="shared" si="36"/>
        <v>17.726543209876542</v>
      </c>
      <c r="M248">
        <f t="shared" si="37"/>
        <v>11.54972922839506</v>
      </c>
      <c r="N248" s="9"/>
      <c r="O248" s="22">
        <v>1.0984799999999999</v>
      </c>
      <c r="P248" s="22">
        <v>11.511100000000001</v>
      </c>
      <c r="Q248" s="22">
        <v>-1.3952600000000001E-2</v>
      </c>
      <c r="R248" s="22">
        <v>238</v>
      </c>
      <c r="S248" s="22">
        <v>1.09772</v>
      </c>
      <c r="T248">
        <f t="shared" si="38"/>
        <v>17.225432098765431</v>
      </c>
      <c r="U248">
        <f t="shared" si="39"/>
        <v>18.921792651851849</v>
      </c>
      <c r="X248" s="9"/>
      <c r="Y248" s="22">
        <v>0.65154999999999996</v>
      </c>
      <c r="Z248" s="22">
        <v>17.0564</v>
      </c>
      <c r="AA248" s="22">
        <v>-1.4401199999999999E-2</v>
      </c>
      <c r="AB248" s="22">
        <v>238</v>
      </c>
      <c r="AC248" s="22">
        <v>0.65090899999999996</v>
      </c>
      <c r="AD248">
        <f t="shared" si="40"/>
        <v>17.779259259259259</v>
      </c>
      <c r="AE248">
        <f t="shared" si="41"/>
        <v>11.58407637037037</v>
      </c>
      <c r="AF248" s="9"/>
      <c r="AG248" s="22">
        <v>1.0984799999999999</v>
      </c>
      <c r="AH248" s="22">
        <v>20.976400000000002</v>
      </c>
      <c r="AI248" s="22">
        <v>-1.39893E-2</v>
      </c>
      <c r="AJ248" s="22">
        <v>238</v>
      </c>
      <c r="AK248" s="22">
        <v>1.09802</v>
      </c>
      <c r="AL248">
        <f t="shared" si="42"/>
        <v>17.270740740740738</v>
      </c>
      <c r="AM248">
        <f t="shared" si="43"/>
        <v>18.971563288888884</v>
      </c>
      <c r="AP248" s="9"/>
      <c r="AQ248" s="22">
        <v>0.65154999999999996</v>
      </c>
      <c r="AR248" s="22">
        <v>26.5397</v>
      </c>
      <c r="AS248" s="22">
        <v>-1.44165E-2</v>
      </c>
      <c r="AT248" s="22">
        <v>238</v>
      </c>
      <c r="AU248" s="22">
        <v>0.650787</v>
      </c>
      <c r="AV248">
        <f t="shared" si="44"/>
        <v>17.798148148148147</v>
      </c>
      <c r="AW248">
        <f t="shared" si="45"/>
        <v>11.596383425925925</v>
      </c>
      <c r="AX248" s="9"/>
      <c r="AY248" s="22">
        <v>1.0984799999999999</v>
      </c>
      <c r="AZ248" s="22">
        <v>30.459599999999998</v>
      </c>
      <c r="BA248" s="22">
        <v>-1.3998399999999999E-2</v>
      </c>
      <c r="BB248" s="22">
        <v>238</v>
      </c>
      <c r="BC248" s="22">
        <v>1.09772</v>
      </c>
      <c r="BD248">
        <f t="shared" si="46"/>
        <v>17.281975308641975</v>
      </c>
      <c r="BE248">
        <f t="shared" si="47"/>
        <v>18.983904237037034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7.6012899999999997</v>
      </c>
      <c r="I249" s="22">
        <v>-1.43616E-2</v>
      </c>
      <c r="J249" s="22">
        <v>239</v>
      </c>
      <c r="K249" s="22">
        <v>0.64581299999999997</v>
      </c>
      <c r="L249">
        <f t="shared" si="36"/>
        <v>17.73037037037037</v>
      </c>
      <c r="M249">
        <f t="shared" si="37"/>
        <v>11.462950399999999</v>
      </c>
      <c r="N249" s="9"/>
      <c r="O249" s="22">
        <v>1.1035200000000001</v>
      </c>
      <c r="P249" s="22">
        <v>11.5212</v>
      </c>
      <c r="Q249" s="22">
        <v>-1.3952600000000001E-2</v>
      </c>
      <c r="R249" s="22">
        <v>239</v>
      </c>
      <c r="S249" s="22">
        <v>1.1029100000000001</v>
      </c>
      <c r="T249">
        <f t="shared" si="38"/>
        <v>17.225432098765431</v>
      </c>
      <c r="U249">
        <f t="shared" si="39"/>
        <v>19.00860882962963</v>
      </c>
      <c r="X249" s="9"/>
      <c r="Y249" s="22">
        <v>0.64651499999999995</v>
      </c>
      <c r="Z249" s="22">
        <v>17.066500000000001</v>
      </c>
      <c r="AA249" s="22">
        <v>-1.44073E-2</v>
      </c>
      <c r="AB249" s="22">
        <v>239</v>
      </c>
      <c r="AC249" s="22">
        <v>0.64593500000000004</v>
      </c>
      <c r="AD249">
        <f t="shared" si="40"/>
        <v>17.78679012345679</v>
      </c>
      <c r="AE249">
        <f t="shared" si="41"/>
        <v>11.499426616666666</v>
      </c>
      <c r="AF249" s="9"/>
      <c r="AG249" s="22">
        <v>1.1035200000000001</v>
      </c>
      <c r="AH249" s="22">
        <v>20.9864</v>
      </c>
      <c r="AI249" s="22">
        <v>-1.3983199999999999E-2</v>
      </c>
      <c r="AJ249" s="22">
        <v>239</v>
      </c>
      <c r="AK249" s="22">
        <v>1.1026</v>
      </c>
      <c r="AL249">
        <f t="shared" si="42"/>
        <v>17.263209876543208</v>
      </c>
      <c r="AM249">
        <f t="shared" si="43"/>
        <v>19.050297362962962</v>
      </c>
      <c r="AP249" s="9"/>
      <c r="AQ249" s="22">
        <v>0.64651499999999995</v>
      </c>
      <c r="AR249" s="22">
        <v>26.549700000000001</v>
      </c>
      <c r="AS249" s="22">
        <v>-1.4419599999999999E-2</v>
      </c>
      <c r="AT249" s="22">
        <v>239</v>
      </c>
      <c r="AU249" s="22">
        <v>0.64590499999999995</v>
      </c>
      <c r="AV249">
        <f t="shared" si="44"/>
        <v>17.801975308641975</v>
      </c>
      <c r="AW249">
        <f t="shared" si="45"/>
        <v>11.509244066666666</v>
      </c>
      <c r="AX249" s="9"/>
      <c r="AY249" s="22">
        <v>1.1035200000000001</v>
      </c>
      <c r="AZ249" s="22">
        <v>30.4696</v>
      </c>
      <c r="BA249" s="22">
        <v>-1.3998399999999999E-2</v>
      </c>
      <c r="BB249" s="22">
        <v>239</v>
      </c>
      <c r="BC249" s="22">
        <v>1.10199</v>
      </c>
      <c r="BD249">
        <f t="shared" si="46"/>
        <v>17.281975308641975</v>
      </c>
      <c r="BE249">
        <f t="shared" si="47"/>
        <v>19.071005392592593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7.6113600000000003</v>
      </c>
      <c r="I250" s="22">
        <v>-1.4367700000000001E-2</v>
      </c>
      <c r="J250" s="22">
        <v>240</v>
      </c>
      <c r="K250" s="22">
        <v>0.64068599999999998</v>
      </c>
      <c r="L250">
        <f t="shared" si="36"/>
        <v>17.7379012345679</v>
      </c>
      <c r="M250">
        <f t="shared" si="37"/>
        <v>11.378491146049383</v>
      </c>
      <c r="N250" s="9"/>
      <c r="O250" s="22">
        <v>1.1085499999999999</v>
      </c>
      <c r="P250" s="22">
        <v>11.5313</v>
      </c>
      <c r="Q250" s="22">
        <v>-1.39496E-2</v>
      </c>
      <c r="R250" s="22">
        <v>240</v>
      </c>
      <c r="S250" s="22">
        <v>1.10809</v>
      </c>
      <c r="T250">
        <f t="shared" si="38"/>
        <v>17.221728395061724</v>
      </c>
      <c r="U250">
        <f t="shared" si="39"/>
        <v>19.091147012345672</v>
      </c>
      <c r="X250" s="9"/>
      <c r="Y250" s="22">
        <v>0.64147900000000002</v>
      </c>
      <c r="Z250" s="22">
        <v>17.076599999999999</v>
      </c>
      <c r="AA250" s="22">
        <v>-1.4413499999999999E-2</v>
      </c>
      <c r="AB250" s="22">
        <v>240</v>
      </c>
      <c r="AC250" s="22">
        <v>0.64068599999999998</v>
      </c>
      <c r="AD250">
        <f t="shared" si="40"/>
        <v>17.794444444444444</v>
      </c>
      <c r="AE250">
        <f t="shared" si="41"/>
        <v>11.414762427777777</v>
      </c>
      <c r="AF250" s="9"/>
      <c r="AG250" s="22">
        <v>1.1085499999999999</v>
      </c>
      <c r="AH250" s="22">
        <v>20.996500000000001</v>
      </c>
      <c r="AI250" s="22">
        <v>-1.3983199999999999E-2</v>
      </c>
      <c r="AJ250" s="22">
        <v>240</v>
      </c>
      <c r="AK250" s="22">
        <v>1.1071800000000001</v>
      </c>
      <c r="AL250">
        <f t="shared" si="42"/>
        <v>17.263209876543208</v>
      </c>
      <c r="AM250">
        <f t="shared" si="43"/>
        <v>19.137131308641973</v>
      </c>
      <c r="AP250" s="9"/>
      <c r="AQ250" s="22">
        <v>0.64147900000000002</v>
      </c>
      <c r="AR250" s="22">
        <v>26.559799999999999</v>
      </c>
      <c r="AS250" s="22">
        <v>-1.44257E-2</v>
      </c>
      <c r="AT250" s="22">
        <v>240</v>
      </c>
      <c r="AU250" s="22">
        <v>0.64102199999999998</v>
      </c>
      <c r="AV250">
        <f t="shared" si="44"/>
        <v>17.809506172839505</v>
      </c>
      <c r="AW250">
        <f t="shared" si="45"/>
        <v>11.424424210246913</v>
      </c>
      <c r="AX250" s="9"/>
      <c r="AY250" s="22">
        <v>1.1085499999999999</v>
      </c>
      <c r="AZ250" s="22">
        <v>30.479700000000001</v>
      </c>
      <c r="BA250" s="22">
        <v>-1.3992299999999999E-2</v>
      </c>
      <c r="BB250" s="22">
        <v>240</v>
      </c>
      <c r="BC250" s="22">
        <v>1.10748</v>
      </c>
      <c r="BD250">
        <f t="shared" si="46"/>
        <v>17.274444444444445</v>
      </c>
      <c r="BE250">
        <f t="shared" si="47"/>
        <v>19.149585388888887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7.6214399999999998</v>
      </c>
      <c r="I251" s="22">
        <v>-1.43707E-2</v>
      </c>
      <c r="J251" s="22">
        <v>241</v>
      </c>
      <c r="K251" s="22">
        <v>0.63574200000000003</v>
      </c>
      <c r="L251">
        <f t="shared" si="36"/>
        <v>17.741604938271603</v>
      </c>
      <c r="M251">
        <f t="shared" si="37"/>
        <v>11.291538013333332</v>
      </c>
      <c r="N251" s="9"/>
      <c r="O251" s="22">
        <v>1.1135900000000001</v>
      </c>
      <c r="P251" s="22">
        <v>11.5413</v>
      </c>
      <c r="Q251" s="22">
        <v>-1.3946500000000001E-2</v>
      </c>
      <c r="R251" s="22">
        <v>241</v>
      </c>
      <c r="S251" s="22">
        <v>1.1129800000000001</v>
      </c>
      <c r="T251">
        <f t="shared" si="38"/>
        <v>17.217901234567901</v>
      </c>
      <c r="U251">
        <f t="shared" si="39"/>
        <v>19.173682635802471</v>
      </c>
      <c r="X251" s="9"/>
      <c r="Y251" s="22">
        <v>0.63644400000000001</v>
      </c>
      <c r="Z251" s="22">
        <v>17.0867</v>
      </c>
      <c r="AA251" s="22">
        <v>-1.44165E-2</v>
      </c>
      <c r="AB251" s="22">
        <v>241</v>
      </c>
      <c r="AC251" s="22">
        <v>0.63580300000000001</v>
      </c>
      <c r="AD251">
        <f t="shared" si="40"/>
        <v>17.798148148148147</v>
      </c>
      <c r="AE251">
        <f t="shared" si="41"/>
        <v>11.3275246</v>
      </c>
      <c r="AF251" s="9"/>
      <c r="AG251" s="22">
        <v>1.1135900000000001</v>
      </c>
      <c r="AH251" s="22">
        <v>21.006599999999999</v>
      </c>
      <c r="AI251" s="22">
        <v>-1.3974E-2</v>
      </c>
      <c r="AJ251" s="22">
        <v>241</v>
      </c>
      <c r="AK251" s="22">
        <v>1.11267</v>
      </c>
      <c r="AL251">
        <f t="shared" si="42"/>
        <v>17.251851851851853</v>
      </c>
      <c r="AM251">
        <f t="shared" si="43"/>
        <v>19.211489703703705</v>
      </c>
      <c r="AP251" s="9"/>
      <c r="AQ251" s="22">
        <v>0.63644400000000001</v>
      </c>
      <c r="AR251" s="22">
        <v>26.569900000000001</v>
      </c>
      <c r="AS251" s="22">
        <v>-1.44318E-2</v>
      </c>
      <c r="AT251" s="22">
        <v>241</v>
      </c>
      <c r="AU251" s="22">
        <v>0.63565099999999997</v>
      </c>
      <c r="AV251">
        <f t="shared" si="44"/>
        <v>17.817037037037036</v>
      </c>
      <c r="AW251">
        <f t="shared" si="45"/>
        <v>11.33954632</v>
      </c>
      <c r="AX251" s="9"/>
      <c r="AY251" s="22">
        <v>1.1135900000000001</v>
      </c>
      <c r="AZ251" s="22">
        <v>30.489799999999999</v>
      </c>
      <c r="BA251" s="22">
        <v>-1.39893E-2</v>
      </c>
      <c r="BB251" s="22">
        <v>241</v>
      </c>
      <c r="BC251" s="22">
        <v>1.11267</v>
      </c>
      <c r="BD251">
        <f t="shared" si="46"/>
        <v>17.270740740740738</v>
      </c>
      <c r="BE251">
        <f t="shared" si="47"/>
        <v>19.23252418148148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7.6315099999999996</v>
      </c>
      <c r="I252" s="22">
        <v>-1.4373800000000001E-2</v>
      </c>
      <c r="J252" s="22">
        <v>242</v>
      </c>
      <c r="K252" s="22">
        <v>0.63073699999999999</v>
      </c>
      <c r="L252">
        <f t="shared" si="36"/>
        <v>17.745432098765431</v>
      </c>
      <c r="M252">
        <f t="shared" si="37"/>
        <v>11.204625536049381</v>
      </c>
      <c r="N252" s="9"/>
      <c r="O252" s="22">
        <v>1.1186199999999999</v>
      </c>
      <c r="P252" s="22">
        <v>11.551399999999999</v>
      </c>
      <c r="Q252" s="22">
        <v>-1.3943499999999999E-2</v>
      </c>
      <c r="R252" s="22">
        <v>242</v>
      </c>
      <c r="S252" s="22">
        <v>1.11755</v>
      </c>
      <c r="T252">
        <f t="shared" si="38"/>
        <v>17.214197530864197</v>
      </c>
      <c r="U252">
        <f t="shared" si="39"/>
        <v>19.256145641975309</v>
      </c>
      <c r="X252" s="9"/>
      <c r="Y252" s="22">
        <v>0.631409</v>
      </c>
      <c r="Z252" s="22">
        <v>17.096699999999998</v>
      </c>
      <c r="AA252" s="22">
        <v>-1.4419599999999999E-2</v>
      </c>
      <c r="AB252" s="22">
        <v>242</v>
      </c>
      <c r="AC252" s="22">
        <v>0.63067600000000001</v>
      </c>
      <c r="AD252">
        <f t="shared" si="40"/>
        <v>17.801975308641975</v>
      </c>
      <c r="AE252">
        <f t="shared" si="41"/>
        <v>11.240327427654321</v>
      </c>
      <c r="AF252" s="9"/>
      <c r="AG252" s="22">
        <v>1.1186199999999999</v>
      </c>
      <c r="AH252" s="22">
        <v>21.0167</v>
      </c>
      <c r="AI252" s="22">
        <v>-1.39709E-2</v>
      </c>
      <c r="AJ252" s="22">
        <v>242</v>
      </c>
      <c r="AK252" s="22">
        <v>1.11755</v>
      </c>
      <c r="AL252">
        <f t="shared" si="42"/>
        <v>17.248024691358022</v>
      </c>
      <c r="AM252">
        <f t="shared" si="43"/>
        <v>19.293985380246909</v>
      </c>
      <c r="AP252" s="9"/>
      <c r="AQ252" s="22">
        <v>0.631409</v>
      </c>
      <c r="AR252" s="22">
        <v>26.58</v>
      </c>
      <c r="AS252" s="22">
        <v>-1.4434799999999999E-2</v>
      </c>
      <c r="AT252" s="22">
        <v>242</v>
      </c>
      <c r="AU252" s="22">
        <v>0.63073699999999999</v>
      </c>
      <c r="AV252">
        <f t="shared" si="44"/>
        <v>17.820740740740739</v>
      </c>
      <c r="AW252">
        <f t="shared" si="45"/>
        <v>11.252176090370369</v>
      </c>
      <c r="AX252" s="9"/>
      <c r="AY252" s="22">
        <v>1.1186199999999999</v>
      </c>
      <c r="AZ252" s="22">
        <v>30.4999</v>
      </c>
      <c r="BA252" s="22">
        <v>-1.3980100000000001E-2</v>
      </c>
      <c r="BB252" s="22">
        <v>242</v>
      </c>
      <c r="BC252" s="22">
        <v>1.11694</v>
      </c>
      <c r="BD252">
        <f t="shared" si="46"/>
        <v>17.259382716049384</v>
      </c>
      <c r="BE252">
        <f t="shared" si="47"/>
        <v>19.306690693827161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7.6415800000000003</v>
      </c>
      <c r="I253" s="22">
        <v>-1.4379899999999999E-2</v>
      </c>
      <c r="J253" s="22">
        <v>243</v>
      </c>
      <c r="K253" s="22">
        <v>0.62573199999999995</v>
      </c>
      <c r="L253">
        <f t="shared" si="36"/>
        <v>17.752962962962961</v>
      </c>
      <c r="M253">
        <f t="shared" si="37"/>
        <v>11.119976669999998</v>
      </c>
      <c r="N253" s="9"/>
      <c r="O253" s="22">
        <v>1.1236600000000001</v>
      </c>
      <c r="P253" s="22">
        <v>11.561500000000001</v>
      </c>
      <c r="Q253" s="22">
        <v>-1.3937400000000001E-2</v>
      </c>
      <c r="R253" s="22">
        <v>243</v>
      </c>
      <c r="S253" s="22">
        <v>1.1227400000000001</v>
      </c>
      <c r="T253">
        <f t="shared" si="38"/>
        <v>17.206666666666667</v>
      </c>
      <c r="U253">
        <f t="shared" si="39"/>
        <v>19.334443066666669</v>
      </c>
      <c r="X253" s="9"/>
      <c r="Y253" s="22">
        <v>0.62637299999999996</v>
      </c>
      <c r="Z253" s="22">
        <v>17.1068</v>
      </c>
      <c r="AA253" s="22">
        <v>-1.44257E-2</v>
      </c>
      <c r="AB253" s="22">
        <v>243</v>
      </c>
      <c r="AC253" s="22">
        <v>0.62561</v>
      </c>
      <c r="AD253">
        <f t="shared" si="40"/>
        <v>17.809506172839505</v>
      </c>
      <c r="AE253">
        <f t="shared" si="41"/>
        <v>11.155393809999998</v>
      </c>
      <c r="AF253" s="9"/>
      <c r="AG253" s="22">
        <v>1.1236600000000001</v>
      </c>
      <c r="AH253" s="22">
        <v>21.026700000000002</v>
      </c>
      <c r="AI253" s="22">
        <v>-1.3964799999999999E-2</v>
      </c>
      <c r="AJ253" s="22">
        <v>243</v>
      </c>
      <c r="AK253" s="22">
        <v>1.1230500000000001</v>
      </c>
      <c r="AL253">
        <f t="shared" si="42"/>
        <v>17.240493827160492</v>
      </c>
      <c r="AM253">
        <f t="shared" si="43"/>
        <v>19.37245329382716</v>
      </c>
      <c r="AP253" s="9"/>
      <c r="AQ253" s="22">
        <v>0.62637299999999996</v>
      </c>
      <c r="AR253" s="22">
        <v>26.59</v>
      </c>
      <c r="AS253" s="22">
        <v>-1.44379E-2</v>
      </c>
      <c r="AT253" s="22">
        <v>243</v>
      </c>
      <c r="AU253" s="22">
        <v>0.62548800000000004</v>
      </c>
      <c r="AV253">
        <f t="shared" si="44"/>
        <v>17.824567901234566</v>
      </c>
      <c r="AW253">
        <f t="shared" si="45"/>
        <v>11.164828069999999</v>
      </c>
      <c r="AX253" s="9"/>
      <c r="AY253" s="22">
        <v>1.1236600000000001</v>
      </c>
      <c r="AZ253" s="22">
        <v>30.509899999999998</v>
      </c>
      <c r="BA253" s="22">
        <v>-1.3974E-2</v>
      </c>
      <c r="BB253" s="22">
        <v>243</v>
      </c>
      <c r="BC253" s="22">
        <v>1.1227400000000001</v>
      </c>
      <c r="BD253">
        <f t="shared" si="46"/>
        <v>17.251851851851853</v>
      </c>
      <c r="BE253">
        <f t="shared" si="47"/>
        <v>19.385215851851854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7.6516500000000001</v>
      </c>
      <c r="I254" s="22">
        <v>-1.4382900000000001E-2</v>
      </c>
      <c r="J254" s="22">
        <v>244</v>
      </c>
      <c r="K254" s="22">
        <v>0.62054399999999998</v>
      </c>
      <c r="L254">
        <f t="shared" si="36"/>
        <v>17.756666666666668</v>
      </c>
      <c r="M254">
        <f t="shared" si="37"/>
        <v>11.032891753333333</v>
      </c>
      <c r="N254" s="9"/>
      <c r="O254" s="22">
        <v>1.12869</v>
      </c>
      <c r="P254" s="22">
        <v>11.5715</v>
      </c>
      <c r="Q254" s="22">
        <v>-1.39343E-2</v>
      </c>
      <c r="R254" s="22">
        <v>244</v>
      </c>
      <c r="S254" s="22">
        <v>1.1273200000000001</v>
      </c>
      <c r="T254">
        <f t="shared" si="38"/>
        <v>17.202839506172836</v>
      </c>
      <c r="U254">
        <f t="shared" si="39"/>
        <v>19.416672922222219</v>
      </c>
      <c r="X254" s="9"/>
      <c r="Y254" s="22">
        <v>0.62133799999999995</v>
      </c>
      <c r="Z254" s="22">
        <v>17.116900000000001</v>
      </c>
      <c r="AA254" s="22">
        <v>-1.44257E-2</v>
      </c>
      <c r="AB254" s="22">
        <v>244</v>
      </c>
      <c r="AC254" s="22">
        <v>0.62063599999999997</v>
      </c>
      <c r="AD254">
        <f t="shared" si="40"/>
        <v>17.809506172839505</v>
      </c>
      <c r="AE254">
        <f t="shared" si="41"/>
        <v>11.065722946419752</v>
      </c>
      <c r="AF254" s="9"/>
      <c r="AG254" s="22">
        <v>1.12869</v>
      </c>
      <c r="AH254" s="22">
        <v>21.036799999999999</v>
      </c>
      <c r="AI254" s="22">
        <v>-1.39618E-2</v>
      </c>
      <c r="AJ254" s="22">
        <v>244</v>
      </c>
      <c r="AK254" s="22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2">
        <v>0.62133799999999995</v>
      </c>
      <c r="AR254" s="22">
        <v>26.600100000000001</v>
      </c>
      <c r="AS254" s="22">
        <v>-1.4444E-2</v>
      </c>
      <c r="AT254" s="22">
        <v>244</v>
      </c>
      <c r="AU254" s="22">
        <v>0.623108</v>
      </c>
      <c r="AV254">
        <f t="shared" si="44"/>
        <v>17.832098765432097</v>
      </c>
      <c r="AW254">
        <f t="shared" si="45"/>
        <v>11.079760582716046</v>
      </c>
      <c r="AX254" s="9"/>
      <c r="AY254" s="22">
        <v>1.12869</v>
      </c>
      <c r="AZ254" s="22">
        <v>30.52</v>
      </c>
      <c r="BA254" s="22">
        <v>-1.39679E-2</v>
      </c>
      <c r="BB254" s="22">
        <v>244</v>
      </c>
      <c r="BC254" s="22">
        <v>1.1279300000000001</v>
      </c>
      <c r="BD254">
        <f t="shared" si="46"/>
        <v>17.244320987654319</v>
      </c>
      <c r="BE254">
        <f t="shared" si="47"/>
        <v>19.463492655555552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7.6617199999999999</v>
      </c>
      <c r="I255" s="22">
        <v>-1.4389000000000001E-2</v>
      </c>
      <c r="J255" s="22">
        <v>245</v>
      </c>
      <c r="K255" s="22">
        <v>0.61553999999999998</v>
      </c>
      <c r="L255">
        <f t="shared" si="36"/>
        <v>17.764197530864198</v>
      </c>
      <c r="M255">
        <f t="shared" si="37"/>
        <v>10.948110466666668</v>
      </c>
      <c r="N255" s="9"/>
      <c r="O255" s="22">
        <v>1.1337299999999999</v>
      </c>
      <c r="P255" s="22">
        <v>11.5816</v>
      </c>
      <c r="Q255" s="22">
        <v>-1.3931300000000001E-2</v>
      </c>
      <c r="R255" s="22">
        <v>245</v>
      </c>
      <c r="S255" s="22">
        <v>1.1331199999999999</v>
      </c>
      <c r="T255">
        <f t="shared" si="38"/>
        <v>17.199135802469137</v>
      </c>
      <c r="U255">
        <f t="shared" si="39"/>
        <v>19.499176233333333</v>
      </c>
      <c r="X255" s="9"/>
      <c r="Y255" s="22">
        <v>0.61630200000000002</v>
      </c>
      <c r="Z255" s="22">
        <v>17.126899999999999</v>
      </c>
      <c r="AA255" s="22">
        <v>-1.44318E-2</v>
      </c>
      <c r="AB255" s="22">
        <v>245</v>
      </c>
      <c r="AC255" s="22">
        <v>0.61560099999999995</v>
      </c>
      <c r="AD255">
        <f t="shared" si="40"/>
        <v>17.817037037037036</v>
      </c>
      <c r="AE255">
        <f t="shared" si="41"/>
        <v>10.98067556</v>
      </c>
      <c r="AF255" s="9"/>
      <c r="AG255" s="22">
        <v>1.1337299999999999</v>
      </c>
      <c r="AH255" s="22">
        <v>21.046900000000001</v>
      </c>
      <c r="AI255" s="22">
        <v>-1.39557E-2</v>
      </c>
      <c r="AJ255" s="22">
        <v>245</v>
      </c>
      <c r="AK255" s="22">
        <v>1.1325099999999999</v>
      </c>
      <c r="AL255">
        <f t="shared" si="42"/>
        <v>17.229259259259258</v>
      </c>
      <c r="AM255">
        <f t="shared" si="43"/>
        <v>19.533328099999999</v>
      </c>
      <c r="AP255" s="9"/>
      <c r="AQ255" s="22">
        <v>0.61630200000000002</v>
      </c>
      <c r="AR255" s="22">
        <v>26.610199999999999</v>
      </c>
      <c r="AS255" s="22">
        <v>-1.44501E-2</v>
      </c>
      <c r="AT255" s="22">
        <v>245</v>
      </c>
      <c r="AU255" s="22">
        <v>0.615479</v>
      </c>
      <c r="AV255">
        <f t="shared" si="44"/>
        <v>17.839629629629631</v>
      </c>
      <c r="AW255">
        <f t="shared" si="45"/>
        <v>10.99459942</v>
      </c>
      <c r="AX255" s="9"/>
      <c r="AY255" s="22">
        <v>1.1337299999999999</v>
      </c>
      <c r="AZ255" s="22">
        <v>30.530100000000001</v>
      </c>
      <c r="BA255" s="22">
        <v>-1.39618E-2</v>
      </c>
      <c r="BB255" s="22">
        <v>245</v>
      </c>
      <c r="BC255" s="22">
        <v>1.1325099999999999</v>
      </c>
      <c r="BD255">
        <f t="shared" si="46"/>
        <v>17.236790123456789</v>
      </c>
      <c r="BE255">
        <f t="shared" si="47"/>
        <v>19.541866066666664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7.6717899999999997</v>
      </c>
      <c r="I256" s="22">
        <v>-1.43982E-2</v>
      </c>
      <c r="J256" s="22">
        <v>246</v>
      </c>
      <c r="K256" s="22">
        <v>0.61053500000000005</v>
      </c>
      <c r="L256">
        <f t="shared" si="36"/>
        <v>17.775555555555556</v>
      </c>
      <c r="M256">
        <f t="shared" si="37"/>
        <v>10.865610517777778</v>
      </c>
      <c r="N256" s="9"/>
      <c r="O256" s="22">
        <v>1.13876</v>
      </c>
      <c r="P256" s="22">
        <v>11.591699999999999</v>
      </c>
      <c r="Q256" s="22">
        <v>-1.39282E-2</v>
      </c>
      <c r="R256" s="22">
        <v>246</v>
      </c>
      <c r="S256" s="22">
        <v>1.1373899999999999</v>
      </c>
      <c r="T256">
        <f t="shared" si="38"/>
        <v>17.195308641975309</v>
      </c>
      <c r="U256">
        <f t="shared" si="39"/>
        <v>19.581329669135805</v>
      </c>
      <c r="X256" s="9"/>
      <c r="Y256" s="22">
        <v>0.611267</v>
      </c>
      <c r="Z256" s="22">
        <v>17.137</v>
      </c>
      <c r="AA256" s="22">
        <v>-1.44379E-2</v>
      </c>
      <c r="AB256" s="22">
        <v>246</v>
      </c>
      <c r="AC256" s="22">
        <v>0.61050400000000005</v>
      </c>
      <c r="AD256">
        <f t="shared" si="40"/>
        <v>17.824567901234566</v>
      </c>
      <c r="AE256">
        <f t="shared" si="41"/>
        <v>10.89557014728395</v>
      </c>
      <c r="AF256" s="9"/>
      <c r="AG256" s="22">
        <v>1.13876</v>
      </c>
      <c r="AH256" s="22">
        <v>21.056899999999999</v>
      </c>
      <c r="AI256" s="22">
        <v>-1.3946500000000001E-2</v>
      </c>
      <c r="AJ256" s="22">
        <v>246</v>
      </c>
      <c r="AK256" s="22">
        <v>1.1376999999999999</v>
      </c>
      <c r="AL256">
        <f t="shared" si="42"/>
        <v>17.217901234567901</v>
      </c>
      <c r="AM256">
        <f t="shared" si="43"/>
        <v>19.607057209876544</v>
      </c>
      <c r="AP256" s="9"/>
      <c r="AQ256" s="22">
        <v>0.611267</v>
      </c>
      <c r="AR256" s="22">
        <v>26.620200000000001</v>
      </c>
      <c r="AS256" s="22">
        <v>-1.44531E-2</v>
      </c>
      <c r="AT256" s="22">
        <v>246</v>
      </c>
      <c r="AU256" s="22">
        <v>0.61047399999999996</v>
      </c>
      <c r="AV256">
        <f t="shared" si="44"/>
        <v>17.843333333333334</v>
      </c>
      <c r="AW256">
        <f t="shared" si="45"/>
        <v>10.907040836666667</v>
      </c>
      <c r="AX256" s="9"/>
      <c r="AY256" s="22">
        <v>1.13876</v>
      </c>
      <c r="AZ256" s="22">
        <v>30.540099999999999</v>
      </c>
      <c r="BA256" s="22">
        <v>-1.3958699999999999E-2</v>
      </c>
      <c r="BB256" s="22">
        <v>246</v>
      </c>
      <c r="BC256" s="22">
        <v>1.1379999999999999</v>
      </c>
      <c r="BD256">
        <f t="shared" si="46"/>
        <v>17.232962962962961</v>
      </c>
      <c r="BE256">
        <f t="shared" si="47"/>
        <v>19.624208903703703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7.6818600000000004</v>
      </c>
      <c r="I257" s="22">
        <v>-1.4401199999999999E-2</v>
      </c>
      <c r="J257" s="22">
        <v>247</v>
      </c>
      <c r="K257" s="22">
        <v>0.60543800000000003</v>
      </c>
      <c r="L257">
        <f t="shared" si="36"/>
        <v>17.779259259259259</v>
      </c>
      <c r="M257">
        <f t="shared" si="37"/>
        <v>10.778355899259259</v>
      </c>
      <c r="N257" s="9"/>
      <c r="O257" s="22">
        <v>1.1437999999999999</v>
      </c>
      <c r="P257" s="22">
        <v>11.601800000000001</v>
      </c>
      <c r="Q257" s="22">
        <v>-1.39252E-2</v>
      </c>
      <c r="R257" s="22">
        <v>247</v>
      </c>
      <c r="S257" s="22">
        <v>1.1428799999999999</v>
      </c>
      <c r="T257">
        <f t="shared" si="38"/>
        <v>17.191604938271606</v>
      </c>
      <c r="U257">
        <f t="shared" si="39"/>
        <v>19.663757728395062</v>
      </c>
      <c r="X257" s="9"/>
      <c r="Y257" s="22">
        <v>0.60623199999999999</v>
      </c>
      <c r="Z257" s="22">
        <v>17.147099999999998</v>
      </c>
      <c r="AA257" s="22">
        <v>-1.4444E-2</v>
      </c>
      <c r="AB257" s="22">
        <v>247</v>
      </c>
      <c r="AC257" s="22">
        <v>0.60546900000000003</v>
      </c>
      <c r="AD257">
        <f t="shared" si="40"/>
        <v>17.832098765432097</v>
      </c>
      <c r="AE257">
        <f t="shared" si="41"/>
        <v>10.810388898765432</v>
      </c>
      <c r="AF257" s="9"/>
      <c r="AG257" s="22">
        <v>1.1437999999999999</v>
      </c>
      <c r="AH257" s="22">
        <v>21.067</v>
      </c>
      <c r="AI257" s="22">
        <v>-1.39404E-2</v>
      </c>
      <c r="AJ257" s="22">
        <v>247</v>
      </c>
      <c r="AK257" s="22">
        <v>1.1431899999999999</v>
      </c>
      <c r="AL257">
        <f t="shared" si="42"/>
        <v>17.21037037037037</v>
      </c>
      <c r="AM257">
        <f t="shared" si="43"/>
        <v>19.685221629629627</v>
      </c>
      <c r="AP257" s="9"/>
      <c r="AQ257" s="22">
        <v>0.60623199999999999</v>
      </c>
      <c r="AR257" s="22">
        <v>26.630299999999998</v>
      </c>
      <c r="AS257" s="22">
        <v>-1.44592E-2</v>
      </c>
      <c r="AT257" s="22">
        <v>247</v>
      </c>
      <c r="AU257" s="22">
        <v>0.60549900000000001</v>
      </c>
      <c r="AV257">
        <f t="shared" si="44"/>
        <v>17.850864197530864</v>
      </c>
      <c r="AW257">
        <f t="shared" si="45"/>
        <v>10.821765104197532</v>
      </c>
      <c r="AX257" s="9"/>
      <c r="AY257" s="22">
        <v>1.1437999999999999</v>
      </c>
      <c r="AZ257" s="22">
        <v>30.5502</v>
      </c>
      <c r="BA257" s="22">
        <v>-1.39557E-2</v>
      </c>
      <c r="BB257" s="22">
        <v>247</v>
      </c>
      <c r="BC257" s="22">
        <v>1.1422699999999999</v>
      </c>
      <c r="BD257">
        <f t="shared" si="46"/>
        <v>17.229259259259258</v>
      </c>
      <c r="BE257">
        <f t="shared" si="47"/>
        <v>19.706826740740738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7.6919300000000002</v>
      </c>
      <c r="I258" s="22">
        <v>-1.44043E-2</v>
      </c>
      <c r="J258" s="22">
        <v>248</v>
      </c>
      <c r="K258" s="22">
        <v>0.60037200000000002</v>
      </c>
      <c r="L258">
        <f t="shared" si="36"/>
        <v>17.783086419753086</v>
      </c>
      <c r="M258">
        <f t="shared" si="37"/>
        <v>10.691120423209876</v>
      </c>
      <c r="N258" s="9"/>
      <c r="O258" s="22">
        <v>1.14883</v>
      </c>
      <c r="P258" s="22">
        <v>11.611800000000001</v>
      </c>
      <c r="Q258" s="22">
        <v>-1.3916E-2</v>
      </c>
      <c r="R258" s="22">
        <v>248</v>
      </c>
      <c r="S258" s="22">
        <v>1.14716</v>
      </c>
      <c r="T258">
        <f t="shared" si="38"/>
        <v>17.180246913580245</v>
      </c>
      <c r="U258">
        <f t="shared" si="39"/>
        <v>19.737183061728391</v>
      </c>
      <c r="X258" s="9"/>
      <c r="Y258" s="22">
        <v>0.60119599999999995</v>
      </c>
      <c r="Z258" s="22">
        <v>17.1572</v>
      </c>
      <c r="AA258" s="22">
        <v>-1.44501E-2</v>
      </c>
      <c r="AB258" s="22">
        <v>248</v>
      </c>
      <c r="AC258" s="22">
        <v>0.60052499999999998</v>
      </c>
      <c r="AD258">
        <f t="shared" si="40"/>
        <v>17.839629629629631</v>
      </c>
      <c r="AE258">
        <f t="shared" si="41"/>
        <v>10.725113974814814</v>
      </c>
      <c r="AF258" s="9"/>
      <c r="AG258" s="22">
        <v>1.14883</v>
      </c>
      <c r="AH258" s="22">
        <v>21.077100000000002</v>
      </c>
      <c r="AI258" s="22">
        <v>-1.3937400000000001E-2</v>
      </c>
      <c r="AJ258" s="22">
        <v>248</v>
      </c>
      <c r="AK258" s="22">
        <v>1.1480699999999999</v>
      </c>
      <c r="AL258">
        <f t="shared" si="42"/>
        <v>17.206666666666667</v>
      </c>
      <c r="AM258">
        <f t="shared" si="43"/>
        <v>19.767534866666669</v>
      </c>
      <c r="AP258" s="9"/>
      <c r="AQ258" s="22">
        <v>0.60119599999999995</v>
      </c>
      <c r="AR258" s="22">
        <v>26.6404</v>
      </c>
      <c r="AS258" s="22">
        <v>-1.44653E-2</v>
      </c>
      <c r="AT258" s="22">
        <v>248</v>
      </c>
      <c r="AU258" s="22">
        <v>0.60067700000000002</v>
      </c>
      <c r="AV258">
        <f t="shared" si="44"/>
        <v>17.858395061728395</v>
      </c>
      <c r="AW258">
        <f t="shared" si="45"/>
        <v>10.736395677530863</v>
      </c>
      <c r="AX258" s="9"/>
      <c r="AY258" s="22">
        <v>1.14883</v>
      </c>
      <c r="AZ258" s="22">
        <v>30.560300000000002</v>
      </c>
      <c r="BA258" s="22">
        <v>-1.3952600000000001E-2</v>
      </c>
      <c r="BB258" s="22">
        <v>248</v>
      </c>
      <c r="BC258" s="22">
        <v>1.14716</v>
      </c>
      <c r="BD258">
        <f t="shared" si="46"/>
        <v>17.225432098765431</v>
      </c>
      <c r="BE258">
        <f t="shared" si="47"/>
        <v>19.789093158024691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7.702</v>
      </c>
      <c r="I259" s="22">
        <v>-1.44073E-2</v>
      </c>
      <c r="J259" s="22">
        <v>249</v>
      </c>
      <c r="K259" s="22">
        <v>0.59533700000000001</v>
      </c>
      <c r="L259">
        <f t="shared" si="36"/>
        <v>17.78679012345679</v>
      </c>
      <c r="M259">
        <f t="shared" si="37"/>
        <v>10.603790586790124</v>
      </c>
      <c r="N259" s="9"/>
      <c r="O259" s="22">
        <v>1.15387</v>
      </c>
      <c r="P259" s="22">
        <v>11.6219</v>
      </c>
      <c r="Q259" s="22">
        <v>-1.3909899999999999E-2</v>
      </c>
      <c r="R259" s="22">
        <v>249</v>
      </c>
      <c r="S259" s="22">
        <v>1.1535599999999999</v>
      </c>
      <c r="T259">
        <f t="shared" si="38"/>
        <v>17.172716049382714</v>
      </c>
      <c r="U259">
        <f t="shared" si="39"/>
        <v>19.815081867901231</v>
      </c>
      <c r="X259" s="9"/>
      <c r="Y259" s="22">
        <v>0.59616100000000005</v>
      </c>
      <c r="Z259" s="22">
        <v>17.167200000000001</v>
      </c>
      <c r="AA259" s="22">
        <v>-1.44501E-2</v>
      </c>
      <c r="AB259" s="22">
        <v>249</v>
      </c>
      <c r="AC259" s="22">
        <v>0.59542799999999996</v>
      </c>
      <c r="AD259">
        <f t="shared" si="40"/>
        <v>17.839629629629631</v>
      </c>
      <c r="AE259">
        <f t="shared" si="41"/>
        <v>10.635291439629631</v>
      </c>
      <c r="AF259" s="9"/>
      <c r="AG259" s="22">
        <v>1.15387</v>
      </c>
      <c r="AH259" s="22">
        <v>21.087199999999999</v>
      </c>
      <c r="AI259" s="22">
        <v>-1.3937400000000001E-2</v>
      </c>
      <c r="AJ259" s="22">
        <v>249</v>
      </c>
      <c r="AK259" s="22">
        <v>1.15265</v>
      </c>
      <c r="AL259">
        <f t="shared" si="42"/>
        <v>17.206666666666667</v>
      </c>
      <c r="AM259">
        <f t="shared" si="43"/>
        <v>19.854256466666666</v>
      </c>
      <c r="AP259" s="9"/>
      <c r="AQ259" s="22">
        <v>0.59616100000000005</v>
      </c>
      <c r="AR259" s="22">
        <v>26.650500000000001</v>
      </c>
      <c r="AS259" s="22">
        <v>-1.4471400000000001E-2</v>
      </c>
      <c r="AT259" s="22">
        <v>249</v>
      </c>
      <c r="AU259" s="22">
        <v>0.59539799999999998</v>
      </c>
      <c r="AV259">
        <f t="shared" si="44"/>
        <v>17.865925925925925</v>
      </c>
      <c r="AW259">
        <f t="shared" si="45"/>
        <v>10.650968265925925</v>
      </c>
      <c r="AX259" s="9"/>
      <c r="AY259" s="22">
        <v>1.15387</v>
      </c>
      <c r="AZ259" s="22">
        <v>30.570399999999999</v>
      </c>
      <c r="BA259" s="22">
        <v>-1.39496E-2</v>
      </c>
      <c r="BB259" s="22">
        <v>249</v>
      </c>
      <c r="BC259" s="22">
        <v>1.1529499999999999</v>
      </c>
      <c r="BD259">
        <f t="shared" si="46"/>
        <v>17.221728395061724</v>
      </c>
      <c r="BE259">
        <f t="shared" si="47"/>
        <v>19.871635743209872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7.7120699999999998</v>
      </c>
      <c r="I260" s="22">
        <v>-1.4413499999999999E-2</v>
      </c>
      <c r="J260" s="22">
        <v>250</v>
      </c>
      <c r="K260" s="22">
        <v>0.59036299999999997</v>
      </c>
      <c r="L260">
        <f t="shared" si="36"/>
        <v>17.794444444444444</v>
      </c>
      <c r="M260">
        <f t="shared" si="37"/>
        <v>10.518740972222222</v>
      </c>
      <c r="N260" s="9"/>
      <c r="O260" s="22">
        <v>1.1589100000000001</v>
      </c>
      <c r="P260" s="22">
        <v>11.632</v>
      </c>
      <c r="Q260" s="22">
        <v>-1.3903799999999999E-2</v>
      </c>
      <c r="R260" s="22">
        <v>250</v>
      </c>
      <c r="S260" s="22">
        <v>1.15784</v>
      </c>
      <c r="T260">
        <f t="shared" si="38"/>
        <v>17.165185185185184</v>
      </c>
      <c r="U260">
        <f t="shared" si="39"/>
        <v>19.892904762962964</v>
      </c>
      <c r="X260" s="9"/>
      <c r="Y260" s="22">
        <v>0.59112500000000001</v>
      </c>
      <c r="Z260" s="22">
        <v>17.177299999999999</v>
      </c>
      <c r="AA260" s="22">
        <v>-1.4456200000000001E-2</v>
      </c>
      <c r="AB260" s="22">
        <v>250</v>
      </c>
      <c r="AC260" s="22">
        <v>0.59045400000000003</v>
      </c>
      <c r="AD260">
        <f t="shared" si="40"/>
        <v>17.847160493827161</v>
      </c>
      <c r="AE260">
        <f t="shared" si="41"/>
        <v>10.549902746913581</v>
      </c>
      <c r="AF260" s="9"/>
      <c r="AG260" s="22">
        <v>1.1589100000000001</v>
      </c>
      <c r="AH260" s="22">
        <v>21.097200000000001</v>
      </c>
      <c r="AI260" s="22">
        <v>-1.3931300000000001E-2</v>
      </c>
      <c r="AJ260" s="22">
        <v>250</v>
      </c>
      <c r="AK260" s="22">
        <v>1.1581399999999999</v>
      </c>
      <c r="AL260">
        <f t="shared" si="42"/>
        <v>17.199135802469137</v>
      </c>
      <c r="AM260">
        <f t="shared" si="43"/>
        <v>19.93225047283951</v>
      </c>
      <c r="AP260" s="9"/>
      <c r="AQ260" s="22">
        <v>0.59112500000000001</v>
      </c>
      <c r="AR260" s="22">
        <v>26.660499999999999</v>
      </c>
      <c r="AS260" s="22">
        <v>-1.44745E-2</v>
      </c>
      <c r="AT260" s="22">
        <v>250</v>
      </c>
      <c r="AU260" s="22">
        <v>0.59045400000000003</v>
      </c>
      <c r="AV260">
        <f t="shared" si="44"/>
        <v>17.869753086419752</v>
      </c>
      <c r="AW260">
        <f t="shared" si="45"/>
        <v>10.563257793209877</v>
      </c>
      <c r="AX260" s="9"/>
      <c r="AY260" s="22">
        <v>1.1589100000000001</v>
      </c>
      <c r="AZ260" s="22">
        <v>30.580400000000001</v>
      </c>
      <c r="BA260" s="22">
        <v>-1.3946500000000001E-2</v>
      </c>
      <c r="BB260" s="22">
        <v>250</v>
      </c>
      <c r="BC260" s="22">
        <v>1.1575299999999999</v>
      </c>
      <c r="BD260">
        <f t="shared" si="46"/>
        <v>17.217901234567901</v>
      </c>
      <c r="BE260">
        <f t="shared" si="47"/>
        <v>19.953997919753089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7.7221500000000001</v>
      </c>
      <c r="I261" s="22">
        <v>-1.44165E-2</v>
      </c>
      <c r="J261" s="22">
        <v>251</v>
      </c>
      <c r="K261" s="22">
        <v>0.58541900000000002</v>
      </c>
      <c r="L261">
        <f t="shared" si="36"/>
        <v>17.798148148148147</v>
      </c>
      <c r="M261">
        <f t="shared" si="37"/>
        <v>10.431316648148147</v>
      </c>
      <c r="N261" s="9"/>
      <c r="O261" s="22">
        <v>1.16394</v>
      </c>
      <c r="P261" s="22">
        <v>11.641999999999999</v>
      </c>
      <c r="Q261" s="22">
        <v>-1.3897700000000001E-2</v>
      </c>
      <c r="R261" s="22">
        <v>251</v>
      </c>
      <c r="S261" s="22">
        <v>1.1630199999999999</v>
      </c>
      <c r="T261">
        <f t="shared" si="38"/>
        <v>17.157654320987653</v>
      </c>
      <c r="U261">
        <f t="shared" si="39"/>
        <v>19.970480170370369</v>
      </c>
      <c r="X261" s="9"/>
      <c r="Y261" s="22">
        <v>0.58609</v>
      </c>
      <c r="Z261" s="22">
        <v>17.1874</v>
      </c>
      <c r="AA261" s="22">
        <v>-1.4456200000000001E-2</v>
      </c>
      <c r="AB261" s="22">
        <v>251</v>
      </c>
      <c r="AC261" s="22">
        <v>0.58535800000000004</v>
      </c>
      <c r="AD261">
        <f t="shared" si="40"/>
        <v>17.847160493827161</v>
      </c>
      <c r="AE261">
        <f t="shared" si="41"/>
        <v>10.460042293827161</v>
      </c>
      <c r="AF261" s="9"/>
      <c r="AG261" s="22">
        <v>1.16394</v>
      </c>
      <c r="AH261" s="22">
        <v>21.107299999999999</v>
      </c>
      <c r="AI261" s="22">
        <v>-1.39282E-2</v>
      </c>
      <c r="AJ261" s="22">
        <v>251</v>
      </c>
      <c r="AK261" s="22">
        <v>1.1630199999999999</v>
      </c>
      <c r="AL261">
        <f t="shared" si="42"/>
        <v>17.195308641975309</v>
      </c>
      <c r="AM261">
        <f t="shared" si="43"/>
        <v>20.014307540740742</v>
      </c>
      <c r="AP261" s="9"/>
      <c r="AQ261" s="22">
        <v>0.58609</v>
      </c>
      <c r="AR261" s="22">
        <v>26.6706</v>
      </c>
      <c r="AS261" s="22">
        <v>-1.44745E-2</v>
      </c>
      <c r="AT261" s="22">
        <v>251</v>
      </c>
      <c r="AU261" s="22">
        <v>0.58538800000000002</v>
      </c>
      <c r="AV261">
        <f t="shared" si="44"/>
        <v>17.869753086419752</v>
      </c>
      <c r="AW261">
        <f t="shared" si="45"/>
        <v>10.473283586419752</v>
      </c>
      <c r="AX261" s="9"/>
      <c r="AY261" s="22">
        <v>1.16394</v>
      </c>
      <c r="AZ261" s="22">
        <v>30.590499999999999</v>
      </c>
      <c r="BA261" s="22">
        <v>-1.39404E-2</v>
      </c>
      <c r="BB261" s="22">
        <v>251</v>
      </c>
      <c r="BC261" s="22">
        <v>1.1630199999999999</v>
      </c>
      <c r="BD261">
        <f t="shared" si="46"/>
        <v>17.21037037037037</v>
      </c>
      <c r="BE261">
        <f t="shared" si="47"/>
        <v>20.031838488888887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7.7322199999999999</v>
      </c>
      <c r="I262" s="22">
        <v>-1.4422600000000001E-2</v>
      </c>
      <c r="J262" s="22">
        <v>252</v>
      </c>
      <c r="K262" s="22">
        <v>0.58013899999999996</v>
      </c>
      <c r="L262">
        <f t="shared" si="36"/>
        <v>17.805679012345678</v>
      </c>
      <c r="M262">
        <f t="shared" si="37"/>
        <v>10.346078818518517</v>
      </c>
      <c r="N262" s="9"/>
      <c r="O262" s="22">
        <v>1.1689799999999999</v>
      </c>
      <c r="P262" s="22">
        <v>11.652100000000001</v>
      </c>
      <c r="Q262" s="22">
        <v>-1.3894699999999999E-2</v>
      </c>
      <c r="R262" s="22">
        <v>252</v>
      </c>
      <c r="S262" s="22">
        <v>1.16791</v>
      </c>
      <c r="T262">
        <f t="shared" si="38"/>
        <v>17.153950617283947</v>
      </c>
      <c r="U262">
        <f t="shared" si="39"/>
        <v>20.052625192592586</v>
      </c>
      <c r="X262" s="9"/>
      <c r="Y262" s="22">
        <v>0.58105499999999999</v>
      </c>
      <c r="Z262" s="22">
        <v>17.197399999999998</v>
      </c>
      <c r="AA262" s="22">
        <v>-1.4462300000000001E-2</v>
      </c>
      <c r="AB262" s="22">
        <v>252</v>
      </c>
      <c r="AC262" s="22">
        <v>0.580322</v>
      </c>
      <c r="AD262">
        <f t="shared" si="40"/>
        <v>17.854691358024692</v>
      </c>
      <c r="AE262">
        <f t="shared" si="41"/>
        <v>10.374557687037036</v>
      </c>
      <c r="AF262" s="9"/>
      <c r="AG262" s="22">
        <v>1.1689799999999999</v>
      </c>
      <c r="AH262" s="22">
        <v>21.1174</v>
      </c>
      <c r="AI262" s="22">
        <v>-1.39221E-2</v>
      </c>
      <c r="AJ262" s="22">
        <v>252</v>
      </c>
      <c r="AK262" s="22">
        <v>1.16821</v>
      </c>
      <c r="AL262">
        <f t="shared" si="42"/>
        <v>17.187777777777779</v>
      </c>
      <c r="AM262">
        <f t="shared" si="43"/>
        <v>20.092168466666667</v>
      </c>
      <c r="AP262" s="9"/>
      <c r="AQ262" s="22">
        <v>0.58105499999999999</v>
      </c>
      <c r="AR262" s="22">
        <v>26.680700000000002</v>
      </c>
      <c r="AS262" s="22">
        <v>-1.4471400000000001E-2</v>
      </c>
      <c r="AT262" s="22">
        <v>252</v>
      </c>
      <c r="AU262" s="22">
        <v>0.58044399999999996</v>
      </c>
      <c r="AV262">
        <f t="shared" si="44"/>
        <v>17.865925925925925</v>
      </c>
      <c r="AW262">
        <f t="shared" si="45"/>
        <v>10.381085588888888</v>
      </c>
      <c r="AX262" s="9"/>
      <c r="AY262" s="22">
        <v>1.1689799999999999</v>
      </c>
      <c r="AZ262" s="22">
        <v>30.6006</v>
      </c>
      <c r="BA262" s="22">
        <v>-1.3937400000000001E-2</v>
      </c>
      <c r="BB262" s="22">
        <v>252</v>
      </c>
      <c r="BC262" s="22">
        <v>1.16882</v>
      </c>
      <c r="BD262">
        <f t="shared" si="46"/>
        <v>17.206666666666667</v>
      </c>
      <c r="BE262">
        <f t="shared" si="47"/>
        <v>20.1142492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7.7422899999999997</v>
      </c>
      <c r="I263" s="22">
        <v>-1.4428699999999999E-2</v>
      </c>
      <c r="J263" s="22">
        <v>253</v>
      </c>
      <c r="K263" s="22">
        <v>0.57522600000000002</v>
      </c>
      <c r="L263">
        <f t="shared" si="36"/>
        <v>17.813209876543205</v>
      </c>
      <c r="M263">
        <f t="shared" si="37"/>
        <v>10.26074733987654</v>
      </c>
      <c r="N263" s="9"/>
      <c r="O263" s="22">
        <v>1.17401</v>
      </c>
      <c r="P263" s="22">
        <v>11.6622</v>
      </c>
      <c r="Q263" s="22">
        <v>-1.38916E-2</v>
      </c>
      <c r="R263" s="22">
        <v>253</v>
      </c>
      <c r="S263" s="22">
        <v>1.1731</v>
      </c>
      <c r="T263">
        <f t="shared" si="38"/>
        <v>17.150123456790123</v>
      </c>
      <c r="U263">
        <f t="shared" si="39"/>
        <v>20.134416439506172</v>
      </c>
      <c r="X263" s="9"/>
      <c r="Y263" s="22">
        <v>0.57601899999999995</v>
      </c>
      <c r="Z263" s="22">
        <v>17.2075</v>
      </c>
      <c r="AA263" s="22">
        <v>-1.44653E-2</v>
      </c>
      <c r="AB263" s="22">
        <v>253</v>
      </c>
      <c r="AC263" s="22">
        <v>0.57534799999999997</v>
      </c>
      <c r="AD263">
        <f t="shared" si="40"/>
        <v>17.858395061728395</v>
      </c>
      <c r="AE263">
        <f t="shared" si="41"/>
        <v>10.286774865061727</v>
      </c>
      <c r="AF263" s="9"/>
      <c r="AG263" s="22">
        <v>1.17401</v>
      </c>
      <c r="AH263" s="22">
        <v>21.127400000000002</v>
      </c>
      <c r="AI263" s="22">
        <v>-1.39191E-2</v>
      </c>
      <c r="AJ263" s="22">
        <v>253</v>
      </c>
      <c r="AK263" s="22">
        <v>1.17249</v>
      </c>
      <c r="AL263">
        <f t="shared" si="42"/>
        <v>17.184074074074076</v>
      </c>
      <c r="AM263">
        <f t="shared" si="43"/>
        <v>20.174274803703707</v>
      </c>
      <c r="AP263" s="9"/>
      <c r="AQ263" s="22">
        <v>0.57601899999999995</v>
      </c>
      <c r="AR263" s="22">
        <v>26.6907</v>
      </c>
      <c r="AS263" s="22">
        <v>-1.44745E-2</v>
      </c>
      <c r="AT263" s="22">
        <v>253</v>
      </c>
      <c r="AU263" s="22">
        <v>0.57537799999999995</v>
      </c>
      <c r="AV263">
        <f t="shared" si="44"/>
        <v>17.869753086419752</v>
      </c>
      <c r="AW263">
        <f t="shared" si="45"/>
        <v>10.293317303086418</v>
      </c>
      <c r="AX263" s="9"/>
      <c r="AY263" s="22">
        <v>1.17401</v>
      </c>
      <c r="AZ263" s="22">
        <v>30.610600000000002</v>
      </c>
      <c r="BA263" s="22">
        <v>-1.3931300000000001E-2</v>
      </c>
      <c r="BB263" s="22">
        <v>253</v>
      </c>
      <c r="BC263" s="22">
        <v>1.17279</v>
      </c>
      <c r="BD263">
        <f t="shared" si="46"/>
        <v>17.199135802469137</v>
      </c>
      <c r="BE263">
        <f t="shared" si="47"/>
        <v>20.191957423456792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7.7523600000000004</v>
      </c>
      <c r="I264" s="22">
        <v>-1.4434799999999999E-2</v>
      </c>
      <c r="J264" s="22">
        <v>254</v>
      </c>
      <c r="K264" s="22">
        <v>0.570129</v>
      </c>
      <c r="L264">
        <f t="shared" si="36"/>
        <v>17.820740740740739</v>
      </c>
      <c r="M264">
        <f t="shared" si="37"/>
        <v>10.175357831111111</v>
      </c>
      <c r="N264" s="9"/>
      <c r="O264" s="22">
        <v>1.1790499999999999</v>
      </c>
      <c r="P264" s="22">
        <v>11.6723</v>
      </c>
      <c r="Q264" s="22">
        <v>-1.38885E-2</v>
      </c>
      <c r="R264" s="22">
        <v>254</v>
      </c>
      <c r="S264" s="22">
        <v>1.17828</v>
      </c>
      <c r="T264">
        <f t="shared" si="38"/>
        <v>17.146296296296295</v>
      </c>
      <c r="U264">
        <f t="shared" si="39"/>
        <v>20.216340648148147</v>
      </c>
      <c r="X264" s="9"/>
      <c r="Y264" s="22">
        <v>0.57098400000000005</v>
      </c>
      <c r="Z264" s="22">
        <v>17.217600000000001</v>
      </c>
      <c r="AA264" s="22">
        <v>-1.4468399999999999E-2</v>
      </c>
      <c r="AB264" s="22">
        <v>254</v>
      </c>
      <c r="AC264" s="22">
        <v>0.57018999999999997</v>
      </c>
      <c r="AD264">
        <f t="shared" si="40"/>
        <v>17.862222222222222</v>
      </c>
      <c r="AE264">
        <f t="shared" si="41"/>
        <v>10.199043093333334</v>
      </c>
      <c r="AF264" s="9"/>
      <c r="AG264" s="22">
        <v>1.1790499999999999</v>
      </c>
      <c r="AH264" s="22">
        <v>21.137499999999999</v>
      </c>
      <c r="AI264" s="22">
        <v>-1.39191E-2</v>
      </c>
      <c r="AJ264" s="22">
        <v>254</v>
      </c>
      <c r="AK264" s="22">
        <v>1.17798</v>
      </c>
      <c r="AL264">
        <f t="shared" si="42"/>
        <v>17.184074074074076</v>
      </c>
      <c r="AM264">
        <f t="shared" si="43"/>
        <v>20.260882537037038</v>
      </c>
      <c r="AP264" s="9"/>
      <c r="AQ264" s="22">
        <v>0.57098400000000005</v>
      </c>
      <c r="AR264" s="22">
        <v>26.700800000000001</v>
      </c>
      <c r="AS264" s="22">
        <v>-1.44806E-2</v>
      </c>
      <c r="AT264" s="22">
        <v>254</v>
      </c>
      <c r="AU264" s="22">
        <v>0.57022099999999998</v>
      </c>
      <c r="AV264">
        <f t="shared" si="44"/>
        <v>17.877283950617283</v>
      </c>
      <c r="AW264">
        <f t="shared" si="45"/>
        <v>10.20764309925926</v>
      </c>
      <c r="AX264" s="9"/>
      <c r="AY264" s="22">
        <v>1.1790499999999999</v>
      </c>
      <c r="AZ264" s="22">
        <v>30.620699999999999</v>
      </c>
      <c r="BA264" s="22">
        <v>-1.39221E-2</v>
      </c>
      <c r="BB264" s="22">
        <v>254</v>
      </c>
      <c r="BC264" s="22">
        <v>1.17859</v>
      </c>
      <c r="BD264">
        <f t="shared" si="46"/>
        <v>17.187777777777779</v>
      </c>
      <c r="BE264">
        <f t="shared" si="47"/>
        <v>20.26524938888889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7.7624300000000002</v>
      </c>
      <c r="I265" s="22">
        <v>-1.44409E-2</v>
      </c>
      <c r="J265" s="22">
        <v>255</v>
      </c>
      <c r="K265" s="22">
        <v>0.56521600000000005</v>
      </c>
      <c r="L265">
        <f t="shared" si="36"/>
        <v>17.828271604938269</v>
      </c>
      <c r="M265">
        <f t="shared" si="37"/>
        <v>10.089874658271604</v>
      </c>
      <c r="N265" s="9"/>
      <c r="O265" s="22">
        <v>1.18408</v>
      </c>
      <c r="P265" s="22">
        <v>11.6823</v>
      </c>
      <c r="Q265" s="22">
        <v>-1.38855E-2</v>
      </c>
      <c r="R265" s="22">
        <v>255</v>
      </c>
      <c r="S265" s="22">
        <v>1.1831700000000001</v>
      </c>
      <c r="T265">
        <f t="shared" si="38"/>
        <v>17.142592592592592</v>
      </c>
      <c r="U265">
        <f t="shared" si="39"/>
        <v>20.298201037037039</v>
      </c>
      <c r="X265" s="9"/>
      <c r="Y265" s="22">
        <v>0.56594800000000001</v>
      </c>
      <c r="Z265" s="22">
        <v>17.227599999999999</v>
      </c>
      <c r="AA265" s="22">
        <v>-1.4471400000000001E-2</v>
      </c>
      <c r="AB265" s="22">
        <v>255</v>
      </c>
      <c r="AC265" s="22">
        <v>0.56518599999999997</v>
      </c>
      <c r="AD265">
        <f t="shared" si="40"/>
        <v>17.865925925925925</v>
      </c>
      <c r="AE265">
        <f t="shared" si="41"/>
        <v>10.111185045925925</v>
      </c>
      <c r="AF265" s="9"/>
      <c r="AG265" s="22">
        <v>1.18408</v>
      </c>
      <c r="AH265" s="22">
        <v>21.147600000000001</v>
      </c>
      <c r="AI265" s="22">
        <v>-1.3916E-2</v>
      </c>
      <c r="AJ265" s="22">
        <v>255</v>
      </c>
      <c r="AK265" s="22">
        <v>1.18347</v>
      </c>
      <c r="AL265">
        <f t="shared" si="42"/>
        <v>17.180246913580245</v>
      </c>
      <c r="AM265">
        <f t="shared" si="43"/>
        <v>20.342786765432095</v>
      </c>
      <c r="AP265" s="9"/>
      <c r="AQ265" s="22">
        <v>0.56594800000000001</v>
      </c>
      <c r="AR265" s="22">
        <v>26.710899999999999</v>
      </c>
      <c r="AS265" s="22">
        <v>-1.4489699999999999E-2</v>
      </c>
      <c r="AT265" s="22">
        <v>255</v>
      </c>
      <c r="AU265" s="22">
        <v>0.56524700000000005</v>
      </c>
      <c r="AV265">
        <f t="shared" si="44"/>
        <v>17.888518518518516</v>
      </c>
      <c r="AW265">
        <f t="shared" si="45"/>
        <v>10.123971278518518</v>
      </c>
      <c r="AX265" s="9"/>
      <c r="AY265" s="22">
        <v>1.18408</v>
      </c>
      <c r="AZ265" s="22">
        <v>30.630800000000001</v>
      </c>
      <c r="BA265" s="22">
        <v>-1.39221E-2</v>
      </c>
      <c r="BB265" s="22">
        <v>255</v>
      </c>
      <c r="BC265" s="22">
        <v>1.18347</v>
      </c>
      <c r="BD265">
        <f t="shared" si="46"/>
        <v>17.187777777777779</v>
      </c>
      <c r="BE265">
        <f t="shared" si="47"/>
        <v>20.351703911111112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7.7725</v>
      </c>
      <c r="I266" s="22">
        <v>-1.44409E-2</v>
      </c>
      <c r="J266" s="22">
        <v>256</v>
      </c>
      <c r="K266" s="22">
        <v>0.56008899999999995</v>
      </c>
      <c r="L266">
        <f t="shared" si="36"/>
        <v>17.828271604938269</v>
      </c>
      <c r="M266">
        <f t="shared" si="37"/>
        <v>10.00010931074074</v>
      </c>
      <c r="N266" s="9"/>
      <c r="O266" s="22">
        <v>1.18912</v>
      </c>
      <c r="P266" s="22">
        <v>11.692399999999999</v>
      </c>
      <c r="Q266" s="22">
        <v>-1.38794E-2</v>
      </c>
      <c r="R266" s="22">
        <v>256</v>
      </c>
      <c r="S266" s="22">
        <v>1.18774</v>
      </c>
      <c r="T266">
        <f t="shared" si="38"/>
        <v>17.135061728395058</v>
      </c>
      <c r="U266">
        <f t="shared" si="39"/>
        <v>20.37564460246913</v>
      </c>
      <c r="X266" s="9"/>
      <c r="Y266" s="22">
        <v>0.56091299999999999</v>
      </c>
      <c r="Z266" s="22">
        <v>17.2377</v>
      </c>
      <c r="AA266" s="22">
        <v>-1.4471400000000001E-2</v>
      </c>
      <c r="AB266" s="22">
        <v>256</v>
      </c>
      <c r="AC266" s="22">
        <v>0.56005899999999997</v>
      </c>
      <c r="AD266">
        <f t="shared" si="40"/>
        <v>17.865925925925925</v>
      </c>
      <c r="AE266">
        <f t="shared" si="41"/>
        <v>10.021230108888888</v>
      </c>
      <c r="AF266" s="9"/>
      <c r="AG266" s="22">
        <v>1.18912</v>
      </c>
      <c r="AH266" s="22">
        <v>21.157699999999998</v>
      </c>
      <c r="AI266" s="22">
        <v>-1.3909899999999999E-2</v>
      </c>
      <c r="AJ266" s="22">
        <v>256</v>
      </c>
      <c r="AK266" s="22">
        <v>1.18774</v>
      </c>
      <c r="AL266">
        <f t="shared" si="42"/>
        <v>17.172716049382714</v>
      </c>
      <c r="AM266">
        <f t="shared" si="43"/>
        <v>20.420420108641974</v>
      </c>
      <c r="AP266" s="9"/>
      <c r="AQ266" s="22">
        <v>0.56091299999999999</v>
      </c>
      <c r="AR266" s="22">
        <v>26.721</v>
      </c>
      <c r="AS266" s="22">
        <v>-1.44958E-2</v>
      </c>
      <c r="AT266" s="22">
        <v>256</v>
      </c>
      <c r="AU266" s="22">
        <v>0.56021100000000001</v>
      </c>
      <c r="AV266">
        <f t="shared" si="44"/>
        <v>17.896049382716047</v>
      </c>
      <c r="AW266">
        <f t="shared" si="45"/>
        <v>10.038126747407405</v>
      </c>
      <c r="AX266" s="9"/>
      <c r="AY266" s="22">
        <v>1.18912</v>
      </c>
      <c r="AZ266" s="22">
        <v>30.640799999999999</v>
      </c>
      <c r="BA266" s="22">
        <v>-1.3916E-2</v>
      </c>
      <c r="BB266" s="22">
        <v>256</v>
      </c>
      <c r="BC266" s="22">
        <v>1.1880500000000001</v>
      </c>
      <c r="BD266">
        <f t="shared" si="46"/>
        <v>17.180246913580245</v>
      </c>
      <c r="BE266">
        <f t="shared" si="47"/>
        <v>20.42937520987654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7.7825699999999998</v>
      </c>
      <c r="I267" s="22">
        <v>-1.4447E-2</v>
      </c>
      <c r="J267" s="22">
        <v>257</v>
      </c>
      <c r="K267" s="22">
        <v>0.55502300000000004</v>
      </c>
      <c r="L267">
        <f t="shared" si="36"/>
        <v>17.8358024691358</v>
      </c>
      <c r="M267">
        <f t="shared" si="37"/>
        <v>9.91453020493827</v>
      </c>
      <c r="N267" s="9"/>
      <c r="O267" s="22">
        <v>1.19415</v>
      </c>
      <c r="P267" s="22">
        <v>11.702500000000001</v>
      </c>
      <c r="Q267" s="22">
        <v>-1.3870199999999999E-2</v>
      </c>
      <c r="R267" s="22">
        <v>257</v>
      </c>
      <c r="S267" s="22">
        <v>1.19232</v>
      </c>
      <c r="T267">
        <f t="shared" si="38"/>
        <v>17.123703703703701</v>
      </c>
      <c r="U267">
        <f t="shared" si="39"/>
        <v>20.448270777777775</v>
      </c>
      <c r="X267" s="9"/>
      <c r="Y267" s="22">
        <v>0.55587799999999998</v>
      </c>
      <c r="Z267" s="22">
        <v>17.247800000000002</v>
      </c>
      <c r="AA267" s="22">
        <v>-1.4477500000000001E-2</v>
      </c>
      <c r="AB267" s="22">
        <v>257</v>
      </c>
      <c r="AC267" s="22">
        <v>0.55529799999999996</v>
      </c>
      <c r="AD267">
        <f t="shared" si="40"/>
        <v>17.873456790123456</v>
      </c>
      <c r="AE267">
        <f t="shared" si="41"/>
        <v>9.9354614135802457</v>
      </c>
      <c r="AF267" s="9"/>
      <c r="AG267" s="22">
        <v>1.19415</v>
      </c>
      <c r="AH267" s="22">
        <v>21.1677</v>
      </c>
      <c r="AI267" s="22">
        <v>-1.3903799999999999E-2</v>
      </c>
      <c r="AJ267" s="22">
        <v>257</v>
      </c>
      <c r="AK267" s="22">
        <v>1.19293</v>
      </c>
      <c r="AL267">
        <f t="shared" si="42"/>
        <v>17.165185185185184</v>
      </c>
      <c r="AM267">
        <f t="shared" si="43"/>
        <v>20.497805888888887</v>
      </c>
      <c r="AP267" s="9"/>
      <c r="AQ267" s="22">
        <v>0.55587799999999998</v>
      </c>
      <c r="AR267" s="22">
        <v>26.731000000000002</v>
      </c>
      <c r="AS267" s="22">
        <v>-1.44958E-2</v>
      </c>
      <c r="AT267" s="22">
        <v>257</v>
      </c>
      <c r="AU267" s="22">
        <v>0.555176</v>
      </c>
      <c r="AV267">
        <f t="shared" si="44"/>
        <v>17.896049382716047</v>
      </c>
      <c r="AW267">
        <f t="shared" si="45"/>
        <v>9.9480201387654308</v>
      </c>
      <c r="AX267" s="9"/>
      <c r="AY267" s="22">
        <v>1.19415</v>
      </c>
      <c r="AZ267" s="22">
        <v>30.6509</v>
      </c>
      <c r="BA267" s="22">
        <v>-1.3913E-2</v>
      </c>
      <c r="BB267" s="22">
        <v>257</v>
      </c>
      <c r="BC267" s="22">
        <v>1.1932400000000001</v>
      </c>
      <c r="BD267">
        <f t="shared" si="46"/>
        <v>17.176543209876542</v>
      </c>
      <c r="BE267">
        <f t="shared" si="47"/>
        <v>20.511369074074072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7.7926399999999996</v>
      </c>
      <c r="I268" s="22">
        <v>-1.44501E-2</v>
      </c>
      <c r="J268" s="22">
        <v>258</v>
      </c>
      <c r="K268" s="22">
        <v>0.55007899999999998</v>
      </c>
      <c r="L268">
        <f t="shared" ref="L268:L331" si="48">-I268/$F$2*1000</f>
        <v>17.839629629629631</v>
      </c>
      <c r="M268">
        <f t="shared" ref="M268:M331" si="49">L268*G268</f>
        <v>9.8268172644444451</v>
      </c>
      <c r="N268" s="9"/>
      <c r="O268" s="22">
        <v>1.19919</v>
      </c>
      <c r="P268" s="22">
        <v>11.7125</v>
      </c>
      <c r="Q268" s="22">
        <v>-1.3861099999999999E-2</v>
      </c>
      <c r="R268" s="22">
        <v>258</v>
      </c>
      <c r="S268" s="22">
        <v>1.19781</v>
      </c>
      <c r="T268">
        <f t="shared" ref="T268:T331" si="50">-Q268/$F$2*1000</f>
        <v>17.112469135802467</v>
      </c>
      <c r="U268">
        <f t="shared" ref="U268:U331" si="51">T268*O268</f>
        <v>20.521101862962961</v>
      </c>
      <c r="X268" s="9"/>
      <c r="Y268" s="22">
        <v>0.55084200000000005</v>
      </c>
      <c r="Z268" s="22">
        <v>17.257899999999999</v>
      </c>
      <c r="AA268" s="22">
        <v>-1.44806E-2</v>
      </c>
      <c r="AB268" s="22">
        <v>258</v>
      </c>
      <c r="AC268" s="22">
        <v>0.55010999999999999</v>
      </c>
      <c r="AD268">
        <f t="shared" ref="AD268:AD331" si="52">-AA268/$F$2*1000</f>
        <v>17.877283950617283</v>
      </c>
      <c r="AE268">
        <f t="shared" ref="AE268:AE331" si="53">AD268*Y268</f>
        <v>9.847558845925926</v>
      </c>
      <c r="AF268" s="9"/>
      <c r="AG268" s="22">
        <v>1.19919</v>
      </c>
      <c r="AH268" s="22">
        <v>21.177800000000001</v>
      </c>
      <c r="AI268" s="22">
        <v>-1.3897700000000001E-2</v>
      </c>
      <c r="AJ268" s="22">
        <v>258</v>
      </c>
      <c r="AK268" s="22">
        <v>1.1984300000000001</v>
      </c>
      <c r="AL268">
        <f t="shared" ref="AL268:AL331" si="54">-AI268/$F$2*1000</f>
        <v>17.157654320987653</v>
      </c>
      <c r="AM268">
        <f t="shared" ref="AM268:AM331" si="55">AL268*AG268</f>
        <v>20.575287485185182</v>
      </c>
      <c r="AP268" s="9"/>
      <c r="AQ268" s="22">
        <v>0.55084200000000005</v>
      </c>
      <c r="AR268" s="22">
        <v>26.741099999999999</v>
      </c>
      <c r="AS268" s="22">
        <v>-1.4501999999999999E-2</v>
      </c>
      <c r="AT268" s="22">
        <v>258</v>
      </c>
      <c r="AU268" s="22">
        <v>0.55017099999999997</v>
      </c>
      <c r="AV268">
        <f t="shared" ref="AV268:AV331" si="56">-AS268/$F$2*1000</f>
        <v>17.903703703703702</v>
      </c>
      <c r="AW268">
        <f t="shared" ref="AW268:AW331" si="57">AV268*AQ268</f>
        <v>9.8621119555555552</v>
      </c>
      <c r="AX268" s="9"/>
      <c r="AY268" s="22">
        <v>1.19919</v>
      </c>
      <c r="AZ268" s="22">
        <v>30.661000000000001</v>
      </c>
      <c r="BA268" s="22">
        <v>-1.39069E-2</v>
      </c>
      <c r="BB268" s="22">
        <v>258</v>
      </c>
      <c r="BC268" s="22">
        <v>1.1984300000000001</v>
      </c>
      <c r="BD268">
        <f t="shared" ref="BD268:BD331" si="58">-BA268/$F$2*1000</f>
        <v>17.169012345679011</v>
      </c>
      <c r="BE268">
        <f t="shared" ref="BE268:BE331" si="59">BD268*AY268</f>
        <v>20.588907914814811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7.8027100000000003</v>
      </c>
      <c r="I269" s="22">
        <v>-1.44592E-2</v>
      </c>
      <c r="J269" s="22">
        <v>259</v>
      </c>
      <c r="K269" s="22">
        <v>0.54501299999999997</v>
      </c>
      <c r="L269">
        <f t="shared" si="48"/>
        <v>17.850864197530864</v>
      </c>
      <c r="M269">
        <f t="shared" si="49"/>
        <v>9.7431266350617296</v>
      </c>
      <c r="N269" s="9"/>
      <c r="O269" s="22">
        <v>1.2042200000000001</v>
      </c>
      <c r="P269" s="22">
        <v>11.7226</v>
      </c>
      <c r="Q269" s="22">
        <v>-1.3854999999999999E-2</v>
      </c>
      <c r="R269" s="22">
        <v>259</v>
      </c>
      <c r="S269" s="22">
        <v>1.2033100000000001</v>
      </c>
      <c r="T269">
        <f t="shared" si="50"/>
        <v>17.104938271604937</v>
      </c>
      <c r="U269">
        <f t="shared" si="51"/>
        <v>20.598108765432098</v>
      </c>
      <c r="X269" s="9"/>
      <c r="Y269" s="22">
        <v>0.54580700000000004</v>
      </c>
      <c r="Z269" s="22">
        <v>17.267900000000001</v>
      </c>
      <c r="AA269" s="22">
        <v>-1.44867E-2</v>
      </c>
      <c r="AB269" s="22">
        <v>259</v>
      </c>
      <c r="AC269" s="22">
        <v>0.54501299999999997</v>
      </c>
      <c r="AD269">
        <f t="shared" si="52"/>
        <v>17.884814814814817</v>
      </c>
      <c r="AE269">
        <f t="shared" si="53"/>
        <v>9.761657119629632</v>
      </c>
      <c r="AF269" s="9"/>
      <c r="AG269" s="22">
        <v>1.2042200000000001</v>
      </c>
      <c r="AH269" s="22">
        <v>21.187899999999999</v>
      </c>
      <c r="AI269" s="22">
        <v>-1.38916E-2</v>
      </c>
      <c r="AJ269" s="22">
        <v>259</v>
      </c>
      <c r="AK269" s="22">
        <v>1.2027000000000001</v>
      </c>
      <c r="AL269">
        <f t="shared" si="54"/>
        <v>17.150123456790123</v>
      </c>
      <c r="AM269">
        <f t="shared" si="55"/>
        <v>20.652521669135805</v>
      </c>
      <c r="AP269" s="9"/>
      <c r="AQ269" s="22">
        <v>0.54580700000000004</v>
      </c>
      <c r="AR269" s="22">
        <v>26.751200000000001</v>
      </c>
      <c r="AS269" s="22">
        <v>-1.4508099999999999E-2</v>
      </c>
      <c r="AT269" s="22">
        <v>259</v>
      </c>
      <c r="AU269" s="22">
        <v>0.54507399999999995</v>
      </c>
      <c r="AV269">
        <f t="shared" si="56"/>
        <v>17.911234567901232</v>
      </c>
      <c r="AW269">
        <f t="shared" si="57"/>
        <v>9.7760772058024692</v>
      </c>
      <c r="AX269" s="9"/>
      <c r="AY269" s="22">
        <v>1.2042200000000001</v>
      </c>
      <c r="AZ269" s="22">
        <v>30.671099999999999</v>
      </c>
      <c r="BA269" s="22">
        <v>-1.3897700000000001E-2</v>
      </c>
      <c r="BB269" s="22">
        <v>259</v>
      </c>
      <c r="BC269" s="22">
        <v>1.2030000000000001</v>
      </c>
      <c r="BD269">
        <f t="shared" si="58"/>
        <v>17.157654320987653</v>
      </c>
      <c r="BE269">
        <f t="shared" si="59"/>
        <v>20.661590486419755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7.8127800000000001</v>
      </c>
      <c r="I270" s="22">
        <v>-1.4462300000000001E-2</v>
      </c>
      <c r="J270" s="22">
        <v>260</v>
      </c>
      <c r="K270" s="22">
        <v>0.54007000000000005</v>
      </c>
      <c r="L270">
        <f t="shared" si="48"/>
        <v>17.854691358024692</v>
      </c>
      <c r="M270">
        <f t="shared" si="49"/>
        <v>9.6552993003703698</v>
      </c>
      <c r="N270" s="9"/>
      <c r="O270" s="22">
        <v>1.20926</v>
      </c>
      <c r="P270" s="22">
        <v>11.732699999999999</v>
      </c>
      <c r="Q270" s="22">
        <v>-1.3848900000000001E-2</v>
      </c>
      <c r="R270" s="22">
        <v>260</v>
      </c>
      <c r="S270" s="22">
        <v>1.2084999999999999</v>
      </c>
      <c r="T270">
        <f t="shared" si="50"/>
        <v>17.09740740740741</v>
      </c>
      <c r="U270">
        <f t="shared" si="51"/>
        <v>20.675210881481483</v>
      </c>
      <c r="X270" s="9"/>
      <c r="Y270" s="22">
        <v>0.540771</v>
      </c>
      <c r="Z270" s="22">
        <v>17.277999999999999</v>
      </c>
      <c r="AA270" s="22">
        <v>-1.4489699999999999E-2</v>
      </c>
      <c r="AB270" s="22">
        <v>260</v>
      </c>
      <c r="AC270" s="22">
        <v>0.53991699999999998</v>
      </c>
      <c r="AD270">
        <f t="shared" si="52"/>
        <v>17.888518518518516</v>
      </c>
      <c r="AE270">
        <f t="shared" si="53"/>
        <v>9.6735920477777775</v>
      </c>
      <c r="AF270" s="9"/>
      <c r="AG270" s="22">
        <v>1.20926</v>
      </c>
      <c r="AH270" s="22">
        <v>21.197900000000001</v>
      </c>
      <c r="AI270" s="22">
        <v>-1.38855E-2</v>
      </c>
      <c r="AJ270" s="22">
        <v>260</v>
      </c>
      <c r="AK270" s="22">
        <v>1.2078899999999999</v>
      </c>
      <c r="AL270">
        <f t="shared" si="54"/>
        <v>17.142592592592592</v>
      </c>
      <c r="AM270">
        <f t="shared" si="55"/>
        <v>20.729851518518519</v>
      </c>
      <c r="AP270" s="9"/>
      <c r="AQ270" s="22">
        <v>0.540771</v>
      </c>
      <c r="AR270" s="22">
        <v>26.761199999999999</v>
      </c>
      <c r="AS270" s="22">
        <v>-1.4511100000000001E-2</v>
      </c>
      <c r="AT270" s="22">
        <v>260</v>
      </c>
      <c r="AU270" s="22">
        <v>0.54007000000000005</v>
      </c>
      <c r="AV270">
        <f t="shared" si="56"/>
        <v>17.914938271604939</v>
      </c>
      <c r="AW270">
        <f t="shared" si="57"/>
        <v>9.6878790840740745</v>
      </c>
      <c r="AX270" s="9"/>
      <c r="AY270" s="22">
        <v>1.20926</v>
      </c>
      <c r="AZ270" s="22">
        <v>30.681100000000001</v>
      </c>
      <c r="BA270" s="22">
        <v>-1.38916E-2</v>
      </c>
      <c r="BB270" s="22">
        <v>260</v>
      </c>
      <c r="BC270" s="22">
        <v>1.2084999999999999</v>
      </c>
      <c r="BD270">
        <f t="shared" si="58"/>
        <v>17.150123456790123</v>
      </c>
      <c r="BE270">
        <f t="shared" si="59"/>
        <v>20.738958291358024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7.8228600000000004</v>
      </c>
      <c r="I271" s="22">
        <v>-1.44653E-2</v>
      </c>
      <c r="J271" s="22">
        <v>261</v>
      </c>
      <c r="K271" s="22">
        <v>0.53485099999999997</v>
      </c>
      <c r="L271">
        <f t="shared" si="48"/>
        <v>17.858395061728395</v>
      </c>
      <c r="M271">
        <f t="shared" si="49"/>
        <v>9.5673851367901239</v>
      </c>
      <c r="N271" s="9"/>
      <c r="O271" s="22">
        <v>1.2142900000000001</v>
      </c>
      <c r="P271" s="22">
        <v>11.742800000000001</v>
      </c>
      <c r="Q271" s="22">
        <v>-1.3842800000000001E-2</v>
      </c>
      <c r="R271" s="22">
        <v>261</v>
      </c>
      <c r="S271" s="22">
        <v>1.2133799999999999</v>
      </c>
      <c r="T271">
        <f t="shared" si="50"/>
        <v>17.089876543209876</v>
      </c>
      <c r="U271">
        <f t="shared" si="51"/>
        <v>20.752066187654322</v>
      </c>
      <c r="X271" s="9"/>
      <c r="Y271" s="22">
        <v>0.53573599999999999</v>
      </c>
      <c r="Z271" s="22">
        <v>17.2881</v>
      </c>
      <c r="AA271" s="22">
        <v>-1.44989E-2</v>
      </c>
      <c r="AB271" s="22">
        <v>261</v>
      </c>
      <c r="AC271" s="22">
        <v>0.53524799999999995</v>
      </c>
      <c r="AD271">
        <f t="shared" si="52"/>
        <v>17.899876543209874</v>
      </c>
      <c r="AE271">
        <f t="shared" si="53"/>
        <v>9.589608259753085</v>
      </c>
      <c r="AF271" s="9"/>
      <c r="AG271" s="22">
        <v>1.2142900000000001</v>
      </c>
      <c r="AH271" s="22">
        <v>21.207999999999998</v>
      </c>
      <c r="AI271" s="22">
        <v>-1.38824E-2</v>
      </c>
      <c r="AJ271" s="22">
        <v>261</v>
      </c>
      <c r="AK271" s="22">
        <v>1.2133799999999999</v>
      </c>
      <c r="AL271">
        <f t="shared" si="54"/>
        <v>17.138765432098765</v>
      </c>
      <c r="AM271">
        <f t="shared" si="55"/>
        <v>20.811431476543213</v>
      </c>
      <c r="AP271" s="9"/>
      <c r="AQ271" s="22">
        <v>0.53573599999999999</v>
      </c>
      <c r="AR271" s="22">
        <v>26.7713</v>
      </c>
      <c r="AS271" s="22">
        <v>-1.45203E-2</v>
      </c>
      <c r="AT271" s="22">
        <v>261</v>
      </c>
      <c r="AU271" s="22">
        <v>0.53500400000000004</v>
      </c>
      <c r="AV271">
        <f t="shared" si="56"/>
        <v>17.926296296296293</v>
      </c>
      <c r="AW271">
        <f t="shared" si="57"/>
        <v>9.60376227259259</v>
      </c>
      <c r="AX271" s="9"/>
      <c r="AY271" s="22">
        <v>1.2142900000000001</v>
      </c>
      <c r="AZ271" s="22">
        <v>30.691199999999998</v>
      </c>
      <c r="BA271" s="22">
        <v>-1.38855E-2</v>
      </c>
      <c r="BB271" s="22">
        <v>261</v>
      </c>
      <c r="BC271" s="22">
        <v>1.2133799999999999</v>
      </c>
      <c r="BD271">
        <f t="shared" si="58"/>
        <v>17.142592592592592</v>
      </c>
      <c r="BE271">
        <f t="shared" si="59"/>
        <v>20.816078759259259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7.8329300000000002</v>
      </c>
      <c r="I272" s="22">
        <v>-1.44653E-2</v>
      </c>
      <c r="J272" s="22">
        <v>262</v>
      </c>
      <c r="K272" s="22">
        <v>0.52990700000000002</v>
      </c>
      <c r="L272">
        <f t="shared" si="48"/>
        <v>17.858395061728395</v>
      </c>
      <c r="M272">
        <f t="shared" si="49"/>
        <v>9.4774681176543201</v>
      </c>
      <c r="N272" s="9"/>
      <c r="O272" s="22">
        <v>1.21933</v>
      </c>
      <c r="P272" s="22">
        <v>11.752800000000001</v>
      </c>
      <c r="Q272" s="22">
        <v>-1.38367E-2</v>
      </c>
      <c r="R272" s="22">
        <v>262</v>
      </c>
      <c r="S272" s="22">
        <v>1.2185699999999999</v>
      </c>
      <c r="T272">
        <f t="shared" si="50"/>
        <v>17.082345679012345</v>
      </c>
      <c r="U272">
        <f t="shared" si="51"/>
        <v>20.829016556790123</v>
      </c>
      <c r="X272" s="9"/>
      <c r="Y272" s="22">
        <v>0.53070099999999998</v>
      </c>
      <c r="Z272" s="22">
        <v>17.298100000000002</v>
      </c>
      <c r="AA272" s="22">
        <v>-1.4505000000000001E-2</v>
      </c>
      <c r="AB272" s="22">
        <v>262</v>
      </c>
      <c r="AC272" s="22">
        <v>0.52996799999999999</v>
      </c>
      <c r="AD272">
        <f t="shared" si="52"/>
        <v>17.907407407407408</v>
      </c>
      <c r="AE272">
        <f t="shared" si="53"/>
        <v>9.5034790185185187</v>
      </c>
      <c r="AF272" s="9"/>
      <c r="AG272" s="22">
        <v>1.21933</v>
      </c>
      <c r="AH272" s="22">
        <v>21.2181</v>
      </c>
      <c r="AI272" s="22">
        <v>-1.38733E-2</v>
      </c>
      <c r="AJ272" s="22">
        <v>262</v>
      </c>
      <c r="AK272" s="22">
        <v>1.2179599999999999</v>
      </c>
      <c r="AL272">
        <f t="shared" si="54"/>
        <v>17.127530864197528</v>
      </c>
      <c r="AM272">
        <f t="shared" si="55"/>
        <v>20.884112208641973</v>
      </c>
      <c r="AP272" s="9"/>
      <c r="AQ272" s="22">
        <v>0.53070099999999998</v>
      </c>
      <c r="AR272" s="22">
        <v>26.781400000000001</v>
      </c>
      <c r="AS272" s="22">
        <v>-1.45203E-2</v>
      </c>
      <c r="AT272" s="22">
        <v>262</v>
      </c>
      <c r="AU272" s="22">
        <v>0.52996799999999999</v>
      </c>
      <c r="AV272">
        <f t="shared" si="56"/>
        <v>17.926296296296293</v>
      </c>
      <c r="AW272">
        <f t="shared" si="57"/>
        <v>9.5135033707407395</v>
      </c>
      <c r="AX272" s="9"/>
      <c r="AY272" s="22">
        <v>1.21933</v>
      </c>
      <c r="AZ272" s="22">
        <v>30.7013</v>
      </c>
      <c r="BA272" s="22">
        <v>-1.3876299999999999E-2</v>
      </c>
      <c r="BB272" s="22">
        <v>262</v>
      </c>
      <c r="BC272" s="22">
        <v>1.2182599999999999</v>
      </c>
      <c r="BD272">
        <f t="shared" si="58"/>
        <v>17.131234567901231</v>
      </c>
      <c r="BE272">
        <f t="shared" si="59"/>
        <v>20.888628245679008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7.843</v>
      </c>
      <c r="I273" s="22">
        <v>-1.4468399999999999E-2</v>
      </c>
      <c r="J273" s="22">
        <v>263</v>
      </c>
      <c r="K273" s="22">
        <v>0.524841</v>
      </c>
      <c r="L273">
        <f t="shared" si="48"/>
        <v>17.862222222222222</v>
      </c>
      <c r="M273">
        <f t="shared" si="49"/>
        <v>9.3895450444444446</v>
      </c>
      <c r="N273" s="9"/>
      <c r="O273" s="22">
        <v>1.22437</v>
      </c>
      <c r="P273" s="22">
        <v>11.7629</v>
      </c>
      <c r="Q273" s="22">
        <v>-1.38336E-2</v>
      </c>
      <c r="R273" s="22">
        <v>263</v>
      </c>
      <c r="S273" s="22">
        <v>1.2231399999999999</v>
      </c>
      <c r="T273">
        <f t="shared" si="50"/>
        <v>17.078518518518518</v>
      </c>
      <c r="U273">
        <f t="shared" si="51"/>
        <v>20.910425718518518</v>
      </c>
      <c r="X273" s="9"/>
      <c r="Y273" s="22">
        <v>0.52566500000000005</v>
      </c>
      <c r="Z273" s="22">
        <v>17.308199999999999</v>
      </c>
      <c r="AA273" s="22">
        <v>-1.4511100000000001E-2</v>
      </c>
      <c r="AB273" s="22">
        <v>263</v>
      </c>
      <c r="AC273" s="22">
        <v>0.52526899999999999</v>
      </c>
      <c r="AD273">
        <f t="shared" si="52"/>
        <v>17.914938271604939</v>
      </c>
      <c r="AE273">
        <f t="shared" si="53"/>
        <v>9.4172560265432104</v>
      </c>
      <c r="AF273" s="9"/>
      <c r="AG273" s="22">
        <v>1.22437</v>
      </c>
      <c r="AH273" s="22">
        <v>21.228200000000001</v>
      </c>
      <c r="AI273" s="22">
        <v>-1.38672E-2</v>
      </c>
      <c r="AJ273" s="22">
        <v>263</v>
      </c>
      <c r="AK273" s="22">
        <v>1.2231399999999999</v>
      </c>
      <c r="AL273">
        <f t="shared" si="54"/>
        <v>17.12</v>
      </c>
      <c r="AM273">
        <f t="shared" si="55"/>
        <v>20.961214399999999</v>
      </c>
      <c r="AP273" s="9"/>
      <c r="AQ273" s="22">
        <v>0.52566500000000005</v>
      </c>
      <c r="AR273" s="22">
        <v>26.791399999999999</v>
      </c>
      <c r="AS273" s="22">
        <v>-1.45264E-2</v>
      </c>
      <c r="AT273" s="22">
        <v>263</v>
      </c>
      <c r="AU273" s="22">
        <v>0.52502400000000005</v>
      </c>
      <c r="AV273">
        <f t="shared" si="56"/>
        <v>17.933827160493827</v>
      </c>
      <c r="AW273">
        <f t="shared" si="57"/>
        <v>9.4271852543209889</v>
      </c>
      <c r="AX273" s="9"/>
      <c r="AY273" s="22">
        <v>1.22437</v>
      </c>
      <c r="AZ273" s="22">
        <v>30.711300000000001</v>
      </c>
      <c r="BA273" s="22">
        <v>-1.3870199999999999E-2</v>
      </c>
      <c r="BB273" s="22">
        <v>263</v>
      </c>
      <c r="BC273" s="22">
        <v>1.2234499999999999</v>
      </c>
      <c r="BD273">
        <f t="shared" si="58"/>
        <v>17.123703703703701</v>
      </c>
      <c r="BE273">
        <f t="shared" si="59"/>
        <v>20.9657491037037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7.8530699999999998</v>
      </c>
      <c r="I274" s="22">
        <v>-1.44745E-2</v>
      </c>
      <c r="J274" s="22">
        <v>264</v>
      </c>
      <c r="K274" s="22">
        <v>0.52002000000000004</v>
      </c>
      <c r="L274">
        <f t="shared" si="48"/>
        <v>17.869753086419752</v>
      </c>
      <c r="M274">
        <f t="shared" si="49"/>
        <v>9.3035295493827164</v>
      </c>
      <c r="N274" s="9"/>
      <c r="O274" s="22">
        <v>1.2294</v>
      </c>
      <c r="P274" s="22">
        <v>11.773</v>
      </c>
      <c r="Q274" s="22">
        <v>-1.38245E-2</v>
      </c>
      <c r="R274" s="22">
        <v>264</v>
      </c>
      <c r="S274" s="22">
        <v>1.2283299999999999</v>
      </c>
      <c r="T274">
        <f t="shared" si="50"/>
        <v>17.067283950617281</v>
      </c>
      <c r="U274">
        <f t="shared" si="51"/>
        <v>20.982518888888887</v>
      </c>
      <c r="X274" s="9"/>
      <c r="Y274" s="22">
        <v>0.52063000000000004</v>
      </c>
      <c r="Z274" s="22">
        <v>17.318300000000001</v>
      </c>
      <c r="AA274" s="22">
        <v>-1.4517199999999999E-2</v>
      </c>
      <c r="AB274" s="22">
        <v>264</v>
      </c>
      <c r="AC274" s="22">
        <v>0.51989700000000005</v>
      </c>
      <c r="AD274">
        <f t="shared" si="52"/>
        <v>17.922469135802466</v>
      </c>
      <c r="AE274">
        <f t="shared" si="53"/>
        <v>9.3309751061728381</v>
      </c>
      <c r="AF274" s="9"/>
      <c r="AG274" s="22">
        <v>1.2294</v>
      </c>
      <c r="AH274" s="22">
        <v>21.238199999999999</v>
      </c>
      <c r="AI274" s="22">
        <v>-1.3861099999999999E-2</v>
      </c>
      <c r="AJ274" s="22">
        <v>264</v>
      </c>
      <c r="AK274" s="22">
        <v>1.2283299999999999</v>
      </c>
      <c r="AL274">
        <f t="shared" si="54"/>
        <v>17.112469135802467</v>
      </c>
      <c r="AM274">
        <f t="shared" si="55"/>
        <v>21.038069555555555</v>
      </c>
      <c r="AP274" s="9"/>
      <c r="AQ274" s="22">
        <v>0.52063000000000004</v>
      </c>
      <c r="AR274" s="22">
        <v>26.801500000000001</v>
      </c>
      <c r="AS274" s="22">
        <v>-1.45294E-2</v>
      </c>
      <c r="AT274" s="22">
        <v>264</v>
      </c>
      <c r="AU274" s="22">
        <v>0.51980599999999999</v>
      </c>
      <c r="AV274">
        <f t="shared" si="56"/>
        <v>17.93753086419753</v>
      </c>
      <c r="AW274">
        <f t="shared" si="57"/>
        <v>9.3388166938271606</v>
      </c>
      <c r="AX274" s="9"/>
      <c r="AY274" s="22">
        <v>1.2294</v>
      </c>
      <c r="AZ274" s="22">
        <v>30.721399999999999</v>
      </c>
      <c r="BA274" s="22">
        <v>-1.3864100000000001E-2</v>
      </c>
      <c r="BB274" s="22">
        <v>264</v>
      </c>
      <c r="BC274" s="22">
        <v>1.22864</v>
      </c>
      <c r="BD274">
        <f t="shared" si="58"/>
        <v>17.11617283950617</v>
      </c>
      <c r="BE274">
        <f t="shared" si="59"/>
        <v>21.042622888888886</v>
      </c>
    </row>
    <row r="275" spans="6:101">
      <c r="F275" s="9"/>
      <c r="G275" s="22">
        <v>0.515594</v>
      </c>
      <c r="H275" s="22">
        <v>7.8631399999999996</v>
      </c>
      <c r="I275" s="22">
        <v>-1.44806E-2</v>
      </c>
      <c r="J275" s="22">
        <v>265</v>
      </c>
      <c r="K275" s="22">
        <v>0.51492300000000002</v>
      </c>
      <c r="L275">
        <f t="shared" si="48"/>
        <v>17.877283950617283</v>
      </c>
      <c r="M275">
        <f t="shared" si="49"/>
        <v>9.2174203412345665</v>
      </c>
      <c r="N275" s="9"/>
      <c r="O275" s="22">
        <v>1.23444</v>
      </c>
      <c r="P275" s="22">
        <v>11.782999999999999</v>
      </c>
      <c r="Q275" s="22">
        <v>-1.38184E-2</v>
      </c>
      <c r="R275" s="22">
        <v>265</v>
      </c>
      <c r="S275" s="22">
        <v>1.23322</v>
      </c>
      <c r="T275">
        <f t="shared" si="50"/>
        <v>17.05975308641975</v>
      </c>
      <c r="U275">
        <f t="shared" si="51"/>
        <v>21.059241599999996</v>
      </c>
      <c r="X275" s="9"/>
      <c r="Y275" s="22">
        <v>0.515594</v>
      </c>
      <c r="Z275" s="22">
        <v>17.328399999999998</v>
      </c>
      <c r="AA275" s="22">
        <v>-1.45203E-2</v>
      </c>
      <c r="AB275" s="22">
        <v>265</v>
      </c>
      <c r="AC275" s="22">
        <v>0.51464799999999999</v>
      </c>
      <c r="AD275">
        <f t="shared" si="52"/>
        <v>17.926296296296293</v>
      </c>
      <c r="AE275">
        <f t="shared" si="53"/>
        <v>9.2426908125925902</v>
      </c>
      <c r="AF275" s="9"/>
      <c r="AG275" s="22">
        <v>1.23444</v>
      </c>
      <c r="AH275" s="22">
        <v>21.2483</v>
      </c>
      <c r="AI275" s="22">
        <v>-1.38519E-2</v>
      </c>
      <c r="AJ275" s="22">
        <v>265</v>
      </c>
      <c r="AK275" s="22">
        <v>1.2335199999999999</v>
      </c>
      <c r="AL275">
        <f t="shared" si="54"/>
        <v>17.101111111111113</v>
      </c>
      <c r="AM275">
        <f t="shared" si="55"/>
        <v>21.110295600000001</v>
      </c>
      <c r="AP275" s="9"/>
      <c r="AQ275" s="22">
        <v>0.515594</v>
      </c>
      <c r="AR275" s="22">
        <v>26.811599999999999</v>
      </c>
      <c r="AS275" s="22">
        <v>-1.45325E-2</v>
      </c>
      <c r="AT275" s="22">
        <v>265</v>
      </c>
      <c r="AU275" s="22">
        <v>0.51477099999999998</v>
      </c>
      <c r="AV275">
        <f t="shared" si="56"/>
        <v>17.941358024691358</v>
      </c>
      <c r="AW275">
        <f t="shared" si="57"/>
        <v>9.2504565493827151</v>
      </c>
      <c r="AX275" s="9"/>
      <c r="AY275" s="22">
        <v>1.23444</v>
      </c>
      <c r="AZ275" s="22">
        <v>30.7315</v>
      </c>
      <c r="BA275" s="22">
        <v>-1.3864100000000001E-2</v>
      </c>
      <c r="BB275" s="22">
        <v>265</v>
      </c>
      <c r="BC275" s="22">
        <v>1.2325999999999999</v>
      </c>
      <c r="BD275">
        <f t="shared" si="58"/>
        <v>17.11617283950617</v>
      </c>
      <c r="BE275">
        <f t="shared" si="59"/>
        <v>21.128888399999997</v>
      </c>
    </row>
    <row r="276" spans="6:101">
      <c r="F276" s="9"/>
      <c r="G276" s="22">
        <v>0.51055899999999999</v>
      </c>
      <c r="H276" s="22">
        <v>7.8732100000000003</v>
      </c>
      <c r="I276" s="22">
        <v>-1.44867E-2</v>
      </c>
      <c r="J276" s="22">
        <v>266</v>
      </c>
      <c r="K276" s="22">
        <v>0.50976600000000005</v>
      </c>
      <c r="L276">
        <f t="shared" si="48"/>
        <v>17.884814814814817</v>
      </c>
      <c r="M276">
        <f t="shared" si="49"/>
        <v>9.1312531670370376</v>
      </c>
      <c r="N276" s="9"/>
      <c r="O276" s="22">
        <v>1.2394700000000001</v>
      </c>
      <c r="P276" s="22">
        <v>11.793100000000001</v>
      </c>
      <c r="Q276" s="22">
        <v>-1.38184E-2</v>
      </c>
      <c r="R276" s="22">
        <v>266</v>
      </c>
      <c r="S276" s="22">
        <v>1.2383999999999999</v>
      </c>
      <c r="T276">
        <f t="shared" si="50"/>
        <v>17.05975308641975</v>
      </c>
      <c r="U276">
        <f t="shared" si="51"/>
        <v>21.14505215802469</v>
      </c>
      <c r="X276" s="9"/>
      <c r="Y276" s="22">
        <v>0.51055899999999999</v>
      </c>
      <c r="Z276" s="22">
        <v>17.3384</v>
      </c>
      <c r="AA276" s="22">
        <v>-1.4523299999999999E-2</v>
      </c>
      <c r="AB276" s="22">
        <v>266</v>
      </c>
      <c r="AC276" s="22">
        <v>0.50973500000000005</v>
      </c>
      <c r="AD276">
        <f t="shared" si="52"/>
        <v>17.93</v>
      </c>
      <c r="AE276">
        <f t="shared" si="53"/>
        <v>9.1543228699999997</v>
      </c>
      <c r="AF276" s="9"/>
      <c r="AG276" s="22">
        <v>1.2394700000000001</v>
      </c>
      <c r="AH276" s="22">
        <v>21.258400000000002</v>
      </c>
      <c r="AI276" s="22">
        <v>-1.3848900000000001E-2</v>
      </c>
      <c r="AJ276" s="22">
        <v>266</v>
      </c>
      <c r="AK276" s="22">
        <v>1.2383999999999999</v>
      </c>
      <c r="AL276">
        <f t="shared" si="54"/>
        <v>17.09740740740741</v>
      </c>
      <c r="AM276">
        <f t="shared" si="55"/>
        <v>21.191723559259263</v>
      </c>
      <c r="AP276" s="9"/>
      <c r="AQ276" s="22">
        <v>0.51055899999999999</v>
      </c>
      <c r="AR276" s="22">
        <v>26.8217</v>
      </c>
      <c r="AS276" s="22">
        <v>-1.45386E-2</v>
      </c>
      <c r="AT276" s="22">
        <v>266</v>
      </c>
      <c r="AU276" s="22">
        <v>0.50982700000000003</v>
      </c>
      <c r="AV276">
        <f t="shared" si="56"/>
        <v>17.948888888888888</v>
      </c>
      <c r="AW276">
        <f t="shared" si="57"/>
        <v>9.1639667622222216</v>
      </c>
      <c r="AX276" s="9"/>
      <c r="AY276" s="22">
        <v>1.2394700000000001</v>
      </c>
      <c r="AZ276" s="22">
        <v>30.741599999999998</v>
      </c>
      <c r="BA276" s="22">
        <v>-1.3861099999999999E-2</v>
      </c>
      <c r="BB276" s="22">
        <v>266</v>
      </c>
      <c r="BC276" s="22">
        <v>1.2381</v>
      </c>
      <c r="BD276">
        <f t="shared" si="58"/>
        <v>17.112469135802467</v>
      </c>
      <c r="BE276">
        <f t="shared" si="59"/>
        <v>21.210392119753084</v>
      </c>
    </row>
    <row r="277" spans="6:101">
      <c r="F277" s="9"/>
      <c r="G277" s="22">
        <v>0.50552399999999997</v>
      </c>
      <c r="H277" s="22">
        <v>7.8832800000000001</v>
      </c>
      <c r="I277" s="22">
        <v>-1.44928E-2</v>
      </c>
      <c r="J277" s="22">
        <v>267</v>
      </c>
      <c r="K277" s="22">
        <v>0.50470000000000004</v>
      </c>
      <c r="L277">
        <f t="shared" si="48"/>
        <v>17.892345679012344</v>
      </c>
      <c r="M277">
        <f t="shared" si="49"/>
        <v>9.0450101570370354</v>
      </c>
      <c r="N277" s="9"/>
      <c r="O277" s="22">
        <v>1.24451</v>
      </c>
      <c r="P277" s="22">
        <v>11.8032</v>
      </c>
      <c r="Q277" s="22">
        <v>-1.3815300000000001E-2</v>
      </c>
      <c r="R277" s="22">
        <v>267</v>
      </c>
      <c r="S277" s="22">
        <v>1.24298</v>
      </c>
      <c r="T277">
        <f t="shared" si="50"/>
        <v>17.055925925925926</v>
      </c>
      <c r="U277">
        <f t="shared" si="51"/>
        <v>21.226270374074076</v>
      </c>
      <c r="X277" s="9"/>
      <c r="Y277" s="22">
        <v>0.50552399999999997</v>
      </c>
      <c r="Z277" s="22">
        <v>17.348500000000001</v>
      </c>
      <c r="AA277" s="22">
        <v>-1.45294E-2</v>
      </c>
      <c r="AB277" s="22">
        <v>267</v>
      </c>
      <c r="AC277" s="22">
        <v>0.50482199999999999</v>
      </c>
      <c r="AD277">
        <f t="shared" si="52"/>
        <v>17.93753086419753</v>
      </c>
      <c r="AE277">
        <f t="shared" si="53"/>
        <v>9.0678523525925918</v>
      </c>
      <c r="AF277" s="9"/>
      <c r="AG277" s="22">
        <v>1.24451</v>
      </c>
      <c r="AH277" s="22">
        <v>21.2684</v>
      </c>
      <c r="AI277" s="22">
        <v>-1.38458E-2</v>
      </c>
      <c r="AJ277" s="22">
        <v>267</v>
      </c>
      <c r="AK277" s="22">
        <v>1.2439</v>
      </c>
      <c r="AL277">
        <f t="shared" si="54"/>
        <v>17.093580246913579</v>
      </c>
      <c r="AM277">
        <f t="shared" si="55"/>
        <v>21.273131553086419</v>
      </c>
      <c r="AP277" s="9"/>
      <c r="AQ277" s="22">
        <v>0.50552399999999997</v>
      </c>
      <c r="AR277" s="22">
        <v>26.831700000000001</v>
      </c>
      <c r="AS277" s="22">
        <v>-1.45477E-2</v>
      </c>
      <c r="AT277" s="22">
        <v>267</v>
      </c>
      <c r="AU277" s="22">
        <v>0.50470000000000004</v>
      </c>
      <c r="AV277">
        <f t="shared" si="56"/>
        <v>17.960123456790122</v>
      </c>
      <c r="AW277">
        <f t="shared" si="57"/>
        <v>9.0792734503703691</v>
      </c>
      <c r="AX277" s="9"/>
      <c r="AY277" s="22">
        <v>1.24451</v>
      </c>
      <c r="AZ277" s="22">
        <v>30.7516</v>
      </c>
      <c r="BA277" s="22">
        <v>-1.3858000000000001E-2</v>
      </c>
      <c r="BB277" s="22">
        <v>267</v>
      </c>
      <c r="BC277" s="22">
        <v>1.24359</v>
      </c>
      <c r="BD277">
        <f t="shared" si="58"/>
        <v>17.10864197530864</v>
      </c>
      <c r="BE277">
        <f t="shared" si="59"/>
        <v>21.291876024691355</v>
      </c>
    </row>
    <row r="278" spans="6:101">
      <c r="F278" s="9"/>
      <c r="G278" s="22">
        <v>0.50048800000000004</v>
      </c>
      <c r="H278" s="22">
        <v>7.8933499999999999</v>
      </c>
      <c r="I278" s="22">
        <v>-1.44958E-2</v>
      </c>
      <c r="J278" s="22">
        <v>268</v>
      </c>
      <c r="K278" s="22">
        <v>0.49990800000000002</v>
      </c>
      <c r="L278">
        <f t="shared" si="48"/>
        <v>17.896049382716047</v>
      </c>
      <c r="M278">
        <f t="shared" si="49"/>
        <v>8.9567579634567895</v>
      </c>
      <c r="N278" s="9"/>
      <c r="O278" s="22">
        <v>1.2495400000000001</v>
      </c>
      <c r="P278" s="22">
        <v>11.8133</v>
      </c>
      <c r="Q278" s="22">
        <v>-1.38123E-2</v>
      </c>
      <c r="R278" s="22">
        <v>268</v>
      </c>
      <c r="S278" s="22">
        <v>1.24847</v>
      </c>
      <c r="T278">
        <f t="shared" si="50"/>
        <v>17.052222222222223</v>
      </c>
      <c r="U278">
        <f t="shared" si="51"/>
        <v>21.307433755555557</v>
      </c>
      <c r="X278" s="9"/>
      <c r="Y278" s="22">
        <v>0.50048800000000004</v>
      </c>
      <c r="Z278" s="22">
        <v>17.358599999999999</v>
      </c>
      <c r="AA278" s="22">
        <v>-1.45325E-2</v>
      </c>
      <c r="AB278" s="22">
        <v>268</v>
      </c>
      <c r="AC278" s="22">
        <v>0.49990800000000002</v>
      </c>
      <c r="AD278">
        <f t="shared" si="52"/>
        <v>17.941358024691358</v>
      </c>
      <c r="AE278">
        <f t="shared" si="53"/>
        <v>8.9794343950617286</v>
      </c>
      <c r="AF278" s="9"/>
      <c r="AG278" s="22">
        <v>1.2495400000000001</v>
      </c>
      <c r="AH278" s="22">
        <v>21.278500000000001</v>
      </c>
      <c r="AI278" s="22">
        <v>-1.38458E-2</v>
      </c>
      <c r="AJ278" s="22">
        <v>268</v>
      </c>
      <c r="AK278" s="22">
        <v>1.24878</v>
      </c>
      <c r="AL278">
        <f t="shared" si="54"/>
        <v>17.093580246913579</v>
      </c>
      <c r="AM278">
        <f t="shared" si="55"/>
        <v>21.359112261728395</v>
      </c>
      <c r="AP278" s="9"/>
      <c r="AQ278" s="22">
        <v>0.50048800000000004</v>
      </c>
      <c r="AR278" s="22">
        <v>26.841799999999999</v>
      </c>
      <c r="AS278" s="22">
        <v>-1.45538E-2</v>
      </c>
      <c r="AT278" s="22">
        <v>268</v>
      </c>
      <c r="AU278" s="22">
        <v>0.49990800000000002</v>
      </c>
      <c r="AV278">
        <f t="shared" si="56"/>
        <v>17.967654320987652</v>
      </c>
      <c r="AW278">
        <f t="shared" si="57"/>
        <v>8.9925953758024679</v>
      </c>
      <c r="AX278" s="9"/>
      <c r="AY278" s="22">
        <v>1.2495400000000001</v>
      </c>
      <c r="AZ278" s="22">
        <v>30.761700000000001</v>
      </c>
      <c r="BA278" s="22">
        <v>-1.38519E-2</v>
      </c>
      <c r="BB278" s="22">
        <v>268</v>
      </c>
      <c r="BC278" s="22">
        <v>1.24817</v>
      </c>
      <c r="BD278">
        <f t="shared" si="58"/>
        <v>17.101111111111113</v>
      </c>
      <c r="BE278">
        <f t="shared" si="59"/>
        <v>21.368522377777783</v>
      </c>
    </row>
    <row r="279" spans="6:101">
      <c r="F279" s="9"/>
      <c r="G279" s="22">
        <v>0.49545299999999998</v>
      </c>
      <c r="H279" s="22">
        <v>7.9034199999999997</v>
      </c>
      <c r="I279" s="22">
        <v>-1.44989E-2</v>
      </c>
      <c r="J279" s="22">
        <v>269</v>
      </c>
      <c r="K279" s="22">
        <v>0.49471999999999999</v>
      </c>
      <c r="L279">
        <f t="shared" si="48"/>
        <v>17.899876543209874</v>
      </c>
      <c r="M279">
        <f t="shared" si="49"/>
        <v>8.8685475329629622</v>
      </c>
      <c r="N279" s="9"/>
      <c r="O279" s="22">
        <v>1.25458</v>
      </c>
      <c r="P279" s="22">
        <v>11.8233</v>
      </c>
      <c r="Q279" s="22">
        <v>-1.3809200000000001E-2</v>
      </c>
      <c r="R279" s="22">
        <v>269</v>
      </c>
      <c r="S279" s="22">
        <v>1.25397</v>
      </c>
      <c r="T279">
        <f t="shared" si="50"/>
        <v>17.048395061728392</v>
      </c>
      <c r="U279">
        <f t="shared" si="51"/>
        <v>21.388575476543206</v>
      </c>
      <c r="X279" s="9"/>
      <c r="Y279" s="22">
        <v>0.49545299999999998</v>
      </c>
      <c r="Z279" s="22">
        <v>17.368600000000001</v>
      </c>
      <c r="AA279" s="22">
        <v>-1.45416E-2</v>
      </c>
      <c r="AB279" s="22">
        <v>269</v>
      </c>
      <c r="AC279" s="22">
        <v>0.49478100000000003</v>
      </c>
      <c r="AD279">
        <f t="shared" si="52"/>
        <v>17.952592592592595</v>
      </c>
      <c r="AE279">
        <f t="shared" si="53"/>
        <v>8.8946658577777775</v>
      </c>
      <c r="AF279" s="9"/>
      <c r="AG279" s="22">
        <v>1.25458</v>
      </c>
      <c r="AH279" s="22">
        <v>21.288599999999999</v>
      </c>
      <c r="AI279" s="22">
        <v>-1.3842800000000001E-2</v>
      </c>
      <c r="AJ279" s="22">
        <v>269</v>
      </c>
      <c r="AK279" s="22">
        <v>1.25397</v>
      </c>
      <c r="AL279">
        <f t="shared" si="54"/>
        <v>17.089876543209876</v>
      </c>
      <c r="AM279">
        <f t="shared" si="55"/>
        <v>21.440617313580248</v>
      </c>
      <c r="AP279" s="9"/>
      <c r="AQ279" s="22">
        <v>0.49545299999999998</v>
      </c>
      <c r="AR279" s="22">
        <v>26.851900000000001</v>
      </c>
      <c r="AS279" s="22">
        <v>-1.4559900000000001E-2</v>
      </c>
      <c r="AT279" s="22">
        <v>269</v>
      </c>
      <c r="AU279" s="22">
        <v>0.49469000000000002</v>
      </c>
      <c r="AV279">
        <f t="shared" si="56"/>
        <v>17.975185185185186</v>
      </c>
      <c r="AW279">
        <f t="shared" si="57"/>
        <v>8.9058594255555548</v>
      </c>
      <c r="AX279" s="9"/>
      <c r="AY279" s="22">
        <v>1.25458</v>
      </c>
      <c r="AZ279" s="22">
        <v>30.771799999999999</v>
      </c>
      <c r="BA279" s="22">
        <v>-1.38458E-2</v>
      </c>
      <c r="BB279" s="22">
        <v>269</v>
      </c>
      <c r="BC279" s="22">
        <v>1.25336</v>
      </c>
      <c r="BD279">
        <f t="shared" si="58"/>
        <v>17.093580246913579</v>
      </c>
      <c r="BE279">
        <f t="shared" si="59"/>
        <v>21.445263906172837</v>
      </c>
    </row>
    <row r="280" spans="6:101">
      <c r="F280" s="9"/>
      <c r="G280" s="22">
        <v>0.49041699999999999</v>
      </c>
      <c r="H280" s="22">
        <v>7.9134900000000004</v>
      </c>
      <c r="I280" s="22">
        <v>-1.4505000000000001E-2</v>
      </c>
      <c r="J280" s="22">
        <v>270</v>
      </c>
      <c r="K280" s="22">
        <v>0.48977700000000002</v>
      </c>
      <c r="L280">
        <f t="shared" si="48"/>
        <v>17.907407407407408</v>
      </c>
      <c r="M280">
        <f t="shared" si="49"/>
        <v>8.7820970185185185</v>
      </c>
      <c r="N280" s="9"/>
      <c r="O280" s="22">
        <v>1.2596099999999999</v>
      </c>
      <c r="P280" s="22">
        <v>11.833399999999999</v>
      </c>
      <c r="Q280" s="22">
        <v>-1.38031E-2</v>
      </c>
      <c r="R280" s="22">
        <v>270</v>
      </c>
      <c r="S280" s="22">
        <v>1.25793</v>
      </c>
      <c r="T280">
        <f t="shared" si="50"/>
        <v>17.040864197530862</v>
      </c>
      <c r="U280">
        <f t="shared" si="51"/>
        <v>21.464842951851846</v>
      </c>
      <c r="X280" s="9"/>
      <c r="Y280" s="22">
        <v>0.49041699999999999</v>
      </c>
      <c r="Z280" s="22">
        <v>17.378699999999998</v>
      </c>
      <c r="AA280" s="22">
        <v>-1.4544700000000001E-2</v>
      </c>
      <c r="AB280" s="22">
        <v>270</v>
      </c>
      <c r="AC280" s="22">
        <v>0.48986800000000003</v>
      </c>
      <c r="AD280">
        <f t="shared" si="52"/>
        <v>17.956419753086422</v>
      </c>
      <c r="AE280">
        <f t="shared" si="53"/>
        <v>8.8061335060493828</v>
      </c>
      <c r="AF280" s="9"/>
      <c r="AG280" s="22">
        <v>1.2596099999999999</v>
      </c>
      <c r="AH280" s="22">
        <v>21.2986</v>
      </c>
      <c r="AI280" s="22">
        <v>-1.38367E-2</v>
      </c>
      <c r="AJ280" s="22">
        <v>270</v>
      </c>
      <c r="AK280" s="22">
        <v>1.2591600000000001</v>
      </c>
      <c r="AL280">
        <f t="shared" si="54"/>
        <v>17.082345679012345</v>
      </c>
      <c r="AM280">
        <f t="shared" si="55"/>
        <v>21.517093440740737</v>
      </c>
      <c r="AP280" s="9"/>
      <c r="AQ280" s="22">
        <v>0.49041699999999999</v>
      </c>
      <c r="AR280" s="22">
        <v>26.861899999999999</v>
      </c>
      <c r="AS280" s="22">
        <v>-1.4566000000000001E-2</v>
      </c>
      <c r="AT280" s="22">
        <v>270</v>
      </c>
      <c r="AU280" s="22">
        <v>0.48980699999999999</v>
      </c>
      <c r="AV280">
        <f t="shared" si="56"/>
        <v>17.982716049382717</v>
      </c>
      <c r="AW280">
        <f t="shared" si="57"/>
        <v>8.8190296567901232</v>
      </c>
      <c r="AX280" s="9"/>
      <c r="AY280" s="22">
        <v>1.2596099999999999</v>
      </c>
      <c r="AZ280" s="22">
        <v>30.7818</v>
      </c>
      <c r="BA280" s="22">
        <v>-1.38397E-2</v>
      </c>
      <c r="BB280" s="22">
        <v>270</v>
      </c>
      <c r="BC280" s="22">
        <v>1.25854</v>
      </c>
      <c r="BD280">
        <f t="shared" si="58"/>
        <v>17.086049382716048</v>
      </c>
      <c r="BE280">
        <f t="shared" si="59"/>
        <v>21.521758662962959</v>
      </c>
    </row>
    <row r="281" spans="6:101">
      <c r="F281" s="9"/>
      <c r="G281" s="22">
        <v>0.48538199999999998</v>
      </c>
      <c r="H281" s="22">
        <v>7.9235699999999998</v>
      </c>
      <c r="I281" s="22">
        <v>-1.4511100000000001E-2</v>
      </c>
      <c r="J281" s="22">
        <v>271</v>
      </c>
      <c r="K281" s="22">
        <v>0.48468</v>
      </c>
      <c r="L281">
        <f t="shared" si="48"/>
        <v>17.914938271604939</v>
      </c>
      <c r="M281">
        <f t="shared" si="49"/>
        <v>8.695588568148148</v>
      </c>
      <c r="N281" s="9"/>
      <c r="O281" s="22">
        <v>1.2646500000000001</v>
      </c>
      <c r="P281" s="22">
        <v>11.843500000000001</v>
      </c>
      <c r="Q281" s="22">
        <v>-1.3797E-2</v>
      </c>
      <c r="R281" s="22">
        <v>271</v>
      </c>
      <c r="S281" s="22">
        <v>1.26312</v>
      </c>
      <c r="T281">
        <f t="shared" si="50"/>
        <v>17.033333333333331</v>
      </c>
      <c r="U281">
        <f t="shared" si="51"/>
        <v>21.541204999999998</v>
      </c>
      <c r="X281" s="9"/>
      <c r="Y281" s="22">
        <v>0.48538199999999998</v>
      </c>
      <c r="Z281" s="22">
        <v>17.3888</v>
      </c>
      <c r="AA281" s="22">
        <v>-1.45538E-2</v>
      </c>
      <c r="AB281" s="22">
        <v>271</v>
      </c>
      <c r="AC281" s="22">
        <v>0.48461900000000002</v>
      </c>
      <c r="AD281">
        <f t="shared" si="52"/>
        <v>17.967654320987652</v>
      </c>
      <c r="AE281">
        <f t="shared" si="53"/>
        <v>8.7211759896296286</v>
      </c>
      <c r="AF281" s="9"/>
      <c r="AG281" s="22">
        <v>1.2646500000000001</v>
      </c>
      <c r="AH281" s="22">
        <v>21.308700000000002</v>
      </c>
      <c r="AI281" s="22">
        <v>-1.38336E-2</v>
      </c>
      <c r="AJ281" s="22">
        <v>271</v>
      </c>
      <c r="AK281" s="22">
        <v>1.2640400000000001</v>
      </c>
      <c r="AL281">
        <f t="shared" si="54"/>
        <v>17.078518518518518</v>
      </c>
      <c r="AM281">
        <f t="shared" si="55"/>
        <v>21.598348444444444</v>
      </c>
      <c r="AP281" s="9"/>
      <c r="AQ281" s="22">
        <v>0.48538199999999998</v>
      </c>
      <c r="AR281" s="22">
        <v>26.872</v>
      </c>
      <c r="AS281" s="22">
        <v>-1.45691E-2</v>
      </c>
      <c r="AT281" s="22">
        <v>271</v>
      </c>
      <c r="AU281" s="22">
        <v>0.48468</v>
      </c>
      <c r="AV281">
        <f t="shared" si="56"/>
        <v>17.98654320987654</v>
      </c>
      <c r="AW281">
        <f t="shared" si="57"/>
        <v>8.7303443162962946</v>
      </c>
      <c r="AX281" s="9"/>
      <c r="AY281" s="22">
        <v>1.2646500000000001</v>
      </c>
      <c r="AZ281" s="22">
        <v>30.791899999999998</v>
      </c>
      <c r="BA281" s="22">
        <v>-1.38336E-2</v>
      </c>
      <c r="BB281" s="22">
        <v>271</v>
      </c>
      <c r="BC281" s="22">
        <v>1.2640400000000001</v>
      </c>
      <c r="BD281">
        <f t="shared" si="58"/>
        <v>17.078518518518518</v>
      </c>
      <c r="BE281">
        <f t="shared" si="59"/>
        <v>21.598348444444444</v>
      </c>
    </row>
    <row r="282" spans="6:101">
      <c r="F282" s="9"/>
      <c r="G282" s="22">
        <v>0.48034700000000002</v>
      </c>
      <c r="H282" s="22">
        <v>7.9336399999999996</v>
      </c>
      <c r="I282" s="22">
        <v>-1.4517199999999999E-2</v>
      </c>
      <c r="J282" s="22">
        <v>272</v>
      </c>
      <c r="K282" s="22">
        <v>0.47964499999999999</v>
      </c>
      <c r="L282">
        <f t="shared" si="48"/>
        <v>17.922469135802466</v>
      </c>
      <c r="M282">
        <f t="shared" si="49"/>
        <v>8.6090042819753076</v>
      </c>
      <c r="N282" s="9"/>
      <c r="O282" s="22">
        <v>1.2696799999999999</v>
      </c>
      <c r="P282" s="22">
        <v>11.8535</v>
      </c>
      <c r="Q282" s="22">
        <v>-1.3787799999999999E-2</v>
      </c>
      <c r="R282" s="22">
        <v>272</v>
      </c>
      <c r="S282" s="22">
        <v>1.2686200000000001</v>
      </c>
      <c r="T282">
        <f t="shared" si="50"/>
        <v>17.021975308641974</v>
      </c>
      <c r="U282">
        <f t="shared" si="51"/>
        <v>21.61246160987654</v>
      </c>
      <c r="X282" s="9"/>
      <c r="Y282" s="22">
        <v>0.48034700000000002</v>
      </c>
      <c r="Z282" s="22">
        <v>17.398900000000001</v>
      </c>
      <c r="AA282" s="22">
        <v>-1.4556899999999999E-2</v>
      </c>
      <c r="AB282" s="22">
        <v>272</v>
      </c>
      <c r="AC282" s="22">
        <v>0.47979699999999997</v>
      </c>
      <c r="AD282">
        <f t="shared" si="52"/>
        <v>17.971481481481479</v>
      </c>
      <c r="AE282">
        <f t="shared" si="53"/>
        <v>8.6325472151851841</v>
      </c>
      <c r="AF282" s="9"/>
      <c r="AG282" s="22">
        <v>1.2696799999999999</v>
      </c>
      <c r="AH282" s="22">
        <v>21.3188</v>
      </c>
      <c r="AI282" s="22">
        <v>-1.3821399999999999E-2</v>
      </c>
      <c r="AJ282" s="22">
        <v>272</v>
      </c>
      <c r="AK282" s="22">
        <v>1.26831</v>
      </c>
      <c r="AL282">
        <f t="shared" si="54"/>
        <v>17.063456790123453</v>
      </c>
      <c r="AM282">
        <f t="shared" si="55"/>
        <v>21.665129817283944</v>
      </c>
      <c r="AP282" s="9"/>
      <c r="AQ282" s="22">
        <v>0.48034700000000002</v>
      </c>
      <c r="AR282" s="22">
        <v>26.882100000000001</v>
      </c>
      <c r="AS282" s="22">
        <v>-1.4572099999999999E-2</v>
      </c>
      <c r="AT282" s="22">
        <v>272</v>
      </c>
      <c r="AU282" s="22">
        <v>0.479767</v>
      </c>
      <c r="AV282">
        <f t="shared" si="56"/>
        <v>17.990246913580243</v>
      </c>
      <c r="AW282">
        <f t="shared" si="57"/>
        <v>8.6415611341975289</v>
      </c>
      <c r="AX282" s="9"/>
      <c r="AY282" s="22">
        <v>1.2696799999999999</v>
      </c>
      <c r="AZ282" s="22">
        <v>30.802</v>
      </c>
      <c r="BA282" s="22">
        <v>-1.38336E-2</v>
      </c>
      <c r="BB282" s="22">
        <v>272</v>
      </c>
      <c r="BC282" s="22">
        <v>1.2686200000000001</v>
      </c>
      <c r="BD282">
        <f t="shared" si="58"/>
        <v>17.078518518518518</v>
      </c>
      <c r="BE282">
        <f t="shared" si="59"/>
        <v>21.684253392592591</v>
      </c>
    </row>
    <row r="283" spans="6:101">
      <c r="F283" s="9"/>
      <c r="G283" s="22">
        <v>0.47531099999999998</v>
      </c>
      <c r="H283" s="22">
        <v>7.9437100000000003</v>
      </c>
      <c r="I283" s="22">
        <v>-1.4523299999999999E-2</v>
      </c>
      <c r="J283" s="22">
        <v>273</v>
      </c>
      <c r="K283" s="22">
        <v>0.47479199999999999</v>
      </c>
      <c r="L283">
        <f t="shared" si="48"/>
        <v>17.93</v>
      </c>
      <c r="M283">
        <f t="shared" si="49"/>
        <v>8.5223262299999991</v>
      </c>
      <c r="N283" s="9"/>
      <c r="O283" s="22">
        <v>1.2747200000000001</v>
      </c>
      <c r="P283" s="22">
        <v>11.8636</v>
      </c>
      <c r="Q283" s="22">
        <v>-1.3781699999999999E-2</v>
      </c>
      <c r="R283" s="22">
        <v>273</v>
      </c>
      <c r="S283" s="22">
        <v>1.27319</v>
      </c>
      <c r="T283">
        <f t="shared" si="50"/>
        <v>17.014444444444443</v>
      </c>
      <c r="U283">
        <f t="shared" si="51"/>
        <v>21.688652622222222</v>
      </c>
      <c r="X283" s="9"/>
      <c r="Y283" s="22">
        <v>0.47531099999999998</v>
      </c>
      <c r="Z283" s="22">
        <v>17.408899999999999</v>
      </c>
      <c r="AA283" s="22">
        <v>-1.4556899999999999E-2</v>
      </c>
      <c r="AB283" s="22">
        <v>273</v>
      </c>
      <c r="AC283" s="22">
        <v>0.47457899999999997</v>
      </c>
      <c r="AD283">
        <f t="shared" si="52"/>
        <v>17.971481481481479</v>
      </c>
      <c r="AE283">
        <f t="shared" si="53"/>
        <v>8.5420428344444428</v>
      </c>
      <c r="AF283" s="9"/>
      <c r="AG283" s="22">
        <v>1.2747200000000001</v>
      </c>
      <c r="AH283" s="22">
        <v>21.328900000000001</v>
      </c>
      <c r="AI283" s="22">
        <v>-1.3815300000000001E-2</v>
      </c>
      <c r="AJ283" s="22">
        <v>273</v>
      </c>
      <c r="AK283" s="22">
        <v>1.2738</v>
      </c>
      <c r="AL283">
        <f t="shared" si="54"/>
        <v>17.055925925925926</v>
      </c>
      <c r="AM283">
        <f t="shared" si="55"/>
        <v>21.741529896296299</v>
      </c>
      <c r="AP283" s="9"/>
      <c r="AQ283" s="22">
        <v>0.47531099999999998</v>
      </c>
      <c r="AR283" s="22">
        <v>26.892199999999999</v>
      </c>
      <c r="AS283" s="22">
        <v>-1.4578199999999999E-2</v>
      </c>
      <c r="AT283" s="22">
        <v>273</v>
      </c>
      <c r="AU283" s="22">
        <v>0.47457899999999997</v>
      </c>
      <c r="AV283">
        <f t="shared" si="56"/>
        <v>17.997777777777777</v>
      </c>
      <c r="AW283">
        <f t="shared" si="57"/>
        <v>8.5545417533333321</v>
      </c>
      <c r="AX283" s="9"/>
      <c r="AY283" s="22">
        <v>1.2747200000000001</v>
      </c>
      <c r="AZ283" s="22">
        <v>30.812100000000001</v>
      </c>
      <c r="BA283" s="22">
        <v>-1.38245E-2</v>
      </c>
      <c r="BB283" s="22">
        <v>273</v>
      </c>
      <c r="BC283" s="22">
        <v>1.2741100000000001</v>
      </c>
      <c r="BD283">
        <f t="shared" si="58"/>
        <v>17.067283950617281</v>
      </c>
      <c r="BE283">
        <f t="shared" si="59"/>
        <v>21.756008197530861</v>
      </c>
    </row>
    <row r="284" spans="6:101">
      <c r="F284" s="9"/>
      <c r="G284" s="22">
        <v>0.47027600000000003</v>
      </c>
      <c r="H284" s="22">
        <v>7.9537800000000001</v>
      </c>
      <c r="I284" s="22">
        <v>-1.45294E-2</v>
      </c>
      <c r="J284" s="22">
        <v>274</v>
      </c>
      <c r="K284" s="22">
        <v>0.46960400000000002</v>
      </c>
      <c r="L284">
        <f t="shared" si="48"/>
        <v>17.93753086419753</v>
      </c>
      <c r="M284">
        <f t="shared" si="49"/>
        <v>8.4355902646913581</v>
      </c>
      <c r="N284" s="9"/>
      <c r="O284" s="22">
        <v>1.2797499999999999</v>
      </c>
      <c r="P284" s="22">
        <v>11.873699999999999</v>
      </c>
      <c r="Q284" s="22">
        <v>-1.3772599999999999E-2</v>
      </c>
      <c r="R284" s="22">
        <v>274</v>
      </c>
      <c r="S284" s="22">
        <v>1.2786900000000001</v>
      </c>
      <c r="T284">
        <f t="shared" si="50"/>
        <v>17.00320987654321</v>
      </c>
      <c r="U284">
        <f t="shared" si="51"/>
        <v>21.759857839506171</v>
      </c>
      <c r="X284" s="9"/>
      <c r="Y284" s="22">
        <v>0.47027600000000003</v>
      </c>
      <c r="Z284" s="22">
        <v>17.419</v>
      </c>
      <c r="AA284" s="22">
        <v>-1.4559900000000001E-2</v>
      </c>
      <c r="AB284" s="22">
        <v>274</v>
      </c>
      <c r="AC284" s="22">
        <v>0.46951300000000001</v>
      </c>
      <c r="AD284">
        <f t="shared" si="52"/>
        <v>17.975185185185186</v>
      </c>
      <c r="AE284">
        <f t="shared" si="53"/>
        <v>8.4532981881481497</v>
      </c>
      <c r="AF284" s="9"/>
      <c r="AG284" s="22">
        <v>1.2797499999999999</v>
      </c>
      <c r="AH284" s="22">
        <v>21.338899999999999</v>
      </c>
      <c r="AI284" s="22">
        <v>-1.3809200000000001E-2</v>
      </c>
      <c r="AJ284" s="22">
        <v>274</v>
      </c>
      <c r="AK284" s="22">
        <v>1.2786900000000001</v>
      </c>
      <c r="AL284">
        <f t="shared" si="54"/>
        <v>17.048395061728392</v>
      </c>
      <c r="AM284">
        <f t="shared" si="55"/>
        <v>21.817683580246911</v>
      </c>
      <c r="AP284" s="9"/>
      <c r="AQ284" s="22">
        <v>0.47027600000000003</v>
      </c>
      <c r="AR284" s="22">
        <v>26.902200000000001</v>
      </c>
      <c r="AS284" s="22">
        <v>-1.4584400000000001E-2</v>
      </c>
      <c r="AT284" s="22">
        <v>274</v>
      </c>
      <c r="AU284" s="22">
        <v>0.46957399999999999</v>
      </c>
      <c r="AV284">
        <f t="shared" si="56"/>
        <v>18.005432098765432</v>
      </c>
      <c r="AW284">
        <f t="shared" si="57"/>
        <v>8.4675225856790135</v>
      </c>
      <c r="AX284" s="9"/>
      <c r="AY284" s="22">
        <v>1.2797499999999999</v>
      </c>
      <c r="AZ284" s="22">
        <v>30.822099999999999</v>
      </c>
      <c r="BA284" s="22">
        <v>-1.3821399999999999E-2</v>
      </c>
      <c r="BB284" s="22">
        <v>274</v>
      </c>
      <c r="BC284" s="22">
        <v>1.2783800000000001</v>
      </c>
      <c r="BD284">
        <f t="shared" si="58"/>
        <v>17.063456790123453</v>
      </c>
      <c r="BE284">
        <f t="shared" si="59"/>
        <v>21.836958827160487</v>
      </c>
    </row>
    <row r="285" spans="6:101">
      <c r="F285" s="9"/>
      <c r="G285" s="22">
        <v>0.46523999999999999</v>
      </c>
      <c r="H285" s="22">
        <v>7.9638499999999999</v>
      </c>
      <c r="I285" s="22">
        <v>-1.45325E-2</v>
      </c>
      <c r="J285" s="22">
        <v>275</v>
      </c>
      <c r="K285" s="22">
        <v>0.46462999999999999</v>
      </c>
      <c r="L285">
        <f t="shared" si="48"/>
        <v>17.941358024691358</v>
      </c>
      <c r="M285">
        <f t="shared" si="49"/>
        <v>8.3470374074074076</v>
      </c>
      <c r="N285" s="9"/>
      <c r="O285" s="22">
        <v>1.2847900000000001</v>
      </c>
      <c r="P285" s="22">
        <v>11.883800000000001</v>
      </c>
      <c r="Q285" s="22">
        <v>-1.3766499999999999E-2</v>
      </c>
      <c r="R285" s="22">
        <v>275</v>
      </c>
      <c r="S285" s="22">
        <v>1.2838700000000001</v>
      </c>
      <c r="T285">
        <f t="shared" si="50"/>
        <v>16.995679012345676</v>
      </c>
      <c r="U285">
        <f t="shared" si="51"/>
        <v>21.835878438271603</v>
      </c>
      <c r="X285" s="9"/>
      <c r="Y285" s="22">
        <v>0.46523999999999999</v>
      </c>
      <c r="Z285" s="22">
        <v>17.429099999999998</v>
      </c>
      <c r="AA285" s="22">
        <v>-1.4563E-2</v>
      </c>
      <c r="AB285" s="22">
        <v>275</v>
      </c>
      <c r="AC285" s="22">
        <v>0.46460000000000001</v>
      </c>
      <c r="AD285">
        <f t="shared" si="52"/>
        <v>17.979012345679013</v>
      </c>
      <c r="AE285">
        <f t="shared" si="53"/>
        <v>8.3645557037037044</v>
      </c>
      <c r="AF285" s="9"/>
      <c r="AG285" s="22">
        <v>1.2847900000000001</v>
      </c>
      <c r="AH285" s="22">
        <v>21.349</v>
      </c>
      <c r="AI285" s="22">
        <v>-1.3806199999999999E-2</v>
      </c>
      <c r="AJ285" s="22">
        <v>275</v>
      </c>
      <c r="AK285" s="22">
        <v>1.2838700000000001</v>
      </c>
      <c r="AL285">
        <f t="shared" si="54"/>
        <v>17.044691358024689</v>
      </c>
      <c r="AM285">
        <f t="shared" si="55"/>
        <v>21.898849009876542</v>
      </c>
      <c r="AP285" s="9"/>
      <c r="AQ285" s="22">
        <v>0.46523999999999999</v>
      </c>
      <c r="AR285" s="22">
        <v>26.912299999999998</v>
      </c>
      <c r="AS285" s="22">
        <v>-1.45874E-2</v>
      </c>
      <c r="AT285" s="22">
        <v>275</v>
      </c>
      <c r="AU285" s="22">
        <v>0.464783</v>
      </c>
      <c r="AV285">
        <f t="shared" si="56"/>
        <v>18.009135802469135</v>
      </c>
      <c r="AW285">
        <f t="shared" si="57"/>
        <v>8.3785703407407404</v>
      </c>
      <c r="AX285" s="9"/>
      <c r="AY285" s="22">
        <v>1.2847900000000001</v>
      </c>
      <c r="AZ285" s="22">
        <v>30.8322</v>
      </c>
      <c r="BA285" s="22">
        <v>-1.38184E-2</v>
      </c>
      <c r="BB285" s="22">
        <v>275</v>
      </c>
      <c r="BC285" s="22">
        <v>1.2838700000000001</v>
      </c>
      <c r="BD285">
        <f t="shared" si="58"/>
        <v>17.05975308641975</v>
      </c>
      <c r="BE285">
        <f t="shared" si="59"/>
        <v>21.918200167901233</v>
      </c>
    </row>
    <row r="286" spans="6:101">
      <c r="F286" s="9"/>
      <c r="G286" s="22">
        <v>0.46020499999999998</v>
      </c>
      <c r="H286" s="22">
        <v>7.9739199999999997</v>
      </c>
      <c r="I286" s="22">
        <v>-1.45355E-2</v>
      </c>
      <c r="J286" s="22">
        <v>276</v>
      </c>
      <c r="K286" s="22">
        <v>0.45959499999999998</v>
      </c>
      <c r="L286">
        <f t="shared" si="48"/>
        <v>17.945061728395061</v>
      </c>
      <c r="M286">
        <f t="shared" si="49"/>
        <v>8.258407132716048</v>
      </c>
      <c r="N286" s="9"/>
      <c r="O286" s="22">
        <v>1.28983</v>
      </c>
      <c r="P286" s="22">
        <v>11.893800000000001</v>
      </c>
      <c r="Q286" s="22">
        <v>-1.37634E-2</v>
      </c>
      <c r="R286" s="22">
        <v>276</v>
      </c>
      <c r="S286" s="22">
        <v>1.2890600000000001</v>
      </c>
      <c r="T286">
        <f t="shared" si="50"/>
        <v>16.991851851851852</v>
      </c>
      <c r="U286">
        <f t="shared" si="51"/>
        <v>21.916600274074074</v>
      </c>
      <c r="X286" s="9"/>
      <c r="Y286" s="22">
        <v>0.46020499999999998</v>
      </c>
      <c r="Z286" s="22">
        <v>17.4391</v>
      </c>
      <c r="AA286" s="22">
        <v>-1.45691E-2</v>
      </c>
      <c r="AB286" s="22">
        <v>276</v>
      </c>
      <c r="AC286" s="22">
        <v>0.45959499999999998</v>
      </c>
      <c r="AD286">
        <f t="shared" si="52"/>
        <v>17.98654320987654</v>
      </c>
      <c r="AE286">
        <f t="shared" si="53"/>
        <v>8.2774971179012322</v>
      </c>
      <c r="AF286" s="9"/>
      <c r="AG286" s="22">
        <v>1.28983</v>
      </c>
      <c r="AH286" s="22">
        <v>21.359100000000002</v>
      </c>
      <c r="AI286" s="22">
        <v>-1.38E-2</v>
      </c>
      <c r="AJ286" s="22">
        <v>276</v>
      </c>
      <c r="AK286" s="22">
        <v>1.2890600000000001</v>
      </c>
      <c r="AL286">
        <f t="shared" si="54"/>
        <v>17.037037037037035</v>
      </c>
      <c r="AM286">
        <f t="shared" si="55"/>
        <v>21.974881481481479</v>
      </c>
      <c r="AP286" s="9"/>
      <c r="AQ286" s="22">
        <v>0.46020499999999998</v>
      </c>
      <c r="AR286" s="22">
        <v>26.9224</v>
      </c>
      <c r="AS286" s="22">
        <v>-1.4593500000000001E-2</v>
      </c>
      <c r="AT286" s="22">
        <v>276</v>
      </c>
      <c r="AU286" s="22">
        <v>0.45956399999999997</v>
      </c>
      <c r="AV286">
        <f t="shared" si="56"/>
        <v>18.016666666666666</v>
      </c>
      <c r="AW286">
        <f t="shared" si="57"/>
        <v>8.2913600833333323</v>
      </c>
      <c r="AX286" s="9"/>
      <c r="AY286" s="22">
        <v>1.28983</v>
      </c>
      <c r="AZ286" s="22">
        <v>30.842300000000002</v>
      </c>
      <c r="BA286" s="22">
        <v>-1.38123E-2</v>
      </c>
      <c r="BB286" s="22">
        <v>276</v>
      </c>
      <c r="BC286" s="22">
        <v>1.2887599999999999</v>
      </c>
      <c r="BD286">
        <f t="shared" si="58"/>
        <v>17.052222222222223</v>
      </c>
      <c r="BE286">
        <f t="shared" si="59"/>
        <v>21.99446778888889</v>
      </c>
    </row>
    <row r="287" spans="6:101">
      <c r="F287" s="9"/>
      <c r="G287" s="22">
        <v>0.45517000000000002</v>
      </c>
      <c r="H287" s="22">
        <v>7.9839900000000004</v>
      </c>
      <c r="I287" s="22">
        <v>-1.45386E-2</v>
      </c>
      <c r="J287" s="22">
        <v>277</v>
      </c>
      <c r="K287" s="22">
        <v>0.45458999999999999</v>
      </c>
      <c r="L287">
        <f t="shared" si="48"/>
        <v>17.948888888888888</v>
      </c>
      <c r="M287">
        <f t="shared" si="49"/>
        <v>8.1697957555555547</v>
      </c>
      <c r="N287" s="9"/>
      <c r="O287" s="22">
        <v>1.2948599999999999</v>
      </c>
      <c r="P287" s="22">
        <v>11.9039</v>
      </c>
      <c r="Q287" s="22">
        <v>-1.3760400000000001E-2</v>
      </c>
      <c r="R287" s="22">
        <v>277</v>
      </c>
      <c r="S287" s="22">
        <v>1.2939499999999999</v>
      </c>
      <c r="T287">
        <f t="shared" si="50"/>
        <v>16.988148148148149</v>
      </c>
      <c r="U287">
        <f t="shared" si="51"/>
        <v>21.997273511111111</v>
      </c>
      <c r="X287" s="9"/>
      <c r="Y287" s="22">
        <v>0.45517000000000002</v>
      </c>
      <c r="Z287" s="22">
        <v>17.449200000000001</v>
      </c>
      <c r="AA287" s="22">
        <v>-1.45752E-2</v>
      </c>
      <c r="AB287" s="22">
        <v>277</v>
      </c>
      <c r="AC287" s="22">
        <v>0.45458999999999999</v>
      </c>
      <c r="AD287">
        <f t="shared" si="52"/>
        <v>17.994074074074071</v>
      </c>
      <c r="AE287">
        <f t="shared" si="53"/>
        <v>8.1903626962962957</v>
      </c>
      <c r="AF287" s="9"/>
      <c r="AG287" s="22">
        <v>1.2948599999999999</v>
      </c>
      <c r="AH287" s="22">
        <v>21.3691</v>
      </c>
      <c r="AI287" s="22">
        <v>-1.37909E-2</v>
      </c>
      <c r="AJ287" s="22">
        <v>277</v>
      </c>
      <c r="AK287" s="22">
        <v>1.2939499999999999</v>
      </c>
      <c r="AL287">
        <f t="shared" si="54"/>
        <v>17.025802469135801</v>
      </c>
      <c r="AM287">
        <f t="shared" si="55"/>
        <v>22.046030585185182</v>
      </c>
      <c r="AP287" s="9"/>
      <c r="AQ287" s="22">
        <v>0.45517000000000002</v>
      </c>
      <c r="AR287" s="22">
        <v>26.932400000000001</v>
      </c>
      <c r="AS287" s="22">
        <v>-1.4599600000000001E-2</v>
      </c>
      <c r="AT287" s="22">
        <v>277</v>
      </c>
      <c r="AU287" s="22">
        <v>0.45446799999999998</v>
      </c>
      <c r="AV287">
        <f t="shared" si="56"/>
        <v>18.0241975308642</v>
      </c>
      <c r="AW287">
        <f t="shared" si="57"/>
        <v>8.2040739901234581</v>
      </c>
      <c r="AX287" s="9"/>
      <c r="AY287" s="22">
        <v>1.2948599999999999</v>
      </c>
      <c r="AZ287" s="22">
        <v>30.8523</v>
      </c>
      <c r="BA287" s="22">
        <v>-1.3806199999999999E-2</v>
      </c>
      <c r="BB287" s="22">
        <v>277</v>
      </c>
      <c r="BC287" s="22">
        <v>1.2939499999999999</v>
      </c>
      <c r="BD287">
        <f t="shared" si="58"/>
        <v>17.044691358024689</v>
      </c>
      <c r="BE287">
        <f t="shared" si="59"/>
        <v>22.070489051851848</v>
      </c>
    </row>
    <row r="288" spans="6:101">
      <c r="F288" s="9"/>
      <c r="G288" s="22">
        <v>0.45013399999999998</v>
      </c>
      <c r="H288" s="22">
        <v>7.9940600000000002</v>
      </c>
      <c r="I288" s="22">
        <v>-1.4544700000000001E-2</v>
      </c>
      <c r="J288" s="22">
        <v>278</v>
      </c>
      <c r="K288" s="22">
        <v>0.44949299999999998</v>
      </c>
      <c r="L288">
        <f t="shared" si="48"/>
        <v>17.956419753086422</v>
      </c>
      <c r="M288">
        <f t="shared" si="49"/>
        <v>8.0827950491358038</v>
      </c>
      <c r="N288" s="9"/>
      <c r="O288" s="22">
        <v>1.2999000000000001</v>
      </c>
      <c r="P288" s="22">
        <v>11.914</v>
      </c>
      <c r="Q288" s="22">
        <v>-1.3760400000000001E-2</v>
      </c>
      <c r="R288" s="22">
        <v>278</v>
      </c>
      <c r="S288" s="22">
        <v>1.2991299999999999</v>
      </c>
      <c r="T288">
        <f t="shared" si="50"/>
        <v>16.988148148148149</v>
      </c>
      <c r="U288">
        <f t="shared" si="51"/>
        <v>22.08289377777778</v>
      </c>
      <c r="X288" s="9"/>
      <c r="Y288" s="22">
        <v>0.45013399999999998</v>
      </c>
      <c r="Z288" s="22">
        <v>17.459299999999999</v>
      </c>
      <c r="AA288" s="22">
        <v>-1.4578199999999999E-2</v>
      </c>
      <c r="AB288" s="22">
        <v>278</v>
      </c>
      <c r="AC288" s="22">
        <v>0.44952399999999998</v>
      </c>
      <c r="AD288">
        <f t="shared" si="52"/>
        <v>17.997777777777777</v>
      </c>
      <c r="AE288">
        <f t="shared" si="53"/>
        <v>8.1014117022222223</v>
      </c>
      <c r="AF288" s="9"/>
      <c r="AG288" s="22">
        <v>1.2999000000000001</v>
      </c>
      <c r="AH288" s="22">
        <v>21.379200000000001</v>
      </c>
      <c r="AI288" s="22">
        <v>-1.3787799999999999E-2</v>
      </c>
      <c r="AJ288" s="22">
        <v>278</v>
      </c>
      <c r="AK288" s="22">
        <v>1.2988299999999999</v>
      </c>
      <c r="AL288">
        <f t="shared" si="54"/>
        <v>17.021975308641974</v>
      </c>
      <c r="AM288">
        <f t="shared" si="55"/>
        <v>22.126865703703704</v>
      </c>
      <c r="AP288" s="9"/>
      <c r="AQ288" s="22">
        <v>0.45013399999999998</v>
      </c>
      <c r="AR288" s="22">
        <v>26.942499999999999</v>
      </c>
      <c r="AS288" s="22">
        <v>-1.46027E-2</v>
      </c>
      <c r="AT288" s="22">
        <v>278</v>
      </c>
      <c r="AU288" s="22">
        <v>0.44940200000000002</v>
      </c>
      <c r="AV288">
        <f t="shared" si="56"/>
        <v>18.028024691358024</v>
      </c>
      <c r="AW288">
        <f t="shared" si="57"/>
        <v>8.1150268664197522</v>
      </c>
      <c r="AX288" s="9"/>
      <c r="AY288" s="22">
        <v>1.2999000000000001</v>
      </c>
      <c r="AZ288" s="22">
        <v>30.862400000000001</v>
      </c>
      <c r="BA288" s="22">
        <v>-1.38E-2</v>
      </c>
      <c r="BB288" s="22">
        <v>278</v>
      </c>
      <c r="BC288" s="22">
        <v>1.2988299999999999</v>
      </c>
      <c r="BD288">
        <f t="shared" si="58"/>
        <v>17.037037037037035</v>
      </c>
      <c r="BE288">
        <f t="shared" si="59"/>
        <v>22.146444444444441</v>
      </c>
    </row>
    <row r="289" spans="6:57">
      <c r="F289" s="9"/>
      <c r="G289" s="22">
        <v>0.44509900000000002</v>
      </c>
      <c r="H289" s="22">
        <v>8.00413</v>
      </c>
      <c r="I289" s="22">
        <v>-1.45477E-2</v>
      </c>
      <c r="J289" s="22">
        <v>279</v>
      </c>
      <c r="K289" s="22">
        <v>0.44457999999999998</v>
      </c>
      <c r="L289">
        <f t="shared" si="48"/>
        <v>17.960123456790122</v>
      </c>
      <c r="M289">
        <f t="shared" si="49"/>
        <v>7.9940329904938263</v>
      </c>
      <c r="N289" s="9"/>
      <c r="O289" s="22">
        <v>1.3049299999999999</v>
      </c>
      <c r="P289" s="22">
        <v>11.923999999999999</v>
      </c>
      <c r="Q289" s="22">
        <v>-1.37573E-2</v>
      </c>
      <c r="R289" s="22">
        <v>279</v>
      </c>
      <c r="S289" s="22">
        <v>1.30402</v>
      </c>
      <c r="T289">
        <f t="shared" si="50"/>
        <v>16.984320987654321</v>
      </c>
      <c r="U289">
        <f t="shared" si="51"/>
        <v>22.163349986419753</v>
      </c>
      <c r="X289" s="9"/>
      <c r="Y289" s="22">
        <v>0.44509900000000002</v>
      </c>
      <c r="Z289" s="22">
        <v>17.4694</v>
      </c>
      <c r="AA289" s="22">
        <v>-1.4584400000000001E-2</v>
      </c>
      <c r="AB289" s="22">
        <v>279</v>
      </c>
      <c r="AC289" s="22">
        <v>0.44439699999999999</v>
      </c>
      <c r="AD289">
        <f t="shared" si="52"/>
        <v>18.005432098765432</v>
      </c>
      <c r="AE289">
        <f t="shared" si="53"/>
        <v>8.0141998217283952</v>
      </c>
      <c r="AF289" s="9"/>
      <c r="AG289" s="22">
        <v>1.3049299999999999</v>
      </c>
      <c r="AH289" s="22">
        <v>21.389299999999999</v>
      </c>
      <c r="AI289" s="22">
        <v>-1.37848E-2</v>
      </c>
      <c r="AJ289" s="22">
        <v>279</v>
      </c>
      <c r="AK289" s="22">
        <v>1.3043199999999999</v>
      </c>
      <c r="AL289">
        <f t="shared" si="54"/>
        <v>17.018271604938271</v>
      </c>
      <c r="AM289">
        <f t="shared" si="55"/>
        <v>22.207653165432095</v>
      </c>
      <c r="AP289" s="9"/>
      <c r="AQ289" s="22">
        <v>0.44509900000000002</v>
      </c>
      <c r="AR289" s="22">
        <v>26.9526</v>
      </c>
      <c r="AS289" s="22">
        <v>-1.4605699999999999E-2</v>
      </c>
      <c r="AT289" s="22">
        <v>279</v>
      </c>
      <c r="AU289" s="22">
        <v>0.44448900000000002</v>
      </c>
      <c r="AV289">
        <f t="shared" si="56"/>
        <v>18.031728395061727</v>
      </c>
      <c r="AW289">
        <f t="shared" si="57"/>
        <v>8.0259042769135807</v>
      </c>
      <c r="AX289" s="9"/>
      <c r="AY289" s="22">
        <v>1.3049299999999999</v>
      </c>
      <c r="AZ289" s="22">
        <v>30.872499999999999</v>
      </c>
      <c r="BA289" s="22">
        <v>-1.37939E-2</v>
      </c>
      <c r="BB289" s="22">
        <v>279</v>
      </c>
      <c r="BC289" s="22">
        <v>1.3037099999999999</v>
      </c>
      <c r="BD289">
        <f t="shared" si="58"/>
        <v>17.029506172839504</v>
      </c>
      <c r="BE289">
        <f t="shared" si="59"/>
        <v>22.222313490123454</v>
      </c>
    </row>
    <row r="290" spans="6:57">
      <c r="F290" s="9"/>
      <c r="G290" s="22">
        <v>0.44006299999999998</v>
      </c>
      <c r="H290" s="22">
        <v>8.0142000000000007</v>
      </c>
      <c r="I290" s="22">
        <v>-1.4550799999999999E-2</v>
      </c>
      <c r="J290" s="22">
        <v>280</v>
      </c>
      <c r="K290" s="22">
        <v>0.43920900000000002</v>
      </c>
      <c r="L290">
        <f t="shared" si="48"/>
        <v>17.963950617283949</v>
      </c>
      <c r="M290">
        <f t="shared" si="49"/>
        <v>7.9052700004938261</v>
      </c>
      <c r="N290" s="9"/>
      <c r="O290" s="22">
        <v>1.3099700000000001</v>
      </c>
      <c r="P290" s="22">
        <v>11.934100000000001</v>
      </c>
      <c r="Q290" s="22">
        <v>-1.37512E-2</v>
      </c>
      <c r="R290" s="22">
        <v>280</v>
      </c>
      <c r="S290" s="22">
        <v>1.30951</v>
      </c>
      <c r="T290">
        <f t="shared" si="50"/>
        <v>16.976790123456787</v>
      </c>
      <c r="U290">
        <f t="shared" si="51"/>
        <v>22.239085758024689</v>
      </c>
      <c r="X290" s="9"/>
      <c r="Y290" s="22">
        <v>0.44006299999999998</v>
      </c>
      <c r="Z290" s="22">
        <v>17.479399999999998</v>
      </c>
      <c r="AA290" s="22">
        <v>-1.4590499999999999E-2</v>
      </c>
      <c r="AB290" s="22">
        <v>280</v>
      </c>
      <c r="AC290" s="22">
        <v>0.439606</v>
      </c>
      <c r="AD290">
        <f t="shared" si="52"/>
        <v>18.012962962962959</v>
      </c>
      <c r="AE290">
        <f t="shared" si="53"/>
        <v>7.9268385203703682</v>
      </c>
      <c r="AF290" s="9"/>
      <c r="AG290" s="22">
        <v>1.3099700000000001</v>
      </c>
      <c r="AH290" s="22">
        <v>21.3994</v>
      </c>
      <c r="AI290" s="22">
        <v>-1.3781699999999999E-2</v>
      </c>
      <c r="AJ290" s="22">
        <v>280</v>
      </c>
      <c r="AK290" s="22">
        <v>1.3085899999999999</v>
      </c>
      <c r="AL290">
        <f t="shared" si="54"/>
        <v>17.014444444444443</v>
      </c>
      <c r="AM290">
        <f t="shared" si="55"/>
        <v>22.28841178888889</v>
      </c>
      <c r="AP290" s="9"/>
      <c r="AQ290" s="22">
        <v>0.44006299999999998</v>
      </c>
      <c r="AR290" s="22">
        <v>26.962700000000002</v>
      </c>
      <c r="AS290" s="22">
        <v>-1.4611799999999999E-2</v>
      </c>
      <c r="AT290" s="22">
        <v>280</v>
      </c>
      <c r="AU290" s="22">
        <v>0.43942300000000001</v>
      </c>
      <c r="AV290">
        <f t="shared" si="56"/>
        <v>18.039259259259257</v>
      </c>
      <c r="AW290">
        <f t="shared" si="57"/>
        <v>7.9384105474074058</v>
      </c>
      <c r="AX290" s="9"/>
      <c r="AY290" s="22">
        <v>1.3099700000000001</v>
      </c>
      <c r="AZ290" s="22">
        <v>30.8826</v>
      </c>
      <c r="BA290" s="22">
        <v>-1.3787799999999999E-2</v>
      </c>
      <c r="BB290" s="22">
        <v>280</v>
      </c>
      <c r="BC290" s="22">
        <v>1.3091999999999999</v>
      </c>
      <c r="BD290">
        <f t="shared" si="58"/>
        <v>17.021975308641974</v>
      </c>
      <c r="BE290">
        <f t="shared" si="59"/>
        <v>22.298276995061727</v>
      </c>
    </row>
    <row r="291" spans="6:57">
      <c r="F291" s="9"/>
      <c r="G291" s="22">
        <v>0.43502800000000003</v>
      </c>
      <c r="H291" s="22">
        <v>8.0242799999999992</v>
      </c>
      <c r="I291" s="22">
        <v>-1.4556899999999999E-2</v>
      </c>
      <c r="J291" s="22">
        <v>281</v>
      </c>
      <c r="K291" s="22">
        <v>0.43420399999999998</v>
      </c>
      <c r="L291">
        <f t="shared" si="48"/>
        <v>17.971481481481479</v>
      </c>
      <c r="M291">
        <f t="shared" si="49"/>
        <v>7.818097645925925</v>
      </c>
      <c r="N291" s="9"/>
      <c r="O291" s="22">
        <v>1.3149999999999999</v>
      </c>
      <c r="P291" s="22">
        <v>11.9442</v>
      </c>
      <c r="Q291" s="22">
        <v>-1.37451E-2</v>
      </c>
      <c r="R291" s="22">
        <v>281</v>
      </c>
      <c r="S291" s="22">
        <v>1.3137799999999999</v>
      </c>
      <c r="T291">
        <f t="shared" si="50"/>
        <v>16.969259259259257</v>
      </c>
      <c r="U291">
        <f t="shared" si="51"/>
        <v>22.314575925925922</v>
      </c>
      <c r="X291" s="9"/>
      <c r="Y291" s="22">
        <v>0.43502800000000003</v>
      </c>
      <c r="Z291" s="22">
        <v>17.4895</v>
      </c>
      <c r="AA291" s="22">
        <v>-1.4593500000000001E-2</v>
      </c>
      <c r="AB291" s="22">
        <v>281</v>
      </c>
      <c r="AC291" s="22">
        <v>0.43426500000000001</v>
      </c>
      <c r="AD291">
        <f t="shared" si="52"/>
        <v>18.016666666666666</v>
      </c>
      <c r="AE291">
        <f t="shared" si="53"/>
        <v>7.8377544666666665</v>
      </c>
      <c r="AF291" s="9"/>
      <c r="AG291" s="22">
        <v>1.3149999999999999</v>
      </c>
      <c r="AH291" s="22">
        <v>21.409400000000002</v>
      </c>
      <c r="AI291" s="22">
        <v>-1.3781699999999999E-2</v>
      </c>
      <c r="AJ291" s="22">
        <v>281</v>
      </c>
      <c r="AK291" s="22">
        <v>1.31409</v>
      </c>
      <c r="AL291">
        <f t="shared" si="54"/>
        <v>17.014444444444443</v>
      </c>
      <c r="AM291">
        <f t="shared" si="55"/>
        <v>22.373994444444442</v>
      </c>
      <c r="AP291" s="9"/>
      <c r="AQ291" s="22">
        <v>0.43502800000000003</v>
      </c>
      <c r="AR291" s="22">
        <v>26.9727</v>
      </c>
      <c r="AS291" s="22">
        <v>-1.46149E-2</v>
      </c>
      <c r="AT291" s="22">
        <v>281</v>
      </c>
      <c r="AU291" s="22">
        <v>0.43435699999999999</v>
      </c>
      <c r="AV291">
        <f t="shared" si="56"/>
        <v>18.043086419753088</v>
      </c>
      <c r="AW291">
        <f t="shared" si="57"/>
        <v>7.849247799012347</v>
      </c>
      <c r="AX291" s="9"/>
      <c r="AY291" s="22">
        <v>1.3149999999999999</v>
      </c>
      <c r="AZ291" s="22">
        <v>30.892600000000002</v>
      </c>
      <c r="BA291" s="22">
        <v>-1.37848E-2</v>
      </c>
      <c r="BB291" s="22">
        <v>281</v>
      </c>
      <c r="BC291" s="22">
        <v>1.31409</v>
      </c>
      <c r="BD291">
        <f t="shared" si="58"/>
        <v>17.018271604938271</v>
      </c>
      <c r="BE291">
        <f t="shared" si="59"/>
        <v>22.379027160493823</v>
      </c>
    </row>
    <row r="292" spans="6:57">
      <c r="F292" s="9"/>
      <c r="G292" s="22">
        <v>0.42999300000000001</v>
      </c>
      <c r="H292" s="22">
        <v>8.0343499999999999</v>
      </c>
      <c r="I292" s="22">
        <v>-1.4559900000000001E-2</v>
      </c>
      <c r="J292" s="22">
        <v>282</v>
      </c>
      <c r="K292" s="22">
        <v>0.429535</v>
      </c>
      <c r="L292">
        <f t="shared" si="48"/>
        <v>17.975185185185186</v>
      </c>
      <c r="M292">
        <f t="shared" si="49"/>
        <v>7.7292038033333341</v>
      </c>
      <c r="N292" s="9"/>
      <c r="O292" s="22">
        <v>1.3200400000000001</v>
      </c>
      <c r="P292" s="22">
        <v>11.9542</v>
      </c>
      <c r="Q292" s="22">
        <v>-1.3738999999999999E-2</v>
      </c>
      <c r="R292" s="22">
        <v>282</v>
      </c>
      <c r="S292" s="22">
        <v>1.31836</v>
      </c>
      <c r="T292">
        <f t="shared" si="50"/>
        <v>16.961728395061726</v>
      </c>
      <c r="U292">
        <f t="shared" si="51"/>
        <v>22.390159950617281</v>
      </c>
      <c r="X292" s="9"/>
      <c r="Y292" s="22">
        <v>0.42999300000000001</v>
      </c>
      <c r="Z292" s="22">
        <v>17.499600000000001</v>
      </c>
      <c r="AA292" s="22">
        <v>-1.45966E-2</v>
      </c>
      <c r="AB292" s="22">
        <v>282</v>
      </c>
      <c r="AC292" s="22">
        <v>0.42938199999999999</v>
      </c>
      <c r="AD292">
        <f t="shared" si="52"/>
        <v>18.020493827160493</v>
      </c>
      <c r="AE292">
        <f t="shared" si="53"/>
        <v>7.7486862022222223</v>
      </c>
      <c r="AF292" s="9"/>
      <c r="AG292" s="22">
        <v>1.3200400000000001</v>
      </c>
      <c r="AH292" s="22">
        <v>21.419499999999999</v>
      </c>
      <c r="AI292" s="22">
        <v>-1.3775600000000001E-2</v>
      </c>
      <c r="AJ292" s="22">
        <v>282</v>
      </c>
      <c r="AK292" s="22">
        <v>1.31897</v>
      </c>
      <c r="AL292">
        <f t="shared" si="54"/>
        <v>17.006913580246916</v>
      </c>
      <c r="AM292">
        <f t="shared" si="55"/>
        <v>22.449806202469141</v>
      </c>
      <c r="AP292" s="9"/>
      <c r="AQ292" s="22">
        <v>0.42999300000000001</v>
      </c>
      <c r="AR292" s="22">
        <v>26.982800000000001</v>
      </c>
      <c r="AS292" s="22">
        <v>-1.46179E-2</v>
      </c>
      <c r="AT292" s="22">
        <v>282</v>
      </c>
      <c r="AU292" s="22">
        <v>0.42938199999999999</v>
      </c>
      <c r="AV292">
        <f t="shared" si="56"/>
        <v>18.046790123456791</v>
      </c>
      <c r="AW292">
        <f t="shared" si="57"/>
        <v>7.7599934255555558</v>
      </c>
      <c r="AX292" s="9"/>
      <c r="AY292" s="22">
        <v>1.3200400000000001</v>
      </c>
      <c r="AZ292" s="22">
        <v>30.902699999999999</v>
      </c>
      <c r="BA292" s="22">
        <v>-1.37787E-2</v>
      </c>
      <c r="BB292" s="22">
        <v>282</v>
      </c>
      <c r="BC292" s="22">
        <v>1.31897</v>
      </c>
      <c r="BD292">
        <f t="shared" si="58"/>
        <v>17.01074074074074</v>
      </c>
      <c r="BE292">
        <f t="shared" si="59"/>
        <v>22.454858207407408</v>
      </c>
    </row>
    <row r="293" spans="6:57">
      <c r="F293" s="9"/>
      <c r="G293" s="22">
        <v>0.42495699999999997</v>
      </c>
      <c r="H293" s="22">
        <v>8.0444200000000006</v>
      </c>
      <c r="I293" s="22">
        <v>-1.45691E-2</v>
      </c>
      <c r="J293" s="22">
        <v>283</v>
      </c>
      <c r="K293" s="22">
        <v>0.42431600000000003</v>
      </c>
      <c r="L293">
        <f t="shared" si="48"/>
        <v>17.98654320987654</v>
      </c>
      <c r="M293">
        <f t="shared" si="49"/>
        <v>7.6435074428395042</v>
      </c>
      <c r="N293" s="9"/>
      <c r="O293" s="22">
        <v>1.32507</v>
      </c>
      <c r="P293" s="22">
        <v>11.9643</v>
      </c>
      <c r="Q293" s="22">
        <v>-1.3736E-2</v>
      </c>
      <c r="R293" s="22">
        <v>283</v>
      </c>
      <c r="S293" s="22">
        <v>1.32446</v>
      </c>
      <c r="T293">
        <f t="shared" si="50"/>
        <v>16.958024691358023</v>
      </c>
      <c r="U293">
        <f t="shared" si="51"/>
        <v>22.470569777777776</v>
      </c>
      <c r="X293" s="9"/>
      <c r="Y293" s="22">
        <v>0.42495699999999997</v>
      </c>
      <c r="Z293" s="22">
        <v>17.509599999999999</v>
      </c>
      <c r="AA293" s="22">
        <v>-1.4605699999999999E-2</v>
      </c>
      <c r="AB293" s="22">
        <v>283</v>
      </c>
      <c r="AC293" s="22">
        <v>0.42419400000000002</v>
      </c>
      <c r="AD293">
        <f t="shared" si="52"/>
        <v>18.031728395061727</v>
      </c>
      <c r="AE293">
        <f t="shared" si="53"/>
        <v>7.6627092035802455</v>
      </c>
      <c r="AF293" s="9"/>
      <c r="AG293" s="22">
        <v>1.32507</v>
      </c>
      <c r="AH293" s="22">
        <v>21.429600000000001</v>
      </c>
      <c r="AI293" s="22">
        <v>-1.3775600000000001E-2</v>
      </c>
      <c r="AJ293" s="22">
        <v>283</v>
      </c>
      <c r="AK293" s="22">
        <v>1.32446</v>
      </c>
      <c r="AL293">
        <f t="shared" si="54"/>
        <v>17.006913580246916</v>
      </c>
      <c r="AM293">
        <f t="shared" si="55"/>
        <v>22.535350977777782</v>
      </c>
      <c r="AP293" s="9"/>
      <c r="AQ293" s="22">
        <v>0.42495699999999997</v>
      </c>
      <c r="AR293" s="22">
        <v>26.992899999999999</v>
      </c>
      <c r="AS293" s="22">
        <v>-1.4624E-2</v>
      </c>
      <c r="AT293" s="22">
        <v>283</v>
      </c>
      <c r="AU293" s="22">
        <v>0.42422500000000002</v>
      </c>
      <c r="AV293">
        <f t="shared" si="56"/>
        <v>18.054320987654318</v>
      </c>
      <c r="AW293">
        <f t="shared" si="57"/>
        <v>7.6723100839506158</v>
      </c>
      <c r="AX293" s="9"/>
      <c r="AY293" s="22">
        <v>1.32507</v>
      </c>
      <c r="AZ293" s="22">
        <v>30.912800000000001</v>
      </c>
      <c r="BA293" s="22">
        <v>-1.3775600000000001E-2</v>
      </c>
      <c r="BB293" s="22">
        <v>283</v>
      </c>
      <c r="BC293" s="22">
        <v>1.32385</v>
      </c>
      <c r="BD293">
        <f t="shared" si="58"/>
        <v>17.006913580246916</v>
      </c>
      <c r="BE293">
        <f t="shared" si="59"/>
        <v>22.535350977777782</v>
      </c>
    </row>
    <row r="294" spans="6:57">
      <c r="F294" s="9"/>
      <c r="G294" s="22">
        <v>0.41992200000000002</v>
      </c>
      <c r="H294" s="22">
        <v>8.0544899999999995</v>
      </c>
      <c r="I294" s="22">
        <v>-1.45691E-2</v>
      </c>
      <c r="J294" s="22">
        <v>284</v>
      </c>
      <c r="K294" s="22">
        <v>0.41928100000000001</v>
      </c>
      <c r="L294">
        <f t="shared" si="48"/>
        <v>17.98654320987654</v>
      </c>
      <c r="M294">
        <f t="shared" si="49"/>
        <v>7.5529451977777766</v>
      </c>
      <c r="N294" s="9"/>
      <c r="O294" s="22">
        <v>1.3301099999999999</v>
      </c>
      <c r="P294" s="22">
        <v>11.974399999999999</v>
      </c>
      <c r="Q294" s="22">
        <v>-1.37299E-2</v>
      </c>
      <c r="R294" s="22">
        <v>284</v>
      </c>
      <c r="S294" s="22">
        <v>1.32904</v>
      </c>
      <c r="T294">
        <f t="shared" si="50"/>
        <v>16.950493827160493</v>
      </c>
      <c r="U294">
        <f t="shared" si="51"/>
        <v>22.546021344444441</v>
      </c>
      <c r="X294" s="9"/>
      <c r="Y294" s="22">
        <v>0.41992200000000002</v>
      </c>
      <c r="Z294" s="22">
        <v>17.5197</v>
      </c>
      <c r="AA294" s="22">
        <v>-1.4611799999999999E-2</v>
      </c>
      <c r="AB294" s="22">
        <v>284</v>
      </c>
      <c r="AC294" s="22">
        <v>0.41921999999999998</v>
      </c>
      <c r="AD294">
        <f t="shared" si="52"/>
        <v>18.039259259259257</v>
      </c>
      <c r="AE294">
        <f t="shared" si="53"/>
        <v>7.5750818266666657</v>
      </c>
      <c r="AF294" s="9"/>
      <c r="AG294" s="22">
        <v>1.3301099999999999</v>
      </c>
      <c r="AH294" s="22">
        <v>21.439599999999999</v>
      </c>
      <c r="AI294" s="22">
        <v>-1.3766499999999999E-2</v>
      </c>
      <c r="AJ294" s="22">
        <v>284</v>
      </c>
      <c r="AK294" s="22">
        <v>1.32965</v>
      </c>
      <c r="AL294">
        <f t="shared" si="54"/>
        <v>16.995679012345676</v>
      </c>
      <c r="AM294">
        <f t="shared" si="55"/>
        <v>22.606122611111104</v>
      </c>
      <c r="AP294" s="9"/>
      <c r="AQ294" s="22">
        <v>0.41992200000000002</v>
      </c>
      <c r="AR294" s="22">
        <v>27.0029</v>
      </c>
      <c r="AS294" s="22">
        <v>-1.46301E-2</v>
      </c>
      <c r="AT294" s="22">
        <v>284</v>
      </c>
      <c r="AU294" s="22">
        <v>0.41934199999999999</v>
      </c>
      <c r="AV294">
        <f t="shared" si="56"/>
        <v>18.061851851851848</v>
      </c>
      <c r="AW294">
        <f t="shared" si="57"/>
        <v>7.5845689533333323</v>
      </c>
      <c r="AX294" s="9"/>
      <c r="AY294" s="22">
        <v>1.3301099999999999</v>
      </c>
      <c r="AZ294" s="22">
        <v>30.922799999999999</v>
      </c>
      <c r="BA294" s="22">
        <v>-1.37695E-2</v>
      </c>
      <c r="BB294" s="22">
        <v>284</v>
      </c>
      <c r="BC294" s="22">
        <v>1.32904</v>
      </c>
      <c r="BD294">
        <f t="shared" si="58"/>
        <v>16.999382716049382</v>
      </c>
      <c r="BE294">
        <f t="shared" si="59"/>
        <v>22.611048944444441</v>
      </c>
    </row>
    <row r="295" spans="6:57">
      <c r="F295" s="9"/>
      <c r="G295" s="22">
        <v>0.41488599999999998</v>
      </c>
      <c r="H295" s="22">
        <v>8.0645600000000002</v>
      </c>
      <c r="I295" s="22">
        <v>-1.45752E-2</v>
      </c>
      <c r="J295" s="22">
        <v>285</v>
      </c>
      <c r="K295" s="22">
        <v>0.414246</v>
      </c>
      <c r="L295">
        <f t="shared" si="48"/>
        <v>17.994074074074071</v>
      </c>
      <c r="M295">
        <f t="shared" si="49"/>
        <v>7.4654894162962941</v>
      </c>
      <c r="N295" s="9"/>
      <c r="O295" s="22">
        <v>1.33514</v>
      </c>
      <c r="P295" s="22">
        <v>11.984500000000001</v>
      </c>
      <c r="Q295" s="22">
        <v>-1.37238E-2</v>
      </c>
      <c r="R295" s="22">
        <v>285</v>
      </c>
      <c r="S295" s="22">
        <v>1.33453</v>
      </c>
      <c r="T295">
        <f t="shared" si="50"/>
        <v>16.942962962962962</v>
      </c>
      <c r="U295">
        <f t="shared" si="51"/>
        <v>22.621227570370369</v>
      </c>
      <c r="X295" s="9"/>
      <c r="Y295" s="22">
        <v>0.41488599999999998</v>
      </c>
      <c r="Z295" s="22">
        <v>17.529800000000002</v>
      </c>
      <c r="AA295" s="22">
        <v>-1.4611799999999999E-2</v>
      </c>
      <c r="AB295" s="22">
        <v>285</v>
      </c>
      <c r="AC295" s="22">
        <v>0.414215</v>
      </c>
      <c r="AD295">
        <f t="shared" si="52"/>
        <v>18.039259259259257</v>
      </c>
      <c r="AE295">
        <f t="shared" si="53"/>
        <v>7.4842361170370362</v>
      </c>
      <c r="AF295" s="9"/>
      <c r="AG295" s="22">
        <v>1.33514</v>
      </c>
      <c r="AH295" s="22">
        <v>21.4497</v>
      </c>
      <c r="AI295" s="22">
        <v>-1.3760400000000001E-2</v>
      </c>
      <c r="AJ295" s="22">
        <v>285</v>
      </c>
      <c r="AK295" s="22">
        <v>1.33453</v>
      </c>
      <c r="AL295">
        <f t="shared" si="54"/>
        <v>16.988148148148149</v>
      </c>
      <c r="AM295">
        <f t="shared" si="55"/>
        <v>22.681556118518518</v>
      </c>
      <c r="AP295" s="9"/>
      <c r="AQ295" s="22">
        <v>0.41488599999999998</v>
      </c>
      <c r="AR295" s="22">
        <v>27.013000000000002</v>
      </c>
      <c r="AS295" s="22">
        <v>-1.4633200000000001E-2</v>
      </c>
      <c r="AT295" s="22">
        <v>285</v>
      </c>
      <c r="AU295" s="22">
        <v>0.41409299999999999</v>
      </c>
      <c r="AV295">
        <f t="shared" si="56"/>
        <v>18.065679012345679</v>
      </c>
      <c r="AW295">
        <f t="shared" si="57"/>
        <v>7.4951973027160488</v>
      </c>
      <c r="AX295" s="9"/>
      <c r="AY295" s="22">
        <v>1.33514</v>
      </c>
      <c r="AZ295" s="22">
        <v>30.9329</v>
      </c>
      <c r="BA295" s="22">
        <v>-1.3760400000000001E-2</v>
      </c>
      <c r="BB295" s="22">
        <v>285</v>
      </c>
      <c r="BC295" s="22">
        <v>1.33392</v>
      </c>
      <c r="BD295">
        <f t="shared" si="58"/>
        <v>16.988148148148149</v>
      </c>
      <c r="BE295">
        <f t="shared" si="59"/>
        <v>22.681556118518518</v>
      </c>
    </row>
    <row r="296" spans="6:57">
      <c r="F296" s="9"/>
      <c r="G296" s="22">
        <v>0.40985100000000002</v>
      </c>
      <c r="H296" s="22">
        <v>8.0746300000000009</v>
      </c>
      <c r="I296" s="22">
        <v>-1.4578199999999999E-2</v>
      </c>
      <c r="J296" s="22">
        <v>286</v>
      </c>
      <c r="K296" s="22">
        <v>0.40917999999999999</v>
      </c>
      <c r="L296">
        <f t="shared" si="48"/>
        <v>17.997777777777777</v>
      </c>
      <c r="M296">
        <f t="shared" si="49"/>
        <v>7.3764072199999999</v>
      </c>
      <c r="N296" s="9"/>
      <c r="O296" s="22">
        <v>1.3401799999999999</v>
      </c>
      <c r="P296" s="22">
        <v>11.9945</v>
      </c>
      <c r="Q296" s="22">
        <v>-1.3717699999999999E-2</v>
      </c>
      <c r="R296" s="22">
        <v>286</v>
      </c>
      <c r="S296" s="22">
        <v>1.3394200000000001</v>
      </c>
      <c r="T296">
        <f t="shared" si="50"/>
        <v>16.935432098765432</v>
      </c>
      <c r="U296">
        <f t="shared" si="51"/>
        <v>22.696527390123457</v>
      </c>
      <c r="X296" s="9"/>
      <c r="Y296" s="22">
        <v>0.40985100000000002</v>
      </c>
      <c r="Z296" s="22">
        <v>17.5398</v>
      </c>
      <c r="AA296" s="22">
        <v>-1.46149E-2</v>
      </c>
      <c r="AB296" s="22">
        <v>286</v>
      </c>
      <c r="AC296" s="22">
        <v>0.40921000000000002</v>
      </c>
      <c r="AD296">
        <f t="shared" si="52"/>
        <v>18.043086419753088</v>
      </c>
      <c r="AE296">
        <f t="shared" si="53"/>
        <v>7.3949770122222231</v>
      </c>
      <c r="AF296" s="9"/>
      <c r="AG296" s="22">
        <v>1.3401799999999999</v>
      </c>
      <c r="AH296" s="22">
        <v>21.459800000000001</v>
      </c>
      <c r="AI296" s="22">
        <v>-1.3754300000000001E-2</v>
      </c>
      <c r="AJ296" s="22">
        <v>286</v>
      </c>
      <c r="AK296" s="22">
        <v>1.3394200000000001</v>
      </c>
      <c r="AL296">
        <f t="shared" si="54"/>
        <v>16.980617283950615</v>
      </c>
      <c r="AM296">
        <f t="shared" si="55"/>
        <v>22.757083671604935</v>
      </c>
      <c r="AP296" s="9"/>
      <c r="AQ296" s="22">
        <v>0.40985100000000002</v>
      </c>
      <c r="AR296" s="22">
        <v>27.023099999999999</v>
      </c>
      <c r="AS296" s="22">
        <v>-1.46362E-2</v>
      </c>
      <c r="AT296" s="22">
        <v>286</v>
      </c>
      <c r="AU296" s="22">
        <v>0.409271</v>
      </c>
      <c r="AV296">
        <f t="shared" si="56"/>
        <v>18.069382716049383</v>
      </c>
      <c r="AW296">
        <f t="shared" si="57"/>
        <v>7.4057545755555561</v>
      </c>
      <c r="AX296" s="9"/>
      <c r="AY296" s="22">
        <v>1.3401799999999999</v>
      </c>
      <c r="AZ296" s="22">
        <v>30.943000000000001</v>
      </c>
      <c r="BA296" s="22">
        <v>-1.37512E-2</v>
      </c>
      <c r="BB296" s="22">
        <v>286</v>
      </c>
      <c r="BC296" s="22">
        <v>1.33972</v>
      </c>
      <c r="BD296">
        <f t="shared" si="58"/>
        <v>16.976790123456787</v>
      </c>
      <c r="BE296">
        <f t="shared" si="59"/>
        <v>22.751954587654318</v>
      </c>
    </row>
    <row r="297" spans="6:57">
      <c r="F297" s="9"/>
      <c r="G297" s="22">
        <v>0.40481600000000001</v>
      </c>
      <c r="H297" s="22">
        <v>8.0846999999999998</v>
      </c>
      <c r="I297" s="22">
        <v>-1.45813E-2</v>
      </c>
      <c r="J297" s="22">
        <v>287</v>
      </c>
      <c r="K297" s="22">
        <v>0.40423599999999998</v>
      </c>
      <c r="L297">
        <f t="shared" si="48"/>
        <v>18.001604938271605</v>
      </c>
      <c r="M297">
        <f t="shared" si="49"/>
        <v>7.2873377046913586</v>
      </c>
      <c r="N297" s="9"/>
      <c r="O297" s="22">
        <v>1.34521</v>
      </c>
      <c r="P297" s="22">
        <v>12.0046</v>
      </c>
      <c r="Q297" s="22">
        <v>-1.37146E-2</v>
      </c>
      <c r="R297" s="22">
        <v>287</v>
      </c>
      <c r="S297" s="22">
        <v>1.34399</v>
      </c>
      <c r="T297">
        <f t="shared" si="50"/>
        <v>16.931604938271605</v>
      </c>
      <c r="U297">
        <f t="shared" si="51"/>
        <v>22.776564279012344</v>
      </c>
      <c r="X297" s="9"/>
      <c r="Y297" s="22">
        <v>0.40481600000000001</v>
      </c>
      <c r="Z297" s="22">
        <v>17.549900000000001</v>
      </c>
      <c r="AA297" s="22">
        <v>-1.4621E-2</v>
      </c>
      <c r="AB297" s="22">
        <v>287</v>
      </c>
      <c r="AC297" s="22">
        <v>0.40426600000000001</v>
      </c>
      <c r="AD297">
        <f t="shared" si="52"/>
        <v>18.050617283950618</v>
      </c>
      <c r="AE297">
        <f t="shared" si="53"/>
        <v>7.3071786864197534</v>
      </c>
      <c r="AF297" s="9"/>
      <c r="AG297" s="22">
        <v>1.34521</v>
      </c>
      <c r="AH297" s="22">
        <v>21.469899999999999</v>
      </c>
      <c r="AI297" s="22">
        <v>-1.37482E-2</v>
      </c>
      <c r="AJ297" s="22">
        <v>287</v>
      </c>
      <c r="AK297" s="22">
        <v>1.3443000000000001</v>
      </c>
      <c r="AL297">
        <f t="shared" si="54"/>
        <v>16.973086419753084</v>
      </c>
      <c r="AM297">
        <f t="shared" si="55"/>
        <v>22.832365582716047</v>
      </c>
      <c r="AP297" s="9"/>
      <c r="AQ297" s="22">
        <v>0.40481600000000001</v>
      </c>
      <c r="AR297" s="22">
        <v>27.033200000000001</v>
      </c>
      <c r="AS297" s="22">
        <v>-1.4639299999999999E-2</v>
      </c>
      <c r="AT297" s="22">
        <v>287</v>
      </c>
      <c r="AU297" s="22">
        <v>0.40432699999999999</v>
      </c>
      <c r="AV297">
        <f t="shared" si="56"/>
        <v>18.07320987654321</v>
      </c>
      <c r="AW297">
        <f t="shared" si="57"/>
        <v>7.3163245293827162</v>
      </c>
      <c r="AX297" s="9"/>
      <c r="AY297" s="22">
        <v>1.34521</v>
      </c>
      <c r="AZ297" s="22">
        <v>30.952999999999999</v>
      </c>
      <c r="BA297" s="22">
        <v>-1.37451E-2</v>
      </c>
      <c r="BB297" s="22">
        <v>287</v>
      </c>
      <c r="BC297" s="22">
        <v>1.34399</v>
      </c>
      <c r="BD297">
        <f t="shared" si="58"/>
        <v>16.969259259259257</v>
      </c>
      <c r="BE297">
        <f t="shared" si="59"/>
        <v>22.827217248148145</v>
      </c>
    </row>
    <row r="298" spans="6:57">
      <c r="F298" s="9"/>
      <c r="G298" s="22">
        <v>0.39978000000000002</v>
      </c>
      <c r="H298" s="22">
        <v>8.0947700000000005</v>
      </c>
      <c r="I298" s="22">
        <v>-1.4584400000000001E-2</v>
      </c>
      <c r="J298" s="22">
        <v>288</v>
      </c>
      <c r="K298" s="22">
        <v>0.39917000000000002</v>
      </c>
      <c r="L298">
        <f t="shared" si="48"/>
        <v>18.005432098765432</v>
      </c>
      <c r="M298">
        <f t="shared" si="49"/>
        <v>7.1982116444444451</v>
      </c>
      <c r="N298" s="9"/>
      <c r="O298" s="22">
        <v>1.35025</v>
      </c>
      <c r="P298" s="22">
        <v>12.014699999999999</v>
      </c>
      <c r="Q298" s="22">
        <v>-1.37054E-2</v>
      </c>
      <c r="R298" s="22">
        <v>288</v>
      </c>
      <c r="S298" s="22">
        <v>1.3494900000000001</v>
      </c>
      <c r="T298">
        <f t="shared" si="50"/>
        <v>16.920246913580247</v>
      </c>
      <c r="U298">
        <f t="shared" si="51"/>
        <v>22.846563395061729</v>
      </c>
      <c r="X298" s="9"/>
      <c r="Y298" s="22">
        <v>0.39978000000000002</v>
      </c>
      <c r="Z298" s="22">
        <v>17.559999999999999</v>
      </c>
      <c r="AA298" s="22">
        <v>-1.4621E-2</v>
      </c>
      <c r="AB298" s="22">
        <v>288</v>
      </c>
      <c r="AC298" s="22">
        <v>0.399231</v>
      </c>
      <c r="AD298">
        <f t="shared" si="52"/>
        <v>18.050617283950618</v>
      </c>
      <c r="AE298">
        <f t="shared" si="53"/>
        <v>7.2162757777777786</v>
      </c>
      <c r="AF298" s="9"/>
      <c r="AG298" s="22">
        <v>1.35025</v>
      </c>
      <c r="AH298" s="22">
        <v>21.479900000000001</v>
      </c>
      <c r="AI298" s="22">
        <v>-1.3738999999999999E-2</v>
      </c>
      <c r="AJ298" s="22">
        <v>288</v>
      </c>
      <c r="AK298" s="22">
        <v>1.3494900000000001</v>
      </c>
      <c r="AL298">
        <f t="shared" si="54"/>
        <v>16.961728395061726</v>
      </c>
      <c r="AM298">
        <f t="shared" si="55"/>
        <v>22.902573765432095</v>
      </c>
      <c r="AP298" s="9"/>
      <c r="AQ298" s="22">
        <v>0.39978000000000002</v>
      </c>
      <c r="AR298" s="22">
        <v>27.043199999999999</v>
      </c>
      <c r="AS298" s="22">
        <v>-1.4639299999999999E-2</v>
      </c>
      <c r="AT298" s="22">
        <v>288</v>
      </c>
      <c r="AU298" s="22">
        <v>0.39917000000000002</v>
      </c>
      <c r="AV298">
        <f t="shared" si="56"/>
        <v>18.07320987654321</v>
      </c>
      <c r="AW298">
        <f t="shared" si="57"/>
        <v>7.225307844444445</v>
      </c>
      <c r="AX298" s="9"/>
      <c r="AY298" s="22">
        <v>1.35025</v>
      </c>
      <c r="AZ298" s="22">
        <v>30.963100000000001</v>
      </c>
      <c r="BA298" s="22">
        <v>-1.3738999999999999E-2</v>
      </c>
      <c r="BB298" s="22">
        <v>288</v>
      </c>
      <c r="BC298" s="22">
        <v>1.34918</v>
      </c>
      <c r="BD298">
        <f t="shared" si="58"/>
        <v>16.961728395061726</v>
      </c>
      <c r="BE298">
        <f t="shared" si="59"/>
        <v>22.902573765432095</v>
      </c>
    </row>
    <row r="299" spans="6:57">
      <c r="F299" s="9"/>
      <c r="G299" s="22">
        <v>0.39474500000000001</v>
      </c>
      <c r="H299" s="22">
        <v>8.1048399999999994</v>
      </c>
      <c r="I299" s="22">
        <v>-1.45874E-2</v>
      </c>
      <c r="J299" s="22">
        <v>289</v>
      </c>
      <c r="K299" s="22">
        <v>0.39437899999999998</v>
      </c>
      <c r="L299">
        <f t="shared" si="48"/>
        <v>18.009135802469135</v>
      </c>
      <c r="M299">
        <f t="shared" si="49"/>
        <v>7.1090163123456787</v>
      </c>
      <c r="N299" s="9"/>
      <c r="O299" s="22">
        <v>1.3552900000000001</v>
      </c>
      <c r="P299" s="22">
        <v>12.024699999999999</v>
      </c>
      <c r="Q299" s="22">
        <v>-1.3699299999999999E-2</v>
      </c>
      <c r="R299" s="22">
        <v>289</v>
      </c>
      <c r="S299" s="22">
        <v>1.3543700000000001</v>
      </c>
      <c r="T299">
        <f t="shared" si="50"/>
        <v>16.912716049382716</v>
      </c>
      <c r="U299">
        <f t="shared" si="51"/>
        <v>22.921634934567905</v>
      </c>
      <c r="X299" s="9"/>
      <c r="Y299" s="22">
        <v>0.39474500000000001</v>
      </c>
      <c r="Z299" s="22">
        <v>17.5701</v>
      </c>
      <c r="AA299" s="22">
        <v>-1.4621E-2</v>
      </c>
      <c r="AB299" s="22">
        <v>289</v>
      </c>
      <c r="AC299" s="22">
        <v>0.39401199999999997</v>
      </c>
      <c r="AD299">
        <f t="shared" si="52"/>
        <v>18.050617283950618</v>
      </c>
      <c r="AE299">
        <f t="shared" si="53"/>
        <v>7.1253909197530874</v>
      </c>
      <c r="AF299" s="9"/>
      <c r="AG299" s="22">
        <v>1.3552900000000001</v>
      </c>
      <c r="AH299" s="22">
        <v>21.49</v>
      </c>
      <c r="AI299" s="22">
        <v>-1.37299E-2</v>
      </c>
      <c r="AJ299" s="22">
        <v>289</v>
      </c>
      <c r="AK299" s="22">
        <v>1.3543700000000001</v>
      </c>
      <c r="AL299">
        <f t="shared" si="54"/>
        <v>16.950493827160493</v>
      </c>
      <c r="AM299">
        <f t="shared" si="55"/>
        <v>22.972834779012345</v>
      </c>
      <c r="AP299" s="9"/>
      <c r="AQ299" s="22">
        <v>0.39474500000000001</v>
      </c>
      <c r="AR299" s="22">
        <v>27.0533</v>
      </c>
      <c r="AS299" s="22">
        <v>-1.4645399999999999E-2</v>
      </c>
      <c r="AT299" s="22">
        <v>289</v>
      </c>
      <c r="AU299" s="22">
        <v>0.39410400000000001</v>
      </c>
      <c r="AV299">
        <f t="shared" si="56"/>
        <v>18.080740740740737</v>
      </c>
      <c r="AW299">
        <f t="shared" si="57"/>
        <v>7.1372820037037021</v>
      </c>
      <c r="AX299" s="9"/>
      <c r="AY299" s="22">
        <v>1.3552900000000001</v>
      </c>
      <c r="AZ299" s="22">
        <v>30.973199999999999</v>
      </c>
      <c r="BA299" s="22">
        <v>-1.3732899999999999E-2</v>
      </c>
      <c r="BB299" s="22">
        <v>289</v>
      </c>
      <c r="BC299" s="22">
        <v>1.35406</v>
      </c>
      <c r="BD299">
        <f t="shared" si="58"/>
        <v>16.954197530864196</v>
      </c>
      <c r="BE299">
        <f t="shared" si="59"/>
        <v>22.977854371604938</v>
      </c>
    </row>
    <row r="300" spans="6:57">
      <c r="F300" s="9"/>
      <c r="G300" s="22">
        <v>0.38970900000000003</v>
      </c>
      <c r="H300" s="22">
        <v>8.1149100000000001</v>
      </c>
      <c r="I300" s="22">
        <v>-1.45966E-2</v>
      </c>
      <c r="J300" s="22">
        <v>290</v>
      </c>
      <c r="K300" s="22">
        <v>0.38916000000000001</v>
      </c>
      <c r="L300">
        <f t="shared" si="48"/>
        <v>18.020493827160493</v>
      </c>
      <c r="M300">
        <f t="shared" si="49"/>
        <v>7.0227486288888894</v>
      </c>
      <c r="N300" s="9"/>
      <c r="O300" s="22">
        <v>1.36032</v>
      </c>
      <c r="P300" s="22">
        <v>12.034800000000001</v>
      </c>
      <c r="Q300" s="22">
        <v>-1.36963E-2</v>
      </c>
      <c r="R300" s="22">
        <v>290</v>
      </c>
      <c r="S300" s="22">
        <v>1.3595600000000001</v>
      </c>
      <c r="T300">
        <f t="shared" si="50"/>
        <v>16.90901234567901</v>
      </c>
      <c r="U300">
        <f t="shared" si="51"/>
        <v>23.001667674074071</v>
      </c>
      <c r="X300" s="9"/>
      <c r="Y300" s="22">
        <v>0.38970900000000003</v>
      </c>
      <c r="Z300" s="22">
        <v>17.580100000000002</v>
      </c>
      <c r="AA300" s="22">
        <v>-1.4627100000000001E-2</v>
      </c>
      <c r="AB300" s="22">
        <v>290</v>
      </c>
      <c r="AC300" s="22">
        <v>0.389069</v>
      </c>
      <c r="AD300">
        <f t="shared" si="52"/>
        <v>18.058148148148145</v>
      </c>
      <c r="AE300">
        <f t="shared" si="53"/>
        <v>7.0374228566666659</v>
      </c>
      <c r="AF300" s="9"/>
      <c r="AG300" s="22">
        <v>1.36032</v>
      </c>
      <c r="AH300" s="22">
        <v>21.5001</v>
      </c>
      <c r="AI300" s="22">
        <v>-1.3720700000000001E-2</v>
      </c>
      <c r="AJ300" s="22">
        <v>290</v>
      </c>
      <c r="AK300" s="22">
        <v>1.3595600000000001</v>
      </c>
      <c r="AL300">
        <f t="shared" si="54"/>
        <v>16.939135802469135</v>
      </c>
      <c r="AM300">
        <f t="shared" si="55"/>
        <v>23.042645214814812</v>
      </c>
      <c r="AP300" s="9"/>
      <c r="AQ300" s="22">
        <v>0.38970900000000003</v>
      </c>
      <c r="AR300" s="22">
        <v>27.063400000000001</v>
      </c>
      <c r="AS300" s="22">
        <v>-1.4648400000000001E-2</v>
      </c>
      <c r="AT300" s="22">
        <v>290</v>
      </c>
      <c r="AU300" s="22">
        <v>0.38916000000000001</v>
      </c>
      <c r="AV300">
        <f t="shared" si="56"/>
        <v>18.084444444444443</v>
      </c>
      <c r="AW300">
        <f t="shared" si="57"/>
        <v>7.0476707599999999</v>
      </c>
      <c r="AX300" s="9"/>
      <c r="AY300" s="22">
        <v>1.36032</v>
      </c>
      <c r="AZ300" s="22">
        <v>30.9833</v>
      </c>
      <c r="BA300" s="22">
        <v>-1.3726800000000001E-2</v>
      </c>
      <c r="BB300" s="22">
        <v>290</v>
      </c>
      <c r="BC300" s="22">
        <v>1.3592500000000001</v>
      </c>
      <c r="BD300">
        <f t="shared" si="58"/>
        <v>16.946666666666665</v>
      </c>
      <c r="BE300">
        <f t="shared" si="59"/>
        <v>23.052889599999997</v>
      </c>
    </row>
    <row r="301" spans="6:57">
      <c r="F301" s="9"/>
      <c r="G301" s="22">
        <v>0.38467400000000002</v>
      </c>
      <c r="H301" s="22">
        <v>8.1249900000000004</v>
      </c>
      <c r="I301" s="22">
        <v>-1.4599600000000001E-2</v>
      </c>
      <c r="J301" s="22">
        <v>291</v>
      </c>
      <c r="K301" s="22">
        <v>0.38403300000000001</v>
      </c>
      <c r="L301">
        <f t="shared" si="48"/>
        <v>18.0241975308642</v>
      </c>
      <c r="M301">
        <f t="shared" si="49"/>
        <v>6.9334401609876553</v>
      </c>
      <c r="N301" s="9"/>
      <c r="O301" s="22">
        <v>1.3653599999999999</v>
      </c>
      <c r="P301" s="22">
        <v>12.0449</v>
      </c>
      <c r="Q301" s="22">
        <v>-1.36902E-2</v>
      </c>
      <c r="R301" s="22">
        <v>291</v>
      </c>
      <c r="S301" s="22">
        <v>1.3647499999999999</v>
      </c>
      <c r="T301">
        <f t="shared" si="50"/>
        <v>16.901481481481479</v>
      </c>
      <c r="U301">
        <f t="shared" si="51"/>
        <v>23.076606755555552</v>
      </c>
      <c r="X301" s="9"/>
      <c r="Y301" s="22">
        <v>0.38467400000000002</v>
      </c>
      <c r="Z301" s="22">
        <v>17.590199999999999</v>
      </c>
      <c r="AA301" s="22">
        <v>-1.46301E-2</v>
      </c>
      <c r="AB301" s="22">
        <v>291</v>
      </c>
      <c r="AC301" s="22">
        <v>0.383911</v>
      </c>
      <c r="AD301">
        <f t="shared" si="52"/>
        <v>18.061851851851848</v>
      </c>
      <c r="AE301">
        <f t="shared" si="53"/>
        <v>6.9479247992592583</v>
      </c>
      <c r="AF301" s="9"/>
      <c r="AG301" s="22">
        <v>1.3653599999999999</v>
      </c>
      <c r="AH301" s="22">
        <v>21.510100000000001</v>
      </c>
      <c r="AI301" s="22">
        <v>-1.37085E-2</v>
      </c>
      <c r="AJ301" s="22">
        <v>291</v>
      </c>
      <c r="AK301" s="22">
        <v>1.3647499999999999</v>
      </c>
      <c r="AL301">
        <f t="shared" si="54"/>
        <v>16.924074074074074</v>
      </c>
      <c r="AM301">
        <f t="shared" si="55"/>
        <v>23.107453777777778</v>
      </c>
      <c r="AP301" s="9"/>
      <c r="AQ301" s="22">
        <v>0.38467400000000002</v>
      </c>
      <c r="AR301" s="22">
        <v>27.073399999999999</v>
      </c>
      <c r="AS301" s="22">
        <v>-1.4654500000000001E-2</v>
      </c>
      <c r="AT301" s="22">
        <v>291</v>
      </c>
      <c r="AU301" s="22">
        <v>0.38409399999999999</v>
      </c>
      <c r="AV301">
        <f t="shared" si="56"/>
        <v>18.091975308641977</v>
      </c>
      <c r="AW301">
        <f t="shared" si="57"/>
        <v>6.9595125098765447</v>
      </c>
      <c r="AX301" s="9"/>
      <c r="AY301" s="22">
        <v>1.3653599999999999</v>
      </c>
      <c r="AZ301" s="22">
        <v>30.993300000000001</v>
      </c>
      <c r="BA301" s="22">
        <v>-1.3720700000000001E-2</v>
      </c>
      <c r="BB301" s="22">
        <v>291</v>
      </c>
      <c r="BC301" s="22">
        <v>1.3641399999999999</v>
      </c>
      <c r="BD301">
        <f t="shared" si="58"/>
        <v>16.939135802469135</v>
      </c>
      <c r="BE301">
        <f t="shared" si="59"/>
        <v>23.128018459259255</v>
      </c>
    </row>
    <row r="302" spans="6:57">
      <c r="F302" s="9"/>
      <c r="G302" s="22">
        <v>0.379639</v>
      </c>
      <c r="H302" s="22">
        <v>8.1350599999999993</v>
      </c>
      <c r="I302" s="22">
        <v>-1.4605699999999999E-2</v>
      </c>
      <c r="J302" s="22">
        <v>292</v>
      </c>
      <c r="K302" s="22">
        <v>0.37887599999999999</v>
      </c>
      <c r="L302">
        <f t="shared" si="48"/>
        <v>18.031728395061727</v>
      </c>
      <c r="M302">
        <f t="shared" si="49"/>
        <v>6.8455473361728387</v>
      </c>
      <c r="N302" s="9"/>
      <c r="O302" s="22">
        <v>1.37039</v>
      </c>
      <c r="P302" s="22">
        <v>12.055</v>
      </c>
      <c r="Q302" s="22">
        <v>-1.3684099999999999E-2</v>
      </c>
      <c r="R302" s="22">
        <v>292</v>
      </c>
      <c r="S302" s="22">
        <v>1.3699300000000001</v>
      </c>
      <c r="T302">
        <f t="shared" si="50"/>
        <v>16.893950617283949</v>
      </c>
      <c r="U302">
        <f t="shared" si="51"/>
        <v>23.151300986419752</v>
      </c>
      <c r="X302" s="9"/>
      <c r="Y302" s="22">
        <v>0.379639</v>
      </c>
      <c r="Z302" s="22">
        <v>17.600300000000001</v>
      </c>
      <c r="AA302" s="22">
        <v>-1.46362E-2</v>
      </c>
      <c r="AB302" s="22">
        <v>292</v>
      </c>
      <c r="AC302" s="22">
        <v>0.379272</v>
      </c>
      <c r="AD302">
        <f t="shared" si="52"/>
        <v>18.069382716049383</v>
      </c>
      <c r="AE302">
        <f t="shared" si="53"/>
        <v>6.8598423849382719</v>
      </c>
      <c r="AF302" s="9"/>
      <c r="AG302" s="22">
        <v>1.37039</v>
      </c>
      <c r="AH302" s="22">
        <v>21.520199999999999</v>
      </c>
      <c r="AI302" s="22">
        <v>-1.37024E-2</v>
      </c>
      <c r="AJ302" s="22">
        <v>292</v>
      </c>
      <c r="AK302" s="22">
        <v>1.3699300000000001</v>
      </c>
      <c r="AL302">
        <f t="shared" si="54"/>
        <v>16.916543209876544</v>
      </c>
      <c r="AM302">
        <f t="shared" si="55"/>
        <v>23.182261649382717</v>
      </c>
      <c r="AP302" s="9"/>
      <c r="AQ302" s="22">
        <v>0.379639</v>
      </c>
      <c r="AR302" s="22">
        <v>27.083500000000001</v>
      </c>
      <c r="AS302" s="22">
        <v>-1.46576E-2</v>
      </c>
      <c r="AT302" s="22">
        <v>292</v>
      </c>
      <c r="AU302" s="22">
        <v>0.37908900000000001</v>
      </c>
      <c r="AV302">
        <f t="shared" si="56"/>
        <v>18.095802469135801</v>
      </c>
      <c r="AW302">
        <f t="shared" si="57"/>
        <v>6.8698723535802468</v>
      </c>
      <c r="AX302" s="9"/>
      <c r="AY302" s="22">
        <v>1.37039</v>
      </c>
      <c r="AZ302" s="22">
        <v>31.003399999999999</v>
      </c>
      <c r="BA302" s="22">
        <v>-1.3717699999999999E-2</v>
      </c>
      <c r="BB302" s="22">
        <v>292</v>
      </c>
      <c r="BC302" s="22">
        <v>1.3696299999999999</v>
      </c>
      <c r="BD302">
        <f t="shared" si="58"/>
        <v>16.935432098765432</v>
      </c>
      <c r="BE302">
        <f t="shared" si="59"/>
        <v>23.208146793827162</v>
      </c>
    </row>
    <row r="303" spans="6:57">
      <c r="F303" s="9"/>
      <c r="G303" s="22">
        <v>0.37460300000000002</v>
      </c>
      <c r="H303" s="22">
        <v>8.14513</v>
      </c>
      <c r="I303" s="22">
        <v>-1.46149E-2</v>
      </c>
      <c r="J303" s="22">
        <v>293</v>
      </c>
      <c r="K303" s="22">
        <v>0.37396200000000002</v>
      </c>
      <c r="L303">
        <f t="shared" si="48"/>
        <v>18.043086419753088</v>
      </c>
      <c r="M303">
        <f t="shared" si="49"/>
        <v>6.7589943020987659</v>
      </c>
      <c r="N303" s="9"/>
      <c r="O303" s="22">
        <v>1.3754299999999999</v>
      </c>
      <c r="P303" s="22">
        <v>12.065</v>
      </c>
      <c r="Q303" s="22">
        <v>-1.3681E-2</v>
      </c>
      <c r="R303" s="22">
        <v>293</v>
      </c>
      <c r="S303" s="22">
        <v>1.3748199999999999</v>
      </c>
      <c r="T303">
        <f t="shared" si="50"/>
        <v>16.890123456790121</v>
      </c>
      <c r="U303">
        <f t="shared" si="51"/>
        <v>23.231182506172836</v>
      </c>
      <c r="X303" s="9"/>
      <c r="Y303" s="22">
        <v>0.37460300000000002</v>
      </c>
      <c r="Z303" s="22">
        <v>17.610299999999999</v>
      </c>
      <c r="AA303" s="22">
        <v>-1.4639299999999999E-2</v>
      </c>
      <c r="AB303" s="22">
        <v>293</v>
      </c>
      <c r="AC303" s="22">
        <v>0.37396200000000002</v>
      </c>
      <c r="AD303">
        <f t="shared" si="52"/>
        <v>18.07320987654321</v>
      </c>
      <c r="AE303">
        <f t="shared" si="53"/>
        <v>6.7702786393827168</v>
      </c>
      <c r="AF303" s="9"/>
      <c r="AG303" s="22">
        <v>1.3754299999999999</v>
      </c>
      <c r="AH303" s="22">
        <v>21.5303</v>
      </c>
      <c r="AI303" s="22">
        <v>-1.36963E-2</v>
      </c>
      <c r="AJ303" s="22">
        <v>293</v>
      </c>
      <c r="AK303" s="22">
        <v>1.3742099999999999</v>
      </c>
      <c r="AL303">
        <f t="shared" si="54"/>
        <v>16.90901234567901</v>
      </c>
      <c r="AM303">
        <f t="shared" si="55"/>
        <v>23.257162850617281</v>
      </c>
      <c r="AP303" s="9"/>
      <c r="AQ303" s="22">
        <v>0.37460300000000002</v>
      </c>
      <c r="AR303" s="22">
        <v>27.093599999999999</v>
      </c>
      <c r="AS303" s="22">
        <v>-1.46637E-2</v>
      </c>
      <c r="AT303" s="22">
        <v>293</v>
      </c>
      <c r="AU303" s="22">
        <v>0.37390099999999998</v>
      </c>
      <c r="AV303">
        <f t="shared" si="56"/>
        <v>18.103333333333332</v>
      </c>
      <c r="AW303">
        <f t="shared" si="57"/>
        <v>6.7815629766666667</v>
      </c>
      <c r="AX303" s="9"/>
      <c r="AY303" s="22">
        <v>1.3754299999999999</v>
      </c>
      <c r="AZ303" s="22">
        <v>31.013500000000001</v>
      </c>
      <c r="BA303" s="22">
        <v>-1.37146E-2</v>
      </c>
      <c r="BB303" s="22">
        <v>293</v>
      </c>
      <c r="BC303" s="22">
        <v>1.3742099999999999</v>
      </c>
      <c r="BD303">
        <f t="shared" si="58"/>
        <v>16.931604938271605</v>
      </c>
      <c r="BE303">
        <f t="shared" si="59"/>
        <v>23.288237380246912</v>
      </c>
    </row>
    <row r="304" spans="6:57">
      <c r="F304" s="9"/>
      <c r="G304" s="22">
        <v>0.36956800000000001</v>
      </c>
      <c r="H304" s="22">
        <v>8.1552000000000007</v>
      </c>
      <c r="I304" s="22">
        <v>-1.46179E-2</v>
      </c>
      <c r="J304" s="22">
        <v>294</v>
      </c>
      <c r="K304" s="22">
        <v>0.36910999999999999</v>
      </c>
      <c r="L304">
        <f t="shared" si="48"/>
        <v>18.046790123456791</v>
      </c>
      <c r="M304">
        <f t="shared" si="49"/>
        <v>6.6695161323456791</v>
      </c>
      <c r="N304" s="9"/>
      <c r="O304" s="22">
        <v>1.38046</v>
      </c>
      <c r="P304" s="22">
        <v>12.075100000000001</v>
      </c>
      <c r="Q304" s="22">
        <v>-1.36749E-2</v>
      </c>
      <c r="R304" s="22">
        <v>294</v>
      </c>
      <c r="S304" s="22">
        <v>1.3793899999999999</v>
      </c>
      <c r="T304">
        <f t="shared" si="50"/>
        <v>16.882592592592591</v>
      </c>
      <c r="U304">
        <f t="shared" si="51"/>
        <v>23.30574377037037</v>
      </c>
      <c r="X304" s="9"/>
      <c r="Y304" s="22">
        <v>0.36956800000000001</v>
      </c>
      <c r="Z304" s="22">
        <v>17.6204</v>
      </c>
      <c r="AA304" s="22">
        <v>-1.46423E-2</v>
      </c>
      <c r="AB304" s="22">
        <v>294</v>
      </c>
      <c r="AC304" s="22">
        <v>0.368927</v>
      </c>
      <c r="AD304">
        <f t="shared" si="52"/>
        <v>18.076913580246913</v>
      </c>
      <c r="AE304">
        <f t="shared" si="53"/>
        <v>6.6806487980246914</v>
      </c>
      <c r="AF304" s="9"/>
      <c r="AG304" s="22">
        <v>1.38046</v>
      </c>
      <c r="AH304" s="22">
        <v>21.540400000000002</v>
      </c>
      <c r="AI304" s="22">
        <v>-1.3687100000000001E-2</v>
      </c>
      <c r="AJ304" s="22">
        <v>294</v>
      </c>
      <c r="AK304" s="22">
        <v>1.3790899999999999</v>
      </c>
      <c r="AL304">
        <f t="shared" si="54"/>
        <v>16.897654320987655</v>
      </c>
      <c r="AM304">
        <f t="shared" si="55"/>
        <v>23.326535883950619</v>
      </c>
      <c r="AP304" s="9"/>
      <c r="AQ304" s="22">
        <v>0.36956800000000001</v>
      </c>
      <c r="AR304" s="22">
        <v>27.1036</v>
      </c>
      <c r="AS304" s="22">
        <v>-1.46698E-2</v>
      </c>
      <c r="AT304" s="22">
        <v>294</v>
      </c>
      <c r="AU304" s="22">
        <v>0.36904900000000002</v>
      </c>
      <c r="AV304">
        <f t="shared" si="56"/>
        <v>18.110864197530866</v>
      </c>
      <c r="AW304">
        <f t="shared" si="57"/>
        <v>6.6931958597530867</v>
      </c>
      <c r="AX304" s="9"/>
      <c r="AY304" s="22">
        <v>1.38046</v>
      </c>
      <c r="AZ304" s="22">
        <v>31.023499999999999</v>
      </c>
      <c r="BA304" s="22">
        <v>-1.37085E-2</v>
      </c>
      <c r="BB304" s="22">
        <v>294</v>
      </c>
      <c r="BC304" s="22">
        <v>1.3793899999999999</v>
      </c>
      <c r="BD304">
        <f t="shared" si="58"/>
        <v>16.924074074074074</v>
      </c>
      <c r="BE304">
        <f t="shared" si="59"/>
        <v>23.363007296296296</v>
      </c>
    </row>
    <row r="305" spans="6:57">
      <c r="F305" s="9"/>
      <c r="G305" s="22">
        <v>0.36453200000000002</v>
      </c>
      <c r="H305" s="22">
        <v>8.1652699999999996</v>
      </c>
      <c r="I305" s="22">
        <v>-1.4621E-2</v>
      </c>
      <c r="J305" s="22">
        <v>295</v>
      </c>
      <c r="K305" s="22">
        <v>0.36395300000000003</v>
      </c>
      <c r="L305">
        <f t="shared" si="48"/>
        <v>18.050617283950618</v>
      </c>
      <c r="M305">
        <f t="shared" si="49"/>
        <v>6.5800276197530874</v>
      </c>
      <c r="N305" s="9"/>
      <c r="O305" s="22">
        <v>1.3855</v>
      </c>
      <c r="P305" s="22">
        <v>12.0852</v>
      </c>
      <c r="Q305" s="22">
        <v>-1.3665800000000001E-2</v>
      </c>
      <c r="R305" s="22">
        <v>295</v>
      </c>
      <c r="S305" s="22">
        <v>1.38428</v>
      </c>
      <c r="T305">
        <f t="shared" si="50"/>
        <v>16.871358024691357</v>
      </c>
      <c r="U305">
        <f t="shared" si="51"/>
        <v>23.375266543209875</v>
      </c>
      <c r="X305" s="9"/>
      <c r="Y305" s="22">
        <v>0.36453200000000002</v>
      </c>
      <c r="Z305" s="22">
        <v>17.630500000000001</v>
      </c>
      <c r="AA305" s="22">
        <v>-1.4645399999999999E-2</v>
      </c>
      <c r="AB305" s="22">
        <v>295</v>
      </c>
      <c r="AC305" s="22">
        <v>0.36413600000000002</v>
      </c>
      <c r="AD305">
        <f t="shared" si="52"/>
        <v>18.080740740740737</v>
      </c>
      <c r="AE305">
        <f t="shared" si="53"/>
        <v>6.5910085837037027</v>
      </c>
      <c r="AF305" s="9"/>
      <c r="AG305" s="22">
        <v>1.3855</v>
      </c>
      <c r="AH305" s="22">
        <v>21.5504</v>
      </c>
      <c r="AI305" s="22">
        <v>-1.3677999999999999E-2</v>
      </c>
      <c r="AJ305" s="22">
        <v>295</v>
      </c>
      <c r="AK305" s="22">
        <v>1.3845799999999999</v>
      </c>
      <c r="AL305">
        <f t="shared" si="54"/>
        <v>16.886419753086418</v>
      </c>
      <c r="AM305">
        <f t="shared" si="55"/>
        <v>23.396134567901232</v>
      </c>
      <c r="AP305" s="9"/>
      <c r="AQ305" s="22">
        <v>0.36453200000000002</v>
      </c>
      <c r="AR305" s="22">
        <v>27.113700000000001</v>
      </c>
      <c r="AS305" s="22">
        <v>-1.4672899999999999E-2</v>
      </c>
      <c r="AT305" s="22">
        <v>295</v>
      </c>
      <c r="AU305" s="22">
        <v>0.36404399999999998</v>
      </c>
      <c r="AV305">
        <f t="shared" si="56"/>
        <v>18.11469135802469</v>
      </c>
      <c r="AW305">
        <f t="shared" si="57"/>
        <v>6.6033846701234564</v>
      </c>
      <c r="AX305" s="9"/>
      <c r="AY305" s="22">
        <v>1.3855</v>
      </c>
      <c r="AZ305" s="22">
        <v>31.0336</v>
      </c>
      <c r="BA305" s="22">
        <v>-1.3699299999999999E-2</v>
      </c>
      <c r="BB305" s="22">
        <v>295</v>
      </c>
      <c r="BC305" s="22">
        <v>1.3845799999999999</v>
      </c>
      <c r="BD305">
        <f t="shared" si="58"/>
        <v>16.912716049382716</v>
      </c>
      <c r="BE305">
        <f t="shared" si="59"/>
        <v>23.432568086419753</v>
      </c>
    </row>
    <row r="306" spans="6:57">
      <c r="F306" s="9"/>
      <c r="G306" s="22">
        <v>0.35949700000000001</v>
      </c>
      <c r="H306" s="22">
        <v>8.1753400000000003</v>
      </c>
      <c r="I306" s="22">
        <v>-1.4624E-2</v>
      </c>
      <c r="J306" s="22">
        <v>296</v>
      </c>
      <c r="K306" s="22">
        <v>0.358765</v>
      </c>
      <c r="L306">
        <f t="shared" si="48"/>
        <v>18.054320987654318</v>
      </c>
      <c r="M306">
        <f t="shared" si="49"/>
        <v>6.490474232098765</v>
      </c>
      <c r="N306" s="9"/>
      <c r="O306" s="22">
        <v>1.39053</v>
      </c>
      <c r="P306" s="22">
        <v>12.0952</v>
      </c>
      <c r="Q306" s="22">
        <v>-1.3650499999999999E-2</v>
      </c>
      <c r="R306" s="22">
        <v>296</v>
      </c>
      <c r="S306" s="22">
        <v>1.3897699999999999</v>
      </c>
      <c r="T306">
        <f t="shared" si="50"/>
        <v>16.852469135802469</v>
      </c>
      <c r="U306">
        <f t="shared" si="51"/>
        <v>23.433863907407407</v>
      </c>
      <c r="X306" s="9"/>
      <c r="Y306" s="22">
        <v>0.35949700000000001</v>
      </c>
      <c r="Z306" s="22">
        <v>17.640599999999999</v>
      </c>
      <c r="AA306" s="22">
        <v>-1.46515E-2</v>
      </c>
      <c r="AB306" s="22">
        <v>296</v>
      </c>
      <c r="AC306" s="22">
        <v>0.35891699999999999</v>
      </c>
      <c r="AD306">
        <f t="shared" si="52"/>
        <v>18.088271604938271</v>
      </c>
      <c r="AE306">
        <f t="shared" si="53"/>
        <v>6.5026793771604936</v>
      </c>
      <c r="AF306" s="9"/>
      <c r="AG306" s="22">
        <v>1.39053</v>
      </c>
      <c r="AH306" s="22">
        <v>21.560500000000001</v>
      </c>
      <c r="AI306" s="22">
        <v>-1.3671900000000001E-2</v>
      </c>
      <c r="AJ306" s="22">
        <v>296</v>
      </c>
      <c r="AK306" s="22">
        <v>1.38947</v>
      </c>
      <c r="AL306">
        <f t="shared" si="54"/>
        <v>16.878888888888888</v>
      </c>
      <c r="AM306">
        <f t="shared" si="55"/>
        <v>23.470601366666667</v>
      </c>
      <c r="AP306" s="9"/>
      <c r="AQ306" s="22">
        <v>0.35949700000000001</v>
      </c>
      <c r="AR306" s="22">
        <v>27.123799999999999</v>
      </c>
      <c r="AS306" s="22">
        <v>-1.4678999999999999E-2</v>
      </c>
      <c r="AT306" s="22">
        <v>296</v>
      </c>
      <c r="AU306" s="22">
        <v>0.35879499999999998</v>
      </c>
      <c r="AV306">
        <f t="shared" si="56"/>
        <v>18.12222222222222</v>
      </c>
      <c r="AW306">
        <f t="shared" si="57"/>
        <v>6.5148845222222214</v>
      </c>
      <c r="AX306" s="9"/>
      <c r="AY306" s="22">
        <v>1.39053</v>
      </c>
      <c r="AZ306" s="22">
        <v>31.043700000000001</v>
      </c>
      <c r="BA306" s="22">
        <v>-1.3687100000000001E-2</v>
      </c>
      <c r="BB306" s="22">
        <v>296</v>
      </c>
      <c r="BC306" s="22">
        <v>1.3897699999999999</v>
      </c>
      <c r="BD306">
        <f t="shared" si="58"/>
        <v>16.897654320987655</v>
      </c>
      <c r="BE306">
        <f t="shared" si="59"/>
        <v>23.496695262962966</v>
      </c>
    </row>
    <row r="307" spans="6:57">
      <c r="F307" s="9"/>
      <c r="G307" s="22">
        <v>0.354462</v>
      </c>
      <c r="H307" s="22">
        <v>8.1854099999999992</v>
      </c>
      <c r="I307" s="22">
        <v>-1.4627100000000001E-2</v>
      </c>
      <c r="J307" s="22">
        <v>297</v>
      </c>
      <c r="K307" s="22">
        <v>0.353821</v>
      </c>
      <c r="L307">
        <f t="shared" si="48"/>
        <v>18.058148148148145</v>
      </c>
      <c r="M307">
        <f t="shared" si="49"/>
        <v>6.4009273088888881</v>
      </c>
      <c r="N307" s="9"/>
      <c r="O307" s="22">
        <v>1.39557</v>
      </c>
      <c r="P307" s="22">
        <v>12.1053</v>
      </c>
      <c r="Q307" s="22">
        <v>-1.36414E-2</v>
      </c>
      <c r="R307" s="22">
        <v>297</v>
      </c>
      <c r="S307" s="22">
        <v>1.39435</v>
      </c>
      <c r="T307">
        <f t="shared" si="50"/>
        <v>16.841234567901232</v>
      </c>
      <c r="U307">
        <f t="shared" si="51"/>
        <v>23.503121725925922</v>
      </c>
      <c r="X307" s="9"/>
      <c r="Y307" s="22">
        <v>0.354462</v>
      </c>
      <c r="Z307" s="22">
        <v>17.650600000000001</v>
      </c>
      <c r="AA307" s="22">
        <v>-1.46576E-2</v>
      </c>
      <c r="AB307" s="22">
        <v>297</v>
      </c>
      <c r="AC307" s="22">
        <v>0.35376000000000002</v>
      </c>
      <c r="AD307">
        <f t="shared" si="52"/>
        <v>18.095802469135801</v>
      </c>
      <c r="AE307">
        <f t="shared" si="53"/>
        <v>6.4142743348148148</v>
      </c>
      <c r="AF307" s="9"/>
      <c r="AG307" s="22">
        <v>1.39557</v>
      </c>
      <c r="AH307" s="22">
        <v>21.570599999999999</v>
      </c>
      <c r="AI307" s="22">
        <v>-1.3665800000000001E-2</v>
      </c>
      <c r="AJ307" s="22">
        <v>297</v>
      </c>
      <c r="AK307" s="22">
        <v>1.3940399999999999</v>
      </c>
      <c r="AL307">
        <f t="shared" si="54"/>
        <v>16.871358024691357</v>
      </c>
      <c r="AM307">
        <f t="shared" si="55"/>
        <v>23.545161118518518</v>
      </c>
      <c r="AP307" s="9"/>
      <c r="AQ307" s="22">
        <v>0.354462</v>
      </c>
      <c r="AR307" s="22">
        <v>27.133900000000001</v>
      </c>
      <c r="AS307" s="22">
        <v>-1.46851E-2</v>
      </c>
      <c r="AT307" s="22">
        <v>297</v>
      </c>
      <c r="AU307" s="22">
        <v>0.35394300000000001</v>
      </c>
      <c r="AV307">
        <f t="shared" si="56"/>
        <v>18.12975308641975</v>
      </c>
      <c r="AW307">
        <f t="shared" si="57"/>
        <v>6.4263085385185175</v>
      </c>
      <c r="AX307" s="9"/>
      <c r="AY307" s="22">
        <v>1.39557</v>
      </c>
      <c r="AZ307" s="22">
        <v>31.053799999999999</v>
      </c>
      <c r="BA307" s="22">
        <v>-1.3671900000000001E-2</v>
      </c>
      <c r="BB307" s="22">
        <v>297</v>
      </c>
      <c r="BC307" s="22">
        <v>1.3952599999999999</v>
      </c>
      <c r="BD307">
        <f t="shared" si="58"/>
        <v>16.878888888888888</v>
      </c>
      <c r="BE307">
        <f t="shared" si="59"/>
        <v>23.555670966666664</v>
      </c>
    </row>
    <row r="308" spans="6:57">
      <c r="F308" s="9"/>
      <c r="G308" s="22">
        <v>0.34942600000000001</v>
      </c>
      <c r="H308" s="22">
        <v>8.1954799999999999</v>
      </c>
      <c r="I308" s="22">
        <v>-1.46301E-2</v>
      </c>
      <c r="J308" s="22">
        <v>298</v>
      </c>
      <c r="K308" s="22">
        <v>0.34875499999999998</v>
      </c>
      <c r="L308">
        <f t="shared" si="48"/>
        <v>18.061851851851848</v>
      </c>
      <c r="M308">
        <f t="shared" si="49"/>
        <v>6.3112806451851844</v>
      </c>
      <c r="N308" s="9"/>
      <c r="O308" s="22">
        <v>1.4006000000000001</v>
      </c>
      <c r="P308" s="22">
        <v>12.115399999999999</v>
      </c>
      <c r="Q308" s="22">
        <v>-1.3632200000000001E-2</v>
      </c>
      <c r="R308" s="22">
        <v>298</v>
      </c>
      <c r="S308" s="22">
        <v>1.39984</v>
      </c>
      <c r="T308">
        <f t="shared" si="50"/>
        <v>16.829876543209878</v>
      </c>
      <c r="U308">
        <f t="shared" si="51"/>
        <v>23.571925086419757</v>
      </c>
      <c r="X308" s="9"/>
      <c r="Y308" s="22">
        <v>0.34942600000000001</v>
      </c>
      <c r="Z308" s="22">
        <v>17.660699999999999</v>
      </c>
      <c r="AA308" s="22">
        <v>-1.4660599999999999E-2</v>
      </c>
      <c r="AB308" s="22">
        <v>298</v>
      </c>
      <c r="AC308" s="22">
        <v>0.34881600000000001</v>
      </c>
      <c r="AD308">
        <f t="shared" si="52"/>
        <v>18.099506172839504</v>
      </c>
      <c r="AE308">
        <f t="shared" si="53"/>
        <v>6.3244380439506171</v>
      </c>
      <c r="AF308" s="9"/>
      <c r="AG308" s="22">
        <v>1.4006000000000001</v>
      </c>
      <c r="AH308" s="22">
        <v>21.5806</v>
      </c>
      <c r="AI308" s="22">
        <v>-1.36566E-2</v>
      </c>
      <c r="AJ308" s="22">
        <v>298</v>
      </c>
      <c r="AK308" s="22">
        <v>1.40015</v>
      </c>
      <c r="AL308">
        <f t="shared" si="54"/>
        <v>16.86</v>
      </c>
      <c r="AM308">
        <f t="shared" si="55"/>
        <v>23.614115999999999</v>
      </c>
      <c r="AP308" s="9"/>
      <c r="AQ308" s="22">
        <v>0.34942600000000001</v>
      </c>
      <c r="AR308" s="22">
        <v>27.143899999999999</v>
      </c>
      <c r="AS308" s="22">
        <v>-1.4694199999999999E-2</v>
      </c>
      <c r="AT308" s="22">
        <v>298</v>
      </c>
      <c r="AU308" s="22">
        <v>0.34863300000000003</v>
      </c>
      <c r="AV308">
        <f t="shared" si="56"/>
        <v>18.140987654320988</v>
      </c>
      <c r="AW308">
        <f t="shared" si="57"/>
        <v>6.3389327520987653</v>
      </c>
      <c r="AX308" s="9"/>
      <c r="AY308" s="22">
        <v>1.4006000000000001</v>
      </c>
      <c r="AZ308" s="22">
        <v>31.063800000000001</v>
      </c>
      <c r="BA308" s="22">
        <v>-1.36627E-2</v>
      </c>
      <c r="BB308" s="22">
        <v>298</v>
      </c>
      <c r="BC308" s="22">
        <v>1.39984</v>
      </c>
      <c r="BD308">
        <f t="shared" si="58"/>
        <v>16.86753086419753</v>
      </c>
      <c r="BE308">
        <f t="shared" si="59"/>
        <v>23.62466372839506</v>
      </c>
    </row>
    <row r="309" spans="6:57">
      <c r="F309" s="9"/>
      <c r="G309" s="22">
        <v>0.344391</v>
      </c>
      <c r="H309" s="22">
        <v>8.2055500000000006</v>
      </c>
      <c r="I309" s="22">
        <v>-1.46362E-2</v>
      </c>
      <c r="J309" s="22">
        <v>299</v>
      </c>
      <c r="K309" s="22">
        <v>0.34384199999999998</v>
      </c>
      <c r="L309">
        <f t="shared" si="48"/>
        <v>18.069382716049383</v>
      </c>
      <c r="M309">
        <f t="shared" si="49"/>
        <v>6.222932782962963</v>
      </c>
      <c r="N309" s="9"/>
      <c r="O309" s="22">
        <v>1.40564</v>
      </c>
      <c r="P309" s="22">
        <v>12.125500000000001</v>
      </c>
      <c r="Q309" s="22">
        <v>-1.3623E-2</v>
      </c>
      <c r="R309" s="22">
        <v>299</v>
      </c>
      <c r="S309" s="22">
        <v>1.40442</v>
      </c>
      <c r="T309">
        <f t="shared" si="50"/>
        <v>16.818518518518516</v>
      </c>
      <c r="U309">
        <f t="shared" si="51"/>
        <v>23.640782370370367</v>
      </c>
      <c r="X309" s="9"/>
      <c r="Y309" s="22">
        <v>0.344391</v>
      </c>
      <c r="Z309" s="22">
        <v>17.6708</v>
      </c>
      <c r="AA309" s="22">
        <v>-1.46637E-2</v>
      </c>
      <c r="AB309" s="22">
        <v>299</v>
      </c>
      <c r="AC309" s="22">
        <v>0.34375</v>
      </c>
      <c r="AD309">
        <f t="shared" si="52"/>
        <v>18.103333333333332</v>
      </c>
      <c r="AE309">
        <f t="shared" si="53"/>
        <v>6.2346250699999999</v>
      </c>
      <c r="AF309" s="9"/>
      <c r="AG309" s="22">
        <v>1.40564</v>
      </c>
      <c r="AH309" s="22">
        <v>21.590699999999998</v>
      </c>
      <c r="AI309" s="22">
        <v>-1.3644399999999999E-2</v>
      </c>
      <c r="AJ309" s="22">
        <v>299</v>
      </c>
      <c r="AK309" s="22">
        <v>1.40442</v>
      </c>
      <c r="AL309">
        <f t="shared" si="54"/>
        <v>16.844938271604939</v>
      </c>
      <c r="AM309">
        <f t="shared" si="55"/>
        <v>23.677919032098767</v>
      </c>
      <c r="AP309" s="9"/>
      <c r="AQ309" s="22">
        <v>0.344391</v>
      </c>
      <c r="AR309" s="22">
        <v>27.154</v>
      </c>
      <c r="AS309" s="22">
        <v>-1.46973E-2</v>
      </c>
      <c r="AT309" s="22">
        <v>299</v>
      </c>
      <c r="AU309" s="22">
        <v>0.343719</v>
      </c>
      <c r="AV309">
        <f t="shared" si="56"/>
        <v>18.144814814814815</v>
      </c>
      <c r="AW309">
        <f t="shared" si="57"/>
        <v>6.2489109188888889</v>
      </c>
      <c r="AX309" s="9"/>
      <c r="AY309" s="22">
        <v>1.40564</v>
      </c>
      <c r="AZ309" s="22">
        <v>31.073899999999998</v>
      </c>
      <c r="BA309" s="22">
        <v>-1.36536E-2</v>
      </c>
      <c r="BB309" s="22">
        <v>299</v>
      </c>
      <c r="BC309" s="22">
        <v>1.40442</v>
      </c>
      <c r="BD309">
        <f t="shared" si="58"/>
        <v>16.856296296296296</v>
      </c>
      <c r="BE309">
        <f t="shared" si="59"/>
        <v>23.693884325925925</v>
      </c>
    </row>
    <row r="310" spans="6:57">
      <c r="F310" s="9"/>
      <c r="G310" s="22">
        <v>0.33935500000000002</v>
      </c>
      <c r="H310" s="22">
        <v>8.2156199999999995</v>
      </c>
      <c r="I310" s="22">
        <v>-1.46423E-2</v>
      </c>
      <c r="J310" s="22">
        <v>300</v>
      </c>
      <c r="K310" s="22">
        <v>0.33859299999999998</v>
      </c>
      <c r="L310">
        <f t="shared" si="48"/>
        <v>18.076913580246913</v>
      </c>
      <c r="M310">
        <f t="shared" si="49"/>
        <v>6.1344910080246917</v>
      </c>
      <c r="N310" s="9"/>
      <c r="O310" s="22">
        <v>1.4106799999999999</v>
      </c>
      <c r="P310" s="22">
        <v>12.1355</v>
      </c>
      <c r="Q310" s="22">
        <v>-1.36139E-2</v>
      </c>
      <c r="R310" s="22">
        <v>300</v>
      </c>
      <c r="S310" s="22">
        <v>1.40961</v>
      </c>
      <c r="T310">
        <f t="shared" si="50"/>
        <v>16.807283950617283</v>
      </c>
      <c r="U310">
        <f t="shared" si="51"/>
        <v>23.709699323456785</v>
      </c>
      <c r="X310" s="9"/>
      <c r="Y310" s="22">
        <v>0.33935500000000002</v>
      </c>
      <c r="Z310" s="22">
        <v>17.680800000000001</v>
      </c>
      <c r="AA310" s="22">
        <v>-1.4672899999999999E-2</v>
      </c>
      <c r="AB310" s="22">
        <v>300</v>
      </c>
      <c r="AC310" s="22">
        <v>0.33868399999999999</v>
      </c>
      <c r="AD310">
        <f t="shared" si="52"/>
        <v>18.11469135802469</v>
      </c>
      <c r="AE310">
        <f t="shared" si="53"/>
        <v>6.1473110858024684</v>
      </c>
      <c r="AF310" s="9"/>
      <c r="AG310" s="22">
        <v>1.4106799999999999</v>
      </c>
      <c r="AH310" s="22">
        <v>21.6008</v>
      </c>
      <c r="AI310" s="22">
        <v>-1.3632200000000001E-2</v>
      </c>
      <c r="AJ310" s="22">
        <v>300</v>
      </c>
      <c r="AK310" s="22">
        <v>1.4093</v>
      </c>
      <c r="AL310">
        <f t="shared" si="54"/>
        <v>16.829876543209878</v>
      </c>
      <c r="AM310">
        <f t="shared" si="55"/>
        <v>23.74157024197531</v>
      </c>
      <c r="AP310" s="9"/>
      <c r="AQ310" s="22">
        <v>0.33935500000000002</v>
      </c>
      <c r="AR310" s="22">
        <v>27.164100000000001</v>
      </c>
      <c r="AS310" s="22">
        <v>-1.4700299999999999E-2</v>
      </c>
      <c r="AT310" s="22">
        <v>300</v>
      </c>
      <c r="AU310" s="22">
        <v>0.33865400000000001</v>
      </c>
      <c r="AV310">
        <f t="shared" si="56"/>
        <v>18.148518518518514</v>
      </c>
      <c r="AW310">
        <f t="shared" si="57"/>
        <v>6.1587905018518505</v>
      </c>
      <c r="AX310" s="9"/>
      <c r="AY310" s="22">
        <v>1.4106799999999999</v>
      </c>
      <c r="AZ310" s="22">
        <v>31.084</v>
      </c>
      <c r="BA310" s="22">
        <v>-1.36414E-2</v>
      </c>
      <c r="BB310" s="22">
        <v>300</v>
      </c>
      <c r="BC310" s="22">
        <v>1.40991</v>
      </c>
      <c r="BD310">
        <f t="shared" si="58"/>
        <v>16.841234567901232</v>
      </c>
      <c r="BE310">
        <f t="shared" si="59"/>
        <v>23.75759278024691</v>
      </c>
    </row>
    <row r="311" spans="6:57">
      <c r="F311" s="9"/>
      <c r="G311" s="22">
        <v>0.33432000000000001</v>
      </c>
      <c r="H311" s="22">
        <v>8.2256999999999998</v>
      </c>
      <c r="I311" s="22">
        <v>-1.4645399999999999E-2</v>
      </c>
      <c r="J311" s="22">
        <v>301</v>
      </c>
      <c r="K311" s="22">
        <v>0.33371000000000001</v>
      </c>
      <c r="L311">
        <f t="shared" si="48"/>
        <v>18.080740740740737</v>
      </c>
      <c r="M311">
        <f t="shared" si="49"/>
        <v>6.0447532444444434</v>
      </c>
      <c r="N311" s="9"/>
      <c r="O311" s="22">
        <v>1.41571</v>
      </c>
      <c r="P311" s="22">
        <v>12.1456</v>
      </c>
      <c r="Q311" s="22">
        <v>-1.36017E-2</v>
      </c>
      <c r="R311" s="22">
        <v>301</v>
      </c>
      <c r="S311" s="22">
        <v>1.41449</v>
      </c>
      <c r="T311">
        <f t="shared" si="50"/>
        <v>16.792222222222222</v>
      </c>
      <c r="U311">
        <f t="shared" si="51"/>
        <v>23.772916922222223</v>
      </c>
      <c r="X311" s="9"/>
      <c r="Y311" s="22">
        <v>0.33432000000000001</v>
      </c>
      <c r="Z311" s="22">
        <v>17.690899999999999</v>
      </c>
      <c r="AA311" s="22">
        <v>-1.4678999999999999E-2</v>
      </c>
      <c r="AB311" s="22">
        <v>301</v>
      </c>
      <c r="AC311" s="22">
        <v>0.333679</v>
      </c>
      <c r="AD311">
        <f t="shared" si="52"/>
        <v>18.12222222222222</v>
      </c>
      <c r="AE311">
        <f t="shared" si="53"/>
        <v>6.058621333333333</v>
      </c>
      <c r="AF311" s="9"/>
      <c r="AG311" s="22">
        <v>1.41571</v>
      </c>
      <c r="AH311" s="22">
        <v>21.610800000000001</v>
      </c>
      <c r="AI311" s="22">
        <v>-1.3616899999999999E-2</v>
      </c>
      <c r="AJ311" s="22">
        <v>301</v>
      </c>
      <c r="AK311" s="22">
        <v>1.41479</v>
      </c>
      <c r="AL311">
        <f t="shared" si="54"/>
        <v>16.810987654320986</v>
      </c>
      <c r="AM311">
        <f t="shared" si="55"/>
        <v>23.799483332098763</v>
      </c>
      <c r="AP311" s="9"/>
      <c r="AQ311" s="22">
        <v>0.33432000000000001</v>
      </c>
      <c r="AR311" s="22">
        <v>27.174099999999999</v>
      </c>
      <c r="AS311" s="22">
        <v>-1.47034E-2</v>
      </c>
      <c r="AT311" s="22">
        <v>301</v>
      </c>
      <c r="AU311" s="22">
        <v>0.33349600000000001</v>
      </c>
      <c r="AV311">
        <f t="shared" si="56"/>
        <v>18.152345679012342</v>
      </c>
      <c r="AW311">
        <f t="shared" si="57"/>
        <v>6.0686922074074063</v>
      </c>
      <c r="AX311" s="9"/>
      <c r="AY311" s="22">
        <v>1.41571</v>
      </c>
      <c r="AZ311" s="22">
        <v>31.094000000000001</v>
      </c>
      <c r="BA311" s="22">
        <v>-1.3632200000000001E-2</v>
      </c>
      <c r="BB311" s="22">
        <v>301</v>
      </c>
      <c r="BC311" s="22">
        <v>1.41479</v>
      </c>
      <c r="BD311">
        <f t="shared" si="58"/>
        <v>16.829876543209878</v>
      </c>
      <c r="BE311">
        <f t="shared" si="59"/>
        <v>23.826224520987655</v>
      </c>
    </row>
    <row r="312" spans="6:57">
      <c r="F312" s="9"/>
      <c r="G312" s="22">
        <v>0.32928499999999999</v>
      </c>
      <c r="H312" s="22">
        <v>8.2357700000000005</v>
      </c>
      <c r="I312" s="22">
        <v>-1.46515E-2</v>
      </c>
      <c r="J312" s="22">
        <v>302</v>
      </c>
      <c r="K312" s="22">
        <v>0.32867400000000002</v>
      </c>
      <c r="L312">
        <f t="shared" si="48"/>
        <v>18.088271604938271</v>
      </c>
      <c r="M312">
        <f t="shared" si="49"/>
        <v>5.9561965154320982</v>
      </c>
      <c r="N312" s="9"/>
      <c r="O312" s="22">
        <v>1.42075</v>
      </c>
      <c r="P312" s="22">
        <v>12.1557</v>
      </c>
      <c r="Q312" s="22">
        <v>-1.35864E-2</v>
      </c>
      <c r="R312" s="22">
        <v>302</v>
      </c>
      <c r="S312" s="22">
        <v>1.4196800000000001</v>
      </c>
      <c r="T312">
        <f t="shared" si="50"/>
        <v>16.77333333333333</v>
      </c>
      <c r="U312">
        <f t="shared" si="51"/>
        <v>23.830713333333328</v>
      </c>
      <c r="X312" s="9"/>
      <c r="Y312" s="22">
        <v>0.32928499999999999</v>
      </c>
      <c r="Z312" s="22">
        <v>17.701000000000001</v>
      </c>
      <c r="AA312" s="22">
        <v>-1.4682000000000001E-2</v>
      </c>
      <c r="AB312" s="22">
        <v>302</v>
      </c>
      <c r="AC312" s="22">
        <v>0.32864399999999999</v>
      </c>
      <c r="AD312">
        <f t="shared" si="52"/>
        <v>18.125925925925923</v>
      </c>
      <c r="AE312">
        <f t="shared" si="53"/>
        <v>5.9685955185185176</v>
      </c>
      <c r="AF312" s="9"/>
      <c r="AG312" s="22">
        <v>1.42075</v>
      </c>
      <c r="AH312" s="22">
        <v>21.620899999999999</v>
      </c>
      <c r="AI312" s="22">
        <v>-1.3604700000000001E-2</v>
      </c>
      <c r="AJ312" s="22">
        <v>302</v>
      </c>
      <c r="AK312" s="22">
        <v>1.4196800000000001</v>
      </c>
      <c r="AL312">
        <f t="shared" si="54"/>
        <v>16.795925925925925</v>
      </c>
      <c r="AM312">
        <f t="shared" si="55"/>
        <v>23.862811759259255</v>
      </c>
      <c r="AP312" s="9"/>
      <c r="AQ312" s="22">
        <v>0.32928499999999999</v>
      </c>
      <c r="AR312" s="22">
        <v>27.184200000000001</v>
      </c>
      <c r="AS312" s="22">
        <v>-1.47064E-2</v>
      </c>
      <c r="AT312" s="22">
        <v>302</v>
      </c>
      <c r="AU312" s="22">
        <v>0.32870500000000002</v>
      </c>
      <c r="AV312">
        <f t="shared" si="56"/>
        <v>18.156049382716049</v>
      </c>
      <c r="AW312">
        <f t="shared" si="57"/>
        <v>5.9785147209876541</v>
      </c>
      <c r="AX312" s="9"/>
      <c r="AY312" s="22">
        <v>1.42075</v>
      </c>
      <c r="AZ312" s="22">
        <v>31.104099999999999</v>
      </c>
      <c r="BA312" s="22">
        <v>-1.3616899999999999E-2</v>
      </c>
      <c r="BB312" s="22">
        <v>302</v>
      </c>
      <c r="BC312" s="22">
        <v>1.41998</v>
      </c>
      <c r="BD312">
        <f t="shared" si="58"/>
        <v>16.810987654320986</v>
      </c>
      <c r="BE312">
        <f t="shared" si="59"/>
        <v>23.884210709876541</v>
      </c>
    </row>
    <row r="313" spans="6:57">
      <c r="F313" s="9"/>
      <c r="G313" s="22">
        <v>0.32424900000000001</v>
      </c>
      <c r="H313" s="22">
        <v>8.2458399999999994</v>
      </c>
      <c r="I313" s="22">
        <v>-1.4654500000000001E-2</v>
      </c>
      <c r="J313" s="22">
        <v>303</v>
      </c>
      <c r="K313" s="22">
        <v>0.32373000000000002</v>
      </c>
      <c r="L313">
        <f t="shared" si="48"/>
        <v>18.091975308641977</v>
      </c>
      <c r="M313">
        <f t="shared" si="49"/>
        <v>5.8663049018518532</v>
      </c>
      <c r="N313" s="9"/>
      <c r="O313" s="22">
        <v>1.42578</v>
      </c>
      <c r="P313" s="22">
        <v>12.165699999999999</v>
      </c>
      <c r="Q313" s="22">
        <v>-1.35712E-2</v>
      </c>
      <c r="R313" s="22">
        <v>303</v>
      </c>
      <c r="S313" s="22">
        <v>1.4248700000000001</v>
      </c>
      <c r="T313">
        <f t="shared" si="50"/>
        <v>16.754567901234566</v>
      </c>
      <c r="U313">
        <f t="shared" si="51"/>
        <v>23.88832782222222</v>
      </c>
      <c r="X313" s="9"/>
      <c r="Y313" s="22">
        <v>0.32424900000000001</v>
      </c>
      <c r="Z313" s="22">
        <v>17.711099999999998</v>
      </c>
      <c r="AA313" s="22">
        <v>-1.4688100000000001E-2</v>
      </c>
      <c r="AB313" s="22">
        <v>303</v>
      </c>
      <c r="AC313" s="22">
        <v>0.32354699999999997</v>
      </c>
      <c r="AD313">
        <f t="shared" si="52"/>
        <v>18.133456790123457</v>
      </c>
      <c r="AE313">
        <f t="shared" si="53"/>
        <v>5.8797552307407406</v>
      </c>
      <c r="AF313" s="9"/>
      <c r="AG313" s="22">
        <v>1.42578</v>
      </c>
      <c r="AH313" s="22">
        <v>21.631</v>
      </c>
      <c r="AI313" s="22">
        <v>-1.35925E-2</v>
      </c>
      <c r="AJ313" s="22">
        <v>303</v>
      </c>
      <c r="AK313" s="22">
        <v>1.42517</v>
      </c>
      <c r="AL313">
        <f t="shared" si="54"/>
        <v>16.780864197530864</v>
      </c>
      <c r="AM313">
        <f t="shared" si="55"/>
        <v>23.925820555555557</v>
      </c>
      <c r="AP313" s="9"/>
      <c r="AQ313" s="22">
        <v>0.32424900000000001</v>
      </c>
      <c r="AR313" s="22">
        <v>27.194299999999998</v>
      </c>
      <c r="AS313" s="22">
        <v>-1.47125E-2</v>
      </c>
      <c r="AT313" s="22">
        <v>303</v>
      </c>
      <c r="AU313" s="22">
        <v>0.32373000000000002</v>
      </c>
      <c r="AV313">
        <f t="shared" si="56"/>
        <v>18.163580246913579</v>
      </c>
      <c r="AW313">
        <f t="shared" si="57"/>
        <v>5.8895227314814811</v>
      </c>
      <c r="AX313" s="9"/>
      <c r="AY313" s="22">
        <v>1.42578</v>
      </c>
      <c r="AZ313" s="22">
        <v>31.1142</v>
      </c>
      <c r="BA313" s="22">
        <v>-1.3598600000000001E-2</v>
      </c>
      <c r="BB313" s="22">
        <v>303</v>
      </c>
      <c r="BC313" s="22">
        <v>1.42517</v>
      </c>
      <c r="BD313">
        <f t="shared" si="58"/>
        <v>16.788395061728394</v>
      </c>
      <c r="BE313">
        <f t="shared" si="59"/>
        <v>23.936557911111112</v>
      </c>
    </row>
    <row r="314" spans="6:57">
      <c r="F314" s="9"/>
      <c r="G314" s="22">
        <v>0.319214</v>
      </c>
      <c r="H314" s="22">
        <v>8.2559100000000001</v>
      </c>
      <c r="I314" s="22">
        <v>-1.4654500000000001E-2</v>
      </c>
      <c r="J314" s="22">
        <v>304</v>
      </c>
      <c r="K314" s="22">
        <v>0.31851200000000002</v>
      </c>
      <c r="L314">
        <f t="shared" si="48"/>
        <v>18.091975308641977</v>
      </c>
      <c r="M314">
        <f t="shared" si="49"/>
        <v>5.7752118061728401</v>
      </c>
      <c r="N314" s="9"/>
      <c r="O314" s="22">
        <v>1.43082</v>
      </c>
      <c r="P314" s="22">
        <v>12.175800000000001</v>
      </c>
      <c r="Q314" s="22">
        <v>-1.3559E-2</v>
      </c>
      <c r="R314" s="22">
        <v>304</v>
      </c>
      <c r="S314" s="22">
        <v>1.42944</v>
      </c>
      <c r="T314">
        <f t="shared" si="50"/>
        <v>16.739506172839505</v>
      </c>
      <c r="U314">
        <f t="shared" si="51"/>
        <v>23.951220222222219</v>
      </c>
      <c r="X314" s="9"/>
      <c r="Y314" s="22">
        <v>0.319214</v>
      </c>
      <c r="Z314" s="22">
        <v>17.7211</v>
      </c>
      <c r="AA314" s="22">
        <v>-1.4694199999999999E-2</v>
      </c>
      <c r="AB314" s="22">
        <v>304</v>
      </c>
      <c r="AC314" s="22">
        <v>0.31863399999999997</v>
      </c>
      <c r="AD314">
        <f t="shared" si="52"/>
        <v>18.140987654320988</v>
      </c>
      <c r="AE314">
        <f t="shared" si="53"/>
        <v>5.7908572330864194</v>
      </c>
      <c r="AF314" s="9"/>
      <c r="AG314" s="22">
        <v>1.43082</v>
      </c>
      <c r="AH314" s="22">
        <v>21.641100000000002</v>
      </c>
      <c r="AI314" s="22">
        <v>-1.35803E-2</v>
      </c>
      <c r="AJ314" s="22">
        <v>304</v>
      </c>
      <c r="AK314" s="22">
        <v>1.43005</v>
      </c>
      <c r="AL314">
        <f t="shared" si="54"/>
        <v>16.765802469135803</v>
      </c>
      <c r="AM314">
        <f t="shared" si="55"/>
        <v>23.988845488888888</v>
      </c>
      <c r="AP314" s="9"/>
      <c r="AQ314" s="22">
        <v>0.319214</v>
      </c>
      <c r="AR314" s="22">
        <v>27.2044</v>
      </c>
      <c r="AS314" s="22">
        <v>-1.47186E-2</v>
      </c>
      <c r="AT314" s="22">
        <v>304</v>
      </c>
      <c r="AU314" s="22">
        <v>0.31863399999999997</v>
      </c>
      <c r="AV314">
        <f t="shared" si="56"/>
        <v>18.171111111111109</v>
      </c>
      <c r="AW314">
        <f t="shared" si="57"/>
        <v>5.8004730622222214</v>
      </c>
      <c r="AX314" s="9"/>
      <c r="AY314" s="22">
        <v>1.43082</v>
      </c>
      <c r="AZ314" s="22">
        <v>31.124300000000002</v>
      </c>
      <c r="BA314" s="22">
        <v>-1.35773E-2</v>
      </c>
      <c r="BB314" s="22">
        <v>304</v>
      </c>
      <c r="BC314" s="22">
        <v>1.43005</v>
      </c>
      <c r="BD314">
        <f t="shared" si="58"/>
        <v>16.7620987654321</v>
      </c>
      <c r="BE314">
        <f t="shared" si="59"/>
        <v>23.983546155555558</v>
      </c>
    </row>
    <row r="315" spans="6:57">
      <c r="F315" s="9"/>
      <c r="G315" s="22">
        <v>0.31417800000000001</v>
      </c>
      <c r="H315" s="22">
        <v>8.2659800000000008</v>
      </c>
      <c r="I315" s="22">
        <v>-1.46637E-2</v>
      </c>
      <c r="J315" s="22">
        <v>305</v>
      </c>
      <c r="K315" s="22">
        <v>0.31356800000000001</v>
      </c>
      <c r="L315">
        <f t="shared" si="48"/>
        <v>18.103333333333332</v>
      </c>
      <c r="M315">
        <f t="shared" si="49"/>
        <v>5.6876690600000002</v>
      </c>
      <c r="N315" s="9"/>
      <c r="O315" s="22">
        <v>1.4358500000000001</v>
      </c>
      <c r="P315" s="22">
        <v>12.1859</v>
      </c>
      <c r="Q315" s="22">
        <v>-1.3546799999999999E-2</v>
      </c>
      <c r="R315" s="22">
        <v>305</v>
      </c>
      <c r="S315" s="22">
        <v>1.4349400000000001</v>
      </c>
      <c r="T315">
        <f t="shared" si="50"/>
        <v>16.72444444444444</v>
      </c>
      <c r="U315">
        <f t="shared" si="51"/>
        <v>24.013793555555552</v>
      </c>
      <c r="X315" s="9"/>
      <c r="Y315" s="22">
        <v>0.31417800000000001</v>
      </c>
      <c r="Z315" s="22">
        <v>17.731200000000001</v>
      </c>
      <c r="AA315" s="22">
        <v>-1.4700299999999999E-2</v>
      </c>
      <c r="AB315" s="22">
        <v>305</v>
      </c>
      <c r="AC315" s="22">
        <v>0.31353799999999998</v>
      </c>
      <c r="AD315">
        <f t="shared" si="52"/>
        <v>18.148518518518514</v>
      </c>
      <c r="AE315">
        <f t="shared" si="53"/>
        <v>5.7018652511111103</v>
      </c>
      <c r="AF315" s="9"/>
      <c r="AG315" s="22">
        <v>1.4358500000000001</v>
      </c>
      <c r="AH315" s="22">
        <v>21.6511</v>
      </c>
      <c r="AI315" s="22">
        <v>-1.35712E-2</v>
      </c>
      <c r="AJ315" s="22">
        <v>305</v>
      </c>
      <c r="AK315" s="22">
        <v>1.4352400000000001</v>
      </c>
      <c r="AL315">
        <f t="shared" si="54"/>
        <v>16.754567901234566</v>
      </c>
      <c r="AM315">
        <f t="shared" si="55"/>
        <v>24.057046320987652</v>
      </c>
      <c r="AP315" s="9"/>
      <c r="AQ315" s="22">
        <v>0.31417800000000001</v>
      </c>
      <c r="AR315" s="22">
        <v>27.214400000000001</v>
      </c>
      <c r="AS315" s="22">
        <v>-1.4721700000000001E-2</v>
      </c>
      <c r="AT315" s="22">
        <v>305</v>
      </c>
      <c r="AU315" s="22">
        <v>0.313751</v>
      </c>
      <c r="AV315">
        <f t="shared" si="56"/>
        <v>18.174938271604937</v>
      </c>
      <c r="AW315">
        <f t="shared" si="57"/>
        <v>5.7101657562962957</v>
      </c>
      <c r="AX315" s="9"/>
      <c r="AY315" s="22">
        <v>1.4358500000000001</v>
      </c>
      <c r="AZ315" s="22">
        <v>31.1343</v>
      </c>
      <c r="BA315" s="22">
        <v>-1.3561999999999999E-2</v>
      </c>
      <c r="BB315" s="22">
        <v>305</v>
      </c>
      <c r="BC315" s="22">
        <v>1.4349400000000001</v>
      </c>
      <c r="BD315">
        <f t="shared" si="58"/>
        <v>16.743209876543208</v>
      </c>
      <c r="BE315">
        <f t="shared" si="59"/>
        <v>24.040737901234568</v>
      </c>
    </row>
    <row r="316" spans="6:57">
      <c r="F316" s="9"/>
      <c r="G316" s="22">
        <v>0.309143</v>
      </c>
      <c r="H316" s="22">
        <v>8.2760499999999997</v>
      </c>
      <c r="I316" s="22">
        <v>-1.46698E-2</v>
      </c>
      <c r="J316" s="22">
        <v>306</v>
      </c>
      <c r="K316" s="22">
        <v>0.308502</v>
      </c>
      <c r="L316">
        <f t="shared" si="48"/>
        <v>18.110864197530866</v>
      </c>
      <c r="M316">
        <f t="shared" si="49"/>
        <v>5.5988468906172848</v>
      </c>
      <c r="N316" s="9"/>
      <c r="O316" s="22">
        <v>1.44089</v>
      </c>
      <c r="P316" s="22">
        <v>12.196</v>
      </c>
      <c r="Q316" s="22">
        <v>-1.35376E-2</v>
      </c>
      <c r="R316" s="22">
        <v>306</v>
      </c>
      <c r="S316" s="22">
        <v>1.4398200000000001</v>
      </c>
      <c r="T316">
        <f t="shared" si="50"/>
        <v>16.713086419753086</v>
      </c>
      <c r="U316">
        <f t="shared" si="51"/>
        <v>24.081719091358025</v>
      </c>
      <c r="X316" s="9"/>
      <c r="Y316" s="22">
        <v>0.309143</v>
      </c>
      <c r="Z316" s="22">
        <v>17.741299999999999</v>
      </c>
      <c r="AA316" s="22">
        <v>-1.47034E-2</v>
      </c>
      <c r="AB316" s="22">
        <v>306</v>
      </c>
      <c r="AC316" s="22">
        <v>0.30847200000000002</v>
      </c>
      <c r="AD316">
        <f t="shared" si="52"/>
        <v>18.152345679012342</v>
      </c>
      <c r="AE316">
        <f t="shared" si="53"/>
        <v>5.6116706002469128</v>
      </c>
      <c r="AF316" s="9"/>
      <c r="AG316" s="22">
        <v>1.44089</v>
      </c>
      <c r="AH316" s="22">
        <v>21.661200000000001</v>
      </c>
      <c r="AI316" s="22">
        <v>-1.3559E-2</v>
      </c>
      <c r="AJ316" s="22">
        <v>306</v>
      </c>
      <c r="AK316" s="22">
        <v>1.4401200000000001</v>
      </c>
      <c r="AL316">
        <f t="shared" si="54"/>
        <v>16.739506172839505</v>
      </c>
      <c r="AM316">
        <f t="shared" si="55"/>
        <v>24.119787049382715</v>
      </c>
      <c r="AP316" s="9"/>
      <c r="AQ316" s="22">
        <v>0.309143</v>
      </c>
      <c r="AR316" s="22">
        <v>27.224499999999999</v>
      </c>
      <c r="AS316" s="22">
        <v>-1.4727799999999999E-2</v>
      </c>
      <c r="AT316" s="22">
        <v>306</v>
      </c>
      <c r="AU316" s="22">
        <v>0.30847200000000002</v>
      </c>
      <c r="AV316">
        <f t="shared" si="56"/>
        <v>18.182469135802467</v>
      </c>
      <c r="AW316">
        <f t="shared" si="57"/>
        <v>5.6209830560493819</v>
      </c>
      <c r="AX316" s="9"/>
      <c r="AY316" s="22">
        <v>1.44089</v>
      </c>
      <c r="AZ316" s="22">
        <v>31.144400000000001</v>
      </c>
      <c r="BA316" s="22">
        <v>-1.3543700000000001E-2</v>
      </c>
      <c r="BB316" s="22">
        <v>306</v>
      </c>
      <c r="BC316" s="22">
        <v>1.4401200000000001</v>
      </c>
      <c r="BD316">
        <f t="shared" si="58"/>
        <v>16.720617283950617</v>
      </c>
      <c r="BE316">
        <f t="shared" si="59"/>
        <v>24.092570238271605</v>
      </c>
    </row>
    <row r="317" spans="6:57">
      <c r="F317" s="9"/>
      <c r="G317" s="22">
        <v>0.30410799999999999</v>
      </c>
      <c r="H317" s="22">
        <v>8.2861200000000004</v>
      </c>
      <c r="I317" s="22">
        <v>-1.4672899999999999E-2</v>
      </c>
      <c r="J317" s="22">
        <v>307</v>
      </c>
      <c r="K317" s="22">
        <v>0.30355799999999999</v>
      </c>
      <c r="L317">
        <f t="shared" si="48"/>
        <v>18.11469135802469</v>
      </c>
      <c r="M317">
        <f t="shared" si="49"/>
        <v>5.5088225595061724</v>
      </c>
      <c r="N317" s="9"/>
      <c r="O317" s="22">
        <v>1.4459200000000001</v>
      </c>
      <c r="P317" s="22">
        <v>12.206</v>
      </c>
      <c r="Q317" s="22">
        <v>-1.35254E-2</v>
      </c>
      <c r="R317" s="22">
        <v>307</v>
      </c>
      <c r="S317" s="22">
        <v>1.4450099999999999</v>
      </c>
      <c r="T317">
        <f t="shared" si="50"/>
        <v>16.698024691358025</v>
      </c>
      <c r="U317">
        <f t="shared" si="51"/>
        <v>24.144007861728397</v>
      </c>
      <c r="X317" s="9"/>
      <c r="Y317" s="22">
        <v>0.30410799999999999</v>
      </c>
      <c r="Z317" s="22">
        <v>17.751300000000001</v>
      </c>
      <c r="AA317" s="22">
        <v>-1.47064E-2</v>
      </c>
      <c r="AB317" s="22">
        <v>307</v>
      </c>
      <c r="AC317" s="22">
        <v>0.30364999999999998</v>
      </c>
      <c r="AD317">
        <f t="shared" si="52"/>
        <v>18.156049382716049</v>
      </c>
      <c r="AE317">
        <f t="shared" si="53"/>
        <v>5.5213998656790118</v>
      </c>
      <c r="AF317" s="9"/>
      <c r="AG317" s="22">
        <v>1.4459200000000001</v>
      </c>
      <c r="AH317" s="22">
        <v>21.671299999999999</v>
      </c>
      <c r="AI317" s="22">
        <v>-1.3543700000000001E-2</v>
      </c>
      <c r="AJ317" s="22">
        <v>307</v>
      </c>
      <c r="AK317" s="22">
        <v>1.4456199999999999</v>
      </c>
      <c r="AL317">
        <f t="shared" si="54"/>
        <v>16.720617283950617</v>
      </c>
      <c r="AM317">
        <f t="shared" si="55"/>
        <v>24.176674943209878</v>
      </c>
      <c r="AP317" s="9"/>
      <c r="AQ317" s="22">
        <v>0.30410799999999999</v>
      </c>
      <c r="AR317" s="22">
        <v>27.2346</v>
      </c>
      <c r="AS317" s="22">
        <v>-1.4727799999999999E-2</v>
      </c>
      <c r="AT317" s="22">
        <v>307</v>
      </c>
      <c r="AU317" s="22">
        <v>0.303284</v>
      </c>
      <c r="AV317">
        <f t="shared" si="56"/>
        <v>18.182469135802467</v>
      </c>
      <c r="AW317">
        <f t="shared" si="57"/>
        <v>5.5294343239506167</v>
      </c>
      <c r="AX317" s="9"/>
      <c r="AY317" s="22">
        <v>1.4459200000000001</v>
      </c>
      <c r="AZ317" s="22">
        <v>31.154499999999999</v>
      </c>
      <c r="BA317" s="22">
        <v>-1.35254E-2</v>
      </c>
      <c r="BB317" s="22">
        <v>307</v>
      </c>
      <c r="BC317" s="22">
        <v>1.4450099999999999</v>
      </c>
      <c r="BD317">
        <f t="shared" si="58"/>
        <v>16.698024691358025</v>
      </c>
      <c r="BE317">
        <f t="shared" si="59"/>
        <v>24.144007861728397</v>
      </c>
    </row>
    <row r="318" spans="6:57">
      <c r="F318" s="9"/>
      <c r="G318" s="22">
        <v>0.299072</v>
      </c>
      <c r="H318" s="22">
        <v>8.2961899999999993</v>
      </c>
      <c r="I318" s="22">
        <v>-1.46759E-2</v>
      </c>
      <c r="J318" s="22">
        <v>308</v>
      </c>
      <c r="K318" s="22">
        <v>0.29840100000000003</v>
      </c>
      <c r="L318">
        <f t="shared" si="48"/>
        <v>18.118395061728396</v>
      </c>
      <c r="M318">
        <f t="shared" si="49"/>
        <v>5.4187046479012348</v>
      </c>
      <c r="N318" s="9"/>
      <c r="O318" s="22">
        <v>1.45096</v>
      </c>
      <c r="P318" s="22">
        <v>12.216100000000001</v>
      </c>
      <c r="Q318" s="22">
        <v>-1.3510100000000001E-2</v>
      </c>
      <c r="R318" s="22">
        <v>308</v>
      </c>
      <c r="S318" s="22">
        <v>1.4504999999999999</v>
      </c>
      <c r="T318">
        <f t="shared" si="50"/>
        <v>16.679135802469133</v>
      </c>
      <c r="U318">
        <f t="shared" si="51"/>
        <v>24.200758883950613</v>
      </c>
      <c r="X318" s="9"/>
      <c r="Y318" s="22">
        <v>0.299072</v>
      </c>
      <c r="Z318" s="22">
        <v>17.761399999999998</v>
      </c>
      <c r="AA318" s="22">
        <v>-1.4715600000000001E-2</v>
      </c>
      <c r="AB318" s="22">
        <v>308</v>
      </c>
      <c r="AC318" s="22">
        <v>0.29849199999999998</v>
      </c>
      <c r="AD318">
        <f t="shared" si="52"/>
        <v>18.167407407407406</v>
      </c>
      <c r="AE318">
        <f t="shared" si="53"/>
        <v>5.4333628681481478</v>
      </c>
      <c r="AF318" s="9"/>
      <c r="AG318" s="22">
        <v>1.45096</v>
      </c>
      <c r="AH318" s="22">
        <v>21.6813</v>
      </c>
      <c r="AI318" s="22">
        <v>-1.3522299999999999E-2</v>
      </c>
      <c r="AJ318" s="22">
        <v>308</v>
      </c>
      <c r="AK318" s="22">
        <v>1.4501999999999999</v>
      </c>
      <c r="AL318">
        <f t="shared" si="54"/>
        <v>16.694197530864194</v>
      </c>
      <c r="AM318">
        <f t="shared" si="55"/>
        <v>24.222612849382713</v>
      </c>
      <c r="AP318" s="9"/>
      <c r="AQ318" s="22">
        <v>0.299072</v>
      </c>
      <c r="AR318" s="22">
        <v>27.244599999999998</v>
      </c>
      <c r="AS318" s="22">
        <v>-1.4733899999999999E-2</v>
      </c>
      <c r="AT318" s="22">
        <v>308</v>
      </c>
      <c r="AU318" s="22">
        <v>0.29852299999999998</v>
      </c>
      <c r="AV318">
        <f t="shared" si="56"/>
        <v>18.189999999999998</v>
      </c>
      <c r="AW318">
        <f t="shared" si="57"/>
        <v>5.4401196799999996</v>
      </c>
      <c r="AX318" s="9"/>
      <c r="AY318" s="22">
        <v>1.45096</v>
      </c>
      <c r="AZ318" s="22">
        <v>31.1645</v>
      </c>
      <c r="BA318" s="22">
        <v>-1.3510100000000001E-2</v>
      </c>
      <c r="BB318" s="22">
        <v>308</v>
      </c>
      <c r="BC318" s="22">
        <v>1.4504999999999999</v>
      </c>
      <c r="BD318">
        <f t="shared" si="58"/>
        <v>16.679135802469133</v>
      </c>
      <c r="BE318">
        <f t="shared" si="59"/>
        <v>24.200758883950613</v>
      </c>
    </row>
    <row r="319" spans="6:57">
      <c r="F319" s="9"/>
      <c r="G319" s="22">
        <v>0.29403699999999999</v>
      </c>
      <c r="H319" s="22">
        <v>8.30626</v>
      </c>
      <c r="I319" s="22">
        <v>-1.4678999999999999E-2</v>
      </c>
      <c r="J319" s="22">
        <v>309</v>
      </c>
      <c r="K319" s="22">
        <v>0.29330400000000001</v>
      </c>
      <c r="L319">
        <f t="shared" si="48"/>
        <v>18.12222222222222</v>
      </c>
      <c r="M319">
        <f t="shared" si="49"/>
        <v>5.3286038555555546</v>
      </c>
      <c r="N319" s="9"/>
      <c r="O319" s="22">
        <v>1.4559899999999999</v>
      </c>
      <c r="P319" s="22">
        <v>12.2262</v>
      </c>
      <c r="Q319" s="22">
        <v>-1.34888E-2</v>
      </c>
      <c r="R319" s="22">
        <v>309</v>
      </c>
      <c r="S319" s="22">
        <v>1.4547699999999999</v>
      </c>
      <c r="T319">
        <f t="shared" si="50"/>
        <v>16.652839506172839</v>
      </c>
      <c r="U319">
        <f t="shared" si="51"/>
        <v>24.24636779259259</v>
      </c>
      <c r="X319" s="9"/>
      <c r="Y319" s="22">
        <v>0.29403699999999999</v>
      </c>
      <c r="Z319" s="22">
        <v>17.7715</v>
      </c>
      <c r="AA319" s="22">
        <v>-1.4721700000000001E-2</v>
      </c>
      <c r="AB319" s="22">
        <v>309</v>
      </c>
      <c r="AC319" s="22">
        <v>0.29333500000000001</v>
      </c>
      <c r="AD319">
        <f t="shared" si="52"/>
        <v>18.174938271604937</v>
      </c>
      <c r="AE319">
        <f t="shared" si="53"/>
        <v>5.3441043245679003</v>
      </c>
      <c r="AF319" s="9"/>
      <c r="AG319" s="22">
        <v>1.4559899999999999</v>
      </c>
      <c r="AH319" s="22">
        <v>21.691400000000002</v>
      </c>
      <c r="AI319" s="22">
        <v>-1.3501000000000001E-2</v>
      </c>
      <c r="AJ319" s="22">
        <v>309</v>
      </c>
      <c r="AK319" s="22">
        <v>1.4547699999999999</v>
      </c>
      <c r="AL319">
        <f t="shared" si="54"/>
        <v>16.667901234567903</v>
      </c>
      <c r="AM319">
        <f t="shared" si="55"/>
        <v>24.268297518518519</v>
      </c>
      <c r="AP319" s="9"/>
      <c r="AQ319" s="22">
        <v>0.29403699999999999</v>
      </c>
      <c r="AR319" s="22">
        <v>27.2547</v>
      </c>
      <c r="AS319" s="22">
        <v>-1.474E-2</v>
      </c>
      <c r="AT319" s="22">
        <v>309</v>
      </c>
      <c r="AU319" s="22">
        <v>0.292572</v>
      </c>
      <c r="AV319">
        <f t="shared" si="56"/>
        <v>18.197530864197528</v>
      </c>
      <c r="AW319">
        <f t="shared" si="57"/>
        <v>5.3507473827160483</v>
      </c>
      <c r="AX319" s="9"/>
      <c r="AY319" s="22">
        <v>1.4559899999999999</v>
      </c>
      <c r="AZ319" s="22">
        <v>31.174600000000002</v>
      </c>
      <c r="BA319" s="22">
        <v>-1.3494900000000001E-2</v>
      </c>
      <c r="BB319" s="22">
        <v>309</v>
      </c>
      <c r="BC319" s="22">
        <v>1.4553799999999999</v>
      </c>
      <c r="BD319">
        <f t="shared" si="58"/>
        <v>16.660370370370369</v>
      </c>
      <c r="BE319">
        <f t="shared" si="59"/>
        <v>24.257332655555551</v>
      </c>
    </row>
    <row r="320" spans="6:57">
      <c r="F320" s="9"/>
      <c r="G320" s="22">
        <v>0.28900100000000001</v>
      </c>
      <c r="H320" s="22">
        <v>8.3163300000000007</v>
      </c>
      <c r="I320" s="22">
        <v>-1.46851E-2</v>
      </c>
      <c r="J320" s="22">
        <v>310</v>
      </c>
      <c r="K320" s="22">
        <v>0.28872700000000001</v>
      </c>
      <c r="L320">
        <f t="shared" si="48"/>
        <v>18.12975308641975</v>
      </c>
      <c r="M320">
        <f t="shared" si="49"/>
        <v>5.2395167717283941</v>
      </c>
      <c r="N320" s="9"/>
      <c r="O320" s="22">
        <v>1.4610300000000001</v>
      </c>
      <c r="P320" s="22">
        <v>12.2362</v>
      </c>
      <c r="Q320" s="22">
        <v>-1.34705E-2</v>
      </c>
      <c r="R320" s="22">
        <v>310</v>
      </c>
      <c r="S320" s="22">
        <v>1.4599599999999999</v>
      </c>
      <c r="T320">
        <f t="shared" si="50"/>
        <v>16.630246913580244</v>
      </c>
      <c r="U320">
        <f t="shared" si="51"/>
        <v>24.297289648148144</v>
      </c>
      <c r="X320" s="9"/>
      <c r="Y320" s="22">
        <v>0.28900100000000001</v>
      </c>
      <c r="Z320" s="22">
        <v>17.781600000000001</v>
      </c>
      <c r="AA320" s="22">
        <v>-1.4727799999999999E-2</v>
      </c>
      <c r="AB320" s="22">
        <v>310</v>
      </c>
      <c r="AC320" s="22">
        <v>0.2883</v>
      </c>
      <c r="AD320">
        <f t="shared" si="52"/>
        <v>18.182469135802467</v>
      </c>
      <c r="AE320">
        <f t="shared" si="53"/>
        <v>5.2547517627160492</v>
      </c>
      <c r="AF320" s="9"/>
      <c r="AG320" s="22">
        <v>1.4610300000000001</v>
      </c>
      <c r="AH320" s="22">
        <v>21.701499999999999</v>
      </c>
      <c r="AI320" s="22">
        <v>-1.34766E-2</v>
      </c>
      <c r="AJ320" s="22">
        <v>310</v>
      </c>
      <c r="AK320" s="22">
        <v>1.46027</v>
      </c>
      <c r="AL320">
        <f t="shared" si="54"/>
        <v>16.637777777777774</v>
      </c>
      <c r="AM320">
        <f t="shared" si="55"/>
        <v>24.308292466666664</v>
      </c>
      <c r="AP320" s="9"/>
      <c r="AQ320" s="22">
        <v>0.28900100000000001</v>
      </c>
      <c r="AR320" s="22">
        <v>27.264800000000001</v>
      </c>
      <c r="AS320" s="22">
        <v>-1.47461E-2</v>
      </c>
      <c r="AT320" s="22">
        <v>310</v>
      </c>
      <c r="AU320" s="22">
        <v>0.28854400000000002</v>
      </c>
      <c r="AV320">
        <f t="shared" si="56"/>
        <v>18.205061728395062</v>
      </c>
      <c r="AW320">
        <f t="shared" si="57"/>
        <v>5.2612810445679017</v>
      </c>
      <c r="AX320" s="9"/>
      <c r="AY320" s="22">
        <v>1.4610300000000001</v>
      </c>
      <c r="AZ320" s="22">
        <v>31.184699999999999</v>
      </c>
      <c r="BA320" s="22">
        <v>-1.3473499999999999E-2</v>
      </c>
      <c r="BB320" s="22">
        <v>310</v>
      </c>
      <c r="BC320" s="22">
        <v>1.46027</v>
      </c>
      <c r="BD320">
        <f t="shared" si="58"/>
        <v>16.633950617283947</v>
      </c>
      <c r="BE320">
        <f t="shared" si="59"/>
        <v>24.302700870370366</v>
      </c>
    </row>
    <row r="321" spans="6:57">
      <c r="F321" s="9"/>
      <c r="G321" s="22">
        <v>0.283966</v>
      </c>
      <c r="H321" s="22">
        <v>8.3264099999999992</v>
      </c>
      <c r="I321" s="22">
        <v>-1.4688100000000001E-2</v>
      </c>
      <c r="J321" s="22">
        <v>311</v>
      </c>
      <c r="K321" s="22">
        <v>0.28338600000000003</v>
      </c>
      <c r="L321">
        <f t="shared" si="48"/>
        <v>18.133456790123457</v>
      </c>
      <c r="M321">
        <f t="shared" si="49"/>
        <v>5.1492851908641972</v>
      </c>
      <c r="N321" s="9"/>
      <c r="O321" s="22">
        <v>1.4660599999999999</v>
      </c>
      <c r="P321" s="22">
        <v>12.2463</v>
      </c>
      <c r="Q321" s="22">
        <v>-1.34491E-2</v>
      </c>
      <c r="R321" s="22">
        <v>311</v>
      </c>
      <c r="S321" s="22">
        <v>1.4654499999999999</v>
      </c>
      <c r="T321">
        <f t="shared" si="50"/>
        <v>16.603827160493829</v>
      </c>
      <c r="U321">
        <f t="shared" si="51"/>
        <v>24.34220684691358</v>
      </c>
      <c r="X321" s="9"/>
      <c r="Y321" s="22">
        <v>0.283966</v>
      </c>
      <c r="Z321" s="22">
        <v>17.791599999999999</v>
      </c>
      <c r="AA321" s="22">
        <v>-1.47308E-2</v>
      </c>
      <c r="AB321" s="22">
        <v>311</v>
      </c>
      <c r="AC321" s="22">
        <v>0.28329500000000002</v>
      </c>
      <c r="AD321">
        <f t="shared" si="52"/>
        <v>18.186172839506174</v>
      </c>
      <c r="AE321">
        <f t="shared" si="53"/>
        <v>5.16425475654321</v>
      </c>
      <c r="AF321" s="9"/>
      <c r="AG321" s="22">
        <v>1.4660599999999999</v>
      </c>
      <c r="AH321" s="22">
        <v>21.711600000000001</v>
      </c>
      <c r="AI321" s="22">
        <v>-1.34521E-2</v>
      </c>
      <c r="AJ321" s="22">
        <v>311</v>
      </c>
      <c r="AK321" s="22">
        <v>1.4660599999999999</v>
      </c>
      <c r="AL321">
        <f t="shared" si="54"/>
        <v>16.607530864197528</v>
      </c>
      <c r="AM321">
        <f t="shared" si="55"/>
        <v>24.347636698765427</v>
      </c>
      <c r="AP321" s="9"/>
      <c r="AQ321" s="22">
        <v>0.283966</v>
      </c>
      <c r="AR321" s="22">
        <v>27.274899999999999</v>
      </c>
      <c r="AS321" s="22">
        <v>-1.4749099999999999E-2</v>
      </c>
      <c r="AT321" s="22">
        <v>311</v>
      </c>
      <c r="AU321" s="22">
        <v>0.28350799999999998</v>
      </c>
      <c r="AV321">
        <f t="shared" si="56"/>
        <v>18.208765432098765</v>
      </c>
      <c r="AW321">
        <f t="shared" si="57"/>
        <v>5.1706702846913579</v>
      </c>
      <c r="AX321" s="9"/>
      <c r="AY321" s="22">
        <v>1.4660599999999999</v>
      </c>
      <c r="AZ321" s="22">
        <v>31.194800000000001</v>
      </c>
      <c r="BA321" s="22">
        <v>-1.34521E-2</v>
      </c>
      <c r="BB321" s="22">
        <v>311</v>
      </c>
      <c r="BC321" s="22">
        <v>1.4654499999999999</v>
      </c>
      <c r="BD321">
        <f t="shared" si="58"/>
        <v>16.607530864197528</v>
      </c>
      <c r="BE321">
        <f t="shared" si="59"/>
        <v>24.347636698765427</v>
      </c>
    </row>
    <row r="322" spans="6:57">
      <c r="F322" s="9"/>
      <c r="G322" s="22">
        <v>0.27893099999999998</v>
      </c>
      <c r="H322" s="22">
        <v>8.3364799999999999</v>
      </c>
      <c r="I322" s="22">
        <v>-1.4694199999999999E-2</v>
      </c>
      <c r="J322" s="22">
        <v>312</v>
      </c>
      <c r="K322" s="22">
        <v>0.27835100000000002</v>
      </c>
      <c r="L322">
        <f t="shared" si="48"/>
        <v>18.140987654320988</v>
      </c>
      <c r="M322">
        <f t="shared" si="49"/>
        <v>5.0600838274074071</v>
      </c>
      <c r="N322" s="9"/>
      <c r="O322" s="22">
        <v>1.4711000000000001</v>
      </c>
      <c r="P322" s="22">
        <v>12.256399999999999</v>
      </c>
      <c r="Q322" s="22">
        <v>-1.3433799999999999E-2</v>
      </c>
      <c r="R322" s="22">
        <v>312</v>
      </c>
      <c r="S322" s="22">
        <v>1.4706399999999999</v>
      </c>
      <c r="T322">
        <f t="shared" si="50"/>
        <v>16.584938271604937</v>
      </c>
      <c r="U322">
        <f t="shared" si="51"/>
        <v>24.398102691358023</v>
      </c>
      <c r="X322" s="9"/>
      <c r="Y322" s="22">
        <v>0.27893099999999998</v>
      </c>
      <c r="Z322" s="22">
        <v>17.8017</v>
      </c>
      <c r="AA322" s="22">
        <v>-1.4736900000000001E-2</v>
      </c>
      <c r="AB322" s="22">
        <v>312</v>
      </c>
      <c r="AC322" s="22">
        <v>0.27835100000000002</v>
      </c>
      <c r="AD322">
        <f t="shared" si="52"/>
        <v>18.193703703703704</v>
      </c>
      <c r="AE322">
        <f t="shared" si="53"/>
        <v>5.0747879677777776</v>
      </c>
      <c r="AF322" s="9"/>
      <c r="AG322" s="22">
        <v>1.4711000000000001</v>
      </c>
      <c r="AH322" s="22">
        <v>21.721599999999999</v>
      </c>
      <c r="AI322" s="22">
        <v>-1.3427700000000001E-2</v>
      </c>
      <c r="AJ322" s="22">
        <v>312</v>
      </c>
      <c r="AK322" s="22">
        <v>1.47034</v>
      </c>
      <c r="AL322">
        <f t="shared" si="54"/>
        <v>16.57740740740741</v>
      </c>
      <c r="AM322">
        <f t="shared" si="55"/>
        <v>24.38702403703704</v>
      </c>
      <c r="AP322" s="9"/>
      <c r="AQ322" s="22">
        <v>0.27893099999999998</v>
      </c>
      <c r="AR322" s="22">
        <v>27.2849</v>
      </c>
      <c r="AS322" s="22">
        <v>-1.47552E-2</v>
      </c>
      <c r="AT322" s="22">
        <v>312</v>
      </c>
      <c r="AU322" s="22">
        <v>0.27844200000000002</v>
      </c>
      <c r="AV322">
        <f t="shared" si="56"/>
        <v>18.216296296296292</v>
      </c>
      <c r="AW322">
        <f t="shared" si="57"/>
        <v>5.081089742222221</v>
      </c>
      <c r="AX322" s="9"/>
      <c r="AY322" s="22">
        <v>1.4711000000000001</v>
      </c>
      <c r="AZ322" s="22">
        <v>31.204799999999999</v>
      </c>
      <c r="BA322" s="22">
        <v>-1.3427700000000001E-2</v>
      </c>
      <c r="BB322" s="22">
        <v>312</v>
      </c>
      <c r="BC322" s="22">
        <v>1.4700299999999999</v>
      </c>
      <c r="BD322">
        <f t="shared" si="58"/>
        <v>16.57740740740741</v>
      </c>
      <c r="BE322">
        <f t="shared" si="59"/>
        <v>24.38702403703704</v>
      </c>
    </row>
    <row r="323" spans="6:57">
      <c r="F323" s="9"/>
      <c r="G323" s="22">
        <v>0.273895</v>
      </c>
      <c r="H323" s="22">
        <v>8.3465500000000006</v>
      </c>
      <c r="I323" s="22">
        <v>-1.46973E-2</v>
      </c>
      <c r="J323" s="22">
        <v>313</v>
      </c>
      <c r="K323" s="22">
        <v>0.27343800000000001</v>
      </c>
      <c r="L323">
        <f t="shared" si="48"/>
        <v>18.144814814814815</v>
      </c>
      <c r="M323">
        <f t="shared" si="49"/>
        <v>4.9697740537037038</v>
      </c>
      <c r="N323" s="9"/>
      <c r="O323" s="22">
        <v>1.47614</v>
      </c>
      <c r="P323" s="22">
        <v>12.266400000000001</v>
      </c>
      <c r="Q323" s="22">
        <v>-1.34155E-2</v>
      </c>
      <c r="R323" s="22">
        <v>313</v>
      </c>
      <c r="S323" s="22">
        <v>1.4749099999999999</v>
      </c>
      <c r="T323">
        <f t="shared" si="50"/>
        <v>16.562345679012346</v>
      </c>
      <c r="U323">
        <f t="shared" si="51"/>
        <v>24.448340950617283</v>
      </c>
      <c r="X323" s="9"/>
      <c r="Y323" s="22">
        <v>0.273895</v>
      </c>
      <c r="Z323" s="22">
        <v>17.811800000000002</v>
      </c>
      <c r="AA323" s="22">
        <v>-1.474E-2</v>
      </c>
      <c r="AB323" s="22">
        <v>313</v>
      </c>
      <c r="AC323" s="22">
        <v>0.27331499999999997</v>
      </c>
      <c r="AD323">
        <f t="shared" si="52"/>
        <v>18.197530864197528</v>
      </c>
      <c r="AE323">
        <f t="shared" si="53"/>
        <v>4.9842127160493819</v>
      </c>
      <c r="AF323" s="9"/>
      <c r="AG323" s="22">
        <v>1.47614</v>
      </c>
      <c r="AH323" s="22">
        <v>21.7317</v>
      </c>
      <c r="AI323" s="22">
        <v>-1.34033E-2</v>
      </c>
      <c r="AJ323" s="22">
        <v>313</v>
      </c>
      <c r="AK323" s="22">
        <v>1.47522</v>
      </c>
      <c r="AL323">
        <f t="shared" si="54"/>
        <v>16.547283950617281</v>
      </c>
      <c r="AM323">
        <f t="shared" si="55"/>
        <v>24.426107730864192</v>
      </c>
      <c r="AP323" s="9"/>
      <c r="AQ323" s="22">
        <v>0.273895</v>
      </c>
      <c r="AR323" s="22">
        <v>27.295000000000002</v>
      </c>
      <c r="AS323" s="22">
        <v>-1.47583E-2</v>
      </c>
      <c r="AT323" s="22">
        <v>313</v>
      </c>
      <c r="AU323" s="22">
        <v>0.27356000000000003</v>
      </c>
      <c r="AV323">
        <f t="shared" si="56"/>
        <v>18.22012345679012</v>
      </c>
      <c r="AW323">
        <f t="shared" si="57"/>
        <v>4.9904007141975297</v>
      </c>
      <c r="AX323" s="9"/>
      <c r="AY323" s="22">
        <v>1.47614</v>
      </c>
      <c r="AZ323" s="22">
        <v>31.2149</v>
      </c>
      <c r="BA323" s="22">
        <v>-1.3406400000000001E-2</v>
      </c>
      <c r="BB323" s="22">
        <v>313</v>
      </c>
      <c r="BC323" s="22">
        <v>1.4755199999999999</v>
      </c>
      <c r="BD323">
        <f t="shared" si="58"/>
        <v>16.551111111111108</v>
      </c>
      <c r="BE323">
        <f t="shared" si="59"/>
        <v>24.431757155555552</v>
      </c>
    </row>
    <row r="324" spans="6:57">
      <c r="F324" s="9"/>
      <c r="G324" s="22">
        <v>0.26885999999999999</v>
      </c>
      <c r="H324" s="22">
        <v>8.3566199999999995</v>
      </c>
      <c r="I324" s="22">
        <v>-1.4700299999999999E-2</v>
      </c>
      <c r="J324" s="22">
        <v>314</v>
      </c>
      <c r="K324" s="22">
        <v>0.26797500000000002</v>
      </c>
      <c r="L324">
        <f t="shared" si="48"/>
        <v>18.148518518518514</v>
      </c>
      <c r="M324">
        <f t="shared" si="49"/>
        <v>4.8794106888888873</v>
      </c>
      <c r="N324" s="9"/>
      <c r="O324" s="22">
        <v>1.4811700000000001</v>
      </c>
      <c r="P324" s="22">
        <v>12.2765</v>
      </c>
      <c r="Q324" s="22">
        <v>-1.33942E-2</v>
      </c>
      <c r="R324" s="22">
        <v>314</v>
      </c>
      <c r="S324" s="22">
        <v>1.48071</v>
      </c>
      <c r="T324">
        <f t="shared" si="50"/>
        <v>16.536049382716048</v>
      </c>
      <c r="U324">
        <f t="shared" si="51"/>
        <v>24.492700264197531</v>
      </c>
      <c r="X324" s="9"/>
      <c r="Y324" s="22">
        <v>0.26885999999999999</v>
      </c>
      <c r="Z324" s="22">
        <v>17.8218</v>
      </c>
      <c r="AA324" s="22">
        <v>-1.4742999999999999E-2</v>
      </c>
      <c r="AB324" s="22">
        <v>314</v>
      </c>
      <c r="AC324" s="22">
        <v>0.26815800000000001</v>
      </c>
      <c r="AD324">
        <f t="shared" si="52"/>
        <v>18.201234567901235</v>
      </c>
      <c r="AE324">
        <f t="shared" si="53"/>
        <v>4.8935839259259257</v>
      </c>
      <c r="AF324" s="9"/>
      <c r="AG324" s="22">
        <v>1.4811700000000001</v>
      </c>
      <c r="AH324" s="22">
        <v>21.741800000000001</v>
      </c>
      <c r="AI324" s="22">
        <v>-1.3378900000000001E-2</v>
      </c>
      <c r="AJ324" s="22">
        <v>314</v>
      </c>
      <c r="AK324" s="22">
        <v>1.4801</v>
      </c>
      <c r="AL324">
        <f t="shared" si="54"/>
        <v>16.517160493827159</v>
      </c>
      <c r="AM324">
        <f t="shared" si="55"/>
        <v>24.464722608641974</v>
      </c>
      <c r="AP324" s="9"/>
      <c r="AQ324" s="22">
        <v>0.26885999999999999</v>
      </c>
      <c r="AR324" s="22">
        <v>27.305099999999999</v>
      </c>
      <c r="AS324" s="22">
        <v>-1.47644E-2</v>
      </c>
      <c r="AT324" s="22">
        <v>314</v>
      </c>
      <c r="AU324" s="22">
        <v>0.268341</v>
      </c>
      <c r="AV324">
        <f t="shared" si="56"/>
        <v>18.227654320987654</v>
      </c>
      <c r="AW324">
        <f t="shared" si="57"/>
        <v>4.9006871407407404</v>
      </c>
      <c r="AX324" s="9"/>
      <c r="AY324" s="22">
        <v>1.4811700000000001</v>
      </c>
      <c r="AZ324" s="22">
        <v>31.225000000000001</v>
      </c>
      <c r="BA324" s="22">
        <v>-1.3384999999999999E-2</v>
      </c>
      <c r="BB324" s="22">
        <v>314</v>
      </c>
      <c r="BC324" s="22">
        <v>1.48041</v>
      </c>
      <c r="BD324">
        <f t="shared" si="58"/>
        <v>16.52469135802469</v>
      </c>
      <c r="BE324">
        <f t="shared" si="59"/>
        <v>24.47587709876543</v>
      </c>
    </row>
    <row r="325" spans="6:57">
      <c r="F325" s="9"/>
      <c r="G325" s="22">
        <v>0.263824</v>
      </c>
      <c r="H325" s="22">
        <v>8.3666900000000002</v>
      </c>
      <c r="I325" s="22">
        <v>-1.47034E-2</v>
      </c>
      <c r="J325" s="22">
        <v>315</v>
      </c>
      <c r="K325" s="22">
        <v>0.263428</v>
      </c>
      <c r="L325">
        <f t="shared" si="48"/>
        <v>18.152345679012342</v>
      </c>
      <c r="M325">
        <f t="shared" si="49"/>
        <v>4.7890244464197522</v>
      </c>
      <c r="N325" s="9"/>
      <c r="O325" s="22">
        <v>1.48621</v>
      </c>
      <c r="P325" s="22">
        <v>12.2866</v>
      </c>
      <c r="Q325" s="22">
        <v>-1.33667E-2</v>
      </c>
      <c r="R325" s="22">
        <v>315</v>
      </c>
      <c r="S325" s="22">
        <v>1.4859</v>
      </c>
      <c r="T325">
        <f t="shared" si="50"/>
        <v>16.502098765432098</v>
      </c>
      <c r="U325">
        <f t="shared" si="51"/>
        <v>24.525584206172841</v>
      </c>
      <c r="X325" s="9"/>
      <c r="Y325" s="22">
        <v>0.263824</v>
      </c>
      <c r="Z325" s="22">
        <v>17.831900000000001</v>
      </c>
      <c r="AA325" s="22">
        <v>-1.47461E-2</v>
      </c>
      <c r="AB325" s="22">
        <v>315</v>
      </c>
      <c r="AC325" s="22">
        <v>0.26324500000000001</v>
      </c>
      <c r="AD325">
        <f t="shared" si="52"/>
        <v>18.205061728395062</v>
      </c>
      <c r="AE325">
        <f t="shared" si="53"/>
        <v>4.8029322054320991</v>
      </c>
      <c r="AF325" s="9"/>
      <c r="AG325" s="22">
        <v>1.48621</v>
      </c>
      <c r="AH325" s="22">
        <v>21.751799999999999</v>
      </c>
      <c r="AI325" s="22">
        <v>-1.33575E-2</v>
      </c>
      <c r="AJ325" s="22">
        <v>315</v>
      </c>
      <c r="AK325" s="22">
        <v>1.4856</v>
      </c>
      <c r="AL325">
        <f t="shared" si="54"/>
        <v>16.49074074074074</v>
      </c>
      <c r="AM325">
        <f t="shared" si="55"/>
        <v>24.508703796296295</v>
      </c>
      <c r="AP325" s="9"/>
      <c r="AQ325" s="22">
        <v>0.263824</v>
      </c>
      <c r="AR325" s="22">
        <v>27.315100000000001</v>
      </c>
      <c r="AS325" s="22">
        <v>-1.4767499999999999E-2</v>
      </c>
      <c r="AT325" s="22">
        <v>315</v>
      </c>
      <c r="AU325" s="22">
        <v>0.26327499999999998</v>
      </c>
      <c r="AV325">
        <f t="shared" si="56"/>
        <v>18.231481481481481</v>
      </c>
      <c r="AW325">
        <f t="shared" si="57"/>
        <v>4.8099023703703701</v>
      </c>
      <c r="AX325" s="9"/>
      <c r="AY325" s="22">
        <v>1.48621</v>
      </c>
      <c r="AZ325" s="22">
        <v>31.234999999999999</v>
      </c>
      <c r="BA325" s="22">
        <v>-1.33636E-2</v>
      </c>
      <c r="BB325" s="22">
        <v>315</v>
      </c>
      <c r="BC325" s="22">
        <v>1.48529</v>
      </c>
      <c r="BD325">
        <f t="shared" si="58"/>
        <v>16.498271604938271</v>
      </c>
      <c r="BE325">
        <f t="shared" si="59"/>
        <v>24.519896241975307</v>
      </c>
    </row>
    <row r="326" spans="6:57">
      <c r="F326" s="9"/>
      <c r="G326" s="22">
        <v>0.25878899999999999</v>
      </c>
      <c r="H326" s="22">
        <v>8.3767600000000009</v>
      </c>
      <c r="I326" s="22">
        <v>-1.47095E-2</v>
      </c>
      <c r="J326" s="22">
        <v>316</v>
      </c>
      <c r="K326" s="22">
        <v>0.257996</v>
      </c>
      <c r="L326">
        <f t="shared" si="48"/>
        <v>18.159876543209876</v>
      </c>
      <c r="M326">
        <f t="shared" si="49"/>
        <v>4.6995762907407403</v>
      </c>
      <c r="N326" s="9"/>
      <c r="O326" s="22">
        <v>1.4912399999999999</v>
      </c>
      <c r="P326" s="22">
        <v>12.2967</v>
      </c>
      <c r="Q326" s="22">
        <v>-1.3336199999999999E-2</v>
      </c>
      <c r="R326" s="22">
        <v>316</v>
      </c>
      <c r="S326" s="22">
        <v>1.49017</v>
      </c>
      <c r="T326">
        <f t="shared" si="50"/>
        <v>16.464444444444442</v>
      </c>
      <c r="U326">
        <f t="shared" si="51"/>
        <v>24.552438133333329</v>
      </c>
      <c r="X326" s="9"/>
      <c r="Y326" s="22">
        <v>0.25878899999999999</v>
      </c>
      <c r="Z326" s="22">
        <v>17.841999999999999</v>
      </c>
      <c r="AA326" s="22">
        <v>-1.47461E-2</v>
      </c>
      <c r="AB326" s="22">
        <v>316</v>
      </c>
      <c r="AC326" s="22">
        <v>0.25802599999999998</v>
      </c>
      <c r="AD326">
        <f t="shared" si="52"/>
        <v>18.205061728395062</v>
      </c>
      <c r="AE326">
        <f t="shared" si="53"/>
        <v>4.7112697196296294</v>
      </c>
      <c r="AF326" s="9"/>
      <c r="AG326" s="22">
        <v>1.4912399999999999</v>
      </c>
      <c r="AH326" s="22">
        <v>21.761900000000001</v>
      </c>
      <c r="AI326" s="22">
        <v>-1.3339200000000001E-2</v>
      </c>
      <c r="AJ326" s="22">
        <v>316</v>
      </c>
      <c r="AK326" s="22">
        <v>1.49017</v>
      </c>
      <c r="AL326">
        <f t="shared" si="54"/>
        <v>16.468148148148149</v>
      </c>
      <c r="AM326">
        <f t="shared" si="55"/>
        <v>24.557961244444446</v>
      </c>
      <c r="AP326" s="9"/>
      <c r="AQ326" s="22">
        <v>0.25878899999999999</v>
      </c>
      <c r="AR326" s="22">
        <v>27.325199999999999</v>
      </c>
      <c r="AS326" s="22">
        <v>-1.4770500000000001E-2</v>
      </c>
      <c r="AT326" s="22">
        <v>316</v>
      </c>
      <c r="AU326" s="22">
        <v>0.25811800000000001</v>
      </c>
      <c r="AV326">
        <f t="shared" si="56"/>
        <v>18.235185185185184</v>
      </c>
      <c r="AW326">
        <f t="shared" si="57"/>
        <v>4.7190653388888881</v>
      </c>
      <c r="AX326" s="9"/>
      <c r="AY326" s="22">
        <v>1.4912399999999999</v>
      </c>
      <c r="AZ326" s="22">
        <v>31.245100000000001</v>
      </c>
      <c r="BA326" s="22">
        <v>-1.3333100000000001E-2</v>
      </c>
      <c r="BB326" s="22">
        <v>316</v>
      </c>
      <c r="BC326" s="22">
        <v>1.49017</v>
      </c>
      <c r="BD326">
        <f t="shared" si="58"/>
        <v>16.460617283950615</v>
      </c>
      <c r="BE326">
        <f t="shared" si="59"/>
        <v>24.546730918518513</v>
      </c>
    </row>
    <row r="327" spans="6:57">
      <c r="F327" s="9"/>
      <c r="G327" s="22">
        <v>0.25375399999999998</v>
      </c>
      <c r="H327" s="22">
        <v>8.3868299999999998</v>
      </c>
      <c r="I327" s="22">
        <v>-1.47125E-2</v>
      </c>
      <c r="J327" s="22">
        <v>317</v>
      </c>
      <c r="K327" s="22">
        <v>0.25320399999999998</v>
      </c>
      <c r="L327">
        <f t="shared" si="48"/>
        <v>18.163580246913579</v>
      </c>
      <c r="M327">
        <f t="shared" si="49"/>
        <v>4.6090811419753077</v>
      </c>
      <c r="N327" s="9"/>
      <c r="O327" s="22">
        <v>1.4962800000000001</v>
      </c>
      <c r="P327" s="22">
        <v>12.306699999999999</v>
      </c>
      <c r="Q327" s="22">
        <v>-1.33057E-2</v>
      </c>
      <c r="R327" s="22">
        <v>317</v>
      </c>
      <c r="S327" s="22">
        <v>1.49597</v>
      </c>
      <c r="T327">
        <f t="shared" si="50"/>
        <v>16.42679012345679</v>
      </c>
      <c r="U327">
        <f t="shared" si="51"/>
        <v>24.579077525925928</v>
      </c>
      <c r="X327" s="9"/>
      <c r="Y327" s="22">
        <v>0.25375399999999998</v>
      </c>
      <c r="Z327" s="22">
        <v>17.8521</v>
      </c>
      <c r="AA327" s="22">
        <v>-1.47522E-2</v>
      </c>
      <c r="AB327" s="22">
        <v>317</v>
      </c>
      <c r="AC327" s="22">
        <v>0.253326</v>
      </c>
      <c r="AD327">
        <f t="shared" si="52"/>
        <v>18.212592592592593</v>
      </c>
      <c r="AE327">
        <f t="shared" si="53"/>
        <v>4.6215182207407404</v>
      </c>
      <c r="AF327" s="9"/>
      <c r="AG327" s="22">
        <v>1.4962800000000001</v>
      </c>
      <c r="AH327" s="22">
        <v>21.771999999999998</v>
      </c>
      <c r="AI327" s="22">
        <v>-1.33118E-2</v>
      </c>
      <c r="AJ327" s="22">
        <v>317</v>
      </c>
      <c r="AK327" s="22">
        <v>1.4950600000000001</v>
      </c>
      <c r="AL327">
        <f t="shared" si="54"/>
        <v>16.434320987654321</v>
      </c>
      <c r="AM327">
        <f t="shared" si="55"/>
        <v>24.590345807407406</v>
      </c>
      <c r="AP327" s="9"/>
      <c r="AQ327" s="22">
        <v>0.25375399999999998</v>
      </c>
      <c r="AR327" s="22">
        <v>27.3353</v>
      </c>
      <c r="AS327" s="22">
        <v>-1.4776600000000001E-2</v>
      </c>
      <c r="AT327" s="22">
        <v>317</v>
      </c>
      <c r="AU327" s="22">
        <v>0.25311299999999998</v>
      </c>
      <c r="AV327">
        <f t="shared" si="56"/>
        <v>18.242716049382715</v>
      </c>
      <c r="AW327">
        <f t="shared" si="57"/>
        <v>4.6291621683950606</v>
      </c>
      <c r="AX327" s="9"/>
      <c r="AY327" s="22">
        <v>1.4962800000000001</v>
      </c>
      <c r="AZ327" s="22">
        <v>31.255199999999999</v>
      </c>
      <c r="BA327" s="22">
        <v>-1.33087E-2</v>
      </c>
      <c r="BB327" s="22">
        <v>317</v>
      </c>
      <c r="BC327" s="22">
        <v>1.49536</v>
      </c>
      <c r="BD327">
        <f t="shared" si="58"/>
        <v>16.430493827160493</v>
      </c>
      <c r="BE327">
        <f t="shared" si="59"/>
        <v>24.584619303703704</v>
      </c>
    </row>
    <row r="328" spans="6:57">
      <c r="F328" s="9"/>
      <c r="G328" s="22">
        <v>0.24871799999999999</v>
      </c>
      <c r="H328" s="22">
        <v>8.3969000000000005</v>
      </c>
      <c r="I328" s="22">
        <v>-1.47125E-2</v>
      </c>
      <c r="J328" s="22">
        <v>318</v>
      </c>
      <c r="K328" s="22">
        <v>0.24798600000000001</v>
      </c>
      <c r="L328">
        <f t="shared" si="48"/>
        <v>18.163580246913579</v>
      </c>
      <c r="M328">
        <f t="shared" si="49"/>
        <v>4.5176093518518519</v>
      </c>
      <c r="N328" s="9"/>
      <c r="O328" s="22">
        <v>1.5013099999999999</v>
      </c>
      <c r="P328" s="22">
        <v>12.316800000000001</v>
      </c>
      <c r="Q328" s="22">
        <v>-1.32782E-2</v>
      </c>
      <c r="R328" s="22">
        <v>318</v>
      </c>
      <c r="S328" s="22">
        <v>1.50024</v>
      </c>
      <c r="T328">
        <f t="shared" si="50"/>
        <v>16.392839506172837</v>
      </c>
      <c r="U328">
        <f t="shared" si="51"/>
        <v>24.61073387901234</v>
      </c>
      <c r="X328" s="9"/>
      <c r="Y328" s="22">
        <v>0.24871799999999999</v>
      </c>
      <c r="Z328" s="22">
        <v>17.862100000000002</v>
      </c>
      <c r="AA328" s="22">
        <v>-1.47583E-2</v>
      </c>
      <c r="AB328" s="22">
        <v>318</v>
      </c>
      <c r="AC328" s="22">
        <v>0.24807699999999999</v>
      </c>
      <c r="AD328">
        <f t="shared" si="52"/>
        <v>18.22012345679012</v>
      </c>
      <c r="AE328">
        <f t="shared" si="53"/>
        <v>4.5316726659259245</v>
      </c>
      <c r="AF328" s="9"/>
      <c r="AG328" s="22">
        <v>1.5013099999999999</v>
      </c>
      <c r="AH328" s="22">
        <v>21.7821</v>
      </c>
      <c r="AI328" s="22">
        <v>-1.3281299999999999E-2</v>
      </c>
      <c r="AJ328" s="22">
        <v>318</v>
      </c>
      <c r="AK328" s="22">
        <v>1.50024</v>
      </c>
      <c r="AL328">
        <f t="shared" si="54"/>
        <v>16.396666666666665</v>
      </c>
      <c r="AM328">
        <f t="shared" si="55"/>
        <v>24.616479633333331</v>
      </c>
      <c r="AP328" s="9"/>
      <c r="AQ328" s="22">
        <v>0.24871799999999999</v>
      </c>
      <c r="AR328" s="22">
        <v>27.345400000000001</v>
      </c>
      <c r="AS328" s="22">
        <v>-1.4782699999999999E-2</v>
      </c>
      <c r="AT328" s="22">
        <v>318</v>
      </c>
      <c r="AU328" s="22">
        <v>0.24804699999999999</v>
      </c>
      <c r="AV328">
        <f t="shared" si="56"/>
        <v>18.250246913580245</v>
      </c>
      <c r="AW328">
        <f t="shared" si="57"/>
        <v>4.5391649118518513</v>
      </c>
      <c r="AX328" s="9"/>
      <c r="AY328" s="22">
        <v>1.5013099999999999</v>
      </c>
      <c r="AZ328" s="22">
        <v>31.2653</v>
      </c>
      <c r="BA328" s="22">
        <v>-1.32782E-2</v>
      </c>
      <c r="BB328" s="22">
        <v>318</v>
      </c>
      <c r="BC328" s="22">
        <v>1.5005500000000001</v>
      </c>
      <c r="BD328">
        <f t="shared" si="58"/>
        <v>16.392839506172837</v>
      </c>
      <c r="BE328">
        <f t="shared" si="59"/>
        <v>24.61073387901234</v>
      </c>
    </row>
    <row r="329" spans="6:57">
      <c r="F329" s="9"/>
      <c r="G329" s="22">
        <v>0.24368300000000001</v>
      </c>
      <c r="H329" s="22">
        <v>8.4069699999999994</v>
      </c>
      <c r="I329" s="22">
        <v>-1.4715600000000001E-2</v>
      </c>
      <c r="J329" s="22">
        <v>319</v>
      </c>
      <c r="K329" s="22">
        <v>0.24307300000000001</v>
      </c>
      <c r="L329">
        <f t="shared" si="48"/>
        <v>18.167407407407406</v>
      </c>
      <c r="M329">
        <f t="shared" si="49"/>
        <v>4.4270883392592593</v>
      </c>
      <c r="N329" s="9"/>
      <c r="O329" s="22">
        <v>1.5063500000000001</v>
      </c>
      <c r="P329" s="22">
        <v>12.3269</v>
      </c>
      <c r="Q329" s="22">
        <v>-1.32538E-2</v>
      </c>
      <c r="R329" s="22">
        <v>319</v>
      </c>
      <c r="S329" s="22">
        <v>1.50543</v>
      </c>
      <c r="T329">
        <f t="shared" si="50"/>
        <v>16.362716049382716</v>
      </c>
      <c r="U329">
        <f t="shared" si="51"/>
        <v>24.647977320987653</v>
      </c>
      <c r="X329" s="9"/>
      <c r="Y329" s="22">
        <v>0.24368300000000001</v>
      </c>
      <c r="Z329" s="22">
        <v>17.872199999999999</v>
      </c>
      <c r="AA329" s="22">
        <v>-1.4770500000000001E-2</v>
      </c>
      <c r="AB329" s="22">
        <v>319</v>
      </c>
      <c r="AC329" s="22">
        <v>0.243011</v>
      </c>
      <c r="AD329">
        <f t="shared" si="52"/>
        <v>18.235185185185184</v>
      </c>
      <c r="AE329">
        <f t="shared" si="53"/>
        <v>4.443604631481481</v>
      </c>
      <c r="AF329" s="9"/>
      <c r="AG329" s="22">
        <v>1.5063500000000001</v>
      </c>
      <c r="AH329" s="22">
        <v>21.792100000000001</v>
      </c>
      <c r="AI329" s="22">
        <v>-1.3256799999999999E-2</v>
      </c>
      <c r="AJ329" s="22">
        <v>319</v>
      </c>
      <c r="AK329" s="22">
        <v>1.50543</v>
      </c>
      <c r="AL329">
        <f t="shared" si="54"/>
        <v>16.366419753086415</v>
      </c>
      <c r="AM329">
        <f t="shared" si="55"/>
        <v>24.653556395061724</v>
      </c>
      <c r="AP329" s="9"/>
      <c r="AQ329" s="22">
        <v>0.24368300000000001</v>
      </c>
      <c r="AR329" s="22">
        <v>27.355399999999999</v>
      </c>
      <c r="AS329" s="22">
        <v>-1.47919E-2</v>
      </c>
      <c r="AT329" s="22">
        <v>319</v>
      </c>
      <c r="AU329" s="22">
        <v>0.24310300000000001</v>
      </c>
      <c r="AV329">
        <f t="shared" si="56"/>
        <v>18.261604938271603</v>
      </c>
      <c r="AW329">
        <f t="shared" si="57"/>
        <v>4.4500426761728393</v>
      </c>
      <c r="AX329" s="9"/>
      <c r="AY329" s="22">
        <v>1.5063500000000001</v>
      </c>
      <c r="AZ329" s="22">
        <v>31.275300000000001</v>
      </c>
      <c r="BA329" s="22">
        <v>-1.32538E-2</v>
      </c>
      <c r="BB329" s="22">
        <v>319</v>
      </c>
      <c r="BC329" s="22">
        <v>1.50543</v>
      </c>
      <c r="BD329">
        <f t="shared" si="58"/>
        <v>16.362716049382716</v>
      </c>
      <c r="BE329">
        <f t="shared" si="59"/>
        <v>24.647977320987653</v>
      </c>
    </row>
    <row r="330" spans="6:57">
      <c r="F330" s="9"/>
      <c r="G330" s="22">
        <v>0.238647</v>
      </c>
      <c r="H330" s="22">
        <v>8.4170400000000001</v>
      </c>
      <c r="I330" s="22">
        <v>-1.4721700000000001E-2</v>
      </c>
      <c r="J330" s="22">
        <v>320</v>
      </c>
      <c r="K330" s="22">
        <v>0.238098</v>
      </c>
      <c r="L330">
        <f t="shared" si="48"/>
        <v>18.174938271604937</v>
      </c>
      <c r="M330">
        <f t="shared" si="49"/>
        <v>4.3373944937037034</v>
      </c>
      <c r="N330" s="9"/>
      <c r="O330" s="22">
        <v>1.5113799999999999</v>
      </c>
      <c r="P330" s="22">
        <v>12.3369</v>
      </c>
      <c r="Q330" s="22">
        <v>-1.32263E-2</v>
      </c>
      <c r="R330" s="22">
        <v>320</v>
      </c>
      <c r="S330" s="22">
        <v>1.5106200000000001</v>
      </c>
      <c r="T330">
        <f t="shared" si="50"/>
        <v>16.328765432098766</v>
      </c>
      <c r="U330">
        <f t="shared" si="51"/>
        <v>24.678969498765433</v>
      </c>
      <c r="X330" s="9"/>
      <c r="Y330" s="22">
        <v>0.238647</v>
      </c>
      <c r="Z330" s="22">
        <v>17.882300000000001</v>
      </c>
      <c r="AA330" s="22">
        <v>-1.4782699999999999E-2</v>
      </c>
      <c r="AB330" s="22">
        <v>320</v>
      </c>
      <c r="AC330" s="22">
        <v>0.238068</v>
      </c>
      <c r="AD330">
        <f t="shared" si="52"/>
        <v>18.250246913580245</v>
      </c>
      <c r="AE330">
        <f t="shared" si="53"/>
        <v>4.3553666751851843</v>
      </c>
      <c r="AF330" s="9"/>
      <c r="AG330" s="22">
        <v>1.5113799999999999</v>
      </c>
      <c r="AH330" s="22">
        <v>21.802199999999999</v>
      </c>
      <c r="AI330" s="22">
        <v>-1.32202E-2</v>
      </c>
      <c r="AJ330" s="22">
        <v>320</v>
      </c>
      <c r="AK330" s="22">
        <v>1.5106200000000001</v>
      </c>
      <c r="AL330">
        <f t="shared" si="54"/>
        <v>16.321234567901232</v>
      </c>
      <c r="AM330">
        <f t="shared" si="55"/>
        <v>24.667587501234564</v>
      </c>
      <c r="AP330" s="9"/>
      <c r="AQ330" s="22">
        <v>0.238647</v>
      </c>
      <c r="AR330" s="22">
        <v>27.365500000000001</v>
      </c>
      <c r="AS330" s="22">
        <v>-1.4798E-2</v>
      </c>
      <c r="AT330" s="22">
        <v>320</v>
      </c>
      <c r="AU330" s="22">
        <v>0.23797599999999999</v>
      </c>
      <c r="AV330">
        <f t="shared" si="56"/>
        <v>18.269135802469137</v>
      </c>
      <c r="AW330">
        <f t="shared" si="57"/>
        <v>4.3598744518518524</v>
      </c>
      <c r="AX330" s="9"/>
      <c r="AY330" s="22">
        <v>1.5113799999999999</v>
      </c>
      <c r="AZ330" s="22">
        <v>31.285399999999999</v>
      </c>
      <c r="BA330" s="22">
        <v>-1.32263E-2</v>
      </c>
      <c r="BB330" s="22">
        <v>320</v>
      </c>
      <c r="BC330" s="22">
        <v>1.51031</v>
      </c>
      <c r="BD330">
        <f t="shared" si="58"/>
        <v>16.328765432098766</v>
      </c>
      <c r="BE330">
        <f t="shared" si="59"/>
        <v>24.678969498765433</v>
      </c>
    </row>
    <row r="331" spans="6:57">
      <c r="F331" s="9"/>
      <c r="G331" s="22">
        <v>0.23361199999999999</v>
      </c>
      <c r="H331" s="22">
        <v>8.4271200000000004</v>
      </c>
      <c r="I331" s="22">
        <v>-1.4727799999999999E-2</v>
      </c>
      <c r="J331" s="22">
        <v>321</v>
      </c>
      <c r="K331" s="22">
        <v>0.23300199999999999</v>
      </c>
      <c r="L331">
        <f t="shared" si="48"/>
        <v>18.182469135802467</v>
      </c>
      <c r="M331">
        <f t="shared" si="49"/>
        <v>4.2476429797530857</v>
      </c>
      <c r="N331" s="9"/>
      <c r="O331" s="22">
        <v>1.5164200000000001</v>
      </c>
      <c r="P331" s="22">
        <v>12.347</v>
      </c>
      <c r="Q331" s="22">
        <v>-1.3195800000000001E-2</v>
      </c>
      <c r="R331" s="22">
        <v>321</v>
      </c>
      <c r="S331" s="22">
        <v>1.5161100000000001</v>
      </c>
      <c r="T331">
        <f t="shared" si="50"/>
        <v>16.29111111111111</v>
      </c>
      <c r="U331">
        <f t="shared" si="51"/>
        <v>24.70416671111111</v>
      </c>
      <c r="X331" s="9"/>
      <c r="Y331" s="22">
        <v>0.23361199999999999</v>
      </c>
      <c r="Z331" s="22">
        <v>17.892299999999999</v>
      </c>
      <c r="AA331" s="22">
        <v>-1.47888E-2</v>
      </c>
      <c r="AB331" s="22">
        <v>321</v>
      </c>
      <c r="AC331" s="22">
        <v>0.23309299999999999</v>
      </c>
      <c r="AD331">
        <f t="shared" si="52"/>
        <v>18.257777777777775</v>
      </c>
      <c r="AE331">
        <f t="shared" si="53"/>
        <v>4.2652359822222214</v>
      </c>
      <c r="AF331" s="9"/>
      <c r="AG331" s="22">
        <v>1.5164200000000001</v>
      </c>
      <c r="AH331" s="22">
        <v>21.8123</v>
      </c>
      <c r="AI331" s="22">
        <v>-1.3195800000000001E-2</v>
      </c>
      <c r="AJ331" s="22">
        <v>321</v>
      </c>
      <c r="AK331" s="22">
        <v>1.5158100000000001</v>
      </c>
      <c r="AL331">
        <f t="shared" si="54"/>
        <v>16.29111111111111</v>
      </c>
      <c r="AM331">
        <f t="shared" si="55"/>
        <v>24.70416671111111</v>
      </c>
      <c r="AP331" s="9"/>
      <c r="AQ331" s="22">
        <v>0.23361199999999999</v>
      </c>
      <c r="AR331" s="22">
        <v>27.375599999999999</v>
      </c>
      <c r="AS331" s="22">
        <v>-1.4804100000000001E-2</v>
      </c>
      <c r="AT331" s="22">
        <v>321</v>
      </c>
      <c r="AU331" s="22">
        <v>0.233185</v>
      </c>
      <c r="AV331">
        <f t="shared" si="56"/>
        <v>18.276666666666667</v>
      </c>
      <c r="AW331">
        <f t="shared" si="57"/>
        <v>4.2696486533333333</v>
      </c>
      <c r="AX331" s="9"/>
      <c r="AY331" s="22">
        <v>1.5164200000000001</v>
      </c>
      <c r="AZ331" s="22">
        <v>31.295500000000001</v>
      </c>
      <c r="BA331" s="22">
        <v>-1.3195800000000001E-2</v>
      </c>
      <c r="BB331" s="22">
        <v>321</v>
      </c>
      <c r="BC331" s="22">
        <v>1.5152000000000001</v>
      </c>
      <c r="BD331">
        <f t="shared" si="58"/>
        <v>16.29111111111111</v>
      </c>
      <c r="BE331">
        <f t="shared" si="59"/>
        <v>24.70416671111111</v>
      </c>
    </row>
    <row r="332" spans="6:57">
      <c r="F332" s="9"/>
      <c r="G332" s="22">
        <v>0.228577</v>
      </c>
      <c r="H332" s="22">
        <v>8.4371899999999993</v>
      </c>
      <c r="I332" s="22">
        <v>-1.47308E-2</v>
      </c>
      <c r="J332" s="22">
        <v>322</v>
      </c>
      <c r="K332" s="22">
        <v>0.22802700000000001</v>
      </c>
      <c r="L332">
        <f t="shared" ref="L332:L395" si="60">-I332/$F$2*1000</f>
        <v>18.186172839506174</v>
      </c>
      <c r="M332">
        <f t="shared" ref="M332:M395" si="61">L332*G332</f>
        <v>4.1569408291358023</v>
      </c>
      <c r="N332" s="9"/>
      <c r="O332" s="22">
        <v>1.52145</v>
      </c>
      <c r="P332" s="22">
        <v>12.357100000000001</v>
      </c>
      <c r="Q332" s="22">
        <v>-1.31653E-2</v>
      </c>
      <c r="R332" s="22">
        <v>322</v>
      </c>
      <c r="S332" s="22">
        <v>1.5209999999999999</v>
      </c>
      <c r="T332">
        <f t="shared" ref="T332:T395" si="62">-Q332/$F$2*1000</f>
        <v>16.253456790123455</v>
      </c>
      <c r="U332">
        <f t="shared" ref="U332:U395" si="63">T332*O332</f>
        <v>24.728821833333331</v>
      </c>
      <c r="X332" s="9"/>
      <c r="Y332" s="22">
        <v>0.228577</v>
      </c>
      <c r="Z332" s="22">
        <v>17.9024</v>
      </c>
      <c r="AA332" s="22">
        <v>-1.47949E-2</v>
      </c>
      <c r="AB332" s="22">
        <v>322</v>
      </c>
      <c r="AC332" s="22">
        <v>0.22808800000000001</v>
      </c>
      <c r="AD332">
        <f t="shared" ref="AD332:AD395" si="64">-AA332/$F$2*1000</f>
        <v>18.265308641975306</v>
      </c>
      <c r="AE332">
        <f t="shared" ref="AE332:AE395" si="65">AD332*Y332</f>
        <v>4.1750294534567898</v>
      </c>
      <c r="AF332" s="9"/>
      <c r="AG332" s="22">
        <v>1.52145</v>
      </c>
      <c r="AH332" s="22">
        <v>21.822299999999998</v>
      </c>
      <c r="AI332" s="22">
        <v>-1.31653E-2</v>
      </c>
      <c r="AJ332" s="22">
        <v>322</v>
      </c>
      <c r="AK332" s="22">
        <v>1.5206900000000001</v>
      </c>
      <c r="AL332">
        <f t="shared" ref="AL332:AL395" si="66">-AI332/$F$2*1000</f>
        <v>16.253456790123455</v>
      </c>
      <c r="AM332">
        <f t="shared" ref="AM332:AM395" si="67">AL332*AG332</f>
        <v>24.728821833333331</v>
      </c>
      <c r="AP332" s="9"/>
      <c r="AQ332" s="22">
        <v>0.228577</v>
      </c>
      <c r="AR332" s="22">
        <v>27.3856</v>
      </c>
      <c r="AS332" s="22">
        <v>-1.4804100000000001E-2</v>
      </c>
      <c r="AT332" s="22">
        <v>322</v>
      </c>
      <c r="AU332" s="22">
        <v>0.227936</v>
      </c>
      <c r="AV332">
        <f t="shared" ref="AV332:AV395" si="68">-AS332/$F$2*1000</f>
        <v>18.276666666666667</v>
      </c>
      <c r="AW332">
        <f t="shared" ref="AW332:AW395" si="69">AV332*AQ332</f>
        <v>4.1776256366666669</v>
      </c>
      <c r="AX332" s="9"/>
      <c r="AY332" s="22">
        <v>1.52145</v>
      </c>
      <c r="AZ332" s="22">
        <v>31.305499999999999</v>
      </c>
      <c r="BA332" s="22">
        <v>-1.3168300000000001E-2</v>
      </c>
      <c r="BB332" s="22">
        <v>322</v>
      </c>
      <c r="BC332" s="22">
        <v>1.5200800000000001</v>
      </c>
      <c r="BD332">
        <f t="shared" ref="BD332:BD395" si="70">-BA332/$F$2*1000</f>
        <v>16.257160493827158</v>
      </c>
      <c r="BE332">
        <f t="shared" ref="BE332:BE395" si="71">BD332*AY332</f>
        <v>24.734456833333329</v>
      </c>
    </row>
    <row r="333" spans="6:57">
      <c r="F333" s="9"/>
      <c r="G333" s="22">
        <v>0.22354099999999999</v>
      </c>
      <c r="H333" s="22">
        <v>8.44726</v>
      </c>
      <c r="I333" s="22">
        <v>-1.4733899999999999E-2</v>
      </c>
      <c r="J333" s="22">
        <v>323</v>
      </c>
      <c r="K333" s="22">
        <v>0.22289999999999999</v>
      </c>
      <c r="L333">
        <f t="shared" si="60"/>
        <v>18.189999999999998</v>
      </c>
      <c r="M333">
        <f t="shared" si="61"/>
        <v>4.0662107899999995</v>
      </c>
      <c r="N333" s="9"/>
      <c r="O333" s="22">
        <v>1.5264899999999999</v>
      </c>
      <c r="P333" s="22">
        <v>12.3672</v>
      </c>
      <c r="Q333" s="22">
        <v>-1.31287E-2</v>
      </c>
      <c r="R333" s="22">
        <v>323</v>
      </c>
      <c r="S333" s="22">
        <v>1.5258799999999999</v>
      </c>
      <c r="T333">
        <f t="shared" si="62"/>
        <v>16.208271604938268</v>
      </c>
      <c r="U333">
        <f t="shared" si="63"/>
        <v>24.741764522222216</v>
      </c>
      <c r="X333" s="9"/>
      <c r="Y333" s="22">
        <v>0.22354099999999999</v>
      </c>
      <c r="Z333" s="22">
        <v>17.912500000000001</v>
      </c>
      <c r="AA333" s="22">
        <v>-1.4798E-2</v>
      </c>
      <c r="AB333" s="22">
        <v>323</v>
      </c>
      <c r="AC333" s="22">
        <v>0.22296099999999999</v>
      </c>
      <c r="AD333">
        <f t="shared" si="64"/>
        <v>18.269135802469137</v>
      </c>
      <c r="AE333">
        <f t="shared" si="65"/>
        <v>4.0839008864197535</v>
      </c>
      <c r="AF333" s="9"/>
      <c r="AG333" s="22">
        <v>1.5264899999999999</v>
      </c>
      <c r="AH333" s="22">
        <v>21.8324</v>
      </c>
      <c r="AI333" s="22">
        <v>-1.31348E-2</v>
      </c>
      <c r="AJ333" s="22">
        <v>323</v>
      </c>
      <c r="AK333" s="22">
        <v>1.5252699999999999</v>
      </c>
      <c r="AL333">
        <f t="shared" si="66"/>
        <v>16.215802469135802</v>
      </c>
      <c r="AM333">
        <f t="shared" si="67"/>
        <v>24.753260311111109</v>
      </c>
      <c r="AP333" s="9"/>
      <c r="AQ333" s="22">
        <v>0.22354099999999999</v>
      </c>
      <c r="AR333" s="22">
        <v>27.395700000000001</v>
      </c>
      <c r="AS333" s="22">
        <v>-1.4810200000000001E-2</v>
      </c>
      <c r="AT333" s="22">
        <v>323</v>
      </c>
      <c r="AU333" s="22">
        <v>0.22296099999999999</v>
      </c>
      <c r="AV333">
        <f t="shared" si="68"/>
        <v>18.284197530864198</v>
      </c>
      <c r="AW333">
        <f t="shared" si="69"/>
        <v>4.0872678002469138</v>
      </c>
      <c r="AX333" s="9"/>
      <c r="AY333" s="22">
        <v>1.5264899999999999</v>
      </c>
      <c r="AZ333" s="22">
        <v>31.3156</v>
      </c>
      <c r="BA333" s="22">
        <v>-1.3125599999999999E-2</v>
      </c>
      <c r="BB333" s="22">
        <v>323</v>
      </c>
      <c r="BC333" s="22">
        <v>1.5261800000000001</v>
      </c>
      <c r="BD333">
        <f t="shared" si="70"/>
        <v>16.204444444444441</v>
      </c>
      <c r="BE333">
        <f t="shared" si="71"/>
        <v>24.735922399999993</v>
      </c>
    </row>
    <row r="334" spans="6:57">
      <c r="F334" s="9"/>
      <c r="G334" s="22">
        <v>0.21850600000000001</v>
      </c>
      <c r="H334" s="22">
        <v>8.4573300000000007</v>
      </c>
      <c r="I334" s="22">
        <v>-1.4736900000000001E-2</v>
      </c>
      <c r="J334" s="22">
        <v>324</v>
      </c>
      <c r="K334" s="22">
        <v>0.21777299999999999</v>
      </c>
      <c r="L334">
        <f t="shared" si="60"/>
        <v>18.193703703703704</v>
      </c>
      <c r="M334">
        <f t="shared" si="61"/>
        <v>3.9754334214814819</v>
      </c>
      <c r="N334" s="9"/>
      <c r="O334" s="22">
        <v>1.53152</v>
      </c>
      <c r="P334" s="22">
        <v>12.3772</v>
      </c>
      <c r="Q334" s="22">
        <v>-1.3091999999999999E-2</v>
      </c>
      <c r="R334" s="22">
        <v>324</v>
      </c>
      <c r="S334" s="22">
        <v>1.5304599999999999</v>
      </c>
      <c r="T334">
        <f t="shared" si="62"/>
        <v>16.162962962962961</v>
      </c>
      <c r="U334">
        <f t="shared" si="63"/>
        <v>24.753901037037036</v>
      </c>
      <c r="X334" s="9"/>
      <c r="Y334" s="22">
        <v>0.21850600000000001</v>
      </c>
      <c r="Z334" s="22">
        <v>17.922499999999999</v>
      </c>
      <c r="AA334" s="22">
        <v>-1.4801E-2</v>
      </c>
      <c r="AB334" s="22">
        <v>324</v>
      </c>
      <c r="AC334" s="22">
        <v>0.217834</v>
      </c>
      <c r="AD334">
        <f t="shared" si="64"/>
        <v>18.27283950617284</v>
      </c>
      <c r="AE334">
        <f t="shared" si="65"/>
        <v>3.9927250691358025</v>
      </c>
      <c r="AF334" s="9"/>
      <c r="AG334" s="22">
        <v>1.53152</v>
      </c>
      <c r="AH334" s="22">
        <v>21.842500000000001</v>
      </c>
      <c r="AI334" s="22">
        <v>-1.31012E-2</v>
      </c>
      <c r="AJ334" s="22">
        <v>324</v>
      </c>
      <c r="AK334" s="22">
        <v>1.5304599999999999</v>
      </c>
      <c r="AL334">
        <f t="shared" si="66"/>
        <v>16.174320987654323</v>
      </c>
      <c r="AM334">
        <f t="shared" si="67"/>
        <v>24.771296079012348</v>
      </c>
      <c r="AP334" s="9"/>
      <c r="AQ334" s="22">
        <v>0.21850600000000001</v>
      </c>
      <c r="AR334" s="22">
        <v>27.405799999999999</v>
      </c>
      <c r="AS334" s="22">
        <v>-1.48132E-2</v>
      </c>
      <c r="AT334" s="22">
        <v>324</v>
      </c>
      <c r="AU334" s="22">
        <v>0.21795700000000001</v>
      </c>
      <c r="AV334">
        <f t="shared" si="68"/>
        <v>18.287901234567901</v>
      </c>
      <c r="AW334">
        <f t="shared" si="69"/>
        <v>3.996016147160494</v>
      </c>
      <c r="AX334" s="9"/>
      <c r="AY334" s="22">
        <v>1.53152</v>
      </c>
      <c r="AZ334" s="22">
        <v>31.325700000000001</v>
      </c>
      <c r="BA334" s="22">
        <v>-1.3091999999999999E-2</v>
      </c>
      <c r="BB334" s="22">
        <v>324</v>
      </c>
      <c r="BC334" s="22">
        <v>1.5304599999999999</v>
      </c>
      <c r="BD334">
        <f t="shared" si="70"/>
        <v>16.162962962962961</v>
      </c>
      <c r="BE334">
        <f t="shared" si="71"/>
        <v>24.753901037037036</v>
      </c>
    </row>
    <row r="335" spans="6:57">
      <c r="F335" s="9"/>
      <c r="G335" s="22">
        <v>0.21346999999999999</v>
      </c>
      <c r="H335" s="22">
        <v>8.4673999999999996</v>
      </c>
      <c r="I335" s="22">
        <v>-1.474E-2</v>
      </c>
      <c r="J335" s="22">
        <v>325</v>
      </c>
      <c r="K335" s="22">
        <v>0.212952</v>
      </c>
      <c r="L335">
        <f t="shared" si="60"/>
        <v>18.197530864197528</v>
      </c>
      <c r="M335">
        <f t="shared" si="61"/>
        <v>3.884626913580246</v>
      </c>
      <c r="N335" s="9"/>
      <c r="O335" s="22">
        <v>1.5365599999999999</v>
      </c>
      <c r="P335" s="22">
        <v>12.3873</v>
      </c>
      <c r="Q335" s="22">
        <v>-1.3058500000000001E-2</v>
      </c>
      <c r="R335" s="22">
        <v>325</v>
      </c>
      <c r="S335" s="22">
        <v>1.5356399999999999</v>
      </c>
      <c r="T335">
        <f t="shared" si="62"/>
        <v>16.121604938271602</v>
      </c>
      <c r="U335">
        <f t="shared" si="63"/>
        <v>24.77181328395061</v>
      </c>
      <c r="X335" s="9"/>
      <c r="Y335" s="22">
        <v>0.21346999999999999</v>
      </c>
      <c r="Z335" s="22">
        <v>17.932600000000001</v>
      </c>
      <c r="AA335" s="22">
        <v>-1.4810200000000001E-2</v>
      </c>
      <c r="AB335" s="22">
        <v>325</v>
      </c>
      <c r="AC335" s="22">
        <v>0.21307400000000001</v>
      </c>
      <c r="AD335">
        <f t="shared" si="64"/>
        <v>18.284197530864198</v>
      </c>
      <c r="AE335">
        <f t="shared" si="65"/>
        <v>3.9031276469135801</v>
      </c>
      <c r="AF335" s="9"/>
      <c r="AG335" s="22">
        <v>1.5365599999999999</v>
      </c>
      <c r="AH335" s="22">
        <v>21.852599999999999</v>
      </c>
      <c r="AI335" s="22">
        <v>-1.30676E-2</v>
      </c>
      <c r="AJ335" s="22">
        <v>325</v>
      </c>
      <c r="AK335" s="22">
        <v>1.5356399999999999</v>
      </c>
      <c r="AL335">
        <f t="shared" si="66"/>
        <v>16.132839506172839</v>
      </c>
      <c r="AM335">
        <f t="shared" si="67"/>
        <v>24.789075871604936</v>
      </c>
      <c r="AP335" s="9"/>
      <c r="AQ335" s="22">
        <v>0.21346999999999999</v>
      </c>
      <c r="AR335" s="22">
        <v>27.415900000000001</v>
      </c>
      <c r="AS335" s="22">
        <v>-1.4816299999999999E-2</v>
      </c>
      <c r="AT335" s="22">
        <v>325</v>
      </c>
      <c r="AU335" s="22">
        <v>0.212952</v>
      </c>
      <c r="AV335">
        <f t="shared" si="68"/>
        <v>18.291728395061728</v>
      </c>
      <c r="AW335">
        <f t="shared" si="69"/>
        <v>3.904735260493827</v>
      </c>
      <c r="AX335" s="9"/>
      <c r="AY335" s="22">
        <v>1.5365599999999999</v>
      </c>
      <c r="AZ335" s="22">
        <v>31.335699999999999</v>
      </c>
      <c r="BA335" s="22">
        <v>-1.30493E-2</v>
      </c>
      <c r="BB335" s="22">
        <v>325</v>
      </c>
      <c r="BC335" s="22">
        <v>1.5356399999999999</v>
      </c>
      <c r="BD335">
        <f t="shared" si="70"/>
        <v>16.110246913580244</v>
      </c>
      <c r="BE335">
        <f t="shared" si="71"/>
        <v>24.75436099753086</v>
      </c>
    </row>
    <row r="336" spans="6:57">
      <c r="F336" s="9"/>
      <c r="G336" s="22">
        <v>0.20843500000000001</v>
      </c>
      <c r="H336" s="22">
        <v>8.4774700000000003</v>
      </c>
      <c r="I336" s="22">
        <v>-1.4742999999999999E-2</v>
      </c>
      <c r="J336" s="22">
        <v>326</v>
      </c>
      <c r="K336" s="22">
        <v>0.20813000000000001</v>
      </c>
      <c r="L336">
        <f t="shared" si="60"/>
        <v>18.201234567901235</v>
      </c>
      <c r="M336">
        <f t="shared" si="61"/>
        <v>3.7937743271604942</v>
      </c>
      <c r="N336" s="9"/>
      <c r="O336" s="22">
        <v>1.5416000000000001</v>
      </c>
      <c r="P336" s="22">
        <v>12.397399999999999</v>
      </c>
      <c r="Q336" s="22">
        <v>-1.3028E-2</v>
      </c>
      <c r="R336" s="22">
        <v>326</v>
      </c>
      <c r="S336" s="22">
        <v>1.54053</v>
      </c>
      <c r="T336">
        <f t="shared" si="62"/>
        <v>16.08395061728395</v>
      </c>
      <c r="U336">
        <f t="shared" si="63"/>
        <v>24.795018271604938</v>
      </c>
      <c r="X336" s="9"/>
      <c r="Y336" s="22">
        <v>0.20843500000000001</v>
      </c>
      <c r="Z336" s="22">
        <v>17.942699999999999</v>
      </c>
      <c r="AA336" s="22">
        <v>-1.4810200000000001E-2</v>
      </c>
      <c r="AB336" s="22">
        <v>326</v>
      </c>
      <c r="AC336" s="22">
        <v>0.207733</v>
      </c>
      <c r="AD336">
        <f t="shared" si="64"/>
        <v>18.284197530864198</v>
      </c>
      <c r="AE336">
        <f t="shared" si="65"/>
        <v>3.8110667123456792</v>
      </c>
      <c r="AF336" s="9"/>
      <c r="AG336" s="22">
        <v>1.5416000000000001</v>
      </c>
      <c r="AH336" s="22">
        <v>21.8626</v>
      </c>
      <c r="AI336" s="22">
        <v>-1.3030999999999999E-2</v>
      </c>
      <c r="AJ336" s="22">
        <v>326</v>
      </c>
      <c r="AK336" s="22">
        <v>1.5408299999999999</v>
      </c>
      <c r="AL336">
        <f t="shared" si="66"/>
        <v>16.087654320987653</v>
      </c>
      <c r="AM336">
        <f t="shared" si="67"/>
        <v>24.800727901234566</v>
      </c>
      <c r="AP336" s="9"/>
      <c r="AQ336" s="22">
        <v>0.20843500000000001</v>
      </c>
      <c r="AR336" s="22">
        <v>27.425899999999999</v>
      </c>
      <c r="AS336" s="22">
        <v>-1.4822399999999999E-2</v>
      </c>
      <c r="AT336" s="22">
        <v>326</v>
      </c>
      <c r="AU336" s="22">
        <v>0.207977</v>
      </c>
      <c r="AV336">
        <f t="shared" si="68"/>
        <v>18.299259259259259</v>
      </c>
      <c r="AW336">
        <f t="shared" si="69"/>
        <v>3.8142061037037038</v>
      </c>
      <c r="AX336" s="9"/>
      <c r="AY336" s="22">
        <v>1.5416000000000001</v>
      </c>
      <c r="AZ336" s="22">
        <v>31.345800000000001</v>
      </c>
      <c r="BA336" s="22">
        <v>-1.30066E-2</v>
      </c>
      <c r="BB336" s="22">
        <v>326</v>
      </c>
      <c r="BC336" s="22">
        <v>1.54053</v>
      </c>
      <c r="BD336">
        <f t="shared" si="70"/>
        <v>16.057530864197531</v>
      </c>
      <c r="BE336">
        <f t="shared" si="71"/>
        <v>24.754289580246915</v>
      </c>
    </row>
    <row r="337" spans="6:57">
      <c r="F337" s="9"/>
      <c r="G337" s="22">
        <v>0.2034</v>
      </c>
      <c r="H337" s="22">
        <v>8.4875399999999992</v>
      </c>
      <c r="I337" s="22">
        <v>-1.47461E-2</v>
      </c>
      <c r="J337" s="22">
        <v>327</v>
      </c>
      <c r="K337" s="22">
        <v>0.20294200000000001</v>
      </c>
      <c r="L337">
        <f t="shared" si="60"/>
        <v>18.205061728395062</v>
      </c>
      <c r="M337">
        <f t="shared" si="61"/>
        <v>3.7029095555555558</v>
      </c>
      <c r="N337" s="9"/>
      <c r="O337" s="22">
        <v>1.5466299999999999</v>
      </c>
      <c r="P337" s="22">
        <v>12.407400000000001</v>
      </c>
      <c r="Q337" s="22">
        <v>-1.2988299999999999E-2</v>
      </c>
      <c r="R337" s="22">
        <v>327</v>
      </c>
      <c r="S337" s="22">
        <v>1.54541</v>
      </c>
      <c r="T337">
        <f t="shared" si="62"/>
        <v>16.034938271604936</v>
      </c>
      <c r="U337">
        <f t="shared" si="63"/>
        <v>24.800116579012343</v>
      </c>
      <c r="X337" s="9"/>
      <c r="Y337" s="22">
        <v>0.2034</v>
      </c>
      <c r="Z337" s="22">
        <v>17.9528</v>
      </c>
      <c r="AA337" s="22">
        <v>-1.4816299999999999E-2</v>
      </c>
      <c r="AB337" s="22">
        <v>327</v>
      </c>
      <c r="AC337" s="22">
        <v>0.20282</v>
      </c>
      <c r="AD337">
        <f t="shared" si="64"/>
        <v>18.291728395061728</v>
      </c>
      <c r="AE337">
        <f t="shared" si="65"/>
        <v>3.7205375555555555</v>
      </c>
      <c r="AF337" s="9"/>
      <c r="AG337" s="22">
        <v>1.5466299999999999</v>
      </c>
      <c r="AH337" s="22">
        <v>21.872699999999998</v>
      </c>
      <c r="AI337" s="22">
        <v>-1.29944E-2</v>
      </c>
      <c r="AJ337" s="22">
        <v>327</v>
      </c>
      <c r="AK337" s="22">
        <v>1.54572</v>
      </c>
      <c r="AL337">
        <f t="shared" si="66"/>
        <v>16.042469135802467</v>
      </c>
      <c r="AM337">
        <f t="shared" si="67"/>
        <v>24.811764039506169</v>
      </c>
      <c r="AP337" s="9"/>
      <c r="AQ337" s="22">
        <v>0.2034</v>
      </c>
      <c r="AR337" s="22">
        <v>27.436</v>
      </c>
      <c r="AS337" s="22">
        <v>-1.48285E-2</v>
      </c>
      <c r="AT337" s="22">
        <v>327</v>
      </c>
      <c r="AU337" s="22">
        <v>0.20269799999999999</v>
      </c>
      <c r="AV337">
        <f t="shared" si="68"/>
        <v>18.306790123456789</v>
      </c>
      <c r="AW337">
        <f t="shared" si="69"/>
        <v>3.7236011111111109</v>
      </c>
      <c r="AX337" s="9"/>
      <c r="AY337" s="22">
        <v>1.5466299999999999</v>
      </c>
      <c r="AZ337" s="22">
        <v>31.355899999999998</v>
      </c>
      <c r="BA337" s="22">
        <v>-1.29608E-2</v>
      </c>
      <c r="BB337" s="22">
        <v>327</v>
      </c>
      <c r="BC337" s="22">
        <v>1.54572</v>
      </c>
      <c r="BD337">
        <f t="shared" si="70"/>
        <v>16.000987654320987</v>
      </c>
      <c r="BE337">
        <f t="shared" si="71"/>
        <v>24.747607535802466</v>
      </c>
    </row>
    <row r="338" spans="6:57">
      <c r="F338" s="9"/>
      <c r="G338" s="22">
        <v>0.19836400000000001</v>
      </c>
      <c r="H338" s="22">
        <v>8.4976099999999999</v>
      </c>
      <c r="I338" s="22">
        <v>-1.4749099999999999E-2</v>
      </c>
      <c r="J338" s="22">
        <v>328</v>
      </c>
      <c r="K338" s="22">
        <v>0.19796800000000001</v>
      </c>
      <c r="L338">
        <f t="shared" si="60"/>
        <v>18.208765432098765</v>
      </c>
      <c r="M338">
        <f t="shared" si="61"/>
        <v>3.6119635461728397</v>
      </c>
      <c r="N338" s="9"/>
      <c r="O338" s="22">
        <v>1.5516700000000001</v>
      </c>
      <c r="P338" s="22">
        <v>12.4175</v>
      </c>
      <c r="Q338" s="22">
        <v>-1.2948599999999999E-2</v>
      </c>
      <c r="R338" s="22">
        <v>328</v>
      </c>
      <c r="S338" s="22">
        <v>1.5508999999999999</v>
      </c>
      <c r="T338">
        <f t="shared" si="62"/>
        <v>15.985925925925924</v>
      </c>
      <c r="U338">
        <f t="shared" si="63"/>
        <v>24.804881681481479</v>
      </c>
      <c r="X338" s="9"/>
      <c r="Y338" s="22">
        <v>0.19836400000000001</v>
      </c>
      <c r="Z338" s="22">
        <v>17.962800000000001</v>
      </c>
      <c r="AA338" s="22">
        <v>-1.4819300000000001E-2</v>
      </c>
      <c r="AB338" s="22">
        <v>328</v>
      </c>
      <c r="AC338" s="22">
        <v>0.19778399999999999</v>
      </c>
      <c r="AD338">
        <f t="shared" si="64"/>
        <v>18.295432098765431</v>
      </c>
      <c r="AE338">
        <f t="shared" si="65"/>
        <v>3.6291550928395062</v>
      </c>
      <c r="AF338" s="9"/>
      <c r="AG338" s="22">
        <v>1.5516700000000001</v>
      </c>
      <c r="AH338" s="22">
        <v>21.8828</v>
      </c>
      <c r="AI338" s="22">
        <v>-1.29517E-2</v>
      </c>
      <c r="AJ338" s="22">
        <v>328</v>
      </c>
      <c r="AK338" s="22">
        <v>1.55121</v>
      </c>
      <c r="AL338">
        <f t="shared" si="66"/>
        <v>15.989753086419752</v>
      </c>
      <c r="AM338">
        <f t="shared" si="67"/>
        <v>24.810820171604938</v>
      </c>
      <c r="AP338" s="9"/>
      <c r="AQ338" s="22">
        <v>0.19836400000000001</v>
      </c>
      <c r="AR338" s="22">
        <v>27.446100000000001</v>
      </c>
      <c r="AS338" s="22">
        <v>-1.4831499999999999E-2</v>
      </c>
      <c r="AT338" s="22">
        <v>328</v>
      </c>
      <c r="AU338" s="22">
        <v>0.19778399999999999</v>
      </c>
      <c r="AV338">
        <f t="shared" si="68"/>
        <v>18.310493827160489</v>
      </c>
      <c r="AW338">
        <f t="shared" si="69"/>
        <v>3.6321427975308636</v>
      </c>
      <c r="AX338" s="9"/>
      <c r="AY338" s="22">
        <v>1.5516700000000001</v>
      </c>
      <c r="AZ338" s="22">
        <v>31.366</v>
      </c>
      <c r="BA338" s="22">
        <v>-1.29242E-2</v>
      </c>
      <c r="BB338" s="22">
        <v>328</v>
      </c>
      <c r="BC338" s="22">
        <v>1.5508999999999999</v>
      </c>
      <c r="BD338">
        <f t="shared" si="70"/>
        <v>15.955802469135801</v>
      </c>
      <c r="BE338">
        <f t="shared" si="71"/>
        <v>24.758140017283949</v>
      </c>
    </row>
    <row r="339" spans="6:57">
      <c r="F339" s="9"/>
      <c r="G339" s="22">
        <v>0.193329</v>
      </c>
      <c r="H339" s="22">
        <v>8.5076800000000006</v>
      </c>
      <c r="I339" s="22">
        <v>-1.47583E-2</v>
      </c>
      <c r="J339" s="22">
        <v>329</v>
      </c>
      <c r="K339" s="22">
        <v>0.19278000000000001</v>
      </c>
      <c r="L339">
        <f t="shared" si="60"/>
        <v>18.22012345679012</v>
      </c>
      <c r="M339">
        <f t="shared" si="61"/>
        <v>3.522478247777777</v>
      </c>
      <c r="N339" s="9"/>
      <c r="O339" s="22">
        <v>1.5567</v>
      </c>
      <c r="P339" s="22">
        <v>12.4276</v>
      </c>
      <c r="Q339" s="22">
        <v>-1.2899799999999999E-2</v>
      </c>
      <c r="R339" s="22">
        <v>329</v>
      </c>
      <c r="S339" s="22">
        <v>1.55609</v>
      </c>
      <c r="T339">
        <f t="shared" si="62"/>
        <v>15.925679012345679</v>
      </c>
      <c r="U339">
        <f t="shared" si="63"/>
        <v>24.791504518518519</v>
      </c>
      <c r="X339" s="9"/>
      <c r="Y339" s="22">
        <v>0.193329</v>
      </c>
      <c r="Z339" s="22">
        <v>17.972899999999999</v>
      </c>
      <c r="AA339" s="22">
        <v>-1.4822399999999999E-2</v>
      </c>
      <c r="AB339" s="22">
        <v>329</v>
      </c>
      <c r="AC339" s="22">
        <v>0.19284100000000001</v>
      </c>
      <c r="AD339">
        <f t="shared" si="64"/>
        <v>18.299259259259259</v>
      </c>
      <c r="AE339">
        <f t="shared" si="65"/>
        <v>3.537777493333333</v>
      </c>
      <c r="AF339" s="9"/>
      <c r="AG339" s="22">
        <v>1.5567</v>
      </c>
      <c r="AH339" s="22">
        <v>21.892800000000001</v>
      </c>
      <c r="AI339" s="22">
        <v>-1.2908899999999999E-2</v>
      </c>
      <c r="AJ339" s="22">
        <v>329</v>
      </c>
      <c r="AK339" s="22">
        <v>1.5564</v>
      </c>
      <c r="AL339">
        <f t="shared" si="66"/>
        <v>15.936913580246911</v>
      </c>
      <c r="AM339">
        <f t="shared" si="67"/>
        <v>24.808993370370366</v>
      </c>
      <c r="AP339" s="9"/>
      <c r="AQ339" s="22">
        <v>0.193329</v>
      </c>
      <c r="AR339" s="22">
        <v>27.456099999999999</v>
      </c>
      <c r="AS339" s="22">
        <v>-1.48285E-2</v>
      </c>
      <c r="AT339" s="22">
        <v>329</v>
      </c>
      <c r="AU339" s="22">
        <v>0.19278000000000001</v>
      </c>
      <c r="AV339">
        <f t="shared" si="68"/>
        <v>18.306790123456789</v>
      </c>
      <c r="AW339">
        <f t="shared" si="69"/>
        <v>3.5392334277777775</v>
      </c>
      <c r="AX339" s="9"/>
      <c r="AY339" s="22">
        <v>1.5567</v>
      </c>
      <c r="AZ339" s="22">
        <v>31.376000000000001</v>
      </c>
      <c r="BA339" s="22">
        <v>-1.28845E-2</v>
      </c>
      <c r="BB339" s="22">
        <v>329</v>
      </c>
      <c r="BC339" s="22">
        <v>1.55609</v>
      </c>
      <c r="BD339">
        <f t="shared" si="70"/>
        <v>15.906790123456791</v>
      </c>
      <c r="BE339">
        <f t="shared" si="71"/>
        <v>24.762100185185187</v>
      </c>
    </row>
    <row r="340" spans="6:57">
      <c r="F340" s="9"/>
      <c r="G340" s="22">
        <v>0.18829299999999999</v>
      </c>
      <c r="H340" s="22">
        <v>8.5177499999999995</v>
      </c>
      <c r="I340" s="22">
        <v>-1.47644E-2</v>
      </c>
      <c r="J340" s="22">
        <v>330</v>
      </c>
      <c r="K340" s="22">
        <v>0.187775</v>
      </c>
      <c r="L340">
        <f t="shared" si="60"/>
        <v>18.227654320987654</v>
      </c>
      <c r="M340">
        <f t="shared" si="61"/>
        <v>3.4321397150617279</v>
      </c>
      <c r="N340" s="9"/>
      <c r="O340" s="22">
        <v>1.5617399999999999</v>
      </c>
      <c r="P340" s="22">
        <v>12.4377</v>
      </c>
      <c r="Q340" s="22">
        <v>-1.28571E-2</v>
      </c>
      <c r="R340" s="22">
        <v>330</v>
      </c>
      <c r="S340" s="22">
        <v>1.56128</v>
      </c>
      <c r="T340">
        <f t="shared" si="62"/>
        <v>15.87296296296296</v>
      </c>
      <c r="U340">
        <f t="shared" si="63"/>
        <v>24.789441177777771</v>
      </c>
      <c r="X340" s="9"/>
      <c r="Y340" s="22">
        <v>0.18829299999999999</v>
      </c>
      <c r="Z340" s="22">
        <v>17.983000000000001</v>
      </c>
      <c r="AA340" s="22">
        <v>-1.4825400000000001E-2</v>
      </c>
      <c r="AB340" s="22">
        <v>330</v>
      </c>
      <c r="AC340" s="22">
        <v>0.187836</v>
      </c>
      <c r="AD340">
        <f t="shared" si="64"/>
        <v>18.302962962962962</v>
      </c>
      <c r="AE340">
        <f t="shared" si="65"/>
        <v>3.4463198051851847</v>
      </c>
      <c r="AF340" s="9"/>
      <c r="AG340" s="22">
        <v>1.5617399999999999</v>
      </c>
      <c r="AH340" s="22">
        <v>21.902899999999999</v>
      </c>
      <c r="AI340" s="22">
        <v>-1.2860099999999999E-2</v>
      </c>
      <c r="AJ340" s="22">
        <v>330</v>
      </c>
      <c r="AK340" s="22">
        <v>1.56067</v>
      </c>
      <c r="AL340">
        <f t="shared" si="66"/>
        <v>15.876666666666663</v>
      </c>
      <c r="AM340">
        <f t="shared" si="67"/>
        <v>24.795225399999993</v>
      </c>
      <c r="AP340" s="9"/>
      <c r="AQ340" s="22">
        <v>0.18829299999999999</v>
      </c>
      <c r="AR340" s="22">
        <v>27.466200000000001</v>
      </c>
      <c r="AS340" s="22">
        <v>-1.48285E-2</v>
      </c>
      <c r="AT340" s="22">
        <v>330</v>
      </c>
      <c r="AU340" s="22">
        <v>0.18768299999999999</v>
      </c>
      <c r="AV340">
        <f t="shared" si="68"/>
        <v>18.306790123456789</v>
      </c>
      <c r="AW340">
        <f t="shared" si="69"/>
        <v>3.4470404327160491</v>
      </c>
      <c r="AX340" s="9"/>
      <c r="AY340" s="22">
        <v>1.5617399999999999</v>
      </c>
      <c r="AZ340" s="22">
        <v>31.386099999999999</v>
      </c>
      <c r="BA340" s="22">
        <v>-1.28296E-2</v>
      </c>
      <c r="BB340" s="22">
        <v>330</v>
      </c>
      <c r="BC340" s="22">
        <v>1.56128</v>
      </c>
      <c r="BD340">
        <f t="shared" si="70"/>
        <v>15.839012345679013</v>
      </c>
      <c r="BE340">
        <f t="shared" si="71"/>
        <v>24.73641914074074</v>
      </c>
    </row>
    <row r="341" spans="6:57">
      <c r="F341" s="9"/>
      <c r="G341" s="22">
        <v>0.183258</v>
      </c>
      <c r="H341" s="22">
        <v>8.5278299999999998</v>
      </c>
      <c r="I341" s="22">
        <v>-1.4770500000000001E-2</v>
      </c>
      <c r="J341" s="22">
        <v>331</v>
      </c>
      <c r="K341" s="22">
        <v>0.182648</v>
      </c>
      <c r="L341">
        <f t="shared" si="60"/>
        <v>18.235185185185184</v>
      </c>
      <c r="M341">
        <f t="shared" si="61"/>
        <v>3.3417435666666666</v>
      </c>
      <c r="N341" s="9"/>
      <c r="O341" s="22">
        <v>1.56677</v>
      </c>
      <c r="P341" s="22">
        <v>12.447699999999999</v>
      </c>
      <c r="Q341" s="22">
        <v>-1.2805199999999999E-2</v>
      </c>
      <c r="R341" s="22">
        <v>331</v>
      </c>
      <c r="S341" s="22">
        <v>1.56586</v>
      </c>
      <c r="T341">
        <f t="shared" si="62"/>
        <v>15.808888888888886</v>
      </c>
      <c r="U341">
        <f t="shared" si="63"/>
        <v>24.768892844444441</v>
      </c>
      <c r="X341" s="9"/>
      <c r="Y341" s="22">
        <v>0.183258</v>
      </c>
      <c r="Z341" s="22">
        <v>17.992999999999999</v>
      </c>
      <c r="AA341" s="22">
        <v>-1.4825400000000001E-2</v>
      </c>
      <c r="AB341" s="22">
        <v>331</v>
      </c>
      <c r="AC341" s="22">
        <v>0.18267800000000001</v>
      </c>
      <c r="AD341">
        <f t="shared" si="64"/>
        <v>18.302962962962962</v>
      </c>
      <c r="AE341">
        <f t="shared" si="65"/>
        <v>3.3541643866666666</v>
      </c>
      <c r="AF341" s="9"/>
      <c r="AG341" s="22">
        <v>1.56677</v>
      </c>
      <c r="AH341" s="22">
        <v>21.913</v>
      </c>
      <c r="AI341" s="22">
        <v>-1.28082E-2</v>
      </c>
      <c r="AJ341" s="22">
        <v>331</v>
      </c>
      <c r="AK341" s="22">
        <v>1.56586</v>
      </c>
      <c r="AL341">
        <f t="shared" si="66"/>
        <v>15.812592592592594</v>
      </c>
      <c r="AM341">
        <f t="shared" si="67"/>
        <v>24.774695696296298</v>
      </c>
      <c r="AP341" s="9"/>
      <c r="AQ341" s="22">
        <v>0.183258</v>
      </c>
      <c r="AR341" s="22">
        <v>27.476299999999998</v>
      </c>
      <c r="AS341" s="22">
        <v>-1.48285E-2</v>
      </c>
      <c r="AT341" s="22">
        <v>331</v>
      </c>
      <c r="AU341" s="22">
        <v>0.18270900000000001</v>
      </c>
      <c r="AV341">
        <f t="shared" si="68"/>
        <v>18.306790123456789</v>
      </c>
      <c r="AW341">
        <f t="shared" si="69"/>
        <v>3.3548657444444445</v>
      </c>
      <c r="AX341" s="9"/>
      <c r="AY341" s="22">
        <v>1.56677</v>
      </c>
      <c r="AZ341" s="22">
        <v>31.3962</v>
      </c>
      <c r="BA341" s="22">
        <v>-1.2771599999999999E-2</v>
      </c>
      <c r="BB341" s="22">
        <v>331</v>
      </c>
      <c r="BC341" s="22">
        <v>1.56555</v>
      </c>
      <c r="BD341">
        <f t="shared" si="70"/>
        <v>15.767407407407408</v>
      </c>
      <c r="BE341">
        <f t="shared" si="71"/>
        <v>24.703900903703705</v>
      </c>
    </row>
    <row r="342" spans="6:57">
      <c r="F342" s="9"/>
      <c r="G342" s="22">
        <v>0.17822299999999999</v>
      </c>
      <c r="H342" s="22">
        <v>8.5379000000000005</v>
      </c>
      <c r="I342" s="22">
        <v>-1.4776600000000001E-2</v>
      </c>
      <c r="J342" s="22">
        <v>332</v>
      </c>
      <c r="K342" s="22">
        <v>0.177734</v>
      </c>
      <c r="L342">
        <f t="shared" si="60"/>
        <v>18.242716049382715</v>
      </c>
      <c r="M342">
        <f t="shared" si="61"/>
        <v>3.2512715824691356</v>
      </c>
      <c r="N342" s="9"/>
      <c r="O342" s="22">
        <v>1.5718099999999999</v>
      </c>
      <c r="P342" s="22">
        <v>12.457800000000001</v>
      </c>
      <c r="Q342" s="22">
        <v>-1.27502E-2</v>
      </c>
      <c r="R342" s="22">
        <v>332</v>
      </c>
      <c r="S342" s="22">
        <v>1.57074</v>
      </c>
      <c r="T342">
        <f t="shared" si="62"/>
        <v>15.740987654320987</v>
      </c>
      <c r="U342">
        <f t="shared" si="63"/>
        <v>24.741841804938272</v>
      </c>
      <c r="X342" s="9"/>
      <c r="Y342" s="22">
        <v>0.17822299999999999</v>
      </c>
      <c r="Z342" s="22">
        <v>18.0031</v>
      </c>
      <c r="AA342" s="22">
        <v>-1.48285E-2</v>
      </c>
      <c r="AB342" s="22">
        <v>332</v>
      </c>
      <c r="AC342" s="22">
        <v>0.17776500000000001</v>
      </c>
      <c r="AD342">
        <f t="shared" si="64"/>
        <v>18.306790123456789</v>
      </c>
      <c r="AE342">
        <f t="shared" si="65"/>
        <v>3.2626910561728391</v>
      </c>
      <c r="AF342" s="9"/>
      <c r="AG342" s="22">
        <v>1.5718099999999999</v>
      </c>
      <c r="AH342" s="22">
        <v>21.923100000000002</v>
      </c>
      <c r="AI342" s="22">
        <v>-1.27563E-2</v>
      </c>
      <c r="AJ342" s="22">
        <v>332</v>
      </c>
      <c r="AK342" s="22">
        <v>1.57104</v>
      </c>
      <c r="AL342">
        <f t="shared" si="66"/>
        <v>15.748518518518516</v>
      </c>
      <c r="AM342">
        <f t="shared" si="67"/>
        <v>24.753678892592589</v>
      </c>
      <c r="AP342" s="9"/>
      <c r="AQ342" s="22">
        <v>0.17822299999999999</v>
      </c>
      <c r="AR342" s="22">
        <v>27.4863</v>
      </c>
      <c r="AS342" s="22">
        <v>-1.48346E-2</v>
      </c>
      <c r="AT342" s="22">
        <v>332</v>
      </c>
      <c r="AU342" s="22">
        <v>0.177643</v>
      </c>
      <c r="AV342">
        <f t="shared" si="68"/>
        <v>18.31432098765432</v>
      </c>
      <c r="AW342">
        <f t="shared" si="69"/>
        <v>3.2640332293827155</v>
      </c>
      <c r="AX342" s="9"/>
      <c r="AY342" s="22">
        <v>1.5718099999999999</v>
      </c>
      <c r="AZ342" s="22">
        <v>31.406199999999998</v>
      </c>
      <c r="BA342" s="22">
        <v>-1.2716699999999999E-2</v>
      </c>
      <c r="BB342" s="22">
        <v>332</v>
      </c>
      <c r="BC342" s="22">
        <v>1.57074</v>
      </c>
      <c r="BD342">
        <f t="shared" si="70"/>
        <v>15.699629629629626</v>
      </c>
      <c r="BE342">
        <f t="shared" si="71"/>
        <v>24.676834848148143</v>
      </c>
    </row>
    <row r="343" spans="6:57">
      <c r="F343" s="9"/>
      <c r="G343" s="22">
        <v>0.17318700000000001</v>
      </c>
      <c r="H343" s="22">
        <v>8.5479699999999994</v>
      </c>
      <c r="I343" s="22">
        <v>-1.4782699999999999E-2</v>
      </c>
      <c r="J343" s="22">
        <v>333</v>
      </c>
      <c r="K343" s="22">
        <v>0.172516</v>
      </c>
      <c r="L343">
        <f t="shared" si="60"/>
        <v>18.250246913580245</v>
      </c>
      <c r="M343">
        <f t="shared" si="61"/>
        <v>3.1607055122222221</v>
      </c>
      <c r="N343" s="9"/>
      <c r="O343" s="22">
        <v>1.57684</v>
      </c>
      <c r="P343" s="22">
        <v>12.4679</v>
      </c>
      <c r="Q343" s="22">
        <v>-1.26984E-2</v>
      </c>
      <c r="R343" s="22">
        <v>333</v>
      </c>
      <c r="S343" s="22">
        <v>1.57684</v>
      </c>
      <c r="T343">
        <f t="shared" si="62"/>
        <v>15.677037037037039</v>
      </c>
      <c r="U343">
        <f t="shared" si="63"/>
        <v>24.720179081481483</v>
      </c>
      <c r="X343" s="9"/>
      <c r="Y343" s="22">
        <v>0.17318700000000001</v>
      </c>
      <c r="Z343" s="22">
        <v>18.013200000000001</v>
      </c>
      <c r="AA343" s="22">
        <v>-1.48346E-2</v>
      </c>
      <c r="AB343" s="22">
        <v>333</v>
      </c>
      <c r="AC343" s="22">
        <v>0.172546</v>
      </c>
      <c r="AD343">
        <f t="shared" si="64"/>
        <v>18.31432098765432</v>
      </c>
      <c r="AE343">
        <f t="shared" si="65"/>
        <v>3.1718023088888887</v>
      </c>
      <c r="AF343" s="9"/>
      <c r="AG343" s="22">
        <v>1.57684</v>
      </c>
      <c r="AH343" s="22">
        <v>21.9331</v>
      </c>
      <c r="AI343" s="22">
        <v>-1.2704500000000001E-2</v>
      </c>
      <c r="AJ343" s="22">
        <v>333</v>
      </c>
      <c r="AK343" s="22">
        <v>1.57562</v>
      </c>
      <c r="AL343">
        <f t="shared" si="66"/>
        <v>15.684567901234566</v>
      </c>
      <c r="AM343">
        <f t="shared" si="67"/>
        <v>24.732054049382711</v>
      </c>
      <c r="AP343" s="9"/>
      <c r="AQ343" s="22">
        <v>0.17318700000000001</v>
      </c>
      <c r="AR343" s="22">
        <v>27.496400000000001</v>
      </c>
      <c r="AS343" s="22">
        <v>-1.48407E-2</v>
      </c>
      <c r="AT343" s="22">
        <v>333</v>
      </c>
      <c r="AU343" s="22">
        <v>0.17272899999999999</v>
      </c>
      <c r="AV343">
        <f t="shared" si="68"/>
        <v>18.32185185185185</v>
      </c>
      <c r="AW343">
        <f t="shared" si="69"/>
        <v>3.1731065566666663</v>
      </c>
      <c r="AX343" s="9"/>
      <c r="AY343" s="22">
        <v>1.57684</v>
      </c>
      <c r="AZ343" s="22">
        <v>31.4163</v>
      </c>
      <c r="BA343" s="22">
        <v>-1.2655599999999999E-2</v>
      </c>
      <c r="BB343" s="22">
        <v>333</v>
      </c>
      <c r="BC343" s="22">
        <v>1.5765400000000001</v>
      </c>
      <c r="BD343">
        <f t="shared" si="70"/>
        <v>15.624197530864196</v>
      </c>
      <c r="BE343">
        <f t="shared" si="71"/>
        <v>24.636859634567898</v>
      </c>
    </row>
    <row r="344" spans="6:57">
      <c r="F344" s="9"/>
      <c r="G344" s="22">
        <v>0.168152</v>
      </c>
      <c r="H344" s="22">
        <v>8.5580400000000001</v>
      </c>
      <c r="I344" s="22">
        <v>-1.47858E-2</v>
      </c>
      <c r="J344" s="22">
        <v>334</v>
      </c>
      <c r="K344" s="22">
        <v>0.167572</v>
      </c>
      <c r="L344">
        <f t="shared" si="60"/>
        <v>18.254074074074072</v>
      </c>
      <c r="M344">
        <f t="shared" si="61"/>
        <v>3.0694590637037034</v>
      </c>
      <c r="N344" s="9"/>
      <c r="O344" s="22">
        <v>1.58188</v>
      </c>
      <c r="P344" s="22">
        <v>12.4779</v>
      </c>
      <c r="Q344" s="22">
        <v>-1.26404E-2</v>
      </c>
      <c r="R344" s="22">
        <v>334</v>
      </c>
      <c r="S344" s="22">
        <v>1.58081</v>
      </c>
      <c r="T344">
        <f t="shared" si="62"/>
        <v>15.60543209876543</v>
      </c>
      <c r="U344">
        <f t="shared" si="63"/>
        <v>24.685920928395056</v>
      </c>
      <c r="X344" s="9"/>
      <c r="Y344" s="22">
        <v>0.168152</v>
      </c>
      <c r="Z344" s="22">
        <v>18.023299999999999</v>
      </c>
      <c r="AA344" s="22">
        <v>-1.4837599999999999E-2</v>
      </c>
      <c r="AB344" s="22">
        <v>334</v>
      </c>
      <c r="AC344" s="22">
        <v>0.16769400000000001</v>
      </c>
      <c r="AD344">
        <f t="shared" si="64"/>
        <v>18.318024691358023</v>
      </c>
      <c r="AE344">
        <f t="shared" si="65"/>
        <v>3.080212487901234</v>
      </c>
      <c r="AF344" s="9"/>
      <c r="AG344" s="22">
        <v>1.58188</v>
      </c>
      <c r="AH344" s="22">
        <v>21.943200000000001</v>
      </c>
      <c r="AI344" s="22">
        <v>-1.26465E-2</v>
      </c>
      <c r="AJ344" s="22">
        <v>334</v>
      </c>
      <c r="AK344" s="22">
        <v>1.5811200000000001</v>
      </c>
      <c r="AL344">
        <f t="shared" si="66"/>
        <v>15.612962962962962</v>
      </c>
      <c r="AM344">
        <f t="shared" si="67"/>
        <v>24.697833851851851</v>
      </c>
      <c r="AP344" s="9"/>
      <c r="AQ344" s="22">
        <v>0.168152</v>
      </c>
      <c r="AR344" s="22">
        <v>27.506499999999999</v>
      </c>
      <c r="AS344" s="22">
        <v>-1.48468E-2</v>
      </c>
      <c r="AT344" s="22">
        <v>334</v>
      </c>
      <c r="AU344" s="22">
        <v>0.16741900000000001</v>
      </c>
      <c r="AV344">
        <f t="shared" si="68"/>
        <v>18.329382716049381</v>
      </c>
      <c r="AW344">
        <f t="shared" si="69"/>
        <v>3.0821223624691352</v>
      </c>
      <c r="AX344" s="9"/>
      <c r="AY344" s="22">
        <v>1.58188</v>
      </c>
      <c r="AZ344" s="22">
        <v>31.426400000000001</v>
      </c>
      <c r="BA344" s="22">
        <v>-1.2600699999999999E-2</v>
      </c>
      <c r="BB344" s="22">
        <v>334</v>
      </c>
      <c r="BC344" s="22">
        <v>1.58142</v>
      </c>
      <c r="BD344">
        <f t="shared" si="70"/>
        <v>15.556419753086418</v>
      </c>
      <c r="BE344">
        <f t="shared" si="71"/>
        <v>24.608389279012343</v>
      </c>
    </row>
    <row r="345" spans="6:57">
      <c r="F345" s="9"/>
      <c r="G345" s="22">
        <v>0.16311600000000001</v>
      </c>
      <c r="H345" s="22">
        <v>8.5681100000000008</v>
      </c>
      <c r="I345" s="22">
        <v>-1.47949E-2</v>
      </c>
      <c r="J345" s="22">
        <v>335</v>
      </c>
      <c r="K345" s="22">
        <v>0.16256699999999999</v>
      </c>
      <c r="L345">
        <f t="shared" si="60"/>
        <v>18.265308641975306</v>
      </c>
      <c r="M345">
        <f t="shared" si="61"/>
        <v>2.9793640844444442</v>
      </c>
      <c r="N345" s="9"/>
      <c r="O345" s="22">
        <v>1.58691</v>
      </c>
      <c r="P345" s="22">
        <v>12.488</v>
      </c>
      <c r="Q345" s="22">
        <v>-1.25763E-2</v>
      </c>
      <c r="R345" s="22">
        <v>335</v>
      </c>
      <c r="S345" s="22">
        <v>1.5866100000000001</v>
      </c>
      <c r="T345">
        <f t="shared" si="62"/>
        <v>15.526296296296294</v>
      </c>
      <c r="U345">
        <f t="shared" si="63"/>
        <v>24.638834855555555</v>
      </c>
      <c r="X345" s="9"/>
      <c r="Y345" s="22">
        <v>0.16311600000000001</v>
      </c>
      <c r="Z345" s="22">
        <v>18.033300000000001</v>
      </c>
      <c r="AA345" s="22">
        <v>-1.48407E-2</v>
      </c>
      <c r="AB345" s="22">
        <v>335</v>
      </c>
      <c r="AC345" s="22">
        <v>0.16250600000000001</v>
      </c>
      <c r="AD345">
        <f t="shared" si="64"/>
        <v>18.32185185185185</v>
      </c>
      <c r="AE345">
        <f t="shared" si="65"/>
        <v>2.9885871866666665</v>
      </c>
      <c r="AF345" s="9"/>
      <c r="AG345" s="22">
        <v>1.58691</v>
      </c>
      <c r="AH345" s="22">
        <v>21.953299999999999</v>
      </c>
      <c r="AI345" s="22">
        <v>-1.25854E-2</v>
      </c>
      <c r="AJ345" s="22">
        <v>335</v>
      </c>
      <c r="AK345" s="22">
        <v>1.5863</v>
      </c>
      <c r="AL345">
        <f t="shared" si="66"/>
        <v>15.53753086419753</v>
      </c>
      <c r="AM345">
        <f t="shared" si="67"/>
        <v>24.656663103703703</v>
      </c>
      <c r="AP345" s="9"/>
      <c r="AQ345" s="22">
        <v>0.16311600000000001</v>
      </c>
      <c r="AR345" s="22">
        <v>27.5166</v>
      </c>
      <c r="AS345" s="22">
        <v>-1.4859000000000001E-2</v>
      </c>
      <c r="AT345" s="22">
        <v>335</v>
      </c>
      <c r="AU345" s="22">
        <v>0.162415</v>
      </c>
      <c r="AV345">
        <f t="shared" si="68"/>
        <v>18.344444444444445</v>
      </c>
      <c r="AW345">
        <f t="shared" si="69"/>
        <v>2.9922724000000005</v>
      </c>
      <c r="AX345" s="9"/>
      <c r="AY345" s="22">
        <v>1.58691</v>
      </c>
      <c r="AZ345" s="22">
        <v>31.436499999999999</v>
      </c>
      <c r="BA345" s="22">
        <v>-1.2539700000000001E-2</v>
      </c>
      <c r="BB345" s="22">
        <v>335</v>
      </c>
      <c r="BC345" s="22">
        <v>1.5860000000000001</v>
      </c>
      <c r="BD345">
        <f t="shared" si="70"/>
        <v>15.48111111111111</v>
      </c>
      <c r="BE345">
        <f t="shared" si="71"/>
        <v>24.567130033333331</v>
      </c>
    </row>
    <row r="346" spans="6:57">
      <c r="F346" s="9"/>
      <c r="G346" s="22">
        <v>0.158081</v>
      </c>
      <c r="H346" s="22">
        <v>8.5781799999999997</v>
      </c>
      <c r="I346" s="22">
        <v>-1.4801E-2</v>
      </c>
      <c r="J346" s="22">
        <v>336</v>
      </c>
      <c r="K346" s="22">
        <v>0.157501</v>
      </c>
      <c r="L346">
        <f t="shared" si="60"/>
        <v>18.27283950617284</v>
      </c>
      <c r="M346">
        <f t="shared" si="61"/>
        <v>2.8885887419753087</v>
      </c>
      <c r="N346" s="9"/>
      <c r="O346" s="22">
        <v>1.59195</v>
      </c>
      <c r="P346" s="22">
        <v>12.498100000000001</v>
      </c>
      <c r="Q346" s="22">
        <v>-1.25153E-2</v>
      </c>
      <c r="R346" s="22">
        <v>336</v>
      </c>
      <c r="S346" s="22">
        <v>1.5905800000000001</v>
      </c>
      <c r="T346">
        <f t="shared" si="62"/>
        <v>15.450987654320988</v>
      </c>
      <c r="U346">
        <f t="shared" si="63"/>
        <v>24.597199796296298</v>
      </c>
      <c r="X346" s="9"/>
      <c r="Y346" s="22">
        <v>0.158081</v>
      </c>
      <c r="Z346" s="22">
        <v>18.043399999999998</v>
      </c>
      <c r="AA346" s="22">
        <v>-1.48468E-2</v>
      </c>
      <c r="AB346" s="22">
        <v>336</v>
      </c>
      <c r="AC346" s="22">
        <v>0.15756200000000001</v>
      </c>
      <c r="AD346">
        <f t="shared" si="64"/>
        <v>18.329382716049381</v>
      </c>
      <c r="AE346">
        <f t="shared" si="65"/>
        <v>2.8975271491358021</v>
      </c>
      <c r="AF346" s="9"/>
      <c r="AG346" s="22">
        <v>1.59195</v>
      </c>
      <c r="AH346" s="22">
        <v>21.9633</v>
      </c>
      <c r="AI346" s="22">
        <v>-1.25214E-2</v>
      </c>
      <c r="AJ346" s="22">
        <v>336</v>
      </c>
      <c r="AK346" s="22">
        <v>1.5911900000000001</v>
      </c>
      <c r="AL346">
        <f t="shared" si="66"/>
        <v>15.458518518518517</v>
      </c>
      <c r="AM346">
        <f t="shared" si="67"/>
        <v>24.609188555555551</v>
      </c>
      <c r="AP346" s="9"/>
      <c r="AQ346" s="22">
        <v>0.158081</v>
      </c>
      <c r="AR346" s="22">
        <v>27.526599999999998</v>
      </c>
      <c r="AS346" s="22">
        <v>-1.4865099999999999E-2</v>
      </c>
      <c r="AT346" s="22">
        <v>336</v>
      </c>
      <c r="AU346" s="22">
        <v>0.15744</v>
      </c>
      <c r="AV346">
        <f t="shared" si="68"/>
        <v>18.351975308641972</v>
      </c>
      <c r="AW346">
        <f t="shared" si="69"/>
        <v>2.9010986087654316</v>
      </c>
      <c r="AX346" s="9"/>
      <c r="AY346" s="22">
        <v>1.59195</v>
      </c>
      <c r="AZ346" s="22">
        <v>31.4465</v>
      </c>
      <c r="BA346" s="22">
        <v>-1.2472499999999999E-2</v>
      </c>
      <c r="BB346" s="22">
        <v>336</v>
      </c>
      <c r="BC346" s="22">
        <v>1.5908800000000001</v>
      </c>
      <c r="BD346">
        <f t="shared" si="70"/>
        <v>15.398148148148147</v>
      </c>
      <c r="BE346">
        <f t="shared" si="71"/>
        <v>24.513081944444441</v>
      </c>
    </row>
    <row r="347" spans="6:57">
      <c r="F347" s="9"/>
      <c r="G347" s="22">
        <v>0.15304599999999999</v>
      </c>
      <c r="H347" s="22">
        <v>8.5882500000000004</v>
      </c>
      <c r="I347" s="22">
        <v>-1.4804100000000001E-2</v>
      </c>
      <c r="J347" s="22">
        <v>337</v>
      </c>
      <c r="K347" s="22">
        <v>0.15249599999999999</v>
      </c>
      <c r="L347">
        <f t="shared" si="60"/>
        <v>18.276666666666667</v>
      </c>
      <c r="M347">
        <f t="shared" si="61"/>
        <v>2.7971707266666663</v>
      </c>
      <c r="N347" s="9"/>
      <c r="O347" s="22">
        <v>1.5969800000000001</v>
      </c>
      <c r="P347" s="22">
        <v>12.5082</v>
      </c>
      <c r="Q347" s="22">
        <v>-1.24481E-2</v>
      </c>
      <c r="R347" s="22">
        <v>337</v>
      </c>
      <c r="S347" s="22">
        <v>1.5960700000000001</v>
      </c>
      <c r="T347">
        <f t="shared" si="62"/>
        <v>15.368024691358023</v>
      </c>
      <c r="U347">
        <f t="shared" si="63"/>
        <v>24.542428071604938</v>
      </c>
      <c r="X347" s="9"/>
      <c r="Y347" s="22">
        <v>0.15304599999999999</v>
      </c>
      <c r="Z347" s="22">
        <v>18.0535</v>
      </c>
      <c r="AA347" s="22">
        <v>-1.48468E-2</v>
      </c>
      <c r="AB347" s="22">
        <v>337</v>
      </c>
      <c r="AC347" s="22">
        <v>0.152527</v>
      </c>
      <c r="AD347">
        <f t="shared" si="64"/>
        <v>18.329382716049381</v>
      </c>
      <c r="AE347">
        <f t="shared" si="65"/>
        <v>2.8052387071604934</v>
      </c>
      <c r="AF347" s="9"/>
      <c r="AG347" s="22">
        <v>1.5969800000000001</v>
      </c>
      <c r="AH347" s="22">
        <v>21.973400000000002</v>
      </c>
      <c r="AI347" s="22">
        <v>-1.2451200000000001E-2</v>
      </c>
      <c r="AJ347" s="22">
        <v>337</v>
      </c>
      <c r="AK347" s="22">
        <v>1.5957600000000001</v>
      </c>
      <c r="AL347">
        <f t="shared" si="66"/>
        <v>15.371851851851853</v>
      </c>
      <c r="AM347">
        <f t="shared" si="67"/>
        <v>24.548539970370374</v>
      </c>
      <c r="AP347" s="9"/>
      <c r="AQ347" s="22">
        <v>0.15304599999999999</v>
      </c>
      <c r="AR347" s="22">
        <v>27.5367</v>
      </c>
      <c r="AS347" s="22">
        <v>-1.48682E-2</v>
      </c>
      <c r="AT347" s="22">
        <v>337</v>
      </c>
      <c r="AU347" s="22">
        <v>0.152557</v>
      </c>
      <c r="AV347">
        <f t="shared" si="68"/>
        <v>18.355802469135799</v>
      </c>
      <c r="AW347">
        <f t="shared" si="69"/>
        <v>2.8092821446913572</v>
      </c>
      <c r="AX347" s="9"/>
      <c r="AY347" s="22">
        <v>1.5969800000000001</v>
      </c>
      <c r="AZ347" s="22">
        <v>31.456600000000002</v>
      </c>
      <c r="BA347" s="22">
        <v>-1.24023E-2</v>
      </c>
      <c r="BB347" s="22">
        <v>337</v>
      </c>
      <c r="BC347" s="22">
        <v>1.5957600000000001</v>
      </c>
      <c r="BD347">
        <f t="shared" si="70"/>
        <v>15.311481481481479</v>
      </c>
      <c r="BE347">
        <f t="shared" si="71"/>
        <v>24.452129696296293</v>
      </c>
    </row>
    <row r="348" spans="6:57">
      <c r="F348" s="9"/>
      <c r="G348" s="22">
        <v>0.14801</v>
      </c>
      <c r="H348" s="22">
        <v>8.5983199999999993</v>
      </c>
      <c r="I348" s="22">
        <v>-1.48071E-2</v>
      </c>
      <c r="J348" s="22">
        <v>338</v>
      </c>
      <c r="K348" s="22">
        <v>0.14752199999999999</v>
      </c>
      <c r="L348">
        <f t="shared" si="60"/>
        <v>18.28037037037037</v>
      </c>
      <c r="M348">
        <f t="shared" si="61"/>
        <v>2.7056776185185187</v>
      </c>
      <c r="N348" s="9"/>
      <c r="O348" s="22">
        <v>1.60202</v>
      </c>
      <c r="P348" s="22">
        <v>12.5182</v>
      </c>
      <c r="Q348" s="22">
        <v>-1.2390099999999999E-2</v>
      </c>
      <c r="R348" s="22">
        <v>338</v>
      </c>
      <c r="S348" s="22">
        <v>1.6012599999999999</v>
      </c>
      <c r="T348">
        <f t="shared" si="62"/>
        <v>15.296419753086418</v>
      </c>
      <c r="U348">
        <f t="shared" si="63"/>
        <v>24.505170372839505</v>
      </c>
      <c r="X348" s="9"/>
      <c r="Y348" s="22">
        <v>0.14801</v>
      </c>
      <c r="Z348" s="22">
        <v>18.063500000000001</v>
      </c>
      <c r="AA348" s="22">
        <v>-1.48468E-2</v>
      </c>
      <c r="AB348" s="22">
        <v>338</v>
      </c>
      <c r="AC348" s="22">
        <v>0.147644</v>
      </c>
      <c r="AD348">
        <f t="shared" si="64"/>
        <v>18.329382716049381</v>
      </c>
      <c r="AE348">
        <f t="shared" si="65"/>
        <v>2.7129319358024691</v>
      </c>
      <c r="AF348" s="9"/>
      <c r="AG348" s="22">
        <v>1.60202</v>
      </c>
      <c r="AH348" s="22">
        <v>21.983499999999999</v>
      </c>
      <c r="AI348" s="22">
        <v>-1.2383999999999999E-2</v>
      </c>
      <c r="AJ348" s="22">
        <v>338</v>
      </c>
      <c r="AK348" s="22">
        <v>1.6012599999999999</v>
      </c>
      <c r="AL348">
        <f t="shared" si="66"/>
        <v>15.288888888888886</v>
      </c>
      <c r="AM348">
        <f t="shared" si="67"/>
        <v>24.493105777777775</v>
      </c>
      <c r="AP348" s="9"/>
      <c r="AQ348" s="22">
        <v>0.14801</v>
      </c>
      <c r="AR348" s="22">
        <v>27.546800000000001</v>
      </c>
      <c r="AS348" s="22">
        <v>-1.4871199999999999E-2</v>
      </c>
      <c r="AT348" s="22">
        <v>338</v>
      </c>
      <c r="AU348" s="22">
        <v>0.14743000000000001</v>
      </c>
      <c r="AV348">
        <f t="shared" si="68"/>
        <v>18.359506172839506</v>
      </c>
      <c r="AW348">
        <f t="shared" si="69"/>
        <v>2.7173905086419752</v>
      </c>
      <c r="AX348" s="9"/>
      <c r="AY348" s="22">
        <v>1.60202</v>
      </c>
      <c r="AZ348" s="22">
        <v>31.466699999999999</v>
      </c>
      <c r="BA348" s="22">
        <v>-1.2326E-2</v>
      </c>
      <c r="BB348" s="22">
        <v>338</v>
      </c>
      <c r="BC348" s="22">
        <v>1.6003400000000001</v>
      </c>
      <c r="BD348">
        <f t="shared" si="70"/>
        <v>15.217283950617283</v>
      </c>
      <c r="BE348">
        <f t="shared" si="71"/>
        <v>24.378393234567898</v>
      </c>
    </row>
    <row r="349" spans="6:57">
      <c r="F349" s="9"/>
      <c r="G349" s="22">
        <v>0.14297499999999999</v>
      </c>
      <c r="H349" s="22">
        <v>8.60839</v>
      </c>
      <c r="I349" s="22">
        <v>-1.48132E-2</v>
      </c>
      <c r="J349" s="22">
        <v>339</v>
      </c>
      <c r="K349" s="22">
        <v>0.14257800000000001</v>
      </c>
      <c r="L349">
        <f t="shared" si="60"/>
        <v>18.287901234567901</v>
      </c>
      <c r="M349">
        <f t="shared" si="61"/>
        <v>2.6147126790123454</v>
      </c>
      <c r="N349" s="9"/>
      <c r="O349" s="22">
        <v>1.6070599999999999</v>
      </c>
      <c r="P349" s="22">
        <v>12.5283</v>
      </c>
      <c r="Q349" s="22">
        <v>-1.2329100000000001E-2</v>
      </c>
      <c r="R349" s="22">
        <v>339</v>
      </c>
      <c r="S349" s="22">
        <v>1.6064499999999999</v>
      </c>
      <c r="T349">
        <f t="shared" si="62"/>
        <v>15.22111111111111</v>
      </c>
      <c r="U349">
        <f t="shared" si="63"/>
        <v>24.461238822222221</v>
      </c>
      <c r="X349" s="9"/>
      <c r="Y349" s="22">
        <v>0.14297499999999999</v>
      </c>
      <c r="Z349" s="22">
        <v>18.073599999999999</v>
      </c>
      <c r="AA349" s="22">
        <v>-1.4849899999999999E-2</v>
      </c>
      <c r="AB349" s="22">
        <v>339</v>
      </c>
      <c r="AC349" s="22">
        <v>0.142517</v>
      </c>
      <c r="AD349">
        <f t="shared" si="64"/>
        <v>18.333209876543208</v>
      </c>
      <c r="AE349">
        <f t="shared" si="65"/>
        <v>2.6211906820987649</v>
      </c>
      <c r="AF349" s="9"/>
      <c r="AG349" s="22">
        <v>1.6070599999999999</v>
      </c>
      <c r="AH349" s="22">
        <v>21.993500000000001</v>
      </c>
      <c r="AI349" s="22">
        <v>-1.23108E-2</v>
      </c>
      <c r="AJ349" s="22">
        <v>339</v>
      </c>
      <c r="AK349" s="22">
        <v>1.6061399999999999</v>
      </c>
      <c r="AL349">
        <f t="shared" si="66"/>
        <v>15.198518518518517</v>
      </c>
      <c r="AM349">
        <f t="shared" si="67"/>
        <v>24.424931170370368</v>
      </c>
      <c r="AP349" s="9"/>
      <c r="AQ349" s="22">
        <v>0.14297499999999999</v>
      </c>
      <c r="AR349" s="22">
        <v>27.556799999999999</v>
      </c>
      <c r="AS349" s="22">
        <v>-1.4871199999999999E-2</v>
      </c>
      <c r="AT349" s="22">
        <v>339</v>
      </c>
      <c r="AU349" s="22">
        <v>0.142426</v>
      </c>
      <c r="AV349">
        <f t="shared" si="68"/>
        <v>18.359506172839506</v>
      </c>
      <c r="AW349">
        <f t="shared" si="69"/>
        <v>2.6249503950617283</v>
      </c>
      <c r="AX349" s="9"/>
      <c r="AY349" s="22">
        <v>1.6070599999999999</v>
      </c>
      <c r="AZ349" s="22">
        <v>31.476700000000001</v>
      </c>
      <c r="BA349" s="22">
        <v>-1.2240600000000001E-2</v>
      </c>
      <c r="BB349" s="22">
        <v>339</v>
      </c>
      <c r="BC349" s="22">
        <v>1.6067499999999999</v>
      </c>
      <c r="BD349">
        <f t="shared" si="70"/>
        <v>15.111851851851853</v>
      </c>
      <c r="BE349">
        <f t="shared" si="71"/>
        <v>24.285652637037039</v>
      </c>
    </row>
    <row r="350" spans="6:57">
      <c r="F350" s="9"/>
      <c r="G350" s="22">
        <v>0.13793900000000001</v>
      </c>
      <c r="H350" s="22">
        <v>8.6184600000000007</v>
      </c>
      <c r="I350" s="22">
        <v>-1.4816299999999999E-2</v>
      </c>
      <c r="J350" s="22">
        <v>340</v>
      </c>
      <c r="K350" s="22">
        <v>0.13745099999999999</v>
      </c>
      <c r="L350">
        <f t="shared" si="60"/>
        <v>18.291728395061728</v>
      </c>
      <c r="M350">
        <f t="shared" si="61"/>
        <v>2.5231427230864196</v>
      </c>
      <c r="N350" s="9"/>
      <c r="O350" s="22">
        <v>1.61209</v>
      </c>
      <c r="P350" s="22">
        <v>12.538399999999999</v>
      </c>
      <c r="Q350" s="22">
        <v>-1.2252799999999999E-2</v>
      </c>
      <c r="R350" s="22">
        <v>340</v>
      </c>
      <c r="S350" s="22">
        <v>1.6110199999999999</v>
      </c>
      <c r="T350">
        <f t="shared" si="62"/>
        <v>15.126913580246912</v>
      </c>
      <c r="U350">
        <f t="shared" si="63"/>
        <v>24.385946113580246</v>
      </c>
      <c r="X350" s="9"/>
      <c r="Y350" s="22">
        <v>0.13793900000000001</v>
      </c>
      <c r="Z350" s="22">
        <v>18.0837</v>
      </c>
      <c r="AA350" s="22">
        <v>-1.4855999999999999E-2</v>
      </c>
      <c r="AB350" s="22">
        <v>340</v>
      </c>
      <c r="AC350" s="22">
        <v>0.13745099999999999</v>
      </c>
      <c r="AD350">
        <f t="shared" si="64"/>
        <v>18.340740740740738</v>
      </c>
      <c r="AE350">
        <f t="shared" si="65"/>
        <v>2.5299034370370368</v>
      </c>
      <c r="AF350" s="9"/>
      <c r="AG350" s="22">
        <v>1.61209</v>
      </c>
      <c r="AH350" s="22">
        <v>22.003599999999999</v>
      </c>
      <c r="AI350" s="22">
        <v>-1.2234500000000001E-2</v>
      </c>
      <c r="AJ350" s="22">
        <v>340</v>
      </c>
      <c r="AK350" s="22">
        <v>1.6116299999999999</v>
      </c>
      <c r="AL350">
        <f t="shared" si="66"/>
        <v>15.104320987654321</v>
      </c>
      <c r="AM350">
        <f t="shared" si="67"/>
        <v>24.349524820987654</v>
      </c>
      <c r="AP350" s="9"/>
      <c r="AQ350" s="22">
        <v>0.13793900000000001</v>
      </c>
      <c r="AR350" s="22">
        <v>27.5669</v>
      </c>
      <c r="AS350" s="22">
        <v>-1.4871199999999999E-2</v>
      </c>
      <c r="AT350" s="22">
        <v>340</v>
      </c>
      <c r="AU350" s="22">
        <v>0.13739000000000001</v>
      </c>
      <c r="AV350">
        <f t="shared" si="68"/>
        <v>18.359506172839506</v>
      </c>
      <c r="AW350">
        <f t="shared" si="69"/>
        <v>2.5324919219753088</v>
      </c>
      <c r="AX350" s="9"/>
      <c r="AY350" s="22">
        <v>1.61209</v>
      </c>
      <c r="AZ350" s="22">
        <v>31.486799999999999</v>
      </c>
      <c r="BA350" s="22">
        <v>-1.2158199999999999E-2</v>
      </c>
      <c r="BB350" s="22">
        <v>340</v>
      </c>
      <c r="BC350" s="22">
        <v>1.6110199999999999</v>
      </c>
      <c r="BD350">
        <f t="shared" si="70"/>
        <v>15.010123456790122</v>
      </c>
      <c r="BE350">
        <f t="shared" si="71"/>
        <v>24.19766992345679</v>
      </c>
    </row>
    <row r="351" spans="6:57">
      <c r="F351" s="9"/>
      <c r="G351" s="22">
        <v>0.13290399999999999</v>
      </c>
      <c r="H351" s="22">
        <v>8.6285399999999992</v>
      </c>
      <c r="I351" s="22">
        <v>-1.4819300000000001E-2</v>
      </c>
      <c r="J351" s="22">
        <v>341</v>
      </c>
      <c r="K351" s="22">
        <v>0.132629</v>
      </c>
      <c r="L351">
        <f t="shared" si="60"/>
        <v>18.295432098765431</v>
      </c>
      <c r="M351">
        <f t="shared" si="61"/>
        <v>2.4315361076543209</v>
      </c>
      <c r="N351" s="9"/>
      <c r="O351" s="22">
        <v>1.61713</v>
      </c>
      <c r="P351" s="22">
        <v>12.548400000000001</v>
      </c>
      <c r="Q351" s="22">
        <v>-1.2164299999999999E-2</v>
      </c>
      <c r="R351" s="22">
        <v>341</v>
      </c>
      <c r="S351" s="22">
        <v>1.6162099999999999</v>
      </c>
      <c r="T351">
        <f t="shared" si="62"/>
        <v>15.017654320987653</v>
      </c>
      <c r="U351">
        <f t="shared" si="63"/>
        <v>24.285499332098762</v>
      </c>
      <c r="X351" s="9"/>
      <c r="Y351" s="22">
        <v>0.13290399999999999</v>
      </c>
      <c r="Z351" s="22">
        <v>18.093800000000002</v>
      </c>
      <c r="AA351" s="22">
        <v>-1.4865099999999999E-2</v>
      </c>
      <c r="AB351" s="22">
        <v>341</v>
      </c>
      <c r="AC351" s="22">
        <v>0.13250700000000001</v>
      </c>
      <c r="AD351">
        <f t="shared" si="64"/>
        <v>18.351975308641972</v>
      </c>
      <c r="AE351">
        <f t="shared" si="65"/>
        <v>2.4390509264197524</v>
      </c>
      <c r="AF351" s="9"/>
      <c r="AG351" s="22">
        <v>1.61713</v>
      </c>
      <c r="AH351" s="22">
        <v>22.0137</v>
      </c>
      <c r="AI351" s="22">
        <v>-1.21552E-2</v>
      </c>
      <c r="AJ351" s="22">
        <v>341</v>
      </c>
      <c r="AK351" s="22">
        <v>1.6162099999999999</v>
      </c>
      <c r="AL351">
        <f t="shared" si="66"/>
        <v>15.006419753086417</v>
      </c>
      <c r="AM351">
        <f t="shared" si="67"/>
        <v>24.267331575308638</v>
      </c>
      <c r="AP351" s="9"/>
      <c r="AQ351" s="22">
        <v>0.13290399999999999</v>
      </c>
      <c r="AR351" s="22">
        <v>27.577000000000002</v>
      </c>
      <c r="AS351" s="22">
        <v>-1.4871199999999999E-2</v>
      </c>
      <c r="AT351" s="22">
        <v>341</v>
      </c>
      <c r="AU351" s="22">
        <v>0.13226299999999999</v>
      </c>
      <c r="AV351">
        <f t="shared" si="68"/>
        <v>18.359506172839506</v>
      </c>
      <c r="AW351">
        <f t="shared" si="69"/>
        <v>2.4400518083950615</v>
      </c>
      <c r="AX351" s="9"/>
      <c r="AY351" s="22">
        <v>1.61713</v>
      </c>
      <c r="AZ351" s="22">
        <v>31.4969</v>
      </c>
      <c r="BA351" s="22">
        <v>-1.20667E-2</v>
      </c>
      <c r="BB351" s="22">
        <v>341</v>
      </c>
      <c r="BC351" s="22">
        <v>1.6162099999999999</v>
      </c>
      <c r="BD351">
        <f t="shared" si="70"/>
        <v>14.89716049382716</v>
      </c>
      <c r="BE351">
        <f t="shared" si="71"/>
        <v>24.090645149382716</v>
      </c>
    </row>
    <row r="352" spans="6:57">
      <c r="F352" s="9"/>
      <c r="G352" s="22">
        <v>0.12786900000000001</v>
      </c>
      <c r="H352" s="22">
        <v>8.6386099999999999</v>
      </c>
      <c r="I352" s="22">
        <v>-1.4822399999999999E-2</v>
      </c>
      <c r="J352" s="22">
        <v>342</v>
      </c>
      <c r="K352" s="22">
        <v>0.12722800000000001</v>
      </c>
      <c r="L352">
        <f t="shared" si="60"/>
        <v>18.299259259259259</v>
      </c>
      <c r="M352">
        <f t="shared" si="61"/>
        <v>2.3399079822222224</v>
      </c>
      <c r="N352" s="9"/>
      <c r="O352" s="22">
        <v>1.62216</v>
      </c>
      <c r="P352" s="22">
        <v>12.5585</v>
      </c>
      <c r="Q352" s="22">
        <v>-1.20728E-2</v>
      </c>
      <c r="R352" s="22">
        <v>342</v>
      </c>
      <c r="S352" s="22">
        <v>1.6210899999999999</v>
      </c>
      <c r="T352">
        <f t="shared" si="62"/>
        <v>14.90469135802469</v>
      </c>
      <c r="U352">
        <f t="shared" si="63"/>
        <v>24.177794133333332</v>
      </c>
      <c r="X352" s="9"/>
      <c r="Y352" s="22">
        <v>0.12786900000000001</v>
      </c>
      <c r="Z352" s="22">
        <v>18.1038</v>
      </c>
      <c r="AA352" s="22">
        <v>-1.4871199999999999E-2</v>
      </c>
      <c r="AB352" s="22">
        <v>342</v>
      </c>
      <c r="AC352" s="22">
        <v>0.127411</v>
      </c>
      <c r="AD352">
        <f t="shared" si="64"/>
        <v>18.359506172839506</v>
      </c>
      <c r="AE352">
        <f t="shared" si="65"/>
        <v>2.3476116948148151</v>
      </c>
      <c r="AF352" s="9"/>
      <c r="AG352" s="22">
        <v>1.62216</v>
      </c>
      <c r="AH352" s="22">
        <v>22.023800000000001</v>
      </c>
      <c r="AI352" s="22">
        <v>-1.2063600000000001E-2</v>
      </c>
      <c r="AJ352" s="22">
        <v>342</v>
      </c>
      <c r="AK352" s="22">
        <v>1.6210899999999999</v>
      </c>
      <c r="AL352">
        <f t="shared" si="66"/>
        <v>14.893333333333333</v>
      </c>
      <c r="AM352">
        <f t="shared" si="67"/>
        <v>24.159369599999998</v>
      </c>
      <c r="AP352" s="9"/>
      <c r="AQ352" s="22">
        <v>0.12786900000000001</v>
      </c>
      <c r="AR352" s="22">
        <v>27.5871</v>
      </c>
      <c r="AS352" s="22">
        <v>-1.48773E-2</v>
      </c>
      <c r="AT352" s="22">
        <v>342</v>
      </c>
      <c r="AU352" s="22">
        <v>0.127411</v>
      </c>
      <c r="AV352">
        <f t="shared" si="68"/>
        <v>18.367037037037036</v>
      </c>
      <c r="AW352">
        <f t="shared" si="69"/>
        <v>2.3485746588888889</v>
      </c>
      <c r="AX352" s="9"/>
      <c r="AY352" s="22">
        <v>1.62216</v>
      </c>
      <c r="AZ352" s="22">
        <v>31.507000000000001</v>
      </c>
      <c r="BA352" s="22">
        <v>-1.19843E-2</v>
      </c>
      <c r="BB352" s="22">
        <v>342</v>
      </c>
      <c r="BC352" s="22">
        <v>1.6210899999999999</v>
      </c>
      <c r="BD352">
        <f t="shared" si="70"/>
        <v>14.795432098765431</v>
      </c>
      <c r="BE352">
        <f t="shared" si="71"/>
        <v>24.000558133333332</v>
      </c>
    </row>
    <row r="353" spans="6:57">
      <c r="F353" s="9"/>
      <c r="G353" s="22">
        <v>0.122833</v>
      </c>
      <c r="H353" s="22">
        <v>8.6486800000000006</v>
      </c>
      <c r="I353" s="22">
        <v>-1.4825400000000001E-2</v>
      </c>
      <c r="J353" s="22">
        <v>343</v>
      </c>
      <c r="K353" s="22">
        <v>0.122284</v>
      </c>
      <c r="L353">
        <f t="shared" si="60"/>
        <v>18.302962962962962</v>
      </c>
      <c r="M353">
        <f t="shared" si="61"/>
        <v>2.2482078496296296</v>
      </c>
      <c r="N353" s="9"/>
      <c r="O353" s="22">
        <v>1.6272</v>
      </c>
      <c r="P353" s="22">
        <v>12.5686</v>
      </c>
      <c r="Q353" s="22">
        <v>-1.19781E-2</v>
      </c>
      <c r="R353" s="22">
        <v>343</v>
      </c>
      <c r="S353" s="22">
        <v>1.6262799999999999</v>
      </c>
      <c r="T353">
        <f t="shared" si="62"/>
        <v>14.787777777777777</v>
      </c>
      <c r="U353">
        <f t="shared" si="63"/>
        <v>24.062671999999999</v>
      </c>
      <c r="X353" s="9"/>
      <c r="Y353" s="22">
        <v>0.122833</v>
      </c>
      <c r="Z353" s="22">
        <v>18.113900000000001</v>
      </c>
      <c r="AA353" s="22">
        <v>-1.48804E-2</v>
      </c>
      <c r="AB353" s="22">
        <v>343</v>
      </c>
      <c r="AC353" s="22">
        <v>0.122406</v>
      </c>
      <c r="AD353">
        <f t="shared" si="64"/>
        <v>18.370864197530864</v>
      </c>
      <c r="AE353">
        <f t="shared" si="65"/>
        <v>2.2565483619753084</v>
      </c>
      <c r="AF353" s="9"/>
      <c r="AG353" s="22">
        <v>1.6272</v>
      </c>
      <c r="AH353" s="22">
        <v>22.033799999999999</v>
      </c>
      <c r="AI353" s="22">
        <v>-1.1969E-2</v>
      </c>
      <c r="AJ353" s="22">
        <v>343</v>
      </c>
      <c r="AK353" s="22">
        <v>1.6262799999999999</v>
      </c>
      <c r="AL353">
        <f t="shared" si="66"/>
        <v>14.776543209876543</v>
      </c>
      <c r="AM353">
        <f t="shared" si="67"/>
        <v>24.044391111111111</v>
      </c>
      <c r="AP353" s="9"/>
      <c r="AQ353" s="22">
        <v>0.122833</v>
      </c>
      <c r="AR353" s="22">
        <v>27.597100000000001</v>
      </c>
      <c r="AS353" s="22">
        <v>-1.48834E-2</v>
      </c>
      <c r="AT353" s="22">
        <v>343</v>
      </c>
      <c r="AU353" s="22">
        <v>0.122223</v>
      </c>
      <c r="AV353">
        <f t="shared" si="68"/>
        <v>18.374567901234567</v>
      </c>
      <c r="AW353">
        <f t="shared" si="69"/>
        <v>2.2570032990123456</v>
      </c>
      <c r="AX353" s="9"/>
      <c r="AY353" s="22">
        <v>1.6272</v>
      </c>
      <c r="AZ353" s="22">
        <v>31.516999999999999</v>
      </c>
      <c r="BA353" s="22">
        <v>-1.1886600000000001E-2</v>
      </c>
      <c r="BB353" s="22">
        <v>343</v>
      </c>
      <c r="BC353" s="22">
        <v>1.62659</v>
      </c>
      <c r="BD353">
        <f t="shared" si="70"/>
        <v>14.674814814814814</v>
      </c>
      <c r="BE353">
        <f t="shared" si="71"/>
        <v>23.878858666666666</v>
      </c>
    </row>
    <row r="354" spans="6:57">
      <c r="F354" s="9"/>
      <c r="G354" s="22">
        <v>0.117798</v>
      </c>
      <c r="H354" s="22">
        <v>8.6587499999999995</v>
      </c>
      <c r="I354" s="22">
        <v>-1.4825400000000001E-2</v>
      </c>
      <c r="J354" s="22">
        <v>344</v>
      </c>
      <c r="K354" s="22">
        <v>0.117157</v>
      </c>
      <c r="L354">
        <f t="shared" si="60"/>
        <v>18.302962962962962</v>
      </c>
      <c r="M354">
        <f t="shared" si="61"/>
        <v>2.1560524311111111</v>
      </c>
      <c r="N354" s="9"/>
      <c r="O354" s="22">
        <v>1.6322300000000001</v>
      </c>
      <c r="P354" s="22">
        <v>12.5786</v>
      </c>
      <c r="Q354" s="22">
        <v>-1.18835E-2</v>
      </c>
      <c r="R354" s="22">
        <v>344</v>
      </c>
      <c r="S354" s="22">
        <v>1.63086</v>
      </c>
      <c r="T354">
        <f t="shared" si="62"/>
        <v>14.670987654320987</v>
      </c>
      <c r="U354">
        <f t="shared" si="63"/>
        <v>23.946426179012345</v>
      </c>
      <c r="X354" s="9"/>
      <c r="Y354" s="22">
        <v>0.117798</v>
      </c>
      <c r="Z354" s="22">
        <v>18.123999999999999</v>
      </c>
      <c r="AA354" s="22">
        <v>-1.48834E-2</v>
      </c>
      <c r="AB354" s="22">
        <v>344</v>
      </c>
      <c r="AC354" s="22">
        <v>0.11724900000000001</v>
      </c>
      <c r="AD354">
        <f t="shared" si="64"/>
        <v>18.374567901234567</v>
      </c>
      <c r="AE354">
        <f t="shared" si="65"/>
        <v>2.1644873496296295</v>
      </c>
      <c r="AF354" s="9"/>
      <c r="AG354" s="22">
        <v>1.6322300000000001</v>
      </c>
      <c r="AH354" s="22">
        <v>22.043900000000001</v>
      </c>
      <c r="AI354" s="22">
        <v>-1.1865199999999999E-2</v>
      </c>
      <c r="AJ354" s="22">
        <v>344</v>
      </c>
      <c r="AK354" s="22">
        <v>1.6311599999999999</v>
      </c>
      <c r="AL354">
        <f t="shared" si="66"/>
        <v>14.648395061728394</v>
      </c>
      <c r="AM354">
        <f t="shared" si="67"/>
        <v>23.909549871604938</v>
      </c>
      <c r="AP354" s="9"/>
      <c r="AQ354" s="22">
        <v>0.117798</v>
      </c>
      <c r="AR354" s="22">
        <v>27.607199999999999</v>
      </c>
      <c r="AS354" s="22">
        <v>-1.48956E-2</v>
      </c>
      <c r="AT354" s="22">
        <v>344</v>
      </c>
      <c r="AU354" s="22">
        <v>0.11734</v>
      </c>
      <c r="AV354">
        <f t="shared" si="68"/>
        <v>18.389629629629628</v>
      </c>
      <c r="AW354">
        <f t="shared" si="69"/>
        <v>2.1662615911111107</v>
      </c>
      <c r="AX354" s="9"/>
      <c r="AY354" s="22">
        <v>1.6322300000000001</v>
      </c>
      <c r="AZ354" s="22">
        <v>31.527100000000001</v>
      </c>
      <c r="BA354" s="22">
        <v>-1.17889E-2</v>
      </c>
      <c r="BB354" s="22">
        <v>344</v>
      </c>
      <c r="BC354" s="22">
        <v>1.63086</v>
      </c>
      <c r="BD354">
        <f t="shared" si="70"/>
        <v>14.554197530864196</v>
      </c>
      <c r="BE354">
        <f t="shared" si="71"/>
        <v>23.755797835802468</v>
      </c>
    </row>
    <row r="355" spans="6:57">
      <c r="F355" s="9"/>
      <c r="G355" s="22">
        <v>0.112762</v>
      </c>
      <c r="H355" s="22">
        <v>8.6688200000000002</v>
      </c>
      <c r="I355" s="22">
        <v>-1.48285E-2</v>
      </c>
      <c r="J355" s="22">
        <v>345</v>
      </c>
      <c r="K355" s="22">
        <v>0.112244</v>
      </c>
      <c r="L355">
        <f t="shared" si="60"/>
        <v>18.306790123456789</v>
      </c>
      <c r="M355">
        <f t="shared" si="61"/>
        <v>2.0643102679012344</v>
      </c>
      <c r="N355" s="9"/>
      <c r="O355" s="22">
        <v>1.63727</v>
      </c>
      <c r="P355" s="22">
        <v>12.588699999999999</v>
      </c>
      <c r="Q355" s="22">
        <v>-1.17798E-2</v>
      </c>
      <c r="R355" s="22">
        <v>345</v>
      </c>
      <c r="S355" s="22">
        <v>1.63605</v>
      </c>
      <c r="T355">
        <f t="shared" si="62"/>
        <v>14.542962962962962</v>
      </c>
      <c r="U355">
        <f t="shared" si="63"/>
        <v>23.81075697037037</v>
      </c>
      <c r="X355" s="9"/>
      <c r="Y355" s="22">
        <v>0.112762</v>
      </c>
      <c r="Z355" s="22">
        <v>18.134</v>
      </c>
      <c r="AA355" s="22">
        <v>-1.48834E-2</v>
      </c>
      <c r="AB355" s="22">
        <v>345</v>
      </c>
      <c r="AC355" s="22">
        <v>0.112152</v>
      </c>
      <c r="AD355">
        <f t="shared" si="64"/>
        <v>18.374567901234567</v>
      </c>
      <c r="AE355">
        <f t="shared" si="65"/>
        <v>2.0719530256790124</v>
      </c>
      <c r="AF355" s="9"/>
      <c r="AG355" s="22">
        <v>1.63727</v>
      </c>
      <c r="AH355" s="22">
        <v>22.053999999999998</v>
      </c>
      <c r="AI355" s="22">
        <v>-1.1764500000000001E-2</v>
      </c>
      <c r="AJ355" s="22">
        <v>345</v>
      </c>
      <c r="AK355" s="22">
        <v>1.63574</v>
      </c>
      <c r="AL355">
        <f t="shared" si="66"/>
        <v>14.524074074074075</v>
      </c>
      <c r="AM355">
        <f t="shared" si="67"/>
        <v>23.779830759259262</v>
      </c>
      <c r="AP355" s="9"/>
      <c r="AQ355" s="22">
        <v>0.112762</v>
      </c>
      <c r="AR355" s="22">
        <v>27.6173</v>
      </c>
      <c r="AS355" s="22">
        <v>-1.4904799999999999E-2</v>
      </c>
      <c r="AT355" s="22">
        <v>345</v>
      </c>
      <c r="AU355" s="22">
        <v>0.11206099999999999</v>
      </c>
      <c r="AV355">
        <f t="shared" si="68"/>
        <v>18.400987654320986</v>
      </c>
      <c r="AW355">
        <f t="shared" si="69"/>
        <v>2.0749321698765431</v>
      </c>
      <c r="AX355" s="9"/>
      <c r="AY355" s="22">
        <v>1.63727</v>
      </c>
      <c r="AZ355" s="22">
        <v>31.537199999999999</v>
      </c>
      <c r="BA355" s="22">
        <v>-1.1672999999999999E-2</v>
      </c>
      <c r="BB355" s="22">
        <v>345</v>
      </c>
      <c r="BC355" s="22">
        <v>1.63696</v>
      </c>
      <c r="BD355">
        <f t="shared" si="70"/>
        <v>14.41111111111111</v>
      </c>
      <c r="BE355">
        <f t="shared" si="71"/>
        <v>23.594879888888887</v>
      </c>
    </row>
    <row r="356" spans="6:57">
      <c r="F356" s="9"/>
      <c r="G356" s="22">
        <v>0.107727</v>
      </c>
      <c r="H356" s="22">
        <v>8.6788900000000009</v>
      </c>
      <c r="I356" s="22">
        <v>-1.4831499999999999E-2</v>
      </c>
      <c r="J356" s="22">
        <v>346</v>
      </c>
      <c r="K356" s="22">
        <v>0.107178</v>
      </c>
      <c r="L356">
        <f t="shared" si="60"/>
        <v>18.310493827160489</v>
      </c>
      <c r="M356">
        <f t="shared" si="61"/>
        <v>1.972534568518518</v>
      </c>
      <c r="N356" s="9"/>
      <c r="O356" s="22">
        <v>1.6423000000000001</v>
      </c>
      <c r="P356" s="22">
        <v>12.598800000000001</v>
      </c>
      <c r="Q356" s="22">
        <v>-1.16638E-2</v>
      </c>
      <c r="R356" s="22">
        <v>346</v>
      </c>
      <c r="S356" s="22">
        <v>1.64154</v>
      </c>
      <c r="T356">
        <f t="shared" si="62"/>
        <v>14.399753086419754</v>
      </c>
      <c r="U356">
        <f t="shared" si="63"/>
        <v>23.648714493827164</v>
      </c>
      <c r="X356" s="9"/>
      <c r="Y356" s="22">
        <v>0.107727</v>
      </c>
      <c r="Z356" s="22">
        <v>18.144100000000002</v>
      </c>
      <c r="AA356" s="22">
        <v>-1.48834E-2</v>
      </c>
      <c r="AB356" s="22">
        <v>346</v>
      </c>
      <c r="AC356" s="22">
        <v>0.107208</v>
      </c>
      <c r="AD356">
        <f t="shared" si="64"/>
        <v>18.374567901234567</v>
      </c>
      <c r="AE356">
        <f t="shared" si="65"/>
        <v>1.9794370762962963</v>
      </c>
      <c r="AF356" s="9"/>
      <c r="AG356" s="22">
        <v>1.6423000000000001</v>
      </c>
      <c r="AH356" s="22">
        <v>22.064</v>
      </c>
      <c r="AI356" s="22">
        <v>-1.16577E-2</v>
      </c>
      <c r="AJ356" s="22">
        <v>346</v>
      </c>
      <c r="AK356" s="22">
        <v>1.64185</v>
      </c>
      <c r="AL356">
        <f t="shared" si="66"/>
        <v>14.392222222222221</v>
      </c>
      <c r="AM356">
        <f t="shared" si="67"/>
        <v>23.636346555555555</v>
      </c>
      <c r="AP356" s="9"/>
      <c r="AQ356" s="22">
        <v>0.107727</v>
      </c>
      <c r="AR356" s="22">
        <v>27.627300000000002</v>
      </c>
      <c r="AS356" s="22">
        <v>-1.4904799999999999E-2</v>
      </c>
      <c r="AT356" s="22">
        <v>346</v>
      </c>
      <c r="AU356" s="22">
        <v>0.107239</v>
      </c>
      <c r="AV356">
        <f t="shared" si="68"/>
        <v>18.400987654320986</v>
      </c>
      <c r="AW356">
        <f t="shared" si="69"/>
        <v>1.9822831970370369</v>
      </c>
      <c r="AX356" s="9"/>
      <c r="AY356" s="22">
        <v>1.6423000000000001</v>
      </c>
      <c r="AZ356" s="22">
        <v>31.5472</v>
      </c>
      <c r="BA356" s="22">
        <v>-1.1557E-2</v>
      </c>
      <c r="BB356" s="22">
        <v>346</v>
      </c>
      <c r="BC356" s="22">
        <v>1.64124</v>
      </c>
      <c r="BD356">
        <f t="shared" si="70"/>
        <v>14.267901234567899</v>
      </c>
      <c r="BE356">
        <f t="shared" si="71"/>
        <v>23.432174197530863</v>
      </c>
    </row>
    <row r="357" spans="6:57">
      <c r="F357" s="9"/>
      <c r="G357" s="22">
        <v>0.10269200000000001</v>
      </c>
      <c r="H357" s="22">
        <v>8.6889599999999998</v>
      </c>
      <c r="I357" s="22">
        <v>-1.48346E-2</v>
      </c>
      <c r="J357" s="22">
        <v>347</v>
      </c>
      <c r="K357" s="22">
        <v>0.102295</v>
      </c>
      <c r="L357">
        <f t="shared" si="60"/>
        <v>18.31432098765432</v>
      </c>
      <c r="M357">
        <f t="shared" si="61"/>
        <v>1.8807342508641975</v>
      </c>
      <c r="N357" s="9"/>
      <c r="O357" s="22">
        <v>1.64734</v>
      </c>
      <c r="P357" s="22">
        <v>12.6089</v>
      </c>
      <c r="Q357" s="22">
        <v>-1.1550899999999999E-2</v>
      </c>
      <c r="R357" s="22">
        <v>347</v>
      </c>
      <c r="S357" s="22">
        <v>1.64673</v>
      </c>
      <c r="T357">
        <f t="shared" si="62"/>
        <v>14.260370370370369</v>
      </c>
      <c r="U357">
        <f t="shared" si="63"/>
        <v>23.491678525925924</v>
      </c>
      <c r="X357" s="9"/>
      <c r="Y357" s="22">
        <v>0.10269200000000001</v>
      </c>
      <c r="Z357" s="22">
        <v>18.154199999999999</v>
      </c>
      <c r="AA357" s="22">
        <v>-1.48865E-2</v>
      </c>
      <c r="AB357" s="22">
        <v>347</v>
      </c>
      <c r="AC357" s="22">
        <v>0.102356</v>
      </c>
      <c r="AD357">
        <f t="shared" si="64"/>
        <v>18.378395061728394</v>
      </c>
      <c r="AE357">
        <f t="shared" si="65"/>
        <v>1.8873141456790123</v>
      </c>
      <c r="AF357" s="9"/>
      <c r="AG357" s="22">
        <v>1.64734</v>
      </c>
      <c r="AH357" s="22">
        <v>22.074100000000001</v>
      </c>
      <c r="AI357" s="22">
        <v>-1.1554E-2</v>
      </c>
      <c r="AJ357" s="22">
        <v>347</v>
      </c>
      <c r="AK357" s="22">
        <v>1.64612</v>
      </c>
      <c r="AL357">
        <f t="shared" si="66"/>
        <v>14.264197530864198</v>
      </c>
      <c r="AM357">
        <f t="shared" si="67"/>
        <v>23.497983160493828</v>
      </c>
      <c r="AP357" s="9"/>
      <c r="AQ357" s="22">
        <v>0.10269200000000001</v>
      </c>
      <c r="AR357" s="22">
        <v>27.6374</v>
      </c>
      <c r="AS357" s="22">
        <v>-1.49109E-2</v>
      </c>
      <c r="AT357" s="22">
        <v>347</v>
      </c>
      <c r="AU357" s="22">
        <v>0.101898</v>
      </c>
      <c r="AV357">
        <f t="shared" si="68"/>
        <v>18.408518518518516</v>
      </c>
      <c r="AW357">
        <f t="shared" si="69"/>
        <v>1.8904075837037035</v>
      </c>
      <c r="AX357" s="9"/>
      <c r="AY357" s="22">
        <v>1.64734</v>
      </c>
      <c r="AZ357" s="22">
        <v>31.557300000000001</v>
      </c>
      <c r="BA357" s="22">
        <v>-1.14319E-2</v>
      </c>
      <c r="BB357" s="22">
        <v>347</v>
      </c>
      <c r="BC357" s="22">
        <v>1.64612</v>
      </c>
      <c r="BD357">
        <f t="shared" si="70"/>
        <v>14.113456790123456</v>
      </c>
      <c r="BE357">
        <f t="shared" si="71"/>
        <v>23.249661908641976</v>
      </c>
    </row>
    <row r="358" spans="6:57">
      <c r="F358" s="9"/>
      <c r="G358" s="22">
        <v>9.7656300000000001E-2</v>
      </c>
      <c r="H358" s="22">
        <v>8.6990300000000005</v>
      </c>
      <c r="I358" s="22">
        <v>-1.4837599999999999E-2</v>
      </c>
      <c r="J358" s="22">
        <v>348</v>
      </c>
      <c r="K358" s="22">
        <v>9.7137500000000002E-2</v>
      </c>
      <c r="L358">
        <f t="shared" si="60"/>
        <v>18.318024691358023</v>
      </c>
      <c r="M358">
        <f t="shared" si="61"/>
        <v>1.7888705146666666</v>
      </c>
      <c r="N358" s="9"/>
      <c r="O358" s="22">
        <v>1.6523699999999999</v>
      </c>
      <c r="P358" s="22">
        <v>12.6189</v>
      </c>
      <c r="Q358" s="22">
        <v>-1.14319E-2</v>
      </c>
      <c r="R358" s="22">
        <v>348</v>
      </c>
      <c r="S358" s="22">
        <v>1.6513100000000001</v>
      </c>
      <c r="T358">
        <f t="shared" si="62"/>
        <v>14.113456790123456</v>
      </c>
      <c r="U358">
        <f t="shared" si="63"/>
        <v>23.320652596296291</v>
      </c>
      <c r="X358" s="9"/>
      <c r="Y358" s="22">
        <v>9.7656300000000001E-2</v>
      </c>
      <c r="Z358" s="22">
        <v>18.164300000000001</v>
      </c>
      <c r="AA358" s="22">
        <v>-1.4892600000000001E-2</v>
      </c>
      <c r="AB358" s="22">
        <v>348</v>
      </c>
      <c r="AC358" s="22">
        <v>9.7076399999999993E-2</v>
      </c>
      <c r="AD358">
        <f t="shared" si="64"/>
        <v>18.385925925925928</v>
      </c>
      <c r="AE358">
        <f t="shared" si="65"/>
        <v>1.7955014980000001</v>
      </c>
      <c r="AF358" s="9"/>
      <c r="AG358" s="22">
        <v>1.6523699999999999</v>
      </c>
      <c r="AH358" s="22">
        <v>22.084199999999999</v>
      </c>
      <c r="AI358" s="22">
        <v>-1.1428799999999999E-2</v>
      </c>
      <c r="AJ358" s="22">
        <v>348</v>
      </c>
      <c r="AK358" s="22">
        <v>1.65161</v>
      </c>
      <c r="AL358">
        <f t="shared" si="66"/>
        <v>14.109629629629628</v>
      </c>
      <c r="AM358">
        <f t="shared" si="67"/>
        <v>23.314328711111109</v>
      </c>
      <c r="AP358" s="9"/>
      <c r="AQ358" s="22">
        <v>9.7656300000000001E-2</v>
      </c>
      <c r="AR358" s="22">
        <v>27.647500000000001</v>
      </c>
      <c r="AS358" s="22">
        <v>-1.4917E-2</v>
      </c>
      <c r="AT358" s="22">
        <v>348</v>
      </c>
      <c r="AU358" s="22">
        <v>9.7320599999999993E-2</v>
      </c>
      <c r="AV358">
        <f t="shared" si="68"/>
        <v>18.416049382716047</v>
      </c>
      <c r="AW358">
        <f t="shared" si="69"/>
        <v>1.7984432433333331</v>
      </c>
      <c r="AX358" s="9"/>
      <c r="AY358" s="22">
        <v>1.6523699999999999</v>
      </c>
      <c r="AZ358" s="22">
        <v>31.567399999999999</v>
      </c>
      <c r="BA358" s="22">
        <v>-1.1306800000000001E-2</v>
      </c>
      <c r="BB358" s="22">
        <v>348</v>
      </c>
      <c r="BC358" s="22">
        <v>1.6519200000000001</v>
      </c>
      <c r="BD358">
        <f t="shared" si="70"/>
        <v>13.959012345679012</v>
      </c>
      <c r="BE358">
        <f t="shared" si="71"/>
        <v>23.065453229629629</v>
      </c>
    </row>
    <row r="359" spans="6:57">
      <c r="F359" s="9"/>
      <c r="G359" s="22">
        <v>9.2620800000000003E-2</v>
      </c>
      <c r="H359" s="22">
        <v>8.7090999999999994</v>
      </c>
      <c r="I359" s="22">
        <v>-1.48407E-2</v>
      </c>
      <c r="J359" s="22">
        <v>349</v>
      </c>
      <c r="K359" s="22">
        <v>9.2040999999999998E-2</v>
      </c>
      <c r="L359">
        <f t="shared" si="60"/>
        <v>18.32185185185185</v>
      </c>
      <c r="M359">
        <f t="shared" si="61"/>
        <v>1.696984576</v>
      </c>
      <c r="N359" s="9"/>
      <c r="O359" s="22">
        <v>1.65741</v>
      </c>
      <c r="P359" s="22">
        <v>12.629</v>
      </c>
      <c r="Q359" s="22">
        <v>-1.1306800000000001E-2</v>
      </c>
      <c r="R359" s="22">
        <v>349</v>
      </c>
      <c r="S359" s="22">
        <v>1.6561900000000001</v>
      </c>
      <c r="T359">
        <f t="shared" si="62"/>
        <v>13.959012345679012</v>
      </c>
      <c r="U359">
        <f t="shared" si="63"/>
        <v>23.135806651851851</v>
      </c>
      <c r="X359" s="9"/>
      <c r="Y359" s="22">
        <v>9.2620800000000003E-2</v>
      </c>
      <c r="Z359" s="22">
        <v>18.174299999999999</v>
      </c>
      <c r="AA359" s="22">
        <v>-1.4898700000000001E-2</v>
      </c>
      <c r="AB359" s="22">
        <v>349</v>
      </c>
      <c r="AC359" s="22">
        <v>9.2132599999999995E-2</v>
      </c>
      <c r="AD359">
        <f t="shared" si="64"/>
        <v>18.393456790123455</v>
      </c>
      <c r="AE359">
        <f t="shared" si="65"/>
        <v>1.7036166826666665</v>
      </c>
      <c r="AF359" s="9"/>
      <c r="AG359" s="22">
        <v>1.65741</v>
      </c>
      <c r="AH359" s="22">
        <v>22.0943</v>
      </c>
      <c r="AI359" s="22">
        <v>-1.12946E-2</v>
      </c>
      <c r="AJ359" s="22">
        <v>349</v>
      </c>
      <c r="AK359" s="22">
        <v>1.65649</v>
      </c>
      <c r="AL359">
        <f t="shared" si="66"/>
        <v>13.943950617283949</v>
      </c>
      <c r="AM359">
        <f t="shared" si="67"/>
        <v>23.11084319259259</v>
      </c>
      <c r="AP359" s="9"/>
      <c r="AQ359" s="22">
        <v>9.2620800000000003E-2</v>
      </c>
      <c r="AR359" s="22">
        <v>27.657599999999999</v>
      </c>
      <c r="AS359" s="22">
        <v>-1.49231E-2</v>
      </c>
      <c r="AT359" s="22">
        <v>349</v>
      </c>
      <c r="AU359" s="22">
        <v>9.2376700000000006E-2</v>
      </c>
      <c r="AV359">
        <f t="shared" si="68"/>
        <v>18.423580246913577</v>
      </c>
      <c r="AW359">
        <f t="shared" si="69"/>
        <v>1.706406741333333</v>
      </c>
      <c r="AX359" s="9"/>
      <c r="AY359" s="22">
        <v>1.65741</v>
      </c>
      <c r="AZ359" s="22">
        <v>31.577500000000001</v>
      </c>
      <c r="BA359" s="22">
        <v>-1.11664E-2</v>
      </c>
      <c r="BB359" s="22">
        <v>349</v>
      </c>
      <c r="BC359" s="22">
        <v>1.6561900000000001</v>
      </c>
      <c r="BD359">
        <f t="shared" si="70"/>
        <v>13.785679012345678</v>
      </c>
      <c r="BE359">
        <f t="shared" si="71"/>
        <v>22.84852225185185</v>
      </c>
    </row>
    <row r="360" spans="6:57">
      <c r="F360" s="9"/>
      <c r="G360" s="22">
        <v>8.7585399999999994E-2</v>
      </c>
      <c r="H360" s="22">
        <v>8.7191700000000001</v>
      </c>
      <c r="I360" s="22">
        <v>-1.48468E-2</v>
      </c>
      <c r="J360" s="22">
        <v>350</v>
      </c>
      <c r="K360" s="22">
        <v>8.69751E-2</v>
      </c>
      <c r="L360">
        <f t="shared" si="60"/>
        <v>18.329382716049381</v>
      </c>
      <c r="M360">
        <f t="shared" si="61"/>
        <v>1.6053863169382714</v>
      </c>
      <c r="N360" s="9"/>
      <c r="O360" s="22">
        <v>1.66245</v>
      </c>
      <c r="P360" s="22">
        <v>12.639099999999999</v>
      </c>
      <c r="Q360" s="22">
        <v>-1.11816E-2</v>
      </c>
      <c r="R360" s="22">
        <v>350</v>
      </c>
      <c r="S360" s="22">
        <v>1.66168</v>
      </c>
      <c r="T360">
        <f t="shared" si="62"/>
        <v>13.804444444444444</v>
      </c>
      <c r="U360">
        <f t="shared" si="63"/>
        <v>22.949198666666664</v>
      </c>
      <c r="X360" s="9"/>
      <c r="Y360" s="22">
        <v>8.7585399999999994E-2</v>
      </c>
      <c r="Z360" s="22">
        <v>18.1844</v>
      </c>
      <c r="AA360" s="22">
        <v>-1.4907800000000001E-2</v>
      </c>
      <c r="AB360" s="22">
        <v>350</v>
      </c>
      <c r="AC360" s="22">
        <v>8.6944599999999997E-2</v>
      </c>
      <c r="AD360">
        <f t="shared" si="64"/>
        <v>18.404691358024692</v>
      </c>
      <c r="AE360">
        <f t="shared" si="65"/>
        <v>1.6119822544691358</v>
      </c>
      <c r="AF360" s="9"/>
      <c r="AG360" s="22">
        <v>1.66245</v>
      </c>
      <c r="AH360" s="22">
        <v>22.104299999999999</v>
      </c>
      <c r="AI360" s="22">
        <v>-1.1157200000000001E-2</v>
      </c>
      <c r="AJ360" s="22">
        <v>350</v>
      </c>
      <c r="AK360" s="22">
        <v>1.66229</v>
      </c>
      <c r="AL360">
        <f t="shared" si="66"/>
        <v>13.77432098765432</v>
      </c>
      <c r="AM360">
        <f t="shared" si="67"/>
        <v>22.899119925925923</v>
      </c>
      <c r="AP360" s="9"/>
      <c r="AQ360" s="22">
        <v>8.7585399999999994E-2</v>
      </c>
      <c r="AR360" s="22">
        <v>27.6676</v>
      </c>
      <c r="AS360" s="22">
        <v>-1.4926099999999999E-2</v>
      </c>
      <c r="AT360" s="22">
        <v>350</v>
      </c>
      <c r="AU360" s="22">
        <v>8.7127700000000002E-2</v>
      </c>
      <c r="AV360">
        <f t="shared" si="68"/>
        <v>18.427283950617284</v>
      </c>
      <c r="AW360">
        <f t="shared" si="69"/>
        <v>1.6139610357283949</v>
      </c>
      <c r="AX360" s="9"/>
      <c r="AY360" s="22">
        <v>1.66245</v>
      </c>
      <c r="AZ360" s="22">
        <v>31.587499999999999</v>
      </c>
      <c r="BA360" s="22">
        <v>-1.10291E-2</v>
      </c>
      <c r="BB360" s="22">
        <v>350</v>
      </c>
      <c r="BC360" s="22">
        <v>1.66168</v>
      </c>
      <c r="BD360">
        <f t="shared" si="70"/>
        <v>13.616172839506172</v>
      </c>
      <c r="BE360">
        <f t="shared" si="71"/>
        <v>22.636206537037037</v>
      </c>
    </row>
    <row r="361" spans="6:57">
      <c r="F361" s="9"/>
      <c r="G361" s="22">
        <v>8.2549999999999998E-2</v>
      </c>
      <c r="H361" s="22">
        <v>8.7292500000000004</v>
      </c>
      <c r="I361" s="22">
        <v>-1.4849899999999999E-2</v>
      </c>
      <c r="J361" s="22">
        <v>351</v>
      </c>
      <c r="K361" s="22">
        <v>8.2092300000000007E-2</v>
      </c>
      <c r="L361">
        <f t="shared" si="60"/>
        <v>18.333209876543208</v>
      </c>
      <c r="M361">
        <f t="shared" si="61"/>
        <v>1.5134064753086418</v>
      </c>
      <c r="N361" s="9"/>
      <c r="O361" s="22">
        <v>1.6674800000000001</v>
      </c>
      <c r="P361" s="22">
        <v>12.649100000000001</v>
      </c>
      <c r="Q361" s="22">
        <v>-1.10352E-2</v>
      </c>
      <c r="R361" s="22">
        <v>351</v>
      </c>
      <c r="S361" s="22">
        <v>1.6668700000000001</v>
      </c>
      <c r="T361">
        <f t="shared" si="62"/>
        <v>13.623703703703704</v>
      </c>
      <c r="U361">
        <f t="shared" si="63"/>
        <v>22.717253451851853</v>
      </c>
      <c r="X361" s="9"/>
      <c r="Y361" s="22">
        <v>8.2549999999999998E-2</v>
      </c>
      <c r="Z361" s="22">
        <v>18.194500000000001</v>
      </c>
      <c r="AA361" s="22">
        <v>-1.49109E-2</v>
      </c>
      <c r="AB361" s="22">
        <v>351</v>
      </c>
      <c r="AC361" s="22">
        <v>8.2092300000000007E-2</v>
      </c>
      <c r="AD361">
        <f t="shared" si="64"/>
        <v>18.408518518518516</v>
      </c>
      <c r="AE361">
        <f t="shared" si="65"/>
        <v>1.5196232037037034</v>
      </c>
      <c r="AF361" s="9"/>
      <c r="AG361" s="22">
        <v>1.6674800000000001</v>
      </c>
      <c r="AH361" s="22">
        <v>22.1144</v>
      </c>
      <c r="AI361" s="22">
        <v>-1.10107E-2</v>
      </c>
      <c r="AJ361" s="22">
        <v>351</v>
      </c>
      <c r="AK361" s="22">
        <v>1.6668700000000001</v>
      </c>
      <c r="AL361">
        <f t="shared" si="66"/>
        <v>13.593456790123456</v>
      </c>
      <c r="AM361">
        <f t="shared" si="67"/>
        <v>22.666817328395062</v>
      </c>
      <c r="AP361" s="9"/>
      <c r="AQ361" s="22">
        <v>8.2549999999999998E-2</v>
      </c>
      <c r="AR361" s="22">
        <v>27.677700000000002</v>
      </c>
      <c r="AS361" s="22">
        <v>-1.4932300000000001E-2</v>
      </c>
      <c r="AT361" s="22">
        <v>351</v>
      </c>
      <c r="AU361" s="22">
        <v>8.2122799999999996E-2</v>
      </c>
      <c r="AV361">
        <f t="shared" si="68"/>
        <v>18.434938271604938</v>
      </c>
      <c r="AW361">
        <f t="shared" si="69"/>
        <v>1.5218041543209877</v>
      </c>
      <c r="AX361" s="9"/>
      <c r="AY361" s="22">
        <v>1.6674800000000001</v>
      </c>
      <c r="AZ361" s="22">
        <v>31.5976</v>
      </c>
      <c r="BA361" s="22">
        <v>-1.0876500000000001E-2</v>
      </c>
      <c r="BB361" s="22">
        <v>351</v>
      </c>
      <c r="BC361" s="22">
        <v>1.66656</v>
      </c>
      <c r="BD361">
        <f t="shared" si="70"/>
        <v>13.427777777777779</v>
      </c>
      <c r="BE361">
        <f t="shared" si="71"/>
        <v>22.390550888888892</v>
      </c>
    </row>
    <row r="362" spans="6:57">
      <c r="F362" s="9"/>
      <c r="G362" s="22">
        <v>7.7514600000000003E-2</v>
      </c>
      <c r="H362" s="22">
        <v>8.7393199999999993</v>
      </c>
      <c r="I362" s="22">
        <v>-1.4855999999999999E-2</v>
      </c>
      <c r="J362" s="22">
        <v>352</v>
      </c>
      <c r="K362" s="22">
        <v>7.7117900000000003E-2</v>
      </c>
      <c r="L362">
        <f t="shared" si="60"/>
        <v>18.340740740740738</v>
      </c>
      <c r="M362">
        <f t="shared" si="61"/>
        <v>1.421675182222222</v>
      </c>
      <c r="N362" s="9"/>
      <c r="O362" s="22">
        <v>1.67252</v>
      </c>
      <c r="P362" s="22">
        <v>12.6592</v>
      </c>
      <c r="Q362" s="22">
        <v>-1.0891700000000001E-2</v>
      </c>
      <c r="R362" s="22">
        <v>352</v>
      </c>
      <c r="S362" s="22">
        <v>1.6714500000000001</v>
      </c>
      <c r="T362">
        <f t="shared" si="62"/>
        <v>13.446543209876543</v>
      </c>
      <c r="U362">
        <f t="shared" si="63"/>
        <v>22.489612449382715</v>
      </c>
      <c r="X362" s="9"/>
      <c r="Y362" s="22">
        <v>7.7514600000000003E-2</v>
      </c>
      <c r="Z362" s="22">
        <v>18.204499999999999</v>
      </c>
      <c r="AA362" s="22">
        <v>-1.4913900000000001E-2</v>
      </c>
      <c r="AB362" s="22">
        <v>352</v>
      </c>
      <c r="AC362" s="22">
        <v>7.69653E-2</v>
      </c>
      <c r="AD362">
        <f t="shared" si="64"/>
        <v>18.412222222222223</v>
      </c>
      <c r="AE362">
        <f t="shared" si="65"/>
        <v>1.4272160406666667</v>
      </c>
      <c r="AF362" s="9"/>
      <c r="AG362" s="22">
        <v>1.67252</v>
      </c>
      <c r="AH362" s="22">
        <v>22.124500000000001</v>
      </c>
      <c r="AI362" s="22">
        <v>-1.08521E-2</v>
      </c>
      <c r="AJ362" s="22">
        <v>352</v>
      </c>
      <c r="AK362" s="22">
        <v>1.6717500000000001</v>
      </c>
      <c r="AL362">
        <f t="shared" si="66"/>
        <v>13.397654320987654</v>
      </c>
      <c r="AM362">
        <f t="shared" si="67"/>
        <v>22.407844804938271</v>
      </c>
      <c r="AP362" s="9"/>
      <c r="AQ362" s="22">
        <v>7.7514600000000003E-2</v>
      </c>
      <c r="AR362" s="22">
        <v>27.687799999999999</v>
      </c>
      <c r="AS362" s="22">
        <v>-1.4938399999999999E-2</v>
      </c>
      <c r="AT362" s="22">
        <v>352</v>
      </c>
      <c r="AU362" s="22">
        <v>7.69653E-2</v>
      </c>
      <c r="AV362">
        <f t="shared" si="68"/>
        <v>18.442469135802465</v>
      </c>
      <c r="AW362">
        <f t="shared" si="69"/>
        <v>1.4295606180740739</v>
      </c>
      <c r="AX362" s="9"/>
      <c r="AY362" s="22">
        <v>1.67252</v>
      </c>
      <c r="AZ362" s="22">
        <v>31.607700000000001</v>
      </c>
      <c r="BA362" s="22">
        <v>-1.0711699999999999E-2</v>
      </c>
      <c r="BB362" s="22">
        <v>352</v>
      </c>
      <c r="BC362" s="22">
        <v>1.6723600000000001</v>
      </c>
      <c r="BD362">
        <f t="shared" si="70"/>
        <v>13.22432098765432</v>
      </c>
      <c r="BE362">
        <f t="shared" si="71"/>
        <v>22.117941338271603</v>
      </c>
    </row>
    <row r="363" spans="6:57">
      <c r="F363" s="9"/>
      <c r="G363" s="22">
        <v>7.2479199999999994E-2</v>
      </c>
      <c r="H363" s="22">
        <v>8.74939</v>
      </c>
      <c r="I363" s="22">
        <v>-1.4859000000000001E-2</v>
      </c>
      <c r="J363" s="22">
        <v>353</v>
      </c>
      <c r="K363" s="22">
        <v>7.1990999999999999E-2</v>
      </c>
      <c r="L363">
        <f t="shared" si="60"/>
        <v>18.344444444444445</v>
      </c>
      <c r="M363">
        <f t="shared" si="61"/>
        <v>1.3295906577777776</v>
      </c>
      <c r="N363" s="9"/>
      <c r="O363" s="22">
        <v>1.6775500000000001</v>
      </c>
      <c r="P363" s="22">
        <v>12.6693</v>
      </c>
      <c r="Q363" s="22">
        <v>-1.0726899999999999E-2</v>
      </c>
      <c r="R363" s="22">
        <v>353</v>
      </c>
      <c r="S363" s="22">
        <v>1.6763300000000001</v>
      </c>
      <c r="T363">
        <f t="shared" si="62"/>
        <v>13.243086419753084</v>
      </c>
      <c r="U363">
        <f t="shared" si="63"/>
        <v>22.215939623456787</v>
      </c>
      <c r="X363" s="9"/>
      <c r="Y363" s="22">
        <v>7.2479199999999994E-2</v>
      </c>
      <c r="Z363" s="22">
        <v>18.214600000000001</v>
      </c>
      <c r="AA363" s="22">
        <v>-1.4913900000000001E-2</v>
      </c>
      <c r="AB363" s="22">
        <v>353</v>
      </c>
      <c r="AC363" s="22">
        <v>7.1960399999999994E-2</v>
      </c>
      <c r="AD363">
        <f t="shared" si="64"/>
        <v>18.412222222222223</v>
      </c>
      <c r="AE363">
        <f t="shared" si="65"/>
        <v>1.3345031368888889</v>
      </c>
      <c r="AF363" s="9"/>
      <c r="AG363" s="22">
        <v>1.6775500000000001</v>
      </c>
      <c r="AH363" s="22">
        <v>22.134499999999999</v>
      </c>
      <c r="AI363" s="22">
        <v>-1.06842E-2</v>
      </c>
      <c r="AJ363" s="22">
        <v>353</v>
      </c>
      <c r="AK363" s="22">
        <v>1.6766399999999999</v>
      </c>
      <c r="AL363">
        <f t="shared" si="66"/>
        <v>13.190370370370371</v>
      </c>
      <c r="AM363">
        <f t="shared" si="67"/>
        <v>22.127505814814818</v>
      </c>
      <c r="AP363" s="9"/>
      <c r="AQ363" s="22">
        <v>7.2479199999999994E-2</v>
      </c>
      <c r="AR363" s="22">
        <v>27.697800000000001</v>
      </c>
      <c r="AS363" s="22">
        <v>-1.4941400000000001E-2</v>
      </c>
      <c r="AT363" s="22">
        <v>353</v>
      </c>
      <c r="AU363" s="22">
        <v>7.2235099999999997E-2</v>
      </c>
      <c r="AV363">
        <f t="shared" si="68"/>
        <v>18.446172839506172</v>
      </c>
      <c r="AW363">
        <f t="shared" si="69"/>
        <v>1.3369638504691357</v>
      </c>
      <c r="AX363" s="9"/>
      <c r="AY363" s="22">
        <v>1.6775500000000001</v>
      </c>
      <c r="AZ363" s="22">
        <v>31.617699999999999</v>
      </c>
      <c r="BA363" s="22">
        <v>-1.0528600000000001E-2</v>
      </c>
      <c r="BB363" s="22">
        <v>353</v>
      </c>
      <c r="BC363" s="22">
        <v>1.6769400000000001</v>
      </c>
      <c r="BD363">
        <f t="shared" si="70"/>
        <v>12.998271604938271</v>
      </c>
      <c r="BE363">
        <f t="shared" si="71"/>
        <v>21.805250530864196</v>
      </c>
    </row>
    <row r="364" spans="6:57">
      <c r="F364" s="9"/>
      <c r="G364" s="22">
        <v>6.7443799999999998E-2</v>
      </c>
      <c r="H364" s="22">
        <v>8.7594600000000007</v>
      </c>
      <c r="I364" s="22">
        <v>-1.4865099999999999E-2</v>
      </c>
      <c r="J364" s="22">
        <v>354</v>
      </c>
      <c r="K364" s="22">
        <v>6.6986100000000007E-2</v>
      </c>
      <c r="L364">
        <f t="shared" si="60"/>
        <v>18.351975308641972</v>
      </c>
      <c r="M364">
        <f t="shared" si="61"/>
        <v>1.2377269523209873</v>
      </c>
      <c r="N364" s="9"/>
      <c r="O364" s="22">
        <v>1.68259</v>
      </c>
      <c r="P364" s="22">
        <v>12.679399999999999</v>
      </c>
      <c r="Q364" s="22">
        <v>-1.05591E-2</v>
      </c>
      <c r="R364" s="22">
        <v>354</v>
      </c>
      <c r="S364" s="22">
        <v>1.6818200000000001</v>
      </c>
      <c r="T364">
        <f t="shared" si="62"/>
        <v>13.035925925925925</v>
      </c>
      <c r="U364">
        <f t="shared" si="63"/>
        <v>21.934118603703702</v>
      </c>
      <c r="X364" s="9"/>
      <c r="Y364" s="22">
        <v>6.7443799999999998E-2</v>
      </c>
      <c r="Z364" s="22">
        <v>18.224699999999999</v>
      </c>
      <c r="AA364" s="22">
        <v>-1.49231E-2</v>
      </c>
      <c r="AB364" s="22">
        <v>354</v>
      </c>
      <c r="AC364" s="22">
        <v>6.6894499999999996E-2</v>
      </c>
      <c r="AD364">
        <f t="shared" si="64"/>
        <v>18.423580246913577</v>
      </c>
      <c r="AE364">
        <f t="shared" si="65"/>
        <v>1.2425562614567898</v>
      </c>
      <c r="AF364" s="9"/>
      <c r="AG364" s="22">
        <v>1.68259</v>
      </c>
      <c r="AH364" s="22">
        <v>22.144600000000001</v>
      </c>
      <c r="AI364" s="22">
        <v>-1.0501099999999999E-2</v>
      </c>
      <c r="AJ364" s="22">
        <v>354</v>
      </c>
      <c r="AK364" s="22">
        <v>1.6818200000000001</v>
      </c>
      <c r="AL364">
        <f t="shared" si="66"/>
        <v>12.96432098765432</v>
      </c>
      <c r="AM364">
        <f t="shared" si="67"/>
        <v>21.813636850617282</v>
      </c>
      <c r="AP364" s="9"/>
      <c r="AQ364" s="22">
        <v>6.7443799999999998E-2</v>
      </c>
      <c r="AR364" s="22">
        <v>27.707899999999999</v>
      </c>
      <c r="AS364" s="22">
        <v>-1.4947500000000001E-2</v>
      </c>
      <c r="AT364" s="22">
        <v>354</v>
      </c>
      <c r="AU364" s="22">
        <v>6.7138699999999996E-2</v>
      </c>
      <c r="AV364">
        <f t="shared" si="68"/>
        <v>18.453703703703706</v>
      </c>
      <c r="AW364">
        <f t="shared" si="69"/>
        <v>1.244587901851852</v>
      </c>
      <c r="AX364" s="9"/>
      <c r="AY364" s="22">
        <v>1.68259</v>
      </c>
      <c r="AZ364" s="22">
        <v>31.627800000000001</v>
      </c>
      <c r="BA364" s="22">
        <v>-1.0351600000000001E-2</v>
      </c>
      <c r="BB364" s="22">
        <v>354</v>
      </c>
      <c r="BC364" s="22">
        <v>1.6818200000000001</v>
      </c>
      <c r="BD364">
        <f t="shared" si="70"/>
        <v>12.779753086419753</v>
      </c>
      <c r="BE364">
        <f t="shared" si="71"/>
        <v>21.503084745679011</v>
      </c>
    </row>
    <row r="365" spans="6:57">
      <c r="F365" s="9"/>
      <c r="G365" s="22">
        <v>6.2408400000000003E-2</v>
      </c>
      <c r="H365" s="22">
        <v>8.7695299999999996</v>
      </c>
      <c r="I365" s="22">
        <v>-1.4871199999999999E-2</v>
      </c>
      <c r="J365" s="22">
        <v>355</v>
      </c>
      <c r="K365" s="22">
        <v>6.1950699999999997E-2</v>
      </c>
      <c r="L365">
        <f t="shared" si="60"/>
        <v>18.359506172839506</v>
      </c>
      <c r="M365">
        <f t="shared" si="61"/>
        <v>1.1457874050370371</v>
      </c>
      <c r="N365" s="9"/>
      <c r="O365" s="22">
        <v>1.6876199999999999</v>
      </c>
      <c r="P365" s="22">
        <v>12.689399999999999</v>
      </c>
      <c r="Q365" s="22">
        <v>-1.03851E-2</v>
      </c>
      <c r="R365" s="22">
        <v>355</v>
      </c>
      <c r="S365" s="22">
        <v>1.6870099999999999</v>
      </c>
      <c r="T365">
        <f t="shared" si="62"/>
        <v>12.82111111111111</v>
      </c>
      <c r="U365">
        <f t="shared" si="63"/>
        <v>21.637163533333329</v>
      </c>
      <c r="X365" s="9"/>
      <c r="Y365" s="22">
        <v>6.2408400000000003E-2</v>
      </c>
      <c r="Z365" s="22">
        <v>18.2347</v>
      </c>
      <c r="AA365" s="22">
        <v>-1.4932300000000001E-2</v>
      </c>
      <c r="AB365" s="22">
        <v>355</v>
      </c>
      <c r="AC365" s="22">
        <v>6.18591E-2</v>
      </c>
      <c r="AD365">
        <f t="shared" si="64"/>
        <v>18.434938271604938</v>
      </c>
      <c r="AE365">
        <f t="shared" si="65"/>
        <v>1.1504950016296296</v>
      </c>
      <c r="AF365" s="9"/>
      <c r="AG365" s="22">
        <v>1.6876199999999999</v>
      </c>
      <c r="AH365" s="22">
        <v>22.154699999999998</v>
      </c>
      <c r="AI365" s="22">
        <v>-1.0321E-2</v>
      </c>
      <c r="AJ365" s="22">
        <v>355</v>
      </c>
      <c r="AK365" s="22">
        <v>1.6870099999999999</v>
      </c>
      <c r="AL365">
        <f t="shared" si="66"/>
        <v>12.741975308641976</v>
      </c>
      <c r="AM365">
        <f t="shared" si="67"/>
        <v>21.503612370370369</v>
      </c>
      <c r="AP365" s="9"/>
      <c r="AQ365" s="22">
        <v>6.2408400000000003E-2</v>
      </c>
      <c r="AR365" s="22">
        <v>27.718</v>
      </c>
      <c r="AS365" s="22">
        <v>-1.49567E-2</v>
      </c>
      <c r="AT365" s="22">
        <v>355</v>
      </c>
      <c r="AU365" s="22">
        <v>6.19812E-2</v>
      </c>
      <c r="AV365">
        <f t="shared" si="68"/>
        <v>18.46506172839506</v>
      </c>
      <c r="AW365">
        <f t="shared" si="69"/>
        <v>1.1523749583703704</v>
      </c>
      <c r="AX365" s="9"/>
      <c r="AY365" s="22">
        <v>1.6876199999999999</v>
      </c>
      <c r="AZ365" s="22">
        <v>31.637899999999998</v>
      </c>
      <c r="BA365" s="22">
        <v>-1.0153199999999999E-2</v>
      </c>
      <c r="BB365" s="22">
        <v>355</v>
      </c>
      <c r="BC365" s="22">
        <v>1.6863999999999999</v>
      </c>
      <c r="BD365">
        <f t="shared" si="70"/>
        <v>12.534814814814814</v>
      </c>
      <c r="BE365">
        <f t="shared" si="71"/>
        <v>21.154004177777775</v>
      </c>
    </row>
    <row r="366" spans="6:57">
      <c r="F366" s="9"/>
      <c r="G366" s="22">
        <v>5.7373E-2</v>
      </c>
      <c r="H366" s="22">
        <v>8.7796000000000003</v>
      </c>
      <c r="I366" s="22">
        <v>-1.48743E-2</v>
      </c>
      <c r="J366" s="22">
        <v>356</v>
      </c>
      <c r="K366" s="22">
        <v>5.6854200000000001E-2</v>
      </c>
      <c r="L366">
        <f t="shared" si="60"/>
        <v>18.363333333333333</v>
      </c>
      <c r="M366">
        <f t="shared" si="61"/>
        <v>1.0535595233333332</v>
      </c>
      <c r="N366" s="9"/>
      <c r="O366" s="22">
        <v>1.6926600000000001</v>
      </c>
      <c r="P366" s="22">
        <v>12.6995</v>
      </c>
      <c r="Q366" s="22">
        <v>-1.0195900000000001E-2</v>
      </c>
      <c r="R366" s="22">
        <v>356</v>
      </c>
      <c r="S366" s="22">
        <v>1.6918899999999999</v>
      </c>
      <c r="T366">
        <f t="shared" si="62"/>
        <v>12.587530864197531</v>
      </c>
      <c r="U366">
        <f t="shared" si="63"/>
        <v>21.306409992592592</v>
      </c>
      <c r="X366" s="9"/>
      <c r="Y366" s="22">
        <v>5.7373E-2</v>
      </c>
      <c r="Z366" s="22">
        <v>18.244800000000001</v>
      </c>
      <c r="AA366" s="22">
        <v>-1.49353E-2</v>
      </c>
      <c r="AB366" s="22">
        <v>356</v>
      </c>
      <c r="AC366" s="22">
        <v>5.6854200000000001E-2</v>
      </c>
      <c r="AD366">
        <f t="shared" si="64"/>
        <v>18.438641975308641</v>
      </c>
      <c r="AE366">
        <f t="shared" si="65"/>
        <v>1.0578802060493826</v>
      </c>
      <c r="AF366" s="9"/>
      <c r="AG366" s="22">
        <v>1.6926600000000001</v>
      </c>
      <c r="AH366" s="22">
        <v>22.1648</v>
      </c>
      <c r="AI366" s="22">
        <v>-1.01166E-2</v>
      </c>
      <c r="AJ366" s="22">
        <v>356</v>
      </c>
      <c r="AK366" s="22">
        <v>1.6915899999999999</v>
      </c>
      <c r="AL366">
        <f t="shared" si="66"/>
        <v>12.489629629629629</v>
      </c>
      <c r="AM366">
        <f t="shared" si="67"/>
        <v>21.140696488888889</v>
      </c>
      <c r="AP366" s="9"/>
      <c r="AQ366" s="22">
        <v>5.7373E-2</v>
      </c>
      <c r="AR366" s="22">
        <v>27.728100000000001</v>
      </c>
      <c r="AS366" s="22">
        <v>-1.49628E-2</v>
      </c>
      <c r="AT366" s="22">
        <v>356</v>
      </c>
      <c r="AU366" s="22">
        <v>5.6610099999999997E-2</v>
      </c>
      <c r="AV366">
        <f t="shared" si="68"/>
        <v>18.472592592592594</v>
      </c>
      <c r="AW366">
        <f t="shared" si="69"/>
        <v>1.0598280548148149</v>
      </c>
      <c r="AX366" s="9"/>
      <c r="AY366" s="22">
        <v>1.6926600000000001</v>
      </c>
      <c r="AZ366" s="22">
        <v>31.6479</v>
      </c>
      <c r="BA366" s="22">
        <v>-9.9548299999999996E-3</v>
      </c>
      <c r="BB366" s="22">
        <v>356</v>
      </c>
      <c r="BC366" s="22">
        <v>1.6918899999999999</v>
      </c>
      <c r="BD366">
        <f t="shared" si="70"/>
        <v>12.289913580246912</v>
      </c>
      <c r="BE366">
        <f t="shared" si="71"/>
        <v>20.802645120740738</v>
      </c>
    </row>
    <row r="367" spans="6:57">
      <c r="F367" s="9"/>
      <c r="G367" s="22">
        <v>5.2337599999999998E-2</v>
      </c>
      <c r="H367" s="22">
        <v>8.7896699999999992</v>
      </c>
      <c r="I367" s="22">
        <v>-1.48804E-2</v>
      </c>
      <c r="J367" s="22">
        <v>357</v>
      </c>
      <c r="K367" s="22">
        <v>5.1788300000000002E-2</v>
      </c>
      <c r="L367">
        <f t="shared" si="60"/>
        <v>18.370864197530864</v>
      </c>
      <c r="M367">
        <f t="shared" si="61"/>
        <v>0.96148694202469132</v>
      </c>
      <c r="N367" s="9"/>
      <c r="O367" s="22">
        <v>1.6976899999999999</v>
      </c>
      <c r="P367" s="22">
        <v>12.7096</v>
      </c>
      <c r="Q367" s="22">
        <v>-9.9975600000000008E-3</v>
      </c>
      <c r="R367" s="22">
        <v>357</v>
      </c>
      <c r="S367" s="22">
        <v>1.6964699999999999</v>
      </c>
      <c r="T367">
        <f t="shared" si="62"/>
        <v>12.342666666666666</v>
      </c>
      <c r="U367">
        <f t="shared" si="63"/>
        <v>20.954021773333331</v>
      </c>
      <c r="X367" s="9"/>
      <c r="Y367" s="22">
        <v>5.2337599999999998E-2</v>
      </c>
      <c r="Z367" s="22">
        <v>18.254899999999999</v>
      </c>
      <c r="AA367" s="22">
        <v>-1.4941400000000001E-2</v>
      </c>
      <c r="AB367" s="22">
        <v>357</v>
      </c>
      <c r="AC367" s="22">
        <v>5.1849399999999997E-2</v>
      </c>
      <c r="AD367">
        <f t="shared" si="64"/>
        <v>18.446172839506172</v>
      </c>
      <c r="AE367">
        <f t="shared" si="65"/>
        <v>0.96542841560493819</v>
      </c>
      <c r="AF367" s="9"/>
      <c r="AG367" s="22">
        <v>1.6976899999999999</v>
      </c>
      <c r="AH367" s="22">
        <v>22.174800000000001</v>
      </c>
      <c r="AI367" s="22">
        <v>-9.9029500000000006E-3</v>
      </c>
      <c r="AJ367" s="22">
        <v>357</v>
      </c>
      <c r="AK367" s="22">
        <v>1.6964699999999999</v>
      </c>
      <c r="AL367">
        <f t="shared" si="66"/>
        <v>12.225864197530864</v>
      </c>
      <c r="AM367">
        <f t="shared" si="67"/>
        <v>20.755727389506173</v>
      </c>
      <c r="AP367" s="9"/>
      <c r="AQ367" s="22">
        <v>5.2337599999999998E-2</v>
      </c>
      <c r="AR367" s="22">
        <v>27.738099999999999</v>
      </c>
      <c r="AS367" s="22">
        <v>-1.49719E-2</v>
      </c>
      <c r="AT367" s="22">
        <v>357</v>
      </c>
      <c r="AU367" s="22">
        <v>5.1788300000000002E-2</v>
      </c>
      <c r="AV367">
        <f t="shared" si="68"/>
        <v>18.483827160493824</v>
      </c>
      <c r="AW367">
        <f t="shared" si="69"/>
        <v>0.96739915239506158</v>
      </c>
      <c r="AX367" s="9"/>
      <c r="AY367" s="22">
        <v>1.6976899999999999</v>
      </c>
      <c r="AZ367" s="22">
        <v>31.658000000000001</v>
      </c>
      <c r="BA367" s="22">
        <v>-9.7320600000000007E-3</v>
      </c>
      <c r="BB367" s="22">
        <v>357</v>
      </c>
      <c r="BC367" s="22">
        <v>1.6970799999999999</v>
      </c>
      <c r="BD367">
        <f t="shared" si="70"/>
        <v>12.014888888888889</v>
      </c>
      <c r="BE367">
        <f t="shared" si="71"/>
        <v>20.397556717777775</v>
      </c>
    </row>
    <row r="368" spans="6:57">
      <c r="F368" s="9"/>
      <c r="G368" s="22">
        <v>4.7302200000000003E-2</v>
      </c>
      <c r="H368" s="22">
        <v>8.7997399999999999</v>
      </c>
      <c r="I368" s="22">
        <v>-1.48865E-2</v>
      </c>
      <c r="J368" s="22">
        <v>358</v>
      </c>
      <c r="K368" s="22">
        <v>4.7195399999999998E-2</v>
      </c>
      <c r="L368">
        <f t="shared" si="60"/>
        <v>18.378395061728394</v>
      </c>
      <c r="M368">
        <f t="shared" si="61"/>
        <v>0.86933851888888891</v>
      </c>
      <c r="N368" s="9"/>
      <c r="O368" s="22">
        <v>1.7027300000000001</v>
      </c>
      <c r="P368" s="22">
        <v>12.7196</v>
      </c>
      <c r="Q368" s="22">
        <v>-9.7869900000000006E-3</v>
      </c>
      <c r="R368" s="22">
        <v>358</v>
      </c>
      <c r="S368" s="22">
        <v>1.70197</v>
      </c>
      <c r="T368">
        <f t="shared" si="62"/>
        <v>12.082703703703704</v>
      </c>
      <c r="U368">
        <f t="shared" si="63"/>
        <v>20.573582077407409</v>
      </c>
      <c r="X368" s="9"/>
      <c r="Y368" s="22">
        <v>4.7302200000000003E-2</v>
      </c>
      <c r="Z368" s="22">
        <v>18.265000000000001</v>
      </c>
      <c r="AA368" s="22">
        <v>-1.4947500000000001E-2</v>
      </c>
      <c r="AB368" s="22">
        <v>358</v>
      </c>
      <c r="AC368" s="22">
        <v>4.7341899999999999E-2</v>
      </c>
      <c r="AD368">
        <f t="shared" si="64"/>
        <v>18.453703703703706</v>
      </c>
      <c r="AE368">
        <f t="shared" si="65"/>
        <v>0.87290078333333354</v>
      </c>
      <c r="AF368" s="9"/>
      <c r="AG368" s="22">
        <v>1.7027300000000001</v>
      </c>
      <c r="AH368" s="22">
        <v>22.184899999999999</v>
      </c>
      <c r="AI368" s="22">
        <v>-9.6740699999999999E-3</v>
      </c>
      <c r="AJ368" s="22">
        <v>358</v>
      </c>
      <c r="AK368" s="22">
        <v>1.70166</v>
      </c>
      <c r="AL368">
        <f t="shared" si="66"/>
        <v>11.943296296296296</v>
      </c>
      <c r="AM368">
        <f t="shared" si="67"/>
        <v>20.336208902592592</v>
      </c>
      <c r="AP368" s="9"/>
      <c r="AQ368" s="22">
        <v>4.7302200000000003E-2</v>
      </c>
      <c r="AR368" s="22">
        <v>27.748200000000001</v>
      </c>
      <c r="AS368" s="22">
        <v>-1.49719E-2</v>
      </c>
      <c r="AT368" s="22">
        <v>358</v>
      </c>
      <c r="AU368" s="22">
        <v>4.7103899999999997E-2</v>
      </c>
      <c r="AV368">
        <f t="shared" si="68"/>
        <v>18.483827160493824</v>
      </c>
      <c r="AW368">
        <f t="shared" si="69"/>
        <v>0.87432568911111097</v>
      </c>
      <c r="AX368" s="9"/>
      <c r="AY368" s="22">
        <v>1.7027300000000001</v>
      </c>
      <c r="AZ368" s="22">
        <v>31.668099999999999</v>
      </c>
      <c r="BA368" s="22">
        <v>-9.5184299999999996E-3</v>
      </c>
      <c r="BB368" s="22">
        <v>358</v>
      </c>
      <c r="BC368" s="22">
        <v>1.70166</v>
      </c>
      <c r="BD368">
        <f t="shared" si="70"/>
        <v>11.751148148148149</v>
      </c>
      <c r="BE368">
        <f t="shared" si="71"/>
        <v>20.009032486296299</v>
      </c>
    </row>
    <row r="369" spans="6:57">
      <c r="F369" s="9"/>
      <c r="G369" s="22">
        <v>4.22668E-2</v>
      </c>
      <c r="H369" s="22">
        <v>8.8098100000000006</v>
      </c>
      <c r="I369" s="22">
        <v>-1.48865E-2</v>
      </c>
      <c r="J369" s="22">
        <v>359</v>
      </c>
      <c r="K369" s="22">
        <v>4.2263799999999997E-2</v>
      </c>
      <c r="L369">
        <f t="shared" si="60"/>
        <v>18.378395061728394</v>
      </c>
      <c r="M369">
        <f t="shared" si="61"/>
        <v>0.77679594839506172</v>
      </c>
      <c r="N369" s="9"/>
      <c r="O369" s="22">
        <v>1.7077599999999999</v>
      </c>
      <c r="P369" s="22">
        <v>12.729699999999999</v>
      </c>
      <c r="Q369" s="22">
        <v>-9.5519999999999997E-3</v>
      </c>
      <c r="R369" s="22">
        <v>359</v>
      </c>
      <c r="S369" s="22">
        <v>1.7065399999999999</v>
      </c>
      <c r="T369">
        <f t="shared" si="62"/>
        <v>11.792592592592591</v>
      </c>
      <c r="U369">
        <f t="shared" si="63"/>
        <v>20.138917925925924</v>
      </c>
      <c r="X369" s="9"/>
      <c r="Y369" s="22">
        <v>4.22668E-2</v>
      </c>
      <c r="Z369" s="22">
        <v>18.274999999999999</v>
      </c>
      <c r="AA369" s="22">
        <v>-1.49506E-2</v>
      </c>
      <c r="AB369" s="22">
        <v>359</v>
      </c>
      <c r="AC369" s="22">
        <v>4.2135600000000002E-2</v>
      </c>
      <c r="AD369">
        <f t="shared" si="64"/>
        <v>18.45753086419753</v>
      </c>
      <c r="AE369">
        <f t="shared" si="65"/>
        <v>0.7801407655308642</v>
      </c>
      <c r="AF369" s="9"/>
      <c r="AG369" s="22">
        <v>1.7077599999999999</v>
      </c>
      <c r="AH369" s="22">
        <v>22.195</v>
      </c>
      <c r="AI369" s="22">
        <v>-9.4390900000000007E-3</v>
      </c>
      <c r="AJ369" s="22">
        <v>359</v>
      </c>
      <c r="AK369" s="22">
        <v>1.70685</v>
      </c>
      <c r="AL369">
        <f t="shared" si="66"/>
        <v>11.653197530864198</v>
      </c>
      <c r="AM369">
        <f t="shared" si="67"/>
        <v>19.900864615308642</v>
      </c>
      <c r="AP369" s="9"/>
      <c r="AQ369" s="22">
        <v>4.22668E-2</v>
      </c>
      <c r="AR369" s="22">
        <v>27.758299999999998</v>
      </c>
      <c r="AS369" s="22">
        <v>-1.49689E-2</v>
      </c>
      <c r="AT369" s="22">
        <v>359</v>
      </c>
      <c r="AU369" s="22">
        <v>4.1934199999999998E-2</v>
      </c>
      <c r="AV369">
        <f t="shared" si="68"/>
        <v>18.480123456790125</v>
      </c>
      <c r="AW369">
        <f t="shared" si="69"/>
        <v>0.78109568212345681</v>
      </c>
      <c r="AX369" s="9"/>
      <c r="AY369" s="22">
        <v>1.7077599999999999</v>
      </c>
      <c r="AZ369" s="22">
        <v>31.6782</v>
      </c>
      <c r="BA369" s="22">
        <v>-9.2498800000000003E-3</v>
      </c>
      <c r="BB369" s="22">
        <v>359</v>
      </c>
      <c r="BC369" s="22">
        <v>1.7065399999999999</v>
      </c>
      <c r="BD369">
        <f t="shared" si="70"/>
        <v>11.419604938271604</v>
      </c>
      <c r="BE369">
        <f t="shared" si="71"/>
        <v>19.501944529382715</v>
      </c>
    </row>
    <row r="370" spans="6:57">
      <c r="F370" s="9"/>
      <c r="G370" s="22">
        <v>3.7231399999999998E-2</v>
      </c>
      <c r="H370" s="22">
        <v>8.8198799999999995</v>
      </c>
      <c r="I370" s="22">
        <v>-1.48956E-2</v>
      </c>
      <c r="J370" s="22">
        <v>360</v>
      </c>
      <c r="K370" s="22">
        <v>3.7060500000000003E-2</v>
      </c>
      <c r="L370">
        <f t="shared" si="60"/>
        <v>18.389629629629628</v>
      </c>
      <c r="M370">
        <f t="shared" si="61"/>
        <v>0.68467165659259244</v>
      </c>
      <c r="N370" s="9"/>
      <c r="O370" s="22">
        <v>1.7128000000000001</v>
      </c>
      <c r="P370" s="22">
        <v>12.739800000000001</v>
      </c>
      <c r="Q370" s="22">
        <v>-9.29871E-3</v>
      </c>
      <c r="R370" s="22">
        <v>360</v>
      </c>
      <c r="S370" s="22">
        <v>1.71173</v>
      </c>
      <c r="T370">
        <f t="shared" si="62"/>
        <v>11.479888888888889</v>
      </c>
      <c r="U370">
        <f t="shared" si="63"/>
        <v>19.662753688888891</v>
      </c>
      <c r="X370" s="9"/>
      <c r="Y370" s="22">
        <v>3.7231399999999998E-2</v>
      </c>
      <c r="Z370" s="22">
        <v>18.2851</v>
      </c>
      <c r="AA370" s="22">
        <v>-1.4953599999999999E-2</v>
      </c>
      <c r="AB370" s="22">
        <v>360</v>
      </c>
      <c r="AC370" s="22">
        <v>3.7185700000000002E-2</v>
      </c>
      <c r="AD370">
        <f t="shared" si="64"/>
        <v>18.461234567901233</v>
      </c>
      <c r="AE370">
        <f t="shared" si="65"/>
        <v>0.68733760869135796</v>
      </c>
      <c r="AF370" s="9"/>
      <c r="AG370" s="22">
        <v>1.7128000000000001</v>
      </c>
      <c r="AH370" s="22">
        <v>22.204999999999998</v>
      </c>
      <c r="AI370" s="22">
        <v>-9.18274E-3</v>
      </c>
      <c r="AJ370" s="22">
        <v>360</v>
      </c>
      <c r="AK370" s="22">
        <v>1.71173</v>
      </c>
      <c r="AL370">
        <f t="shared" si="66"/>
        <v>11.336716049382716</v>
      </c>
      <c r="AM370">
        <f t="shared" si="67"/>
        <v>19.417527249382715</v>
      </c>
      <c r="AP370" s="9"/>
      <c r="AQ370" s="22">
        <v>3.7231399999999998E-2</v>
      </c>
      <c r="AR370" s="22">
        <v>27.7683</v>
      </c>
      <c r="AS370" s="22">
        <v>-1.49719E-2</v>
      </c>
      <c r="AT370" s="22">
        <v>360</v>
      </c>
      <c r="AU370" s="22">
        <v>3.7051399999999998E-2</v>
      </c>
      <c r="AV370">
        <f t="shared" si="68"/>
        <v>18.483827160493824</v>
      </c>
      <c r="AW370">
        <f t="shared" si="69"/>
        <v>0.68817876254320975</v>
      </c>
      <c r="AX370" s="9"/>
      <c r="AY370" s="22">
        <v>1.7128000000000001</v>
      </c>
      <c r="AZ370" s="22">
        <v>31.688199999999998</v>
      </c>
      <c r="BA370" s="22">
        <v>-8.9843800000000001E-3</v>
      </c>
      <c r="BB370" s="22">
        <v>360</v>
      </c>
      <c r="BC370" s="22">
        <v>1.71173</v>
      </c>
      <c r="BD370">
        <f t="shared" si="70"/>
        <v>11.091827160493827</v>
      </c>
      <c r="BE370">
        <f t="shared" si="71"/>
        <v>18.998081560493826</v>
      </c>
    </row>
    <row r="371" spans="6:57">
      <c r="F371" s="9"/>
      <c r="G371" s="22">
        <v>3.2196000000000002E-2</v>
      </c>
      <c r="H371" s="22">
        <v>8.8299599999999998</v>
      </c>
      <c r="I371" s="22">
        <v>-1.4898700000000001E-2</v>
      </c>
      <c r="J371" s="22">
        <v>361</v>
      </c>
      <c r="K371" s="22">
        <v>3.2128900000000002E-2</v>
      </c>
      <c r="L371">
        <f t="shared" si="60"/>
        <v>18.393456790123455</v>
      </c>
      <c r="M371">
        <f t="shared" si="61"/>
        <v>0.5921957348148148</v>
      </c>
      <c r="N371" s="9"/>
      <c r="O371" s="22">
        <v>1.71783</v>
      </c>
      <c r="P371" s="22">
        <v>12.7499</v>
      </c>
      <c r="Q371" s="22">
        <v>-9.0301500000000007E-3</v>
      </c>
      <c r="R371" s="22">
        <v>361</v>
      </c>
      <c r="S371" s="22">
        <v>1.71722</v>
      </c>
      <c r="T371">
        <f t="shared" si="62"/>
        <v>11.148333333333333</v>
      </c>
      <c r="U371">
        <f t="shared" si="63"/>
        <v>19.150941450000001</v>
      </c>
      <c r="X371" s="9"/>
      <c r="Y371" s="22">
        <v>3.2196000000000002E-2</v>
      </c>
      <c r="Z371" s="22">
        <v>18.295200000000001</v>
      </c>
      <c r="AA371" s="22">
        <v>-1.49567E-2</v>
      </c>
      <c r="AB371" s="22">
        <v>361</v>
      </c>
      <c r="AC371" s="22">
        <v>3.2281499999999998E-2</v>
      </c>
      <c r="AD371">
        <f t="shared" si="64"/>
        <v>18.46506172839506</v>
      </c>
      <c r="AE371">
        <f t="shared" si="65"/>
        <v>0.59450112740740735</v>
      </c>
      <c r="AF371" s="9"/>
      <c r="AG371" s="22">
        <v>1.71783</v>
      </c>
      <c r="AH371" s="22">
        <v>22.2151</v>
      </c>
      <c r="AI371" s="22">
        <v>-8.8989299999999993E-3</v>
      </c>
      <c r="AJ371" s="22">
        <v>361</v>
      </c>
      <c r="AK371" s="22">
        <v>1.71692</v>
      </c>
      <c r="AL371">
        <f t="shared" si="66"/>
        <v>10.986333333333333</v>
      </c>
      <c r="AM371">
        <f t="shared" si="67"/>
        <v>18.872652989999999</v>
      </c>
      <c r="AP371" s="9"/>
      <c r="AQ371" s="22">
        <v>3.2196000000000002E-2</v>
      </c>
      <c r="AR371" s="22">
        <v>27.778400000000001</v>
      </c>
      <c r="AS371" s="22">
        <v>-1.49719E-2</v>
      </c>
      <c r="AT371" s="22">
        <v>361</v>
      </c>
      <c r="AU371" s="22">
        <v>3.2299799999999997E-2</v>
      </c>
      <c r="AV371">
        <f t="shared" si="68"/>
        <v>18.483827160493824</v>
      </c>
      <c r="AW371">
        <f t="shared" si="69"/>
        <v>0.59510529925925926</v>
      </c>
      <c r="AX371" s="9"/>
      <c r="AY371" s="22">
        <v>1.71783</v>
      </c>
      <c r="AZ371" s="22">
        <v>31.6983</v>
      </c>
      <c r="BA371" s="22">
        <v>-8.6639400000000002E-3</v>
      </c>
      <c r="BB371" s="22">
        <v>361</v>
      </c>
      <c r="BC371" s="22">
        <v>1.71692</v>
      </c>
      <c r="BD371">
        <f t="shared" si="70"/>
        <v>10.696222222222222</v>
      </c>
      <c r="BE371">
        <f t="shared" si="71"/>
        <v>18.374291419999999</v>
      </c>
    </row>
    <row r="372" spans="6:57">
      <c r="F372" s="9"/>
      <c r="G372" s="22">
        <v>2.71606E-2</v>
      </c>
      <c r="H372" s="22">
        <v>8.8400300000000005</v>
      </c>
      <c r="I372" s="22">
        <v>-1.4904799999999999E-2</v>
      </c>
      <c r="J372" s="22">
        <v>362</v>
      </c>
      <c r="K372" s="22">
        <v>2.7142300000000001E-2</v>
      </c>
      <c r="L372">
        <f t="shared" si="60"/>
        <v>18.400987654320986</v>
      </c>
      <c r="M372">
        <f t="shared" si="61"/>
        <v>0.49978186528395058</v>
      </c>
      <c r="N372" s="9"/>
      <c r="O372" s="22">
        <v>1.7228699999999999</v>
      </c>
      <c r="P372" s="22">
        <v>12.7599</v>
      </c>
      <c r="Q372" s="22">
        <v>-8.7402299999999999E-3</v>
      </c>
      <c r="R372" s="22">
        <v>362</v>
      </c>
      <c r="S372" s="22">
        <v>1.7218</v>
      </c>
      <c r="T372">
        <f t="shared" si="62"/>
        <v>10.790407407407406</v>
      </c>
      <c r="U372">
        <f t="shared" si="63"/>
        <v>18.590469209999995</v>
      </c>
      <c r="X372" s="9"/>
      <c r="Y372" s="22">
        <v>2.71606E-2</v>
      </c>
      <c r="Z372" s="22">
        <v>18.305199999999999</v>
      </c>
      <c r="AA372" s="22">
        <v>-1.49567E-2</v>
      </c>
      <c r="AB372" s="22">
        <v>362</v>
      </c>
      <c r="AC372" s="22">
        <v>2.7114900000000001E-2</v>
      </c>
      <c r="AD372">
        <f t="shared" si="64"/>
        <v>18.46506172839506</v>
      </c>
      <c r="AE372">
        <f t="shared" si="65"/>
        <v>0.50152215558024682</v>
      </c>
      <c r="AF372" s="9"/>
      <c r="AG372" s="22">
        <v>1.7228699999999999</v>
      </c>
      <c r="AH372" s="22">
        <v>22.225200000000001</v>
      </c>
      <c r="AI372" s="22">
        <v>-8.5815400000000003E-3</v>
      </c>
      <c r="AJ372" s="22">
        <v>362</v>
      </c>
      <c r="AK372" s="22">
        <v>1.7215</v>
      </c>
      <c r="AL372">
        <f t="shared" si="66"/>
        <v>10.594493827160493</v>
      </c>
      <c r="AM372">
        <f t="shared" si="67"/>
        <v>18.252935579999999</v>
      </c>
      <c r="AP372" s="9"/>
      <c r="AQ372" s="22">
        <v>2.71606E-2</v>
      </c>
      <c r="AR372" s="22">
        <v>27.788499999999999</v>
      </c>
      <c r="AS372" s="22">
        <v>-1.4975E-2</v>
      </c>
      <c r="AT372" s="22">
        <v>362</v>
      </c>
      <c r="AU372" s="22">
        <v>2.7218599999999999E-2</v>
      </c>
      <c r="AV372">
        <f t="shared" si="68"/>
        <v>18.487654320987652</v>
      </c>
      <c r="AW372">
        <f t="shared" si="69"/>
        <v>0.5021357839506172</v>
      </c>
      <c r="AX372" s="9"/>
      <c r="AY372" s="22">
        <v>1.7228699999999999</v>
      </c>
      <c r="AZ372" s="22">
        <v>31.708400000000001</v>
      </c>
      <c r="BA372" s="22">
        <v>-8.3465599999999994E-3</v>
      </c>
      <c r="BB372" s="22">
        <v>362</v>
      </c>
      <c r="BC372" s="22">
        <v>1.72241</v>
      </c>
      <c r="BD372">
        <f t="shared" si="70"/>
        <v>10.304395061728394</v>
      </c>
      <c r="BE372">
        <f t="shared" si="71"/>
        <v>17.753133119999998</v>
      </c>
    </row>
    <row r="373" spans="6:57">
      <c r="F373" s="9"/>
      <c r="G373" s="22">
        <v>2.2125200000000001E-2</v>
      </c>
      <c r="H373" s="22">
        <v>8.8500999999999994</v>
      </c>
      <c r="I373" s="22">
        <v>-1.4907800000000001E-2</v>
      </c>
      <c r="J373" s="22">
        <v>363</v>
      </c>
      <c r="K373" s="22">
        <v>2.2051999999999999E-2</v>
      </c>
      <c r="L373">
        <f t="shared" si="60"/>
        <v>18.404691358024692</v>
      </c>
      <c r="M373">
        <f t="shared" si="61"/>
        <v>0.40720747723456796</v>
      </c>
      <c r="N373" s="9"/>
      <c r="O373" s="22">
        <v>1.7279100000000001</v>
      </c>
      <c r="P373" s="22">
        <v>12.77</v>
      </c>
      <c r="Q373" s="22">
        <v>-8.4320100000000002E-3</v>
      </c>
      <c r="R373" s="22">
        <v>363</v>
      </c>
      <c r="S373" s="22">
        <v>1.72699</v>
      </c>
      <c r="T373">
        <f t="shared" si="62"/>
        <v>10.409888888888888</v>
      </c>
      <c r="U373">
        <f t="shared" si="63"/>
        <v>17.987351109999999</v>
      </c>
      <c r="X373" s="9"/>
      <c r="Y373" s="22">
        <v>2.2125200000000001E-2</v>
      </c>
      <c r="Z373" s="22">
        <v>18.315300000000001</v>
      </c>
      <c r="AA373" s="22">
        <v>-1.49567E-2</v>
      </c>
      <c r="AB373" s="22">
        <v>363</v>
      </c>
      <c r="AC373" s="22">
        <v>2.2110000000000001E-2</v>
      </c>
      <c r="AD373">
        <f t="shared" si="64"/>
        <v>18.46506172839506</v>
      </c>
      <c r="AE373">
        <f t="shared" si="65"/>
        <v>0.4085431837530864</v>
      </c>
      <c r="AF373" s="9"/>
      <c r="AG373" s="22">
        <v>1.7279100000000001</v>
      </c>
      <c r="AH373" s="22">
        <v>22.235299999999999</v>
      </c>
      <c r="AI373" s="22">
        <v>-8.2611100000000003E-3</v>
      </c>
      <c r="AJ373" s="22">
        <v>363</v>
      </c>
      <c r="AK373" s="22">
        <v>1.72699</v>
      </c>
      <c r="AL373">
        <f t="shared" si="66"/>
        <v>10.198901234567902</v>
      </c>
      <c r="AM373">
        <f t="shared" si="67"/>
        <v>17.622783432222224</v>
      </c>
      <c r="AP373" s="9"/>
      <c r="AQ373" s="22">
        <v>2.2125200000000001E-2</v>
      </c>
      <c r="AR373" s="22">
        <v>27.798500000000001</v>
      </c>
      <c r="AS373" s="22">
        <v>-1.4975E-2</v>
      </c>
      <c r="AT373" s="22">
        <v>363</v>
      </c>
      <c r="AU373" s="22">
        <v>2.20886E-2</v>
      </c>
      <c r="AV373">
        <f t="shared" si="68"/>
        <v>18.487654320987652</v>
      </c>
      <c r="AW373">
        <f t="shared" si="69"/>
        <v>0.40904304938271602</v>
      </c>
      <c r="AX373" s="9"/>
      <c r="AY373" s="22">
        <v>1.7279100000000001</v>
      </c>
      <c r="AZ373" s="22">
        <v>31.718399999999999</v>
      </c>
      <c r="BA373" s="22">
        <v>-7.9895000000000001E-3</v>
      </c>
      <c r="BB373" s="22">
        <v>363</v>
      </c>
      <c r="BC373" s="22">
        <v>1.7276</v>
      </c>
      <c r="BD373">
        <f t="shared" si="70"/>
        <v>9.86358024691358</v>
      </c>
      <c r="BE373">
        <f t="shared" si="71"/>
        <v>17.043378944444445</v>
      </c>
    </row>
    <row r="374" spans="6:57">
      <c r="F374" s="9"/>
      <c r="G374" s="22">
        <v>1.7089799999999999E-2</v>
      </c>
      <c r="H374" s="22">
        <v>8.8601700000000001</v>
      </c>
      <c r="I374" s="22">
        <v>-1.49109E-2</v>
      </c>
      <c r="J374" s="22">
        <v>364</v>
      </c>
      <c r="K374" s="22">
        <v>1.6915900000000001E-2</v>
      </c>
      <c r="L374">
        <f t="shared" si="60"/>
        <v>18.408518518518516</v>
      </c>
      <c r="M374">
        <f t="shared" si="61"/>
        <v>0.31459789977777769</v>
      </c>
      <c r="N374" s="9"/>
      <c r="O374" s="22">
        <v>1.7329399999999999</v>
      </c>
      <c r="P374" s="22">
        <v>12.780099999999999</v>
      </c>
      <c r="Q374" s="22">
        <v>-8.1024200000000008E-3</v>
      </c>
      <c r="R374" s="22">
        <v>364</v>
      </c>
      <c r="S374" s="22">
        <v>1.73248</v>
      </c>
      <c r="T374">
        <f t="shared" si="62"/>
        <v>10.002987654320988</v>
      </c>
      <c r="U374">
        <f t="shared" si="63"/>
        <v>17.334577425679011</v>
      </c>
      <c r="X374" s="9"/>
      <c r="Y374" s="22">
        <v>1.7089799999999999E-2</v>
      </c>
      <c r="Z374" s="22">
        <v>18.325399999999998</v>
      </c>
      <c r="AA374" s="22">
        <v>-1.4959699999999999E-2</v>
      </c>
      <c r="AB374" s="22">
        <v>364</v>
      </c>
      <c r="AC374" s="22">
        <v>1.6684000000000001E-2</v>
      </c>
      <c r="AD374">
        <f t="shared" si="64"/>
        <v>18.468765432098763</v>
      </c>
      <c r="AE374">
        <f t="shared" si="65"/>
        <v>0.31562750748148144</v>
      </c>
      <c r="AF374" s="9"/>
      <c r="AG374" s="22">
        <v>1.7329399999999999</v>
      </c>
      <c r="AH374" s="22">
        <v>22.2453</v>
      </c>
      <c r="AI374" s="22">
        <v>-7.8948999999999998E-3</v>
      </c>
      <c r="AJ374" s="22">
        <v>364</v>
      </c>
      <c r="AK374" s="22">
        <v>1.7321800000000001</v>
      </c>
      <c r="AL374">
        <f t="shared" si="66"/>
        <v>9.7467901234567904</v>
      </c>
      <c r="AM374">
        <f t="shared" si="67"/>
        <v>16.890602476543208</v>
      </c>
      <c r="AP374" s="9"/>
      <c r="AQ374" s="22">
        <v>1.7089799999999999E-2</v>
      </c>
      <c r="AR374" s="22">
        <v>27.808599999999998</v>
      </c>
      <c r="AS374" s="22">
        <v>-1.4978E-2</v>
      </c>
      <c r="AT374" s="22">
        <v>364</v>
      </c>
      <c r="AU374" s="22">
        <v>1.7080700000000001E-2</v>
      </c>
      <c r="AV374">
        <f t="shared" si="68"/>
        <v>18.491358024691355</v>
      </c>
      <c r="AW374">
        <f t="shared" si="69"/>
        <v>0.31601361037037029</v>
      </c>
      <c r="AX374" s="9"/>
      <c r="AY374" s="22">
        <v>1.7329399999999999</v>
      </c>
      <c r="AZ374" s="22">
        <v>31.7285</v>
      </c>
      <c r="BA374" s="22">
        <v>-7.6354999999999999E-3</v>
      </c>
      <c r="BB374" s="22">
        <v>364</v>
      </c>
      <c r="BC374" s="22">
        <v>1.7327900000000001</v>
      </c>
      <c r="BD374">
        <f t="shared" si="70"/>
        <v>9.4265432098765416</v>
      </c>
      <c r="BE374">
        <f t="shared" si="71"/>
        <v>16.335633790123453</v>
      </c>
    </row>
    <row r="375" spans="6:57">
      <c r="F375" s="9"/>
      <c r="G375" s="22">
        <v>1.20544E-2</v>
      </c>
      <c r="H375" s="22">
        <v>8.8702400000000008</v>
      </c>
      <c r="I375" s="22">
        <v>-1.4913900000000001E-2</v>
      </c>
      <c r="J375" s="22">
        <v>365</v>
      </c>
      <c r="K375" s="22">
        <v>1.1865199999999999E-2</v>
      </c>
      <c r="L375">
        <f t="shared" si="60"/>
        <v>18.412222222222223</v>
      </c>
      <c r="M375">
        <f t="shared" si="61"/>
        <v>0.22194829155555557</v>
      </c>
      <c r="N375" s="9"/>
      <c r="O375" s="22">
        <v>1.7379800000000001</v>
      </c>
      <c r="P375" s="22">
        <v>12.790100000000001</v>
      </c>
      <c r="Q375" s="22">
        <v>-7.7453599999999997E-3</v>
      </c>
      <c r="R375" s="22">
        <v>365</v>
      </c>
      <c r="S375" s="22">
        <v>1.73706</v>
      </c>
      <c r="T375">
        <f t="shared" si="62"/>
        <v>9.5621728395061716</v>
      </c>
      <c r="U375">
        <f t="shared" si="63"/>
        <v>16.618865151604936</v>
      </c>
      <c r="X375" s="9"/>
      <c r="Y375" s="22">
        <v>1.20544E-2</v>
      </c>
      <c r="Z375" s="22">
        <v>18.3355</v>
      </c>
      <c r="AA375" s="22">
        <v>-1.49719E-2</v>
      </c>
      <c r="AB375" s="22">
        <v>365</v>
      </c>
      <c r="AC375" s="22">
        <v>1.20605E-2</v>
      </c>
      <c r="AD375">
        <f t="shared" si="64"/>
        <v>18.483827160493824</v>
      </c>
      <c r="AE375">
        <f t="shared" si="65"/>
        <v>0.22281144612345674</v>
      </c>
      <c r="AF375" s="9"/>
      <c r="AG375" s="22">
        <v>1.7379800000000001</v>
      </c>
      <c r="AH375" s="22">
        <v>22.255400000000002</v>
      </c>
      <c r="AI375" s="22">
        <v>-7.5164799999999999E-3</v>
      </c>
      <c r="AJ375" s="22">
        <v>365</v>
      </c>
      <c r="AK375" s="22">
        <v>1.73706</v>
      </c>
      <c r="AL375">
        <f t="shared" si="66"/>
        <v>9.2796049382716053</v>
      </c>
      <c r="AM375">
        <f t="shared" si="67"/>
        <v>16.127767790617284</v>
      </c>
      <c r="AP375" s="9"/>
      <c r="AQ375" s="22">
        <v>1.20544E-2</v>
      </c>
      <c r="AR375" s="22">
        <v>27.8187</v>
      </c>
      <c r="AS375" s="22">
        <v>-1.4978E-2</v>
      </c>
      <c r="AT375" s="22">
        <v>365</v>
      </c>
      <c r="AU375" s="22">
        <v>1.1865199999999999E-2</v>
      </c>
      <c r="AV375">
        <f t="shared" si="68"/>
        <v>18.491358024691355</v>
      </c>
      <c r="AW375">
        <f t="shared" si="69"/>
        <v>0.22290222617283947</v>
      </c>
      <c r="AX375" s="9"/>
      <c r="AY375" s="22">
        <v>1.7379800000000001</v>
      </c>
      <c r="AZ375" s="22">
        <v>31.738600000000002</v>
      </c>
      <c r="BA375" s="22">
        <v>-7.2143600000000004E-3</v>
      </c>
      <c r="BB375" s="22">
        <v>365</v>
      </c>
      <c r="BC375" s="22">
        <v>1.7373700000000001</v>
      </c>
      <c r="BD375">
        <f t="shared" si="70"/>
        <v>8.9066172839506166</v>
      </c>
      <c r="BE375">
        <f t="shared" si="71"/>
        <v>15.479522707160493</v>
      </c>
    </row>
    <row r="376" spans="6:57">
      <c r="F376" s="9"/>
      <c r="G376" s="22">
        <v>7.0190399999999998E-3</v>
      </c>
      <c r="H376" s="22">
        <v>8.8803099999999997</v>
      </c>
      <c r="I376" s="22">
        <v>-1.4919999999999999E-2</v>
      </c>
      <c r="J376" s="22">
        <v>366</v>
      </c>
      <c r="K376" s="22">
        <v>6.8176299999999999E-3</v>
      </c>
      <c r="L376">
        <f t="shared" si="60"/>
        <v>18.41975308641975</v>
      </c>
      <c r="M376">
        <f t="shared" si="61"/>
        <v>0.12928898370370367</v>
      </c>
      <c r="N376" s="9"/>
      <c r="O376" s="22">
        <v>1.7430099999999999</v>
      </c>
      <c r="P376" s="22">
        <v>12.8002</v>
      </c>
      <c r="Q376" s="22">
        <v>-7.3608399999999996E-3</v>
      </c>
      <c r="R376" s="22">
        <v>366</v>
      </c>
      <c r="S376" s="22">
        <v>1.74194</v>
      </c>
      <c r="T376">
        <f t="shared" si="62"/>
        <v>9.087456790123456</v>
      </c>
      <c r="U376">
        <f t="shared" si="63"/>
        <v>15.839528059753084</v>
      </c>
      <c r="X376" s="9"/>
      <c r="Y376" s="22">
        <v>7.0190399999999998E-3</v>
      </c>
      <c r="Z376" s="22">
        <v>18.345500000000001</v>
      </c>
      <c r="AA376" s="22">
        <v>-1.4981100000000001E-2</v>
      </c>
      <c r="AB376" s="22">
        <v>366</v>
      </c>
      <c r="AC376" s="22">
        <v>6.9885299999999997E-3</v>
      </c>
      <c r="AD376">
        <f t="shared" si="64"/>
        <v>18.495185185185186</v>
      </c>
      <c r="AE376">
        <f t="shared" si="65"/>
        <v>0.12981844462222222</v>
      </c>
      <c r="AF376" s="9"/>
      <c r="AG376" s="22">
        <v>1.7430099999999999</v>
      </c>
      <c r="AH376" s="22">
        <v>22.265499999999999</v>
      </c>
      <c r="AI376" s="22">
        <v>-7.0892300000000002E-3</v>
      </c>
      <c r="AJ376" s="22">
        <v>366</v>
      </c>
      <c r="AK376" s="22">
        <v>1.74133</v>
      </c>
      <c r="AL376">
        <f t="shared" si="66"/>
        <v>8.7521358024691356</v>
      </c>
      <c r="AM376">
        <f t="shared" si="67"/>
        <v>15.255060225061728</v>
      </c>
      <c r="AP376" s="9"/>
      <c r="AQ376" s="22">
        <v>7.0190399999999998E-3</v>
      </c>
      <c r="AR376" s="22">
        <v>27.828800000000001</v>
      </c>
      <c r="AS376" s="22">
        <v>-1.49841E-2</v>
      </c>
      <c r="AT376" s="22">
        <v>366</v>
      </c>
      <c r="AU376" s="22">
        <v>6.9030799999999998E-3</v>
      </c>
      <c r="AV376">
        <f t="shared" si="68"/>
        <v>18.498888888888889</v>
      </c>
      <c r="AW376">
        <f t="shared" si="69"/>
        <v>0.12984444106666665</v>
      </c>
      <c r="AX376" s="9"/>
      <c r="AY376" s="22">
        <v>1.7430099999999999</v>
      </c>
      <c r="AZ376" s="22">
        <v>31.748699999999999</v>
      </c>
      <c r="BA376" s="22">
        <v>-6.7871099999999998E-3</v>
      </c>
      <c r="BB376" s="22">
        <v>366</v>
      </c>
      <c r="BC376" s="22">
        <v>1.7422500000000001</v>
      </c>
      <c r="BD376">
        <f t="shared" si="70"/>
        <v>8.3791481481481469</v>
      </c>
      <c r="BE376">
        <f t="shared" si="71"/>
        <v>14.604939013703701</v>
      </c>
    </row>
    <row r="377" spans="6:57">
      <c r="F377" s="9"/>
      <c r="G377" s="22">
        <v>1.9836400000000001E-3</v>
      </c>
      <c r="H377" s="22">
        <v>8.8903800000000004</v>
      </c>
      <c r="I377" s="22">
        <v>-1.4926099999999999E-2</v>
      </c>
      <c r="J377" s="22">
        <v>367</v>
      </c>
      <c r="K377" s="22">
        <v>1.77612E-3</v>
      </c>
      <c r="L377">
        <f t="shared" si="60"/>
        <v>18.427283950617284</v>
      </c>
      <c r="M377">
        <f t="shared" si="61"/>
        <v>3.6553097535802472E-2</v>
      </c>
      <c r="N377" s="9"/>
      <c r="O377" s="22">
        <v>1.7480500000000001</v>
      </c>
      <c r="P377" s="22">
        <v>12.8103</v>
      </c>
      <c r="Q377" s="22">
        <v>-6.9335899999999999E-3</v>
      </c>
      <c r="R377" s="22">
        <v>367</v>
      </c>
      <c r="S377" s="22">
        <v>1.7471300000000001</v>
      </c>
      <c r="T377">
        <f t="shared" si="62"/>
        <v>8.5599876543209881</v>
      </c>
      <c r="U377">
        <f t="shared" si="63"/>
        <v>14.963286419135803</v>
      </c>
      <c r="X377" s="9"/>
      <c r="Y377" s="22">
        <v>1.9836400000000001E-3</v>
      </c>
      <c r="Z377" s="22">
        <v>18.355599999999999</v>
      </c>
      <c r="AA377" s="22">
        <v>-1.4987199999999999E-2</v>
      </c>
      <c r="AB377" s="22">
        <v>367</v>
      </c>
      <c r="AC377" s="22">
        <v>1.9134499999999999E-3</v>
      </c>
      <c r="AD377">
        <f t="shared" si="64"/>
        <v>18.502716049382713</v>
      </c>
      <c r="AE377">
        <f t="shared" si="65"/>
        <v>3.6702727664197528E-2</v>
      </c>
      <c r="AF377" s="9"/>
      <c r="AG377" s="22">
        <v>1.7480500000000001</v>
      </c>
      <c r="AH377" s="22">
        <v>22.275500000000001</v>
      </c>
      <c r="AI377" s="22">
        <v>-6.6497800000000001E-3</v>
      </c>
      <c r="AJ377" s="22">
        <v>367</v>
      </c>
      <c r="AK377" s="22">
        <v>1.7474400000000001</v>
      </c>
      <c r="AL377">
        <f t="shared" si="66"/>
        <v>8.209604938271605</v>
      </c>
      <c r="AM377">
        <f t="shared" si="67"/>
        <v>14.35079991234568</v>
      </c>
      <c r="AP377" s="9"/>
      <c r="AQ377" s="22">
        <v>1.9836400000000001E-3</v>
      </c>
      <c r="AR377" s="22">
        <v>27.838799999999999</v>
      </c>
      <c r="AS377" s="22">
        <v>-1.49902E-2</v>
      </c>
      <c r="AT377" s="22">
        <v>367</v>
      </c>
      <c r="AU377" s="22">
        <v>1.9226099999999999E-3</v>
      </c>
      <c r="AV377">
        <f t="shared" si="68"/>
        <v>18.506419753086419</v>
      </c>
      <c r="AW377">
        <f t="shared" si="69"/>
        <v>3.6710074479012346E-2</v>
      </c>
      <c r="AX377" s="9"/>
      <c r="AY377" s="22">
        <v>1.7480500000000001</v>
      </c>
      <c r="AZ377" s="22">
        <v>31.758700000000001</v>
      </c>
      <c r="BA377" s="22">
        <v>-6.3018800000000002E-3</v>
      </c>
      <c r="BB377" s="22">
        <v>367</v>
      </c>
      <c r="BC377" s="22">
        <v>1.7471300000000001</v>
      </c>
      <c r="BD377">
        <f t="shared" si="70"/>
        <v>7.7800987654320988</v>
      </c>
      <c r="BE377">
        <f t="shared" si="71"/>
        <v>13.600001646913581</v>
      </c>
    </row>
    <row r="378" spans="6:57">
      <c r="F378" s="9"/>
      <c r="G378" s="22">
        <v>-3.0517600000000001E-3</v>
      </c>
      <c r="H378" s="22">
        <v>8.9004499999999993</v>
      </c>
      <c r="I378" s="22">
        <v>-1.49353E-2</v>
      </c>
      <c r="J378" s="22">
        <v>368</v>
      </c>
      <c r="K378" s="22">
        <v>-3.3569300000000002E-3</v>
      </c>
      <c r="L378">
        <f t="shared" si="60"/>
        <v>18.438641975308641</v>
      </c>
      <c r="M378">
        <f t="shared" si="61"/>
        <v>-5.6270310034567901E-2</v>
      </c>
      <c r="N378" s="9"/>
      <c r="O378" s="22">
        <v>1.75308</v>
      </c>
      <c r="P378" s="22">
        <v>12.820399999999999</v>
      </c>
      <c r="Q378" s="22">
        <v>-6.4697299999999999E-3</v>
      </c>
      <c r="R378" s="22">
        <v>368</v>
      </c>
      <c r="S378" s="22">
        <v>1.7523200000000001</v>
      </c>
      <c r="T378">
        <f t="shared" si="62"/>
        <v>7.9873209876543205</v>
      </c>
      <c r="U378">
        <f t="shared" si="63"/>
        <v>14.002412677037036</v>
      </c>
      <c r="X378" s="9"/>
      <c r="Y378" s="22">
        <v>-3.0517600000000001E-3</v>
      </c>
      <c r="Z378" s="22">
        <v>18.3657</v>
      </c>
      <c r="AA378" s="22">
        <v>-1.4993299999999999E-2</v>
      </c>
      <c r="AB378" s="22">
        <v>368</v>
      </c>
      <c r="AC378" s="22">
        <v>-3.1066900000000001E-3</v>
      </c>
      <c r="AD378">
        <f t="shared" si="64"/>
        <v>18.510246913580243</v>
      </c>
      <c r="AE378">
        <f t="shared" si="65"/>
        <v>-5.6488831120987647E-2</v>
      </c>
      <c r="AF378" s="9"/>
      <c r="AG378" s="22">
        <v>1.75308</v>
      </c>
      <c r="AH378" s="22">
        <v>22.285599999999999</v>
      </c>
      <c r="AI378" s="22">
        <v>-6.1462399999999999E-3</v>
      </c>
      <c r="AJ378" s="22">
        <v>368</v>
      </c>
      <c r="AK378" s="22">
        <v>1.7523200000000001</v>
      </c>
      <c r="AL378">
        <f t="shared" si="66"/>
        <v>7.5879506172839504</v>
      </c>
      <c r="AM378">
        <f t="shared" si="67"/>
        <v>13.302284468148148</v>
      </c>
      <c r="AP378" s="9"/>
      <c r="AQ378" s="22">
        <v>-3.0517600000000001E-3</v>
      </c>
      <c r="AR378" s="22">
        <v>27.8489</v>
      </c>
      <c r="AS378" s="22">
        <v>-1.4996300000000001E-2</v>
      </c>
      <c r="AT378" s="22">
        <v>368</v>
      </c>
      <c r="AU378" s="22">
        <v>-3.0273399999999999E-3</v>
      </c>
      <c r="AV378">
        <f t="shared" si="68"/>
        <v>18.51395061728395</v>
      </c>
      <c r="AW378">
        <f t="shared" si="69"/>
        <v>-5.6500133935802471E-2</v>
      </c>
      <c r="AX378" s="9"/>
      <c r="AY378" s="22">
        <v>1.75308</v>
      </c>
      <c r="AZ378" s="22">
        <v>31.768799999999999</v>
      </c>
      <c r="BA378" s="22">
        <v>-5.8075000000000002E-3</v>
      </c>
      <c r="BB378" s="22">
        <v>368</v>
      </c>
      <c r="BC378" s="22">
        <v>1.7523200000000001</v>
      </c>
      <c r="BD378">
        <f t="shared" si="70"/>
        <v>7.1697530864197523</v>
      </c>
      <c r="BE378">
        <f t="shared" si="71"/>
        <v>12.569150740740739</v>
      </c>
    </row>
    <row r="379" spans="6:57">
      <c r="F379" s="9"/>
      <c r="G379" s="22">
        <v>-8.0871599999999995E-3</v>
      </c>
      <c r="H379" s="22">
        <v>8.91052</v>
      </c>
      <c r="I379" s="22">
        <v>-1.4947500000000001E-2</v>
      </c>
      <c r="J379" s="22">
        <v>369</v>
      </c>
      <c r="K379" s="22">
        <v>-8.3038299999999999E-3</v>
      </c>
      <c r="L379">
        <f t="shared" si="60"/>
        <v>18.453703703703706</v>
      </c>
      <c r="M379">
        <f t="shared" si="61"/>
        <v>-0.14923805444444446</v>
      </c>
      <c r="N379" s="9"/>
      <c r="O379" s="22">
        <v>1.7581199999999999</v>
      </c>
      <c r="P379" s="22">
        <v>12.830399999999999</v>
      </c>
      <c r="Q379" s="22">
        <v>-5.9600800000000004E-3</v>
      </c>
      <c r="R379" s="22">
        <v>369</v>
      </c>
      <c r="S379" s="22">
        <v>1.7572000000000001</v>
      </c>
      <c r="T379">
        <f t="shared" si="62"/>
        <v>7.358123456790123</v>
      </c>
      <c r="U379">
        <f t="shared" si="63"/>
        <v>12.93646401185185</v>
      </c>
      <c r="X379" s="9"/>
      <c r="Y379" s="22">
        <v>-8.0871599999999995E-3</v>
      </c>
      <c r="Z379" s="22">
        <v>18.375699999999998</v>
      </c>
      <c r="AA379" s="22">
        <v>-1.4996300000000001E-2</v>
      </c>
      <c r="AB379" s="22">
        <v>369</v>
      </c>
      <c r="AC379" s="22">
        <v>-8.1726100000000003E-3</v>
      </c>
      <c r="AD379">
        <f t="shared" si="64"/>
        <v>18.51395061728395</v>
      </c>
      <c r="AE379">
        <f t="shared" si="65"/>
        <v>-0.14972528087407405</v>
      </c>
      <c r="AF379" s="9"/>
      <c r="AG379" s="22">
        <v>1.7581199999999999</v>
      </c>
      <c r="AH379" s="22">
        <v>22.2957</v>
      </c>
      <c r="AI379" s="22">
        <v>-5.6182899999999997E-3</v>
      </c>
      <c r="AJ379" s="22">
        <v>369</v>
      </c>
      <c r="AK379" s="22">
        <v>1.7575099999999999</v>
      </c>
      <c r="AL379">
        <f t="shared" si="66"/>
        <v>6.9361604938271597</v>
      </c>
      <c r="AM379">
        <f t="shared" si="67"/>
        <v>12.194602487407405</v>
      </c>
      <c r="AP379" s="9"/>
      <c r="AQ379" s="22">
        <v>-8.0871599999999995E-3</v>
      </c>
      <c r="AR379" s="22">
        <v>27.859000000000002</v>
      </c>
      <c r="AS379" s="22">
        <v>-1.5002400000000001E-2</v>
      </c>
      <c r="AT379" s="22">
        <v>369</v>
      </c>
      <c r="AU379" s="22">
        <v>-8.4136999999999997E-3</v>
      </c>
      <c r="AV379">
        <f t="shared" si="68"/>
        <v>18.521481481481484</v>
      </c>
      <c r="AW379">
        <f t="shared" si="69"/>
        <v>-0.14978618417777778</v>
      </c>
      <c r="AX379" s="9"/>
      <c r="AY379" s="22">
        <v>1.7581199999999999</v>
      </c>
      <c r="AZ379" s="22">
        <v>31.7789</v>
      </c>
      <c r="BA379" s="22">
        <v>-5.2246100000000002E-3</v>
      </c>
      <c r="BB379" s="22">
        <v>369</v>
      </c>
      <c r="BC379" s="22">
        <v>1.7568999999999999</v>
      </c>
      <c r="BD379">
        <f t="shared" si="70"/>
        <v>6.4501358024691351</v>
      </c>
      <c r="BE379">
        <f t="shared" si="71"/>
        <v>11.340112757037035</v>
      </c>
    </row>
    <row r="380" spans="6:57">
      <c r="F380" s="9"/>
      <c r="G380" s="22">
        <v>-1.31226E-2</v>
      </c>
      <c r="H380" s="22">
        <v>8.9205900000000007</v>
      </c>
      <c r="I380" s="22">
        <v>-1.4953599999999999E-2</v>
      </c>
      <c r="J380" s="22">
        <v>370</v>
      </c>
      <c r="K380" s="22">
        <v>-1.35315E-2</v>
      </c>
      <c r="L380">
        <f t="shared" si="60"/>
        <v>18.461234567901233</v>
      </c>
      <c r="M380">
        <f t="shared" si="61"/>
        <v>-0.24225939674074071</v>
      </c>
      <c r="N380" s="9"/>
      <c r="O380" s="22">
        <v>1.76315</v>
      </c>
      <c r="P380" s="22">
        <v>12.8405</v>
      </c>
      <c r="Q380" s="22">
        <v>-5.4016100000000003E-3</v>
      </c>
      <c r="R380" s="22">
        <v>370</v>
      </c>
      <c r="S380" s="22">
        <v>1.7620800000000001</v>
      </c>
      <c r="T380">
        <f t="shared" si="62"/>
        <v>6.6686543209876543</v>
      </c>
      <c r="U380">
        <f t="shared" si="63"/>
        <v>11.757837866049382</v>
      </c>
      <c r="X380" s="9"/>
      <c r="Y380" s="22">
        <v>-1.31226E-2</v>
      </c>
      <c r="Z380" s="22">
        <v>18.3858</v>
      </c>
      <c r="AA380" s="22">
        <v>-1.50055E-2</v>
      </c>
      <c r="AB380" s="22">
        <v>370</v>
      </c>
      <c r="AC380" s="22">
        <v>-1.31989E-2</v>
      </c>
      <c r="AD380">
        <f t="shared" si="64"/>
        <v>18.525308641975307</v>
      </c>
      <c r="AE380">
        <f t="shared" si="65"/>
        <v>-0.24310021518518518</v>
      </c>
      <c r="AF380" s="9"/>
      <c r="AG380" s="22">
        <v>1.76315</v>
      </c>
      <c r="AH380" s="22">
        <v>22.305700000000002</v>
      </c>
      <c r="AI380" s="22">
        <v>-4.9987800000000004E-3</v>
      </c>
      <c r="AJ380" s="22">
        <v>370</v>
      </c>
      <c r="AK380" s="22">
        <v>1.7617799999999999</v>
      </c>
      <c r="AL380">
        <f t="shared" si="66"/>
        <v>6.1713333333333331</v>
      </c>
      <c r="AM380">
        <f t="shared" si="67"/>
        <v>10.880986366666667</v>
      </c>
      <c r="AP380" s="9"/>
      <c r="AQ380" s="22">
        <v>-1.31226E-2</v>
      </c>
      <c r="AR380" s="22">
        <v>27.869</v>
      </c>
      <c r="AS380" s="22">
        <v>-1.5008499999999999E-2</v>
      </c>
      <c r="AT380" s="22">
        <v>370</v>
      </c>
      <c r="AU380" s="22">
        <v>-1.34308E-2</v>
      </c>
      <c r="AV380">
        <f t="shared" si="68"/>
        <v>18.529012345679011</v>
      </c>
      <c r="AW380">
        <f t="shared" si="69"/>
        <v>-0.24314881740740737</v>
      </c>
      <c r="AX380" s="9"/>
      <c r="AY380" s="22">
        <v>1.76315</v>
      </c>
      <c r="AZ380" s="22">
        <v>31.788900000000002</v>
      </c>
      <c r="BA380" s="22">
        <v>-4.6200599999999996E-3</v>
      </c>
      <c r="BB380" s="22">
        <v>370</v>
      </c>
      <c r="BC380" s="22">
        <v>1.7620800000000001</v>
      </c>
      <c r="BD380">
        <f t="shared" si="70"/>
        <v>5.7037777777777769</v>
      </c>
      <c r="BE380">
        <f t="shared" si="71"/>
        <v>10.056615788888887</v>
      </c>
    </row>
    <row r="381" spans="6:57">
      <c r="F381" s="9"/>
      <c r="G381" s="22">
        <v>-1.8158000000000001E-2</v>
      </c>
      <c r="H381" s="22">
        <v>8.9306699999999992</v>
      </c>
      <c r="I381" s="22">
        <v>-1.49567E-2</v>
      </c>
      <c r="J381" s="22">
        <v>371</v>
      </c>
      <c r="K381" s="22">
        <v>-1.8655399999999999E-2</v>
      </c>
      <c r="L381">
        <f t="shared" si="60"/>
        <v>18.46506172839506</v>
      </c>
      <c r="M381">
        <f t="shared" si="61"/>
        <v>-0.33528859086419749</v>
      </c>
      <c r="N381" s="9"/>
      <c r="O381" s="22">
        <v>1.7681899999999999</v>
      </c>
      <c r="P381" s="22">
        <v>12.8506</v>
      </c>
      <c r="Q381" s="22">
        <v>-4.7839400000000004E-3</v>
      </c>
      <c r="R381" s="22">
        <v>371</v>
      </c>
      <c r="S381" s="22">
        <v>1.7675799999999999</v>
      </c>
      <c r="T381">
        <f t="shared" si="62"/>
        <v>5.9060987654320991</v>
      </c>
      <c r="U381">
        <f t="shared" si="63"/>
        <v>10.443104776049383</v>
      </c>
      <c r="X381" s="9"/>
      <c r="Y381" s="22">
        <v>-1.8158000000000001E-2</v>
      </c>
      <c r="Z381" s="22">
        <v>18.395900000000001</v>
      </c>
      <c r="AA381" s="22">
        <v>-1.5008499999999999E-2</v>
      </c>
      <c r="AB381" s="22">
        <v>371</v>
      </c>
      <c r="AC381" s="22">
        <v>-1.8411299999999999E-2</v>
      </c>
      <c r="AD381">
        <f t="shared" si="64"/>
        <v>18.529012345679011</v>
      </c>
      <c r="AE381">
        <f t="shared" si="65"/>
        <v>-0.33644980617283948</v>
      </c>
      <c r="AF381" s="9"/>
      <c r="AG381" s="22">
        <v>1.7681899999999999</v>
      </c>
      <c r="AH381" s="22">
        <v>22.315799999999999</v>
      </c>
      <c r="AI381" s="22">
        <v>-4.3447900000000003E-3</v>
      </c>
      <c r="AJ381" s="22">
        <v>371</v>
      </c>
      <c r="AK381" s="22">
        <v>1.7672699999999999</v>
      </c>
      <c r="AL381">
        <f t="shared" si="66"/>
        <v>5.3639382716049386</v>
      </c>
      <c r="AM381">
        <f t="shared" si="67"/>
        <v>9.4844620124691357</v>
      </c>
      <c r="AP381" s="9"/>
      <c r="AQ381" s="22">
        <v>-1.8158000000000001E-2</v>
      </c>
      <c r="AR381" s="22">
        <v>27.879100000000001</v>
      </c>
      <c r="AS381" s="22">
        <v>-1.5014599999999999E-2</v>
      </c>
      <c r="AT381" s="22">
        <v>371</v>
      </c>
      <c r="AU381" s="22">
        <v>-1.8359400000000001E-2</v>
      </c>
      <c r="AV381">
        <f t="shared" si="68"/>
        <v>18.536543209876541</v>
      </c>
      <c r="AW381">
        <f t="shared" si="69"/>
        <v>-0.33658655160493822</v>
      </c>
      <c r="AX381" s="9"/>
      <c r="AY381" s="22">
        <v>1.7681899999999999</v>
      </c>
      <c r="AZ381" s="22">
        <v>31.798999999999999</v>
      </c>
      <c r="BA381" s="22">
        <v>-3.9157100000000002E-3</v>
      </c>
      <c r="BB381" s="22">
        <v>371</v>
      </c>
      <c r="BC381" s="22">
        <v>1.7669699999999999</v>
      </c>
      <c r="BD381">
        <f t="shared" si="70"/>
        <v>4.8342098765432091</v>
      </c>
      <c r="BE381">
        <f t="shared" si="71"/>
        <v>8.5478015616049365</v>
      </c>
    </row>
    <row r="382" spans="6:57">
      <c r="F382" s="9"/>
      <c r="G382" s="22">
        <v>-2.3193399999999999E-2</v>
      </c>
      <c r="H382" s="22">
        <v>8.9407399999999999</v>
      </c>
      <c r="I382" s="22">
        <v>-1.4959699999999999E-2</v>
      </c>
      <c r="J382" s="22">
        <v>372</v>
      </c>
      <c r="K382" s="22">
        <v>-2.3584000000000001E-2</v>
      </c>
      <c r="L382">
        <f t="shared" si="60"/>
        <v>18.468765432098763</v>
      </c>
      <c r="M382">
        <f t="shared" si="61"/>
        <v>-0.42835346417283943</v>
      </c>
      <c r="N382" s="9"/>
      <c r="O382" s="22">
        <v>1.77322</v>
      </c>
      <c r="P382" s="22">
        <v>12.8606</v>
      </c>
      <c r="Q382" s="22">
        <v>-4.1140700000000001E-3</v>
      </c>
      <c r="R382" s="22">
        <v>372</v>
      </c>
      <c r="S382" s="22">
        <v>1.77216</v>
      </c>
      <c r="T382">
        <f t="shared" si="62"/>
        <v>5.0790987654320983</v>
      </c>
      <c r="U382">
        <f t="shared" si="63"/>
        <v>9.0063595128395058</v>
      </c>
      <c r="X382" s="9"/>
      <c r="Y382" s="22">
        <v>-2.3193399999999999E-2</v>
      </c>
      <c r="Z382" s="22">
        <v>18.405999999999999</v>
      </c>
      <c r="AA382" s="22">
        <v>-1.5014599999999999E-2</v>
      </c>
      <c r="AB382" s="22">
        <v>372</v>
      </c>
      <c r="AC382" s="22">
        <v>-2.3428299999999999E-2</v>
      </c>
      <c r="AD382">
        <f t="shared" si="64"/>
        <v>18.536543209876541</v>
      </c>
      <c r="AE382">
        <f t="shared" si="65"/>
        <v>-0.42992546128395054</v>
      </c>
      <c r="AF382" s="9"/>
      <c r="AG382" s="22">
        <v>1.77322</v>
      </c>
      <c r="AH382" s="22">
        <v>22.325900000000001</v>
      </c>
      <c r="AI382" s="22">
        <v>-3.5907000000000001E-3</v>
      </c>
      <c r="AJ382" s="22">
        <v>372</v>
      </c>
      <c r="AK382" s="22">
        <v>1.7724599999999999</v>
      </c>
      <c r="AL382">
        <f t="shared" si="66"/>
        <v>4.4329629629629625</v>
      </c>
      <c r="AM382">
        <f t="shared" si="67"/>
        <v>7.8606185851851844</v>
      </c>
      <c r="AP382" s="9"/>
      <c r="AQ382" s="22">
        <v>-2.3193399999999999E-2</v>
      </c>
      <c r="AR382" s="22">
        <v>27.889199999999999</v>
      </c>
      <c r="AS382" s="22">
        <v>-1.50177E-2</v>
      </c>
      <c r="AT382" s="22">
        <v>372</v>
      </c>
      <c r="AU382" s="22">
        <v>-2.3376500000000001E-2</v>
      </c>
      <c r="AV382">
        <f t="shared" si="68"/>
        <v>18.540370370370372</v>
      </c>
      <c r="AW382">
        <f t="shared" si="69"/>
        <v>-0.43001422614814816</v>
      </c>
      <c r="AX382" s="9"/>
      <c r="AY382" s="22">
        <v>1.77322</v>
      </c>
      <c r="AZ382" s="22">
        <v>31.809100000000001</v>
      </c>
      <c r="BA382" s="22">
        <v>-3.15826E-3</v>
      </c>
      <c r="BB382" s="22">
        <v>372</v>
      </c>
      <c r="BC382" s="22">
        <v>1.77216</v>
      </c>
      <c r="BD382">
        <f t="shared" si="70"/>
        <v>3.8990864197530861</v>
      </c>
      <c r="BE382">
        <f t="shared" si="71"/>
        <v>6.9139380212345678</v>
      </c>
    </row>
    <row r="383" spans="6:57">
      <c r="F383" s="9"/>
      <c r="G383" s="22">
        <v>-2.8228799999999998E-2</v>
      </c>
      <c r="H383" s="22">
        <v>8.9508100000000006</v>
      </c>
      <c r="I383" s="22">
        <v>-1.4959699999999999E-2</v>
      </c>
      <c r="J383" s="22">
        <v>373</v>
      </c>
      <c r="K383" s="22">
        <v>-2.84821E-2</v>
      </c>
      <c r="L383">
        <f t="shared" si="60"/>
        <v>18.468765432098763</v>
      </c>
      <c r="M383">
        <f t="shared" si="61"/>
        <v>-0.52135108562962951</v>
      </c>
      <c r="N383" s="9"/>
      <c r="O383" s="22">
        <v>1.77826</v>
      </c>
      <c r="P383" s="22">
        <v>12.870699999999999</v>
      </c>
      <c r="Q383" s="22">
        <v>-3.3544899999999999E-3</v>
      </c>
      <c r="R383" s="22">
        <v>373</v>
      </c>
      <c r="S383" s="22">
        <v>1.7773399999999999</v>
      </c>
      <c r="T383">
        <f t="shared" si="62"/>
        <v>4.1413456790123453</v>
      </c>
      <c r="U383">
        <f t="shared" si="63"/>
        <v>7.3643893671604932</v>
      </c>
      <c r="X383" s="9"/>
      <c r="Y383" s="22">
        <v>-2.8228799999999998E-2</v>
      </c>
      <c r="Z383" s="22">
        <v>18.416</v>
      </c>
      <c r="AA383" s="22">
        <v>-1.50177E-2</v>
      </c>
      <c r="AB383" s="22">
        <v>373</v>
      </c>
      <c r="AC383" s="22">
        <v>-2.8436300000000001E-2</v>
      </c>
      <c r="AD383">
        <f t="shared" si="64"/>
        <v>18.540370370370372</v>
      </c>
      <c r="AE383">
        <f t="shared" si="65"/>
        <v>-0.5233724071111111</v>
      </c>
      <c r="AF383" s="9"/>
      <c r="AG383" s="22">
        <v>1.77826</v>
      </c>
      <c r="AH383" s="22">
        <v>22.335999999999999</v>
      </c>
      <c r="AI383" s="22">
        <v>-2.7914400000000001E-3</v>
      </c>
      <c r="AJ383" s="22">
        <v>373</v>
      </c>
      <c r="AK383" s="22">
        <v>1.7773399999999999</v>
      </c>
      <c r="AL383">
        <f t="shared" si="66"/>
        <v>3.4462222222222221</v>
      </c>
      <c r="AM383">
        <f t="shared" si="67"/>
        <v>6.128279128888888</v>
      </c>
      <c r="AP383" s="9"/>
      <c r="AQ383" s="22">
        <v>-2.8228799999999998E-2</v>
      </c>
      <c r="AR383" s="22">
        <v>27.8993</v>
      </c>
      <c r="AS383" s="22">
        <v>-1.50238E-2</v>
      </c>
      <c r="AT383" s="22">
        <v>373</v>
      </c>
      <c r="AU383" s="22">
        <v>-2.8515599999999999E-2</v>
      </c>
      <c r="AV383">
        <f t="shared" si="68"/>
        <v>18.547901234567902</v>
      </c>
      <c r="AW383">
        <f t="shared" si="69"/>
        <v>-0.52358499437037043</v>
      </c>
      <c r="AX383" s="9"/>
      <c r="AY383" s="22">
        <v>1.77826</v>
      </c>
      <c r="AZ383" s="22">
        <v>31.819199999999999</v>
      </c>
      <c r="BA383" s="22">
        <v>-2.2796600000000002E-3</v>
      </c>
      <c r="BB383" s="22">
        <v>373</v>
      </c>
      <c r="BC383" s="22">
        <v>1.7779499999999999</v>
      </c>
      <c r="BD383">
        <f t="shared" si="70"/>
        <v>2.8143950617283955</v>
      </c>
      <c r="BE383">
        <f t="shared" si="71"/>
        <v>5.0047261624691366</v>
      </c>
    </row>
    <row r="384" spans="6:57">
      <c r="F384" s="9"/>
      <c r="G384" s="22">
        <v>-3.3264200000000001E-2</v>
      </c>
      <c r="H384" s="22">
        <v>8.9608799999999995</v>
      </c>
      <c r="I384" s="22">
        <v>-1.49567E-2</v>
      </c>
      <c r="J384" s="22">
        <v>374</v>
      </c>
      <c r="K384" s="22">
        <v>-3.3599900000000002E-2</v>
      </c>
      <c r="L384">
        <f t="shared" si="60"/>
        <v>18.46506172839506</v>
      </c>
      <c r="M384">
        <f t="shared" si="61"/>
        <v>-0.61422550634567896</v>
      </c>
      <c r="N384" s="9"/>
      <c r="O384" s="22">
        <v>1.78329</v>
      </c>
      <c r="P384" s="22">
        <v>12.880800000000001</v>
      </c>
      <c r="Q384" s="22">
        <v>-2.5253300000000001E-3</v>
      </c>
      <c r="R384" s="22">
        <v>374</v>
      </c>
      <c r="S384" s="22">
        <v>1.78223</v>
      </c>
      <c r="T384">
        <f t="shared" si="62"/>
        <v>3.117691358024691</v>
      </c>
      <c r="U384">
        <f t="shared" si="63"/>
        <v>5.5597478218518512</v>
      </c>
      <c r="X384" s="9"/>
      <c r="Y384" s="22">
        <v>-3.3264200000000001E-2</v>
      </c>
      <c r="Z384" s="22">
        <v>18.426100000000002</v>
      </c>
      <c r="AA384" s="22">
        <v>-1.50177E-2</v>
      </c>
      <c r="AB384" s="22">
        <v>374</v>
      </c>
      <c r="AC384" s="22">
        <v>-3.3499099999999997E-2</v>
      </c>
      <c r="AD384">
        <f t="shared" si="64"/>
        <v>18.540370370370372</v>
      </c>
      <c r="AE384">
        <f t="shared" si="65"/>
        <v>-0.6167305880740741</v>
      </c>
      <c r="AF384" s="9"/>
      <c r="AG384" s="22">
        <v>1.78329</v>
      </c>
      <c r="AH384" s="22">
        <v>22.346</v>
      </c>
      <c r="AI384" s="22">
        <v>-1.87408E-3</v>
      </c>
      <c r="AJ384" s="22">
        <v>374</v>
      </c>
      <c r="AK384" s="22">
        <v>1.78284</v>
      </c>
      <c r="AL384">
        <f t="shared" si="66"/>
        <v>2.3136790123456787</v>
      </c>
      <c r="AM384">
        <f t="shared" si="67"/>
        <v>4.1259606459259253</v>
      </c>
      <c r="AP384" s="9"/>
      <c r="AQ384" s="22">
        <v>-3.3264200000000001E-2</v>
      </c>
      <c r="AR384" s="22">
        <v>27.909300000000002</v>
      </c>
      <c r="AS384" s="22">
        <v>-1.5029900000000001E-2</v>
      </c>
      <c r="AT384" s="22">
        <v>374</v>
      </c>
      <c r="AU384" s="22">
        <v>-3.3477800000000002E-2</v>
      </c>
      <c r="AV384">
        <f t="shared" si="68"/>
        <v>18.555432098765429</v>
      </c>
      <c r="AW384">
        <f t="shared" si="69"/>
        <v>-0.617231604419753</v>
      </c>
      <c r="AX384" s="9"/>
      <c r="AY384" s="22">
        <v>1.78329</v>
      </c>
      <c r="AZ384" s="22">
        <v>31.8292</v>
      </c>
      <c r="BA384" s="22">
        <v>-1.34125E-3</v>
      </c>
      <c r="BB384" s="22">
        <v>374</v>
      </c>
      <c r="BC384" s="22">
        <v>1.78223</v>
      </c>
      <c r="BD384">
        <f t="shared" si="70"/>
        <v>1.6558641975308641</v>
      </c>
      <c r="BE384">
        <f t="shared" si="71"/>
        <v>2.9528860648148147</v>
      </c>
    </row>
    <row r="385" spans="6:57">
      <c r="F385" s="9"/>
      <c r="G385" s="22">
        <v>-3.8299600000000003E-2</v>
      </c>
      <c r="H385" s="22">
        <v>8.9709500000000002</v>
      </c>
      <c r="I385" s="22">
        <v>-1.49567E-2</v>
      </c>
      <c r="J385" s="22">
        <v>375</v>
      </c>
      <c r="K385" s="22">
        <v>-3.8559000000000003E-2</v>
      </c>
      <c r="L385">
        <f t="shared" si="60"/>
        <v>18.46506172839506</v>
      </c>
      <c r="M385">
        <f t="shared" si="61"/>
        <v>-0.70720447817283949</v>
      </c>
      <c r="N385" s="9"/>
      <c r="O385" s="22">
        <v>1.78833</v>
      </c>
      <c r="P385" s="22">
        <v>12.8909</v>
      </c>
      <c r="Q385" s="22">
        <v>-1.5896599999999999E-3</v>
      </c>
      <c r="R385" s="22">
        <v>375</v>
      </c>
      <c r="S385" s="22">
        <v>1.78772</v>
      </c>
      <c r="T385">
        <f t="shared" si="62"/>
        <v>1.962543209876543</v>
      </c>
      <c r="U385">
        <f t="shared" si="63"/>
        <v>3.5096748985185182</v>
      </c>
      <c r="X385" s="9"/>
      <c r="Y385" s="22">
        <v>-3.8299600000000003E-2</v>
      </c>
      <c r="Z385" s="22">
        <v>18.436199999999999</v>
      </c>
      <c r="AA385" s="22">
        <v>-1.5020800000000001E-2</v>
      </c>
      <c r="AB385" s="22">
        <v>375</v>
      </c>
      <c r="AC385" s="22">
        <v>-3.85437E-2</v>
      </c>
      <c r="AD385">
        <f t="shared" si="64"/>
        <v>18.544197530864199</v>
      </c>
      <c r="AE385">
        <f t="shared" si="65"/>
        <v>-0.7102353477530865</v>
      </c>
      <c r="AF385" s="9"/>
      <c r="AG385" s="22">
        <v>1.78833</v>
      </c>
      <c r="AH385" s="22">
        <v>22.356100000000001</v>
      </c>
      <c r="AI385" s="22">
        <v>-8.9233400000000005E-4</v>
      </c>
      <c r="AJ385" s="22">
        <v>375</v>
      </c>
      <c r="AK385" s="22">
        <v>1.78833</v>
      </c>
      <c r="AL385">
        <f t="shared" si="66"/>
        <v>1.1016469135802469</v>
      </c>
      <c r="AM385">
        <f t="shared" si="67"/>
        <v>1.9701082249629629</v>
      </c>
      <c r="AP385" s="9"/>
      <c r="AQ385" s="22">
        <v>-3.8299600000000003E-2</v>
      </c>
      <c r="AR385" s="22">
        <v>27.9194</v>
      </c>
      <c r="AS385" s="22">
        <v>-1.5036000000000001E-2</v>
      </c>
      <c r="AT385" s="22">
        <v>375</v>
      </c>
      <c r="AU385" s="22">
        <v>-3.8632199999999998E-2</v>
      </c>
      <c r="AV385">
        <f t="shared" si="68"/>
        <v>18.562962962962963</v>
      </c>
      <c r="AW385">
        <f t="shared" si="69"/>
        <v>-0.71095405629629638</v>
      </c>
      <c r="AX385" s="9"/>
      <c r="AY385" s="22">
        <v>1.78833</v>
      </c>
      <c r="AZ385" s="22">
        <v>31.839300000000001</v>
      </c>
      <c r="BA385" s="22">
        <v>-2.4478100000000001E-4</v>
      </c>
      <c r="BB385" s="22">
        <v>375</v>
      </c>
      <c r="BC385" s="22">
        <v>1.78772</v>
      </c>
      <c r="BD385">
        <f t="shared" si="70"/>
        <v>0.30219876543209878</v>
      </c>
      <c r="BE385">
        <f t="shared" si="71"/>
        <v>0.54043111818518519</v>
      </c>
    </row>
    <row r="386" spans="6:57">
      <c r="F386" s="9"/>
      <c r="G386" s="22">
        <v>-4.3334999999999999E-2</v>
      </c>
      <c r="H386" s="22">
        <v>8.9810199999999991</v>
      </c>
      <c r="I386" s="22">
        <v>-1.49567E-2</v>
      </c>
      <c r="J386" s="22">
        <v>376</v>
      </c>
      <c r="K386" s="22">
        <v>-4.3496699999999999E-2</v>
      </c>
      <c r="L386">
        <f t="shared" si="60"/>
        <v>18.46506172839506</v>
      </c>
      <c r="M386">
        <f t="shared" si="61"/>
        <v>-0.80018344999999991</v>
      </c>
      <c r="N386" s="9"/>
      <c r="O386" s="22">
        <v>1.7933699999999999</v>
      </c>
      <c r="P386" s="22">
        <v>12.9009</v>
      </c>
      <c r="Q386" s="22">
        <v>-5.4565400000000002E-4</v>
      </c>
      <c r="R386" s="22">
        <v>376</v>
      </c>
      <c r="S386" s="22">
        <v>1.7926</v>
      </c>
      <c r="T386">
        <f t="shared" si="62"/>
        <v>0.67364691358024686</v>
      </c>
      <c r="U386">
        <f t="shared" si="63"/>
        <v>1.2080981654074072</v>
      </c>
      <c r="X386" s="9"/>
      <c r="Y386" s="22">
        <v>-4.3334999999999999E-2</v>
      </c>
      <c r="Z386" s="22">
        <v>18.446200000000001</v>
      </c>
      <c r="AA386" s="22">
        <v>-1.5020800000000001E-2</v>
      </c>
      <c r="AB386" s="22">
        <v>376</v>
      </c>
      <c r="AC386" s="22">
        <v>-4.3536400000000003E-2</v>
      </c>
      <c r="AD386">
        <f t="shared" si="64"/>
        <v>18.544197530864199</v>
      </c>
      <c r="AE386">
        <f t="shared" si="65"/>
        <v>-0.80361280000000002</v>
      </c>
      <c r="AF386" s="9"/>
      <c r="AG386" s="22">
        <v>1.7933699999999999</v>
      </c>
      <c r="AH386" s="22">
        <v>22.366199999999999</v>
      </c>
      <c r="AI386" s="22">
        <v>2.6150499999999998E-4</v>
      </c>
      <c r="AJ386" s="22">
        <v>376</v>
      </c>
      <c r="AK386" s="22">
        <v>1.7926</v>
      </c>
      <c r="AL386">
        <f t="shared" si="66"/>
        <v>-0.32284567901234562</v>
      </c>
      <c r="AM386">
        <f t="shared" si="67"/>
        <v>-0.57898175537037022</v>
      </c>
      <c r="AP386" s="9"/>
      <c r="AQ386" s="22">
        <v>-4.3334999999999999E-2</v>
      </c>
      <c r="AR386" s="22">
        <v>27.929500000000001</v>
      </c>
      <c r="AS386" s="22">
        <v>-1.5042099999999999E-2</v>
      </c>
      <c r="AT386" s="22">
        <v>376</v>
      </c>
      <c r="AU386" s="22">
        <v>-4.3490599999999997E-2</v>
      </c>
      <c r="AV386">
        <f t="shared" si="68"/>
        <v>18.570493827160494</v>
      </c>
      <c r="AW386">
        <f t="shared" si="69"/>
        <v>-0.80475235000000001</v>
      </c>
      <c r="AX386" s="9"/>
      <c r="AY386" s="22">
        <v>1.7933699999999999</v>
      </c>
      <c r="AZ386" s="22">
        <v>31.849399999999999</v>
      </c>
      <c r="BA386" s="22">
        <v>9.4574000000000004E-4</v>
      </c>
      <c r="BB386" s="22">
        <v>376</v>
      </c>
      <c r="BC386" s="22">
        <v>1.7923</v>
      </c>
      <c r="BD386">
        <f t="shared" si="70"/>
        <v>-1.1675802469135801</v>
      </c>
      <c r="BE386">
        <f t="shared" si="71"/>
        <v>-2.0939033874074071</v>
      </c>
    </row>
    <row r="387" spans="6:57">
      <c r="F387" s="9"/>
      <c r="G387" s="22">
        <v>-4.8370400000000001E-2</v>
      </c>
      <c r="H387" s="22">
        <v>8.9910899999999998</v>
      </c>
      <c r="I387" s="22">
        <v>-1.4959699999999999E-2</v>
      </c>
      <c r="J387" s="22">
        <v>377</v>
      </c>
      <c r="K387" s="22">
        <v>-4.8638899999999999E-2</v>
      </c>
      <c r="L387">
        <f t="shared" si="60"/>
        <v>18.468765432098763</v>
      </c>
      <c r="M387">
        <f t="shared" si="61"/>
        <v>-0.89334157145679005</v>
      </c>
      <c r="N387" s="9"/>
      <c r="O387" s="22">
        <v>1.7984</v>
      </c>
      <c r="P387" s="22">
        <v>12.911</v>
      </c>
      <c r="Q387" s="22">
        <v>6.4086899999999997E-4</v>
      </c>
      <c r="R387" s="22">
        <v>377</v>
      </c>
      <c r="S387" s="22">
        <v>1.79718</v>
      </c>
      <c r="T387">
        <f t="shared" si="62"/>
        <v>-0.79119629629629618</v>
      </c>
      <c r="U387">
        <f t="shared" si="63"/>
        <v>-1.4228874192592591</v>
      </c>
      <c r="X387" s="9"/>
      <c r="Y387" s="22">
        <v>-4.8370400000000001E-2</v>
      </c>
      <c r="Z387" s="22">
        <v>18.456299999999999</v>
      </c>
      <c r="AA387" s="22">
        <v>-1.5026899999999999E-2</v>
      </c>
      <c r="AB387" s="22">
        <v>377</v>
      </c>
      <c r="AC387" s="22">
        <v>-4.87579E-2</v>
      </c>
      <c r="AD387">
        <f t="shared" si="64"/>
        <v>18.551728395061726</v>
      </c>
      <c r="AE387">
        <f t="shared" si="65"/>
        <v>-0.89735452316049369</v>
      </c>
      <c r="AF387" s="9"/>
      <c r="AG387" s="22">
        <v>1.7984</v>
      </c>
      <c r="AH387" s="22">
        <v>22.376200000000001</v>
      </c>
      <c r="AI387" s="22">
        <v>1.51581E-3</v>
      </c>
      <c r="AJ387" s="22">
        <v>377</v>
      </c>
      <c r="AK387" s="22">
        <v>1.79718</v>
      </c>
      <c r="AL387">
        <f t="shared" si="66"/>
        <v>-1.8713703703703704</v>
      </c>
      <c r="AM387">
        <f t="shared" si="67"/>
        <v>-3.3654724740740742</v>
      </c>
      <c r="AP387" s="9"/>
      <c r="AQ387" s="22">
        <v>-4.8370400000000001E-2</v>
      </c>
      <c r="AR387" s="22">
        <v>27.939499999999999</v>
      </c>
      <c r="AS387" s="22">
        <v>-1.50513E-2</v>
      </c>
      <c r="AT387" s="22">
        <v>377</v>
      </c>
      <c r="AU387" s="22">
        <v>-4.8571799999999998E-2</v>
      </c>
      <c r="AV387">
        <f t="shared" si="68"/>
        <v>18.581851851851848</v>
      </c>
      <c r="AW387">
        <f t="shared" si="69"/>
        <v>-0.89881160681481465</v>
      </c>
      <c r="AX387" s="9"/>
      <c r="AY387" s="22">
        <v>1.7984</v>
      </c>
      <c r="AZ387" s="22">
        <v>31.859400000000001</v>
      </c>
      <c r="BA387" s="22">
        <v>2.35535E-3</v>
      </c>
      <c r="BB387" s="22">
        <v>377</v>
      </c>
      <c r="BC387" s="22">
        <v>1.79779</v>
      </c>
      <c r="BD387">
        <f t="shared" si="70"/>
        <v>-2.9078395061728397</v>
      </c>
      <c r="BE387">
        <f t="shared" si="71"/>
        <v>-5.2294585679012346</v>
      </c>
    </row>
    <row r="388" spans="6:57">
      <c r="F388" s="9"/>
      <c r="G388" s="22">
        <v>-5.3405800000000003E-2</v>
      </c>
      <c r="H388" s="22">
        <v>9.0011600000000005</v>
      </c>
      <c r="I388" s="22">
        <v>-1.49689E-2</v>
      </c>
      <c r="J388" s="22">
        <v>378</v>
      </c>
      <c r="K388" s="22">
        <v>-5.3772E-2</v>
      </c>
      <c r="L388">
        <f t="shared" si="60"/>
        <v>18.480123456790125</v>
      </c>
      <c r="M388">
        <f t="shared" si="61"/>
        <v>-0.98694577730864208</v>
      </c>
      <c r="N388" s="9"/>
      <c r="O388" s="22">
        <v>1.8034399999999999</v>
      </c>
      <c r="P388" s="22">
        <v>12.921099999999999</v>
      </c>
      <c r="Q388" s="22">
        <v>1.9314600000000001E-3</v>
      </c>
      <c r="R388" s="22">
        <v>378</v>
      </c>
      <c r="S388" s="22">
        <v>1.80237</v>
      </c>
      <c r="T388">
        <f t="shared" si="62"/>
        <v>-2.3845185185185183</v>
      </c>
      <c r="U388">
        <f t="shared" si="63"/>
        <v>-4.300336077037036</v>
      </c>
      <c r="X388" s="9"/>
      <c r="Y388" s="22">
        <v>-5.3405800000000003E-2</v>
      </c>
      <c r="Z388" s="22">
        <v>18.4664</v>
      </c>
      <c r="AA388" s="22">
        <v>-1.5029900000000001E-2</v>
      </c>
      <c r="AB388" s="22">
        <v>378</v>
      </c>
      <c r="AC388" s="22">
        <v>-5.40466E-2</v>
      </c>
      <c r="AD388">
        <f t="shared" si="64"/>
        <v>18.555432098765429</v>
      </c>
      <c r="AE388">
        <f t="shared" si="65"/>
        <v>-0.99096769558024678</v>
      </c>
      <c r="AF388" s="9"/>
      <c r="AG388" s="22">
        <v>1.8034399999999999</v>
      </c>
      <c r="AH388" s="22">
        <v>22.386299999999999</v>
      </c>
      <c r="AI388" s="22">
        <v>2.9870600000000001E-3</v>
      </c>
      <c r="AJ388" s="22">
        <v>378</v>
      </c>
      <c r="AK388" s="22">
        <v>1.80328</v>
      </c>
      <c r="AL388">
        <f t="shared" si="66"/>
        <v>-3.6877283950617286</v>
      </c>
      <c r="AM388">
        <f t="shared" si="67"/>
        <v>-6.6505968967901232</v>
      </c>
      <c r="AP388" s="9"/>
      <c r="AQ388" s="22">
        <v>-5.3405800000000003E-2</v>
      </c>
      <c r="AR388" s="22">
        <v>27.9496</v>
      </c>
      <c r="AS388" s="22">
        <v>-1.50574E-2</v>
      </c>
      <c r="AT388" s="22">
        <v>378</v>
      </c>
      <c r="AU388" s="22">
        <v>-5.3619399999999998E-2</v>
      </c>
      <c r="AV388">
        <f t="shared" si="68"/>
        <v>18.589382716049382</v>
      </c>
      <c r="AW388">
        <f t="shared" si="69"/>
        <v>-0.99278085545679018</v>
      </c>
      <c r="AX388" s="9"/>
      <c r="AY388" s="22">
        <v>1.8034399999999999</v>
      </c>
      <c r="AZ388" s="22">
        <v>31.869499999999999</v>
      </c>
      <c r="BA388" s="22">
        <v>3.8354499999999998E-3</v>
      </c>
      <c r="BB388" s="22">
        <v>378</v>
      </c>
      <c r="BC388" s="22">
        <v>1.80237</v>
      </c>
      <c r="BD388">
        <f t="shared" si="70"/>
        <v>-4.7351234567901228</v>
      </c>
      <c r="BE388">
        <f t="shared" si="71"/>
        <v>-8.539511046913578</v>
      </c>
    </row>
    <row r="389" spans="6:57">
      <c r="F389" s="9"/>
      <c r="G389" s="22">
        <v>-5.8441199999999999E-2</v>
      </c>
      <c r="H389" s="22">
        <v>9.0112299999999994</v>
      </c>
      <c r="I389" s="22">
        <v>-1.4975E-2</v>
      </c>
      <c r="J389" s="22">
        <v>379</v>
      </c>
      <c r="K389" s="22">
        <v>-5.8990500000000001E-2</v>
      </c>
      <c r="L389">
        <f t="shared" si="60"/>
        <v>18.487654320987652</v>
      </c>
      <c r="M389">
        <f t="shared" si="61"/>
        <v>-1.0804407037037036</v>
      </c>
      <c r="N389" s="9"/>
      <c r="O389" s="22">
        <v>1.80847</v>
      </c>
      <c r="P389" s="22">
        <v>12.931100000000001</v>
      </c>
      <c r="Q389" s="22">
        <v>3.42377E-3</v>
      </c>
      <c r="R389" s="22">
        <v>379</v>
      </c>
      <c r="S389" s="22">
        <v>1.8075600000000001</v>
      </c>
      <c r="T389">
        <f t="shared" si="62"/>
        <v>-4.226876543209876</v>
      </c>
      <c r="U389">
        <f t="shared" si="63"/>
        <v>-7.6441794220987642</v>
      </c>
      <c r="X389" s="9"/>
      <c r="Y389" s="22">
        <v>-5.8441199999999999E-2</v>
      </c>
      <c r="Z389" s="22">
        <v>18.476500000000001</v>
      </c>
      <c r="AA389" s="22">
        <v>-1.5032999999999999E-2</v>
      </c>
      <c r="AB389" s="22">
        <v>379</v>
      </c>
      <c r="AC389" s="22">
        <v>-5.8898899999999997E-2</v>
      </c>
      <c r="AD389">
        <f t="shared" si="64"/>
        <v>18.559259259259257</v>
      </c>
      <c r="AE389">
        <f t="shared" si="65"/>
        <v>-1.084625382222222</v>
      </c>
      <c r="AF389" s="9"/>
      <c r="AG389" s="22">
        <v>1.80847</v>
      </c>
      <c r="AH389" s="22">
        <v>22.3964</v>
      </c>
      <c r="AI389" s="22">
        <v>4.5782499999999999E-3</v>
      </c>
      <c r="AJ389" s="22">
        <v>379</v>
      </c>
      <c r="AK389" s="22">
        <v>1.80725</v>
      </c>
      <c r="AL389">
        <f t="shared" si="66"/>
        <v>-5.6521604938271599</v>
      </c>
      <c r="AM389">
        <f t="shared" si="67"/>
        <v>-10.221762688271603</v>
      </c>
      <c r="AP389" s="9"/>
      <c r="AQ389" s="22">
        <v>-5.8441199999999999E-2</v>
      </c>
      <c r="AR389" s="22">
        <v>27.959700000000002</v>
      </c>
      <c r="AS389" s="22">
        <v>-1.50574E-2</v>
      </c>
      <c r="AT389" s="22">
        <v>379</v>
      </c>
      <c r="AU389" s="22">
        <v>-5.8746300000000001E-2</v>
      </c>
      <c r="AV389">
        <f t="shared" si="68"/>
        <v>18.589382716049382</v>
      </c>
      <c r="AW389">
        <f t="shared" si="69"/>
        <v>-1.0863858331851852</v>
      </c>
      <c r="AX389" s="9"/>
      <c r="AY389" s="22">
        <v>1.80847</v>
      </c>
      <c r="AZ389" s="22">
        <v>31.8796</v>
      </c>
      <c r="BA389" s="22">
        <v>5.5938699999999999E-3</v>
      </c>
      <c r="BB389" s="22">
        <v>379</v>
      </c>
      <c r="BC389" s="22">
        <v>1.8075600000000001</v>
      </c>
      <c r="BD389">
        <f t="shared" si="70"/>
        <v>-6.9060123456790121</v>
      </c>
      <c r="BE389">
        <f t="shared" si="71"/>
        <v>-12.489316146790124</v>
      </c>
    </row>
    <row r="390" spans="6:57">
      <c r="F390" s="9"/>
      <c r="G390" s="22">
        <v>-6.3476599999999994E-2</v>
      </c>
      <c r="H390" s="22">
        <v>9.0213000000000001</v>
      </c>
      <c r="I390" s="22">
        <v>-1.4981100000000001E-2</v>
      </c>
      <c r="J390" s="22">
        <v>380</v>
      </c>
      <c r="K390" s="22">
        <v>-6.3964800000000002E-2</v>
      </c>
      <c r="L390">
        <f t="shared" si="60"/>
        <v>18.495185185185186</v>
      </c>
      <c r="M390">
        <f t="shared" si="61"/>
        <v>-1.1740114719259258</v>
      </c>
      <c r="N390" s="9"/>
      <c r="O390" s="22">
        <v>1.81351</v>
      </c>
      <c r="P390" s="22">
        <v>12.9412</v>
      </c>
      <c r="Q390" s="22">
        <v>5.0964399999999998E-3</v>
      </c>
      <c r="R390" s="22">
        <v>380</v>
      </c>
      <c r="S390" s="22">
        <v>1.8130500000000001</v>
      </c>
      <c r="T390">
        <f t="shared" si="62"/>
        <v>-6.2919012345679004</v>
      </c>
      <c r="U390">
        <f t="shared" si="63"/>
        <v>-11.410425807901232</v>
      </c>
      <c r="X390" s="9"/>
      <c r="Y390" s="22">
        <v>-6.3476599999999994E-2</v>
      </c>
      <c r="Z390" s="22">
        <v>18.486499999999999</v>
      </c>
      <c r="AA390" s="22">
        <v>-1.50391E-2</v>
      </c>
      <c r="AB390" s="22">
        <v>380</v>
      </c>
      <c r="AC390" s="22">
        <v>-6.4025899999999997E-2</v>
      </c>
      <c r="AD390">
        <f t="shared" si="64"/>
        <v>18.566790123456791</v>
      </c>
      <c r="AE390">
        <f t="shared" si="65"/>
        <v>-1.1785567099506171</v>
      </c>
      <c r="AF390" s="9"/>
      <c r="AG390" s="22">
        <v>1.81351</v>
      </c>
      <c r="AH390" s="22">
        <v>22.406500000000001</v>
      </c>
      <c r="AI390" s="22">
        <v>6.4392099999999999E-3</v>
      </c>
      <c r="AJ390" s="22">
        <v>380</v>
      </c>
      <c r="AK390" s="22">
        <v>1.81274</v>
      </c>
      <c r="AL390">
        <f t="shared" si="66"/>
        <v>-7.9496419753086416</v>
      </c>
      <c r="AM390">
        <f t="shared" si="67"/>
        <v>-14.416755218641974</v>
      </c>
      <c r="AP390" s="9"/>
      <c r="AQ390" s="22">
        <v>-6.3476599999999994E-2</v>
      </c>
      <c r="AR390" s="22">
        <v>27.969799999999999</v>
      </c>
      <c r="AS390" s="22">
        <v>-1.50604E-2</v>
      </c>
      <c r="AT390" s="22">
        <v>380</v>
      </c>
      <c r="AU390" s="22">
        <v>-6.3720700000000005E-2</v>
      </c>
      <c r="AV390">
        <f t="shared" si="68"/>
        <v>18.593086419753085</v>
      </c>
      <c r="AW390">
        <f t="shared" si="69"/>
        <v>-1.1802259094320986</v>
      </c>
      <c r="AX390" s="9"/>
      <c r="AY390" s="22">
        <v>1.81351</v>
      </c>
      <c r="AZ390" s="22">
        <v>31.889700000000001</v>
      </c>
      <c r="BA390" s="22">
        <v>7.5134299999999998E-3</v>
      </c>
      <c r="BB390" s="22">
        <v>380</v>
      </c>
      <c r="BC390" s="22">
        <v>1.8124400000000001</v>
      </c>
      <c r="BD390">
        <f t="shared" si="70"/>
        <v>-9.2758395061728383</v>
      </c>
      <c r="BE390">
        <f t="shared" si="71"/>
        <v>-16.821827702839503</v>
      </c>
    </row>
    <row r="391" spans="6:57">
      <c r="F391" s="9"/>
      <c r="G391" s="22">
        <v>-6.8512000000000003E-2</v>
      </c>
      <c r="H391" s="22">
        <v>9.0313800000000004</v>
      </c>
      <c r="I391" s="22">
        <v>-1.4981100000000001E-2</v>
      </c>
      <c r="J391" s="22">
        <v>381</v>
      </c>
      <c r="K391" s="22">
        <v>-6.8969699999999995E-2</v>
      </c>
      <c r="L391">
        <f t="shared" si="60"/>
        <v>18.495185185185186</v>
      </c>
      <c r="M391">
        <f t="shared" si="61"/>
        <v>-1.2671421274074075</v>
      </c>
      <c r="N391" s="9"/>
      <c r="O391" s="22">
        <v>1.81854</v>
      </c>
      <c r="P391" s="22">
        <v>12.9513</v>
      </c>
      <c r="Q391" s="22">
        <v>7.02515E-3</v>
      </c>
      <c r="R391" s="22">
        <v>381</v>
      </c>
      <c r="S391" s="22">
        <v>1.8176300000000001</v>
      </c>
      <c r="T391">
        <f t="shared" si="62"/>
        <v>-8.6730246913580249</v>
      </c>
      <c r="U391">
        <f t="shared" si="63"/>
        <v>-15.772242322222223</v>
      </c>
      <c r="X391" s="9"/>
      <c r="Y391" s="22">
        <v>-6.8512000000000003E-2</v>
      </c>
      <c r="Z391" s="22">
        <v>18.496600000000001</v>
      </c>
      <c r="AA391" s="22">
        <v>-1.5042099999999999E-2</v>
      </c>
      <c r="AB391" s="22">
        <v>381</v>
      </c>
      <c r="AC391" s="22">
        <v>-6.9030800000000003E-2</v>
      </c>
      <c r="AD391">
        <f t="shared" si="64"/>
        <v>18.570493827160494</v>
      </c>
      <c r="AE391">
        <f t="shared" si="65"/>
        <v>-1.2723016730864198</v>
      </c>
      <c r="AF391" s="9"/>
      <c r="AG391" s="22">
        <v>1.81854</v>
      </c>
      <c r="AH391" s="22">
        <v>22.416499999999999</v>
      </c>
      <c r="AI391" s="22">
        <v>8.4655800000000003E-3</v>
      </c>
      <c r="AJ391" s="22">
        <v>381</v>
      </c>
      <c r="AK391" s="22">
        <v>1.8176300000000001</v>
      </c>
      <c r="AL391">
        <f t="shared" si="66"/>
        <v>-10.451333333333332</v>
      </c>
      <c r="AM391">
        <f t="shared" si="67"/>
        <v>-19.006167720000001</v>
      </c>
      <c r="AP391" s="9"/>
      <c r="AQ391" s="22">
        <v>-6.8512000000000003E-2</v>
      </c>
      <c r="AR391" s="22">
        <v>27.979800000000001</v>
      </c>
      <c r="AS391" s="22">
        <v>-1.5063500000000001E-2</v>
      </c>
      <c r="AT391" s="22">
        <v>381</v>
      </c>
      <c r="AU391" s="22">
        <v>-6.9061300000000006E-2</v>
      </c>
      <c r="AV391">
        <f t="shared" si="68"/>
        <v>18.596913580246913</v>
      </c>
      <c r="AW391">
        <f t="shared" si="69"/>
        <v>-1.2741117432098765</v>
      </c>
      <c r="AX391" s="9"/>
      <c r="AY391" s="22">
        <v>1.81854</v>
      </c>
      <c r="AZ391" s="22">
        <v>31.899699999999999</v>
      </c>
      <c r="BA391" s="22">
        <v>9.7473100000000003E-3</v>
      </c>
      <c r="BB391" s="22">
        <v>381</v>
      </c>
      <c r="BC391" s="22">
        <v>1.81793</v>
      </c>
      <c r="BD391">
        <f t="shared" si="70"/>
        <v>-12.033716049382717</v>
      </c>
      <c r="BE391">
        <f t="shared" si="71"/>
        <v>-21.883793984444445</v>
      </c>
    </row>
    <row r="392" spans="6:57">
      <c r="F392" s="9"/>
      <c r="G392" s="22">
        <v>-7.3547399999999999E-2</v>
      </c>
      <c r="H392" s="22">
        <v>9.0414499999999993</v>
      </c>
      <c r="I392" s="22">
        <v>-1.4987199999999999E-2</v>
      </c>
      <c r="J392" s="22">
        <v>382</v>
      </c>
      <c r="K392" s="22">
        <v>-7.3944099999999999E-2</v>
      </c>
      <c r="L392">
        <f t="shared" si="60"/>
        <v>18.502716049382713</v>
      </c>
      <c r="M392">
        <f t="shared" si="61"/>
        <v>-1.3608266583703701</v>
      </c>
      <c r="N392" s="9"/>
      <c r="O392" s="22">
        <v>1.82358</v>
      </c>
      <c r="P392" s="22">
        <v>12.9613</v>
      </c>
      <c r="Q392" s="22">
        <v>9.0789800000000004E-3</v>
      </c>
      <c r="R392" s="22">
        <v>382</v>
      </c>
      <c r="S392" s="22">
        <v>1.82281</v>
      </c>
      <c r="T392">
        <f t="shared" si="62"/>
        <v>-11.208617283950616</v>
      </c>
      <c r="U392">
        <f t="shared" si="63"/>
        <v>-20.439810306666665</v>
      </c>
      <c r="X392" s="9"/>
      <c r="Y392" s="22">
        <v>-7.3547399999999999E-2</v>
      </c>
      <c r="Z392" s="22">
        <v>18.506699999999999</v>
      </c>
      <c r="AA392" s="22">
        <v>-1.50452E-2</v>
      </c>
      <c r="AB392" s="22">
        <v>382</v>
      </c>
      <c r="AC392" s="22">
        <v>-7.4005100000000004E-2</v>
      </c>
      <c r="AD392">
        <f t="shared" si="64"/>
        <v>18.574320987654321</v>
      </c>
      <c r="AE392">
        <f t="shared" si="65"/>
        <v>-1.3660930154074074</v>
      </c>
      <c r="AF392" s="9"/>
      <c r="AG392" s="22">
        <v>1.82358</v>
      </c>
      <c r="AH392" s="22">
        <v>22.426600000000001</v>
      </c>
      <c r="AI392" s="22">
        <v>1.0882599999999999E-2</v>
      </c>
      <c r="AJ392" s="22">
        <v>382</v>
      </c>
      <c r="AK392" s="22">
        <v>1.8219000000000001</v>
      </c>
      <c r="AL392">
        <f t="shared" si="66"/>
        <v>-13.435308641975306</v>
      </c>
      <c r="AM392">
        <f t="shared" si="67"/>
        <v>-24.500360133333327</v>
      </c>
      <c r="AP392" s="9"/>
      <c r="AQ392" s="22">
        <v>-7.3547399999999999E-2</v>
      </c>
      <c r="AR392" s="22">
        <v>27.989899999999999</v>
      </c>
      <c r="AS392" s="22">
        <v>-1.50604E-2</v>
      </c>
      <c r="AT392" s="22">
        <v>382</v>
      </c>
      <c r="AU392" s="22">
        <v>-7.3944099999999999E-2</v>
      </c>
      <c r="AV392">
        <f t="shared" si="68"/>
        <v>18.593086419753085</v>
      </c>
      <c r="AW392">
        <f t="shared" si="69"/>
        <v>-1.3674731641481481</v>
      </c>
      <c r="AX392" s="9"/>
      <c r="AY392" s="22">
        <v>1.82358</v>
      </c>
      <c r="AZ392" s="22">
        <v>31.909800000000001</v>
      </c>
      <c r="BA392" s="22">
        <v>1.22284E-2</v>
      </c>
      <c r="BB392" s="22">
        <v>382</v>
      </c>
      <c r="BC392" s="22">
        <v>1.82281</v>
      </c>
      <c r="BD392">
        <f t="shared" si="70"/>
        <v>-15.096790123456788</v>
      </c>
      <c r="BE392">
        <f t="shared" si="71"/>
        <v>-27.530204533333329</v>
      </c>
    </row>
    <row r="393" spans="6:57">
      <c r="F393" s="9"/>
      <c r="G393" s="22">
        <v>-7.8582799999999994E-2</v>
      </c>
      <c r="H393" s="22">
        <v>9.05152</v>
      </c>
      <c r="I393" s="22">
        <v>-1.4996300000000001E-2</v>
      </c>
      <c r="J393" s="22">
        <v>383</v>
      </c>
      <c r="K393" s="22">
        <v>-7.9009999999999997E-2</v>
      </c>
      <c r="L393">
        <f t="shared" si="60"/>
        <v>18.51395061728395</v>
      </c>
      <c r="M393">
        <f t="shared" si="61"/>
        <v>-1.454878078567901</v>
      </c>
      <c r="N393" s="9"/>
      <c r="O393" s="22">
        <v>1.8286100000000001</v>
      </c>
      <c r="P393" s="22">
        <v>12.971399999999999</v>
      </c>
      <c r="Q393" s="22">
        <v>1.1550899999999999E-2</v>
      </c>
      <c r="R393" s="22">
        <v>383</v>
      </c>
      <c r="S393" s="22">
        <v>1.8280000000000001</v>
      </c>
      <c r="T393">
        <f t="shared" si="62"/>
        <v>-14.260370370370369</v>
      </c>
      <c r="U393">
        <f t="shared" si="63"/>
        <v>-26.076655862962962</v>
      </c>
      <c r="X393" s="9"/>
      <c r="Y393" s="22">
        <v>-7.8582799999999994E-2</v>
      </c>
      <c r="Z393" s="22">
        <v>18.5167</v>
      </c>
      <c r="AA393" s="22">
        <v>-1.5048199999999999E-2</v>
      </c>
      <c r="AB393" s="22">
        <v>383</v>
      </c>
      <c r="AC393" s="22">
        <v>-7.87659E-2</v>
      </c>
      <c r="AD393">
        <f t="shared" si="64"/>
        <v>18.578024691358021</v>
      </c>
      <c r="AE393">
        <f t="shared" si="65"/>
        <v>-1.459913198716049</v>
      </c>
      <c r="AF393" s="9"/>
      <c r="AG393" s="22">
        <v>1.8286100000000001</v>
      </c>
      <c r="AH393" s="22">
        <v>22.436699999999998</v>
      </c>
      <c r="AI393" s="22">
        <v>1.34796E-2</v>
      </c>
      <c r="AJ393" s="22">
        <v>383</v>
      </c>
      <c r="AK393" s="22">
        <v>1.8273900000000001</v>
      </c>
      <c r="AL393">
        <f t="shared" si="66"/>
        <v>-16.641481481481478</v>
      </c>
      <c r="AM393">
        <f t="shared" si="67"/>
        <v>-30.430779451851844</v>
      </c>
      <c r="AP393" s="9"/>
      <c r="AQ393" s="22">
        <v>-7.8582799999999994E-2</v>
      </c>
      <c r="AR393" s="22">
        <v>28</v>
      </c>
      <c r="AS393" s="22">
        <v>-1.5063500000000001E-2</v>
      </c>
      <c r="AT393" s="22">
        <v>383</v>
      </c>
      <c r="AU393" s="22">
        <v>-7.9193100000000002E-2</v>
      </c>
      <c r="AV393">
        <f t="shared" si="68"/>
        <v>18.596913580246913</v>
      </c>
      <c r="AW393">
        <f t="shared" si="69"/>
        <v>-1.4613975404938269</v>
      </c>
      <c r="AX393" s="9"/>
      <c r="AY393" s="22">
        <v>1.8286100000000001</v>
      </c>
      <c r="AZ393" s="22">
        <v>31.919899999999998</v>
      </c>
      <c r="BA393" s="22">
        <v>1.4621E-2</v>
      </c>
      <c r="BB393" s="22">
        <v>383</v>
      </c>
      <c r="BC393" s="22">
        <v>1.8277000000000001</v>
      </c>
      <c r="BD393">
        <f t="shared" si="70"/>
        <v>-18.050617283950618</v>
      </c>
      <c r="BE393">
        <f t="shared" si="71"/>
        <v>-33.007539271604941</v>
      </c>
    </row>
    <row r="394" spans="6:57">
      <c r="F394" s="9"/>
      <c r="G394" s="22">
        <v>-8.3618200000000004E-2</v>
      </c>
      <c r="H394" s="22">
        <v>9.0615900000000007</v>
      </c>
      <c r="I394" s="22">
        <v>-1.50055E-2</v>
      </c>
      <c r="J394" s="22">
        <v>384</v>
      </c>
      <c r="K394" s="22">
        <v>-8.4014900000000003E-2</v>
      </c>
      <c r="L394">
        <f t="shared" si="60"/>
        <v>18.525308641975307</v>
      </c>
      <c r="M394">
        <f t="shared" si="61"/>
        <v>-1.5490529630864198</v>
      </c>
      <c r="N394" s="9"/>
      <c r="O394" s="22">
        <v>1.83365</v>
      </c>
      <c r="P394" s="22">
        <v>12.9815</v>
      </c>
      <c r="Q394" s="22">
        <v>1.4291399999999999E-2</v>
      </c>
      <c r="R394" s="22">
        <v>384</v>
      </c>
      <c r="S394" s="22">
        <v>1.8331900000000001</v>
      </c>
      <c r="T394">
        <f t="shared" si="62"/>
        <v>-17.643703703703704</v>
      </c>
      <c r="U394">
        <f t="shared" si="63"/>
        <v>-32.352377296296297</v>
      </c>
      <c r="X394" s="9"/>
      <c r="Y394" s="22">
        <v>-8.3618200000000004E-2</v>
      </c>
      <c r="Z394" s="22">
        <v>18.526800000000001</v>
      </c>
      <c r="AA394" s="22">
        <v>-1.50513E-2</v>
      </c>
      <c r="AB394" s="22">
        <v>384</v>
      </c>
      <c r="AC394" s="22">
        <v>-8.4137000000000003E-2</v>
      </c>
      <c r="AD394">
        <f t="shared" si="64"/>
        <v>18.581851851851848</v>
      </c>
      <c r="AE394">
        <f t="shared" si="65"/>
        <v>-1.5537810045185183</v>
      </c>
      <c r="AF394" s="9"/>
      <c r="AG394" s="22">
        <v>1.83365</v>
      </c>
      <c r="AH394" s="22">
        <v>22.4467</v>
      </c>
      <c r="AI394" s="22">
        <v>1.65924E-2</v>
      </c>
      <c r="AJ394" s="22">
        <v>384</v>
      </c>
      <c r="AK394" s="22">
        <v>1.8331900000000001</v>
      </c>
      <c r="AL394">
        <f t="shared" si="66"/>
        <v>-20.484444444444446</v>
      </c>
      <c r="AM394">
        <f t="shared" si="67"/>
        <v>-37.561301555555559</v>
      </c>
      <c r="AP394" s="9"/>
      <c r="AQ394" s="22">
        <v>-8.3618200000000004E-2</v>
      </c>
      <c r="AR394" s="22">
        <v>28.01</v>
      </c>
      <c r="AS394" s="22">
        <v>-1.50665E-2</v>
      </c>
      <c r="AT394" s="22">
        <v>384</v>
      </c>
      <c r="AU394" s="22">
        <v>-8.4075899999999995E-2</v>
      </c>
      <c r="AV394">
        <f t="shared" si="68"/>
        <v>18.600617283950616</v>
      </c>
      <c r="AW394">
        <f t="shared" si="69"/>
        <v>-1.5553501361728395</v>
      </c>
      <c r="AX394" s="9"/>
      <c r="AY394" s="22">
        <v>1.83365</v>
      </c>
      <c r="AZ394" s="22">
        <v>31.9299</v>
      </c>
      <c r="BA394" s="22">
        <v>1.7864999999999999E-2</v>
      </c>
      <c r="BB394" s="22">
        <v>384</v>
      </c>
      <c r="BC394" s="22">
        <v>1.8328899999999999</v>
      </c>
      <c r="BD394">
        <f t="shared" si="70"/>
        <v>-22.055555555555554</v>
      </c>
      <c r="BE394">
        <f t="shared" si="71"/>
        <v>-40.442169444444438</v>
      </c>
    </row>
    <row r="395" spans="6:57">
      <c r="F395" s="9"/>
      <c r="G395" s="22">
        <v>-8.8653599999999999E-2</v>
      </c>
      <c r="H395" s="22">
        <v>9.0716599999999996</v>
      </c>
      <c r="I395" s="22">
        <v>-1.50116E-2</v>
      </c>
      <c r="J395" s="22">
        <v>385</v>
      </c>
      <c r="K395" s="22">
        <v>-8.9050299999999999E-2</v>
      </c>
      <c r="L395">
        <f t="shared" si="60"/>
        <v>18.532839506172838</v>
      </c>
      <c r="M395">
        <f t="shared" si="61"/>
        <v>-1.6430029404444444</v>
      </c>
      <c r="N395" s="9"/>
      <c r="O395" s="22">
        <v>1.8386800000000001</v>
      </c>
      <c r="P395" s="22">
        <v>12.9916</v>
      </c>
      <c r="Q395" s="22">
        <v>1.75201E-2</v>
      </c>
      <c r="R395" s="22">
        <v>385</v>
      </c>
      <c r="S395" s="22">
        <v>1.8380700000000001</v>
      </c>
      <c r="T395">
        <f t="shared" si="62"/>
        <v>-21.62975308641975</v>
      </c>
      <c r="U395">
        <f t="shared" si="63"/>
        <v>-39.770194404938266</v>
      </c>
      <c r="X395" s="9"/>
      <c r="Y395" s="22">
        <v>-8.8653599999999999E-2</v>
      </c>
      <c r="Z395" s="22">
        <v>18.536899999999999</v>
      </c>
      <c r="AA395" s="22">
        <v>-1.50513E-2</v>
      </c>
      <c r="AB395" s="22">
        <v>385</v>
      </c>
      <c r="AC395" s="22">
        <v>-8.9111300000000004E-2</v>
      </c>
      <c r="AD395">
        <f t="shared" si="64"/>
        <v>18.581851851851848</v>
      </c>
      <c r="AE395">
        <f t="shared" si="65"/>
        <v>-1.6473480613333329</v>
      </c>
      <c r="AF395" s="9"/>
      <c r="AG395" s="22">
        <v>1.8386800000000001</v>
      </c>
      <c r="AH395" s="22">
        <v>22.456800000000001</v>
      </c>
      <c r="AI395" s="22">
        <v>1.9986E-2</v>
      </c>
      <c r="AJ395" s="22">
        <v>385</v>
      </c>
      <c r="AK395" s="22">
        <v>1.8380700000000001</v>
      </c>
      <c r="AL395">
        <f t="shared" si="66"/>
        <v>-24.674074074074074</v>
      </c>
      <c r="AM395">
        <f t="shared" si="67"/>
        <v>-45.367726518518523</v>
      </c>
      <c r="AP395" s="9"/>
      <c r="AQ395" s="22">
        <v>-8.8653599999999999E-2</v>
      </c>
      <c r="AR395" s="22">
        <v>28.020099999999999</v>
      </c>
      <c r="AS395" s="22">
        <v>-1.50726E-2</v>
      </c>
      <c r="AT395" s="22">
        <v>385</v>
      </c>
      <c r="AU395" s="22">
        <v>-8.9050299999999999E-2</v>
      </c>
      <c r="AV395">
        <f t="shared" si="68"/>
        <v>18.60814814814815</v>
      </c>
      <c r="AW395">
        <f t="shared" si="69"/>
        <v>-1.6496793226666668</v>
      </c>
      <c r="AX395" s="9"/>
      <c r="AY395" s="22">
        <v>1.8386800000000001</v>
      </c>
      <c r="AZ395" s="22">
        <v>31.94</v>
      </c>
      <c r="BA395" s="22">
        <v>2.1560699999999999E-2</v>
      </c>
      <c r="BB395" s="22">
        <v>385</v>
      </c>
      <c r="BC395" s="22">
        <v>1.8377699999999999</v>
      </c>
      <c r="BD395">
        <f t="shared" si="70"/>
        <v>-26.618148148148144</v>
      </c>
      <c r="BE395">
        <f t="shared" si="71"/>
        <v>-48.942256637037033</v>
      </c>
    </row>
    <row r="396" spans="6:57">
      <c r="F396" s="9"/>
      <c r="G396" s="22">
        <v>-9.3688999999999995E-2</v>
      </c>
      <c r="H396" s="22">
        <v>9.0817300000000003</v>
      </c>
      <c r="I396" s="22">
        <v>-1.5014599999999999E-2</v>
      </c>
      <c r="J396" s="22">
        <v>386</v>
      </c>
      <c r="K396" s="22">
        <v>-9.3933100000000005E-2</v>
      </c>
      <c r="L396">
        <f t="shared" ref="L396:L398" si="72">-I396/$F$2*1000</f>
        <v>18.536543209876541</v>
      </c>
      <c r="M396">
        <f t="shared" ref="M396:M398" si="73">L396*G396</f>
        <v>-1.7366701967901232</v>
      </c>
      <c r="N396" s="9"/>
      <c r="O396" s="22">
        <v>1.84372</v>
      </c>
      <c r="P396" s="22">
        <v>13.0016</v>
      </c>
      <c r="Q396" s="22">
        <v>2.0950300000000002E-2</v>
      </c>
      <c r="R396" s="22">
        <v>386</v>
      </c>
      <c r="S396" s="22">
        <v>1.8429599999999999</v>
      </c>
      <c r="T396">
        <f t="shared" ref="T396:T398" si="74">-Q396/$F$2*1000</f>
        <v>-25.864567901234569</v>
      </c>
      <c r="U396">
        <f t="shared" ref="U396:U398" si="75">T396*O396</f>
        <v>-47.687021130864203</v>
      </c>
      <c r="X396" s="9"/>
      <c r="Y396" s="22">
        <v>-9.3688999999999995E-2</v>
      </c>
      <c r="Z396" s="22">
        <v>18.546900000000001</v>
      </c>
      <c r="AA396" s="22">
        <v>-1.50543E-2</v>
      </c>
      <c r="AB396" s="22">
        <v>386</v>
      </c>
      <c r="AC396" s="22">
        <v>-9.42688E-2</v>
      </c>
      <c r="AD396">
        <f t="shared" ref="AD396:AD398" si="76">-AA396/$F$2*1000</f>
        <v>18.585555555555555</v>
      </c>
      <c r="AE396">
        <f t="shared" ref="AE396:AE398" si="77">AD396*Y396</f>
        <v>-1.7412621144444442</v>
      </c>
      <c r="AF396" s="9"/>
      <c r="AG396" s="22">
        <v>1.84372</v>
      </c>
      <c r="AH396" s="22">
        <v>22.466899999999999</v>
      </c>
      <c r="AI396" s="22">
        <v>2.5592E-2</v>
      </c>
      <c r="AJ396" s="22">
        <v>386</v>
      </c>
      <c r="AK396" s="22">
        <v>1.8429599999999999</v>
      </c>
      <c r="AL396">
        <f t="shared" ref="AL396:AL398" si="78">-AI396/$F$2*1000</f>
        <v>-31.595061728395059</v>
      </c>
      <c r="AM396">
        <f t="shared" ref="AM396:AM398" si="79">AL396*AG396</f>
        <v>-58.252447209876543</v>
      </c>
      <c r="AP396" s="9"/>
      <c r="AQ396" s="22">
        <v>-9.3688999999999995E-2</v>
      </c>
      <c r="AR396" s="22">
        <v>28.030200000000001</v>
      </c>
      <c r="AS396" s="22">
        <v>-1.50787E-2</v>
      </c>
      <c r="AT396" s="22">
        <v>386</v>
      </c>
      <c r="AU396" s="22">
        <v>-9.4055200000000005E-2</v>
      </c>
      <c r="AV396">
        <f t="shared" ref="AV396:AV398" si="80">-AS396/$F$2*1000</f>
        <v>18.61567901234568</v>
      </c>
      <c r="AW396">
        <f t="shared" ref="AW396:AW398" si="81">AV396*AQ396</f>
        <v>-1.7440843509876542</v>
      </c>
      <c r="AX396" s="9"/>
      <c r="AY396" s="22">
        <v>1.84372</v>
      </c>
      <c r="AZ396" s="22">
        <v>31.950099999999999</v>
      </c>
      <c r="BA396" s="22">
        <v>2.5595099999999999E-2</v>
      </c>
      <c r="BB396" s="22">
        <v>386</v>
      </c>
      <c r="BC396" s="22">
        <v>1.8429599999999999</v>
      </c>
      <c r="BD396">
        <f t="shared" ref="BD396:BD398" si="82">-BA396/$F$2*1000</f>
        <v>-31.598888888888883</v>
      </c>
      <c r="BE396">
        <f t="shared" ref="BE396:BE398" si="83">BD396*AY396</f>
        <v>-58.25950342222221</v>
      </c>
    </row>
    <row r="397" spans="6:57">
      <c r="F397" s="9"/>
      <c r="G397" s="22">
        <v>-9.8724400000000004E-2</v>
      </c>
      <c r="H397" s="22">
        <v>9.0917999999999992</v>
      </c>
      <c r="I397" s="22">
        <v>-1.50177E-2</v>
      </c>
      <c r="J397" s="22">
        <v>387</v>
      </c>
      <c r="K397" s="22">
        <v>-9.9334699999999998E-2</v>
      </c>
      <c r="L397">
        <f t="shared" si="72"/>
        <v>18.540370370370372</v>
      </c>
      <c r="M397">
        <f t="shared" si="73"/>
        <v>-1.8303869405925928</v>
      </c>
      <c r="N397" s="9"/>
      <c r="O397" s="22">
        <v>1.8487499999999999</v>
      </c>
      <c r="P397" s="22">
        <v>13.011699999999999</v>
      </c>
      <c r="Q397" s="22">
        <v>2.5131199999999999E-2</v>
      </c>
      <c r="R397" s="22">
        <v>387</v>
      </c>
      <c r="S397" s="22">
        <v>1.8478399999999999</v>
      </c>
      <c r="T397">
        <f t="shared" si="74"/>
        <v>-31.02617283950617</v>
      </c>
      <c r="U397">
        <f t="shared" si="75"/>
        <v>-57.359637037037032</v>
      </c>
      <c r="X397" s="9"/>
      <c r="Y397" s="22">
        <v>-9.8724400000000004E-2</v>
      </c>
      <c r="Z397" s="22">
        <v>18.556999999999999</v>
      </c>
      <c r="AA397" s="22">
        <v>-1.50604E-2</v>
      </c>
      <c r="AB397" s="22">
        <v>387</v>
      </c>
      <c r="AC397" s="22">
        <v>-9.9273700000000006E-2</v>
      </c>
      <c r="AD397">
        <f t="shared" si="76"/>
        <v>18.593086419753085</v>
      </c>
      <c r="AE397">
        <f t="shared" si="77"/>
        <v>-1.8355913009382716</v>
      </c>
      <c r="AF397" s="9"/>
      <c r="AG397" s="22">
        <v>1.8487499999999999</v>
      </c>
      <c r="AH397" s="22">
        <v>22.477</v>
      </c>
      <c r="AI397" s="22">
        <v>2.8219600000000001E-2</v>
      </c>
      <c r="AJ397" s="22">
        <v>387</v>
      </c>
      <c r="AK397" s="22">
        <v>1.8481399999999999</v>
      </c>
      <c r="AL397">
        <f t="shared" si="78"/>
        <v>-34.839012345679009</v>
      </c>
      <c r="AM397">
        <f t="shared" si="79"/>
        <v>-64.408624074074069</v>
      </c>
      <c r="AP397" s="9"/>
      <c r="AQ397" s="22">
        <v>-9.8724400000000004E-2</v>
      </c>
      <c r="AR397" s="22">
        <v>28.040299999999998</v>
      </c>
      <c r="AS397" s="22">
        <v>-1.5081799999999999E-2</v>
      </c>
      <c r="AT397" s="22">
        <v>387</v>
      </c>
      <c r="AU397" s="22">
        <v>-9.9243200000000004E-2</v>
      </c>
      <c r="AV397">
        <f t="shared" si="80"/>
        <v>18.619506172839504</v>
      </c>
      <c r="AW397">
        <f t="shared" si="81"/>
        <v>-1.8381995752098763</v>
      </c>
      <c r="AX397" s="9"/>
      <c r="AY397" s="22">
        <v>1.8487499999999999</v>
      </c>
      <c r="AZ397" s="22">
        <v>31.960100000000001</v>
      </c>
      <c r="BA397" s="22">
        <v>3.0413800000000001E-2</v>
      </c>
      <c r="BB397" s="22">
        <v>387</v>
      </c>
      <c r="BC397" s="22">
        <v>1.8469199999999999</v>
      </c>
      <c r="BD397">
        <f t="shared" si="82"/>
        <v>-37.547901234567902</v>
      </c>
      <c r="BE397">
        <f t="shared" si="83"/>
        <v>-69.416682407407407</v>
      </c>
    </row>
    <row r="398" spans="6:57">
      <c r="F398" s="9"/>
      <c r="G398" s="22">
        <v>-0.10376000000000001</v>
      </c>
      <c r="H398" s="22">
        <v>9.1018699999999999</v>
      </c>
      <c r="I398" s="22">
        <v>-1.50238E-2</v>
      </c>
      <c r="J398" s="22">
        <v>388</v>
      </c>
      <c r="K398" s="22">
        <v>-0.10409499999999999</v>
      </c>
      <c r="L398">
        <f t="shared" si="72"/>
        <v>18.547901234567902</v>
      </c>
      <c r="M398">
        <f t="shared" si="73"/>
        <v>-1.9245302320987656</v>
      </c>
      <c r="N398" s="9"/>
      <c r="O398" s="22">
        <v>1.85379</v>
      </c>
      <c r="P398" s="22">
        <v>13.021800000000001</v>
      </c>
      <c r="Q398" s="22">
        <v>2.9730199999999998E-2</v>
      </c>
      <c r="R398" s="22">
        <v>388</v>
      </c>
      <c r="S398" s="22">
        <v>1.8533299999999999</v>
      </c>
      <c r="T398">
        <f t="shared" si="74"/>
        <v>-36.703950617283944</v>
      </c>
      <c r="U398">
        <f t="shared" si="75"/>
        <v>-68.041416614814807</v>
      </c>
      <c r="X398" s="9"/>
      <c r="Y398" s="22">
        <v>-0.10376000000000001</v>
      </c>
      <c r="Z398" s="22">
        <v>18.5671</v>
      </c>
      <c r="AA398" s="22">
        <v>-1.5069600000000001E-2</v>
      </c>
      <c r="AB398" s="22">
        <v>388</v>
      </c>
      <c r="AC398" s="22">
        <v>-0.10421800000000001</v>
      </c>
      <c r="AD398">
        <f t="shared" si="76"/>
        <v>18.604444444444443</v>
      </c>
      <c r="AE398">
        <f t="shared" si="77"/>
        <v>-1.9303971555555555</v>
      </c>
      <c r="AF398" s="9"/>
      <c r="AG398" s="22">
        <v>1.85379</v>
      </c>
      <c r="AH398" s="22">
        <v>22.486999999999998</v>
      </c>
      <c r="AI398" s="22">
        <v>3.3215300000000003E-2</v>
      </c>
      <c r="AJ398" s="22">
        <v>388</v>
      </c>
      <c r="AK398" s="22">
        <v>1.85242</v>
      </c>
      <c r="AL398">
        <f t="shared" si="78"/>
        <v>-41.006543209876547</v>
      </c>
      <c r="AM398">
        <f t="shared" si="79"/>
        <v>-76.017519737037048</v>
      </c>
      <c r="AP398" s="9"/>
      <c r="AQ398" s="22">
        <v>-0.10376000000000001</v>
      </c>
      <c r="AR398" s="22">
        <v>28.0503</v>
      </c>
      <c r="AS398" s="22">
        <v>-1.50879E-2</v>
      </c>
      <c r="AT398" s="22">
        <v>388</v>
      </c>
      <c r="AU398" s="22">
        <v>-0.104034</v>
      </c>
      <c r="AV398">
        <f t="shared" si="80"/>
        <v>18.627037037037034</v>
      </c>
      <c r="AW398">
        <f t="shared" si="81"/>
        <v>-1.9327413629629628</v>
      </c>
      <c r="AX398" s="9"/>
      <c r="AY398" s="22">
        <v>1.85379</v>
      </c>
      <c r="AZ398" s="22">
        <v>31.970199999999998</v>
      </c>
      <c r="BA398" s="22">
        <v>3.5372899999999999E-2</v>
      </c>
      <c r="BB398" s="22">
        <v>388</v>
      </c>
      <c r="BC398" s="22">
        <v>1.85303</v>
      </c>
      <c r="BD398">
        <f t="shared" si="82"/>
        <v>-43.670246913580243</v>
      </c>
      <c r="BE398">
        <f t="shared" si="83"/>
        <v>-80.955467025925927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1.7989422828344781</v>
      </c>
      <c r="C3">
        <f ca="1">INDEX(INDIRECT(A3&amp;"!B11"):INDIRECT(A3&amp;"!B21"),MATCH(E3,INDIRECT(A3&amp;"!D11"):INDIRECT(A3&amp;"!D21"),0))</f>
        <v>17.54567901234568</v>
      </c>
      <c r="D3">
        <f ca="1">INDEX(INDIRECT(A3&amp;"!C11"):INDIRECT(A3&amp;"!C21"),MATCH(E3,INDIRECT(A3&amp;"!D11"):INDIRECT(A3&amp;"!D21"),0))</f>
        <v>0.78867866019234156</v>
      </c>
      <c r="E3">
        <f t="shared" ref="E3" ca="1" si="0">MAX(INDIRECT(A3&amp; "!D11"),INDIRECT(A3 &amp; "!D13"),INDIRECT(A3 &amp; "!D15"),INDIRECT(A3 &amp; "!D17"),INDIRECT(A3 &amp; "!D19"),INDIRECT(A3 &amp; "!D21"))</f>
        <v>24.893588120987658</v>
      </c>
      <c r="G3">
        <f ca="1">INDEX(INDIRECT(A3&amp;"!A12"):INDIRECT(A3&amp;"!A22"),MATCH(J3,INDIRECT(A3&amp;"!D12"):INDIRECT(A3&amp;"!D22"),0))</f>
        <v>1.7875802211191181</v>
      </c>
      <c r="H3">
        <f ca="1">INDEX(INDIRECT(A3&amp;"!B12"):INDIRECT(A3&amp;"!B22"),MATCH(J3,INDIRECT(A3&amp;"!D12"):INDIRECT(A3&amp;"!D22"),0))</f>
        <v>17.55379312706695</v>
      </c>
      <c r="I3">
        <f ca="1">INDEX(INDIRECT(A3&amp;"!C12"):INDIRECT(A3&amp;"!C22"),MATCH(J3,INDIRECT(A3&amp;"!D12"):INDIRECT(A3&amp;"!D22"),0))</f>
        <v>0.75945603964168285</v>
      </c>
      <c r="J3">
        <f t="shared" ref="J3" ca="1" si="1">MAX(INDIRECT(A3&amp; "!D12"),INDIRECT(A3 &amp; "!D14"),INDIRECT(A3 &amp; "!D16"),INDIRECT(A3 &amp; "!D18"),INDIRECT(A3 &amp; "!D20"),,INDIRECT(A3 &amp; "!D22"))</f>
        <v>23.830829353086418</v>
      </c>
      <c r="L3">
        <f ca="1">INDEX(INDIRECT(A3&amp;"!E11"):INDIRECT(A3&amp;"!E21"),MATCH(E3,INDIRECT(A3&amp;"!D11"):INDIRECT(A3&amp;"!D21"),0))</f>
        <v>4.2692068444935565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1.8147911701831463</v>
      </c>
      <c r="C4">
        <f ca="1">INDEX(INDIRECT(A4&amp;"!B11"):INDIRECT(A4&amp;"!B21"),MATCH(E4,INDIRECT(A4&amp;"!D11"):INDIRECT(A4&amp;"!D21"),0))</f>
        <v>19.14603394692752</v>
      </c>
      <c r="D4">
        <f ca="1">INDEX(INDIRECT(A4&amp;"!C11"):INDIRECT(A4&amp;"!C21"),MATCH(E4,INDIRECT(A4&amp;"!D11"):INDIRECT(A4&amp;"!D21"),0))</f>
        <v>0.74048359198522151</v>
      </c>
      <c r="E4">
        <f t="shared" ref="E4" ca="1" si="2">MAX(INDIRECT(A4&amp; "!D11"),INDIRECT(A4 &amp; "!D13"),INDIRECT(A4 &amp; "!D15"),INDIRECT(A4 &amp; "!D17"),INDIRECT(A4 &amp; "!D19"),INDIRECT(A4 &amp; "!D21"))</f>
        <v>25.728882392592599</v>
      </c>
      <c r="G4">
        <f ca="1">INDEX(INDIRECT(A4&amp;"!A12"):INDIRECT(A4&amp;"!A22"),MATCH(J4,INDIRECT(A4&amp;"!D12"):INDIRECT(A4&amp;"!D22"),0))</f>
        <v>1.793645725811444</v>
      </c>
      <c r="H4">
        <f ca="1">INDEX(INDIRECT(A4&amp;"!B12"):INDIRECT(A4&amp;"!B22"),MATCH(J4,INDIRECT(A4&amp;"!D12"):INDIRECT(A4&amp;"!D22"),0))</f>
        <v>19.122152130054154</v>
      </c>
      <c r="I4">
        <f ca="1">INDEX(INDIRECT(A4&amp;"!C12"):INDIRECT(A4&amp;"!C22"),MATCH(J4,INDIRECT(A4&amp;"!D12"):INDIRECT(A4&amp;"!D22"),0))</f>
        <v>0.74263984472649114</v>
      </c>
      <c r="J4">
        <f t="shared" ref="J4" ca="1" si="3">MAX(INDIRECT(A4&amp; "!D12"),INDIRECT(A4 &amp; "!D14"),INDIRECT(A4 &amp; "!D16"),INDIRECT(A4 &amp; "!D18"),INDIRECT(A4 &amp; "!D20"),,INDIRECT(A4 &amp; "!D22"))</f>
        <v>25.47133352469136</v>
      </c>
      <c r="L4">
        <f ca="1">INDEX(INDIRECT(A4&amp;"!E11"):INDIRECT(A4&amp;"!E21"),MATCH(E4,INDIRECT(A4&amp;"!D11"):INDIRECT(A4&amp;"!D21"),0))</f>
        <v>1.0010107083990079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1.8110388741080004</v>
      </c>
      <c r="C5">
        <f ca="1">INDEX(INDIRECT(A5&amp;"!B11"):INDIRECT(A5&amp;"!B21"),MATCH(E5,INDIRECT(A5&amp;"!D11"):INDIRECT(A5&amp;"!D21"),0))</f>
        <v>18.509344815928429</v>
      </c>
      <c r="D5">
        <f ca="1">INDEX(INDIRECT(A5&amp;"!C11"):INDIRECT(A5&amp;"!C21"),MATCH(E5,INDIRECT(A5&amp;"!D11"):INDIRECT(A5&amp;"!D21"),0))</f>
        <v>0.74927533224674836</v>
      </c>
      <c r="E5">
        <f t="shared" ref="E5" ca="1" si="4">MAX(INDIRECT(A5&amp; "!D11"),INDIRECT(A5 &amp; "!D13"),INDIRECT(A5 &amp; "!D15"),INDIRECT(A5 &amp; "!D17"),INDIRECT(A5 &amp; "!D19"),INDIRECT(A5 &amp; "!D21"))</f>
        <v>25.11656555555556</v>
      </c>
      <c r="G5">
        <f ca="1">INDEX(INDIRECT(A5&amp;"!A12"):INDIRECT(A5&amp;"!A22"),MATCH(J5,INDIRECT(A5&amp;"!D12"):INDIRECT(A5&amp;"!D22"),0))</f>
        <v>1.7916322511632905</v>
      </c>
      <c r="H5">
        <f ca="1">INDEX(INDIRECT(A5&amp;"!B12"):INDIRECT(A5&amp;"!B22"),MATCH(J5,INDIRECT(A5&amp;"!D12"):INDIRECT(A5&amp;"!D22"),0))</f>
        <v>18.461736042814266</v>
      </c>
      <c r="I5">
        <f ca="1">INDEX(INDIRECT(A5&amp;"!C12"):INDIRECT(A5&amp;"!C22"),MATCH(J5,INDIRECT(A5&amp;"!D12"):INDIRECT(A5&amp;"!D22"),0))</f>
        <v>0.75012947987485545</v>
      </c>
      <c r="J5">
        <f t="shared" ref="J5" ca="1" si="5">MAX(INDIRECT(A5&amp; "!D12"),INDIRECT(A5 &amp; "!D14"),INDIRECT(A5 &amp; "!D16"),INDIRECT(A5 &amp; "!D18"),INDIRECT(A5 &amp; "!D20"),,INDIRECT(A5 &amp; "!D22"))</f>
        <v>24.811764039506169</v>
      </c>
      <c r="L5">
        <f ca="1">INDEX(INDIRECT(A5&amp;"!E11"):INDIRECT(A5&amp;"!E21"),MATCH(E5,INDIRECT(A5&amp;"!D11"):INDIRECT(A5&amp;"!D21"),0))</f>
        <v>1.4112812103483341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20221231T210000</vt:lpstr>
      <vt:lpstr>20230101T090000</vt:lpstr>
      <vt:lpstr>20230102T090000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2023-01-02T05:06:40Z</dcterms:modified>
</cp:coreProperties>
</file>