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ac7371ac5a0a95e/文档/slide/stability/light-cycle/"/>
    </mc:Choice>
  </mc:AlternateContent>
  <xr:revisionPtr revIDLastSave="15" documentId="13_ncr:1_{70D48CFC-3BCC-4BF9-A167-0B073CBDFB56}" xr6:coauthVersionLast="47" xr6:coauthVersionMax="47" xr10:uidLastSave="{50813BFD-84B0-4898-9DAD-0CF13D09B524}"/>
  <bookViews>
    <workbookView xWindow="-108" yWindow="-108" windowWidth="30936" windowHeight="16896" tabRatio="760" activeTab="4" xr2:uid="{00000000-000D-0000-FFFF-FFFF00000000}"/>
  </bookViews>
  <sheets>
    <sheet name="NEW" sheetId="64" r:id="rId1"/>
    <sheet name="20221210T210000" sheetId="65" r:id="rId2"/>
    <sheet name="20221211T090000" sheetId="67" r:id="rId3"/>
    <sheet name="20221214T210000" sheetId="69" r:id="rId4"/>
    <sheet name="Sheet2" sheetId="63" r:id="rId5"/>
  </sheets>
  <externalReferences>
    <externalReference r:id="rId6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E394" i="69" l="1"/>
  <c r="BD394" i="69"/>
  <c r="AV394" i="69"/>
  <c r="AW394" i="69" s="1"/>
  <c r="AL394" i="69"/>
  <c r="AM394" i="69" s="1"/>
  <c r="AE394" i="69"/>
  <c r="AD394" i="69"/>
  <c r="U394" i="69"/>
  <c r="T394" i="69"/>
  <c r="M394" i="69"/>
  <c r="L394" i="69"/>
  <c r="BE393" i="69"/>
  <c r="BD393" i="69"/>
  <c r="AV393" i="69"/>
  <c r="AW393" i="69" s="1"/>
  <c r="AL393" i="69"/>
  <c r="AM393" i="69" s="1"/>
  <c r="AE393" i="69"/>
  <c r="AD393" i="69"/>
  <c r="U393" i="69"/>
  <c r="T393" i="69"/>
  <c r="M393" i="69"/>
  <c r="L393" i="69"/>
  <c r="BE392" i="69"/>
  <c r="BD392" i="69"/>
  <c r="AV392" i="69"/>
  <c r="AW392" i="69" s="1"/>
  <c r="AL392" i="69"/>
  <c r="AM392" i="69" s="1"/>
  <c r="AE392" i="69"/>
  <c r="AD392" i="69"/>
  <c r="U392" i="69"/>
  <c r="T392" i="69"/>
  <c r="M392" i="69"/>
  <c r="L392" i="69"/>
  <c r="BE391" i="69"/>
  <c r="BD391" i="69"/>
  <c r="AW391" i="69"/>
  <c r="AV391" i="69"/>
  <c r="AL391" i="69"/>
  <c r="AM391" i="69" s="1"/>
  <c r="AE391" i="69"/>
  <c r="AD391" i="69"/>
  <c r="U391" i="69"/>
  <c r="T391" i="69"/>
  <c r="M391" i="69"/>
  <c r="L391" i="69"/>
  <c r="BE390" i="69"/>
  <c r="BD390" i="69"/>
  <c r="AV390" i="69"/>
  <c r="AW390" i="69" s="1"/>
  <c r="AL390" i="69"/>
  <c r="AM390" i="69" s="1"/>
  <c r="AE390" i="69"/>
  <c r="AD390" i="69"/>
  <c r="U390" i="69"/>
  <c r="T390" i="69"/>
  <c r="M390" i="69"/>
  <c r="L390" i="69"/>
  <c r="BE389" i="69"/>
  <c r="BD389" i="69"/>
  <c r="AV389" i="69"/>
  <c r="AW389" i="69" s="1"/>
  <c r="AL389" i="69"/>
  <c r="AM389" i="69" s="1"/>
  <c r="AE389" i="69"/>
  <c r="AD389" i="69"/>
  <c r="U389" i="69"/>
  <c r="T389" i="69"/>
  <c r="M389" i="69"/>
  <c r="L389" i="69"/>
  <c r="BE388" i="69"/>
  <c r="BD388" i="69"/>
  <c r="AW388" i="69"/>
  <c r="AV388" i="69"/>
  <c r="AL388" i="69"/>
  <c r="AM388" i="69" s="1"/>
  <c r="AE388" i="69"/>
  <c r="AD388" i="69"/>
  <c r="U388" i="69"/>
  <c r="T388" i="69"/>
  <c r="M388" i="69"/>
  <c r="L388" i="69"/>
  <c r="BE387" i="69"/>
  <c r="BD387" i="69"/>
  <c r="AV387" i="69"/>
  <c r="AW387" i="69" s="1"/>
  <c r="AL387" i="69"/>
  <c r="AM387" i="69" s="1"/>
  <c r="AE387" i="69"/>
  <c r="AD387" i="69"/>
  <c r="U387" i="69"/>
  <c r="T387" i="69"/>
  <c r="M387" i="69"/>
  <c r="L387" i="69"/>
  <c r="BE386" i="69"/>
  <c r="BD386" i="69"/>
  <c r="AW386" i="69"/>
  <c r="AV386" i="69"/>
  <c r="AL386" i="69"/>
  <c r="AM386" i="69" s="1"/>
  <c r="AE386" i="69"/>
  <c r="AD386" i="69"/>
  <c r="U386" i="69"/>
  <c r="T386" i="69"/>
  <c r="M386" i="69"/>
  <c r="L386" i="69"/>
  <c r="BE385" i="69"/>
  <c r="BD385" i="69"/>
  <c r="AW385" i="69"/>
  <c r="AV385" i="69"/>
  <c r="AL385" i="69"/>
  <c r="AM385" i="69" s="1"/>
  <c r="AE385" i="69"/>
  <c r="AD385" i="69"/>
  <c r="U385" i="69"/>
  <c r="T385" i="69"/>
  <c r="M385" i="69"/>
  <c r="L385" i="69"/>
  <c r="BE384" i="69"/>
  <c r="BD384" i="69"/>
  <c r="AV384" i="69"/>
  <c r="AW384" i="69" s="1"/>
  <c r="AL384" i="69"/>
  <c r="AM384" i="69" s="1"/>
  <c r="AE384" i="69"/>
  <c r="AD384" i="69"/>
  <c r="U384" i="69"/>
  <c r="T384" i="69"/>
  <c r="M384" i="69"/>
  <c r="L384" i="69"/>
  <c r="BE383" i="69"/>
  <c r="BD383" i="69"/>
  <c r="AV383" i="69"/>
  <c r="AW383" i="69" s="1"/>
  <c r="AL383" i="69"/>
  <c r="AM383" i="69" s="1"/>
  <c r="AE383" i="69"/>
  <c r="AD383" i="69"/>
  <c r="U383" i="69"/>
  <c r="T383" i="69"/>
  <c r="M383" i="69"/>
  <c r="L383" i="69"/>
  <c r="BE382" i="69"/>
  <c r="BD382" i="69"/>
  <c r="AW382" i="69"/>
  <c r="AV382" i="69"/>
  <c r="AL382" i="69"/>
  <c r="AM382" i="69" s="1"/>
  <c r="AE382" i="69"/>
  <c r="AD382" i="69"/>
  <c r="U382" i="69"/>
  <c r="T382" i="69"/>
  <c r="M382" i="69"/>
  <c r="L382" i="69"/>
  <c r="BE381" i="69"/>
  <c r="BD381" i="69"/>
  <c r="AV381" i="69"/>
  <c r="AW381" i="69" s="1"/>
  <c r="AL381" i="69"/>
  <c r="AM381" i="69" s="1"/>
  <c r="AE381" i="69"/>
  <c r="AD381" i="69"/>
  <c r="U381" i="69"/>
  <c r="T381" i="69"/>
  <c r="M381" i="69"/>
  <c r="L381" i="69"/>
  <c r="BE380" i="69"/>
  <c r="BD380" i="69"/>
  <c r="AW380" i="69"/>
  <c r="AV380" i="69"/>
  <c r="AL380" i="69"/>
  <c r="AM380" i="69" s="1"/>
  <c r="AE380" i="69"/>
  <c r="AD380" i="69"/>
  <c r="U380" i="69"/>
  <c r="T380" i="69"/>
  <c r="M380" i="69"/>
  <c r="L380" i="69"/>
  <c r="BE379" i="69"/>
  <c r="BD379" i="69"/>
  <c r="AW379" i="69"/>
  <c r="AV379" i="69"/>
  <c r="AL379" i="69"/>
  <c r="AM379" i="69" s="1"/>
  <c r="AE379" i="69"/>
  <c r="AD379" i="69"/>
  <c r="U379" i="69"/>
  <c r="T379" i="69"/>
  <c r="M379" i="69"/>
  <c r="L379" i="69"/>
  <c r="BE378" i="69"/>
  <c r="BD378" i="69"/>
  <c r="AV378" i="69"/>
  <c r="AW378" i="69" s="1"/>
  <c r="AL378" i="69"/>
  <c r="AM378" i="69" s="1"/>
  <c r="AE378" i="69"/>
  <c r="AD378" i="69"/>
  <c r="U378" i="69"/>
  <c r="T378" i="69"/>
  <c r="M378" i="69"/>
  <c r="L378" i="69"/>
  <c r="BE377" i="69"/>
  <c r="BD377" i="69"/>
  <c r="AV377" i="69"/>
  <c r="AW377" i="69" s="1"/>
  <c r="AL377" i="69"/>
  <c r="AM377" i="69" s="1"/>
  <c r="AE377" i="69"/>
  <c r="AD377" i="69"/>
  <c r="U377" i="69"/>
  <c r="T377" i="69"/>
  <c r="M377" i="69"/>
  <c r="L377" i="69"/>
  <c r="BE376" i="69"/>
  <c r="BD376" i="69"/>
  <c r="AW376" i="69"/>
  <c r="AV376" i="69"/>
  <c r="AL376" i="69"/>
  <c r="AM376" i="69" s="1"/>
  <c r="AE376" i="69"/>
  <c r="AD376" i="69"/>
  <c r="U376" i="69"/>
  <c r="T376" i="69"/>
  <c r="M376" i="69"/>
  <c r="L376" i="69"/>
  <c r="BE375" i="69"/>
  <c r="BD375" i="69"/>
  <c r="AV375" i="69"/>
  <c r="AW375" i="69" s="1"/>
  <c r="AL375" i="69"/>
  <c r="AM375" i="69" s="1"/>
  <c r="AE375" i="69"/>
  <c r="AD375" i="69"/>
  <c r="U375" i="69"/>
  <c r="T375" i="69"/>
  <c r="M375" i="69"/>
  <c r="L375" i="69"/>
  <c r="BE374" i="69"/>
  <c r="BD374" i="69"/>
  <c r="AW374" i="69"/>
  <c r="AV374" i="69"/>
  <c r="AL374" i="69"/>
  <c r="AM374" i="69" s="1"/>
  <c r="AE374" i="69"/>
  <c r="AD374" i="69"/>
  <c r="U374" i="69"/>
  <c r="T374" i="69"/>
  <c r="M374" i="69"/>
  <c r="L374" i="69"/>
  <c r="BE373" i="69"/>
  <c r="BD373" i="69"/>
  <c r="AW373" i="69"/>
  <c r="AV373" i="69"/>
  <c r="AL373" i="69"/>
  <c r="AM373" i="69" s="1"/>
  <c r="AE373" i="69"/>
  <c r="AD373" i="69"/>
  <c r="U373" i="69"/>
  <c r="T373" i="69"/>
  <c r="M373" i="69"/>
  <c r="L373" i="69"/>
  <c r="BE372" i="69"/>
  <c r="BD372" i="69"/>
  <c r="AV372" i="69"/>
  <c r="AW372" i="69" s="1"/>
  <c r="AL372" i="69"/>
  <c r="AM372" i="69" s="1"/>
  <c r="AE372" i="69"/>
  <c r="AD372" i="69"/>
  <c r="U372" i="69"/>
  <c r="T372" i="69"/>
  <c r="M372" i="69"/>
  <c r="L372" i="69"/>
  <c r="BE371" i="69"/>
  <c r="BD371" i="69"/>
  <c r="AV371" i="69"/>
  <c r="AW371" i="69" s="1"/>
  <c r="AL371" i="69"/>
  <c r="AM371" i="69" s="1"/>
  <c r="AE371" i="69"/>
  <c r="AD371" i="69"/>
  <c r="U371" i="69"/>
  <c r="T371" i="69"/>
  <c r="M371" i="69"/>
  <c r="L371" i="69"/>
  <c r="BE370" i="69"/>
  <c r="BD370" i="69"/>
  <c r="AW370" i="69"/>
  <c r="AV370" i="69"/>
  <c r="AL370" i="69"/>
  <c r="AM370" i="69" s="1"/>
  <c r="AE370" i="69"/>
  <c r="AD370" i="69"/>
  <c r="U370" i="69"/>
  <c r="T370" i="69"/>
  <c r="M370" i="69"/>
  <c r="L370" i="69"/>
  <c r="BE369" i="69"/>
  <c r="BD369" i="69"/>
  <c r="AV369" i="69"/>
  <c r="AW369" i="69" s="1"/>
  <c r="AL369" i="69"/>
  <c r="AM369" i="69" s="1"/>
  <c r="AE369" i="69"/>
  <c r="AD369" i="69"/>
  <c r="U369" i="69"/>
  <c r="T369" i="69"/>
  <c r="M369" i="69"/>
  <c r="L369" i="69"/>
  <c r="BE368" i="69"/>
  <c r="BD368" i="69"/>
  <c r="AW368" i="69"/>
  <c r="AV368" i="69"/>
  <c r="AL368" i="69"/>
  <c r="AM368" i="69" s="1"/>
  <c r="AE368" i="69"/>
  <c r="AD368" i="69"/>
  <c r="U368" i="69"/>
  <c r="T368" i="69"/>
  <c r="M368" i="69"/>
  <c r="L368" i="69"/>
  <c r="BE367" i="69"/>
  <c r="BD367" i="69"/>
  <c r="AW367" i="69"/>
  <c r="AV367" i="69"/>
  <c r="AL367" i="69"/>
  <c r="AM367" i="69" s="1"/>
  <c r="AE367" i="69"/>
  <c r="AD367" i="69"/>
  <c r="U367" i="69"/>
  <c r="T367" i="69"/>
  <c r="M367" i="69"/>
  <c r="L367" i="69"/>
  <c r="BE366" i="69"/>
  <c r="BD366" i="69"/>
  <c r="AV366" i="69"/>
  <c r="AW366" i="69" s="1"/>
  <c r="AL366" i="69"/>
  <c r="AM366" i="69" s="1"/>
  <c r="AE366" i="69"/>
  <c r="AD366" i="69"/>
  <c r="U366" i="69"/>
  <c r="T366" i="69"/>
  <c r="M366" i="69"/>
  <c r="L366" i="69"/>
  <c r="BE365" i="69"/>
  <c r="BD365" i="69"/>
  <c r="AV365" i="69"/>
  <c r="AW365" i="69" s="1"/>
  <c r="AL365" i="69"/>
  <c r="AM365" i="69" s="1"/>
  <c r="AE365" i="69"/>
  <c r="AD365" i="69"/>
  <c r="U365" i="69"/>
  <c r="T365" i="69"/>
  <c r="M365" i="69"/>
  <c r="L365" i="69"/>
  <c r="BE364" i="69"/>
  <c r="BD364" i="69"/>
  <c r="AW364" i="69"/>
  <c r="AV364" i="69"/>
  <c r="AL364" i="69"/>
  <c r="AM364" i="69" s="1"/>
  <c r="AE364" i="69"/>
  <c r="AD364" i="69"/>
  <c r="U364" i="69"/>
  <c r="T364" i="69"/>
  <c r="M364" i="69"/>
  <c r="L364" i="69"/>
  <c r="BE363" i="69"/>
  <c r="BD363" i="69"/>
  <c r="AV363" i="69"/>
  <c r="AW363" i="69" s="1"/>
  <c r="AL363" i="69"/>
  <c r="AM363" i="69" s="1"/>
  <c r="AE363" i="69"/>
  <c r="AD363" i="69"/>
  <c r="U363" i="69"/>
  <c r="T363" i="69"/>
  <c r="M363" i="69"/>
  <c r="L363" i="69"/>
  <c r="BE362" i="69"/>
  <c r="BD362" i="69"/>
  <c r="AW362" i="69"/>
  <c r="AV362" i="69"/>
  <c r="AL362" i="69"/>
  <c r="AM362" i="69" s="1"/>
  <c r="AE362" i="69"/>
  <c r="AD362" i="69"/>
  <c r="U362" i="69"/>
  <c r="T362" i="69"/>
  <c r="M362" i="69"/>
  <c r="L362" i="69"/>
  <c r="BE361" i="69"/>
  <c r="BD361" i="69"/>
  <c r="AV361" i="69"/>
  <c r="AW361" i="69" s="1"/>
  <c r="AL361" i="69"/>
  <c r="AM361" i="69" s="1"/>
  <c r="AE361" i="69"/>
  <c r="AD361" i="69"/>
  <c r="U361" i="69"/>
  <c r="T361" i="69"/>
  <c r="M361" i="69"/>
  <c r="L361" i="69"/>
  <c r="BE360" i="69"/>
  <c r="BD360" i="69"/>
  <c r="AW360" i="69"/>
  <c r="AV360" i="69"/>
  <c r="AL360" i="69"/>
  <c r="AM360" i="69" s="1"/>
  <c r="AE360" i="69"/>
  <c r="AD360" i="69"/>
  <c r="U360" i="69"/>
  <c r="T360" i="69"/>
  <c r="M360" i="69"/>
  <c r="L360" i="69"/>
  <c r="BE359" i="69"/>
  <c r="BD359" i="69"/>
  <c r="AV359" i="69"/>
  <c r="AW359" i="69" s="1"/>
  <c r="AL359" i="69"/>
  <c r="AM359" i="69" s="1"/>
  <c r="AE359" i="69"/>
  <c r="AD359" i="69"/>
  <c r="U359" i="69"/>
  <c r="T359" i="69"/>
  <c r="M359" i="69"/>
  <c r="L359" i="69"/>
  <c r="BE358" i="69"/>
  <c r="BD358" i="69"/>
  <c r="AW358" i="69"/>
  <c r="AV358" i="69"/>
  <c r="AL358" i="69"/>
  <c r="AM358" i="69" s="1"/>
  <c r="AE358" i="69"/>
  <c r="AD358" i="69"/>
  <c r="U358" i="69"/>
  <c r="T358" i="69"/>
  <c r="M358" i="69"/>
  <c r="L358" i="69"/>
  <c r="BE357" i="69"/>
  <c r="BD357" i="69"/>
  <c r="AV357" i="69"/>
  <c r="AW357" i="69" s="1"/>
  <c r="AL357" i="69"/>
  <c r="AM357" i="69" s="1"/>
  <c r="AE357" i="69"/>
  <c r="AD357" i="69"/>
  <c r="U357" i="69"/>
  <c r="T357" i="69"/>
  <c r="M357" i="69"/>
  <c r="L357" i="69"/>
  <c r="BE356" i="69"/>
  <c r="BD356" i="69"/>
  <c r="AW356" i="69"/>
  <c r="AV356" i="69"/>
  <c r="AL356" i="69"/>
  <c r="AM356" i="69" s="1"/>
  <c r="AE356" i="69"/>
  <c r="AD356" i="69"/>
  <c r="U356" i="69"/>
  <c r="T356" i="69"/>
  <c r="M356" i="69"/>
  <c r="L356" i="69"/>
  <c r="BE355" i="69"/>
  <c r="BD355" i="69"/>
  <c r="AW355" i="69"/>
  <c r="AV355" i="69"/>
  <c r="AL355" i="69"/>
  <c r="AM355" i="69" s="1"/>
  <c r="AE355" i="69"/>
  <c r="AD355" i="69"/>
  <c r="U355" i="69"/>
  <c r="T355" i="69"/>
  <c r="M355" i="69"/>
  <c r="L355" i="69"/>
  <c r="BE354" i="69"/>
  <c r="BD354" i="69"/>
  <c r="AW354" i="69"/>
  <c r="AV354" i="69"/>
  <c r="AL354" i="69"/>
  <c r="AM354" i="69" s="1"/>
  <c r="AE354" i="69"/>
  <c r="AD354" i="69"/>
  <c r="U354" i="69"/>
  <c r="T354" i="69"/>
  <c r="M354" i="69"/>
  <c r="L354" i="69"/>
  <c r="BE353" i="69"/>
  <c r="BD353" i="69"/>
  <c r="AV353" i="69"/>
  <c r="AW353" i="69" s="1"/>
  <c r="AL353" i="69"/>
  <c r="AM353" i="69" s="1"/>
  <c r="AE353" i="69"/>
  <c r="AD353" i="69"/>
  <c r="U353" i="69"/>
  <c r="T353" i="69"/>
  <c r="M353" i="69"/>
  <c r="L353" i="69"/>
  <c r="BE352" i="69"/>
  <c r="BD352" i="69"/>
  <c r="AW352" i="69"/>
  <c r="AV352" i="69"/>
  <c r="AL352" i="69"/>
  <c r="AM352" i="69" s="1"/>
  <c r="AE352" i="69"/>
  <c r="AD352" i="69"/>
  <c r="U352" i="69"/>
  <c r="T352" i="69"/>
  <c r="M352" i="69"/>
  <c r="L352" i="69"/>
  <c r="BE351" i="69"/>
  <c r="BD351" i="69"/>
  <c r="AV351" i="69"/>
  <c r="AW351" i="69" s="1"/>
  <c r="AL351" i="69"/>
  <c r="AM351" i="69" s="1"/>
  <c r="AE351" i="69"/>
  <c r="AD351" i="69"/>
  <c r="U351" i="69"/>
  <c r="T351" i="69"/>
  <c r="M351" i="69"/>
  <c r="L351" i="69"/>
  <c r="BE350" i="69"/>
  <c r="BD350" i="69"/>
  <c r="AW350" i="69"/>
  <c r="AV350" i="69"/>
  <c r="AL350" i="69"/>
  <c r="AM350" i="69" s="1"/>
  <c r="AE350" i="69"/>
  <c r="AD350" i="69"/>
  <c r="U350" i="69"/>
  <c r="T350" i="69"/>
  <c r="M350" i="69"/>
  <c r="L350" i="69"/>
  <c r="BE349" i="69"/>
  <c r="BD349" i="69"/>
  <c r="AW349" i="69"/>
  <c r="AV349" i="69"/>
  <c r="AL349" i="69"/>
  <c r="AM349" i="69" s="1"/>
  <c r="AE349" i="69"/>
  <c r="AD349" i="69"/>
  <c r="U349" i="69"/>
  <c r="T349" i="69"/>
  <c r="M349" i="69"/>
  <c r="L349" i="69"/>
  <c r="BE348" i="69"/>
  <c r="BD348" i="69"/>
  <c r="AV348" i="69"/>
  <c r="AW348" i="69" s="1"/>
  <c r="AL348" i="69"/>
  <c r="AM348" i="69" s="1"/>
  <c r="AE348" i="69"/>
  <c r="AD348" i="69"/>
  <c r="U348" i="69"/>
  <c r="T348" i="69"/>
  <c r="M348" i="69"/>
  <c r="L348" i="69"/>
  <c r="BE347" i="69"/>
  <c r="BD347" i="69"/>
  <c r="AV347" i="69"/>
  <c r="AW347" i="69" s="1"/>
  <c r="AL347" i="69"/>
  <c r="AM347" i="69" s="1"/>
  <c r="AE347" i="69"/>
  <c r="AD347" i="69"/>
  <c r="U347" i="69"/>
  <c r="T347" i="69"/>
  <c r="M347" i="69"/>
  <c r="L347" i="69"/>
  <c r="BE346" i="69"/>
  <c r="BD346" i="69"/>
  <c r="AW346" i="69"/>
  <c r="AV346" i="69"/>
  <c r="AL346" i="69"/>
  <c r="AM346" i="69" s="1"/>
  <c r="AE346" i="69"/>
  <c r="AD346" i="69"/>
  <c r="U346" i="69"/>
  <c r="T346" i="69"/>
  <c r="M346" i="69"/>
  <c r="L346" i="69"/>
  <c r="BE345" i="69"/>
  <c r="BD345" i="69"/>
  <c r="AV345" i="69"/>
  <c r="AW345" i="69" s="1"/>
  <c r="AL345" i="69"/>
  <c r="AM345" i="69" s="1"/>
  <c r="AE345" i="69"/>
  <c r="AD345" i="69"/>
  <c r="U345" i="69"/>
  <c r="T345" i="69"/>
  <c r="M345" i="69"/>
  <c r="L345" i="69"/>
  <c r="BE344" i="69"/>
  <c r="BD344" i="69"/>
  <c r="AW344" i="69"/>
  <c r="AV344" i="69"/>
  <c r="AL344" i="69"/>
  <c r="AM344" i="69" s="1"/>
  <c r="AE344" i="69"/>
  <c r="AD344" i="69"/>
  <c r="U344" i="69"/>
  <c r="T344" i="69"/>
  <c r="M344" i="69"/>
  <c r="L344" i="69"/>
  <c r="BE343" i="69"/>
  <c r="BD343" i="69"/>
  <c r="AW343" i="69"/>
  <c r="AV343" i="69"/>
  <c r="AL343" i="69"/>
  <c r="AM343" i="69" s="1"/>
  <c r="AE343" i="69"/>
  <c r="AD343" i="69"/>
  <c r="U343" i="69"/>
  <c r="T343" i="69"/>
  <c r="M343" i="69"/>
  <c r="L343" i="69"/>
  <c r="BE342" i="69"/>
  <c r="BD342" i="69"/>
  <c r="AW342" i="69"/>
  <c r="AV342" i="69"/>
  <c r="AL342" i="69"/>
  <c r="AM342" i="69" s="1"/>
  <c r="AE342" i="69"/>
  <c r="AD342" i="69"/>
  <c r="T342" i="69"/>
  <c r="U342" i="69" s="1"/>
  <c r="M342" i="69"/>
  <c r="L342" i="69"/>
  <c r="BE341" i="69"/>
  <c r="BD341" i="69"/>
  <c r="AV341" i="69"/>
  <c r="AW341" i="69" s="1"/>
  <c r="AL341" i="69"/>
  <c r="AM341" i="69" s="1"/>
  <c r="AE341" i="69"/>
  <c r="AD341" i="69"/>
  <c r="U341" i="69"/>
  <c r="T341" i="69"/>
  <c r="M341" i="69"/>
  <c r="L341" i="69"/>
  <c r="BE340" i="69"/>
  <c r="BD340" i="69"/>
  <c r="AW340" i="69"/>
  <c r="AV340" i="69"/>
  <c r="AL340" i="69"/>
  <c r="AM340" i="69" s="1"/>
  <c r="AE340" i="69"/>
  <c r="AD340" i="69"/>
  <c r="T340" i="69"/>
  <c r="U340" i="69" s="1"/>
  <c r="M340" i="69"/>
  <c r="L340" i="69"/>
  <c r="BE339" i="69"/>
  <c r="BD339" i="69"/>
  <c r="AV339" i="69"/>
  <c r="AW339" i="69" s="1"/>
  <c r="AL339" i="69"/>
  <c r="AM339" i="69" s="1"/>
  <c r="AE339" i="69"/>
  <c r="AD339" i="69"/>
  <c r="U339" i="69"/>
  <c r="T339" i="69"/>
  <c r="M339" i="69"/>
  <c r="L339" i="69"/>
  <c r="BE338" i="69"/>
  <c r="BD338" i="69"/>
  <c r="AW338" i="69"/>
  <c r="AV338" i="69"/>
  <c r="AL338" i="69"/>
  <c r="AM338" i="69" s="1"/>
  <c r="AE338" i="69"/>
  <c r="AD338" i="69"/>
  <c r="U338" i="69"/>
  <c r="T338" i="69"/>
  <c r="L338" i="69"/>
  <c r="M338" i="69" s="1"/>
  <c r="BE337" i="69"/>
  <c r="BD337" i="69"/>
  <c r="AV337" i="69"/>
  <c r="AW337" i="69" s="1"/>
  <c r="AL337" i="69"/>
  <c r="AM337" i="69" s="1"/>
  <c r="AE337" i="69"/>
  <c r="AD337" i="69"/>
  <c r="T337" i="69"/>
  <c r="U337" i="69" s="1"/>
  <c r="M337" i="69"/>
  <c r="L337" i="69"/>
  <c r="BE336" i="69"/>
  <c r="BD336" i="69"/>
  <c r="AV336" i="69"/>
  <c r="AW336" i="69" s="1"/>
  <c r="AL336" i="69"/>
  <c r="AM336" i="69" s="1"/>
  <c r="AE336" i="69"/>
  <c r="AD336" i="69"/>
  <c r="T336" i="69"/>
  <c r="U336" i="69" s="1"/>
  <c r="M336" i="69"/>
  <c r="L336" i="69"/>
  <c r="BE335" i="69"/>
  <c r="BD335" i="69"/>
  <c r="AV335" i="69"/>
  <c r="AW335" i="69" s="1"/>
  <c r="AL335" i="69"/>
  <c r="AM335" i="69" s="1"/>
  <c r="AE335" i="69"/>
  <c r="AD335" i="69"/>
  <c r="U335" i="69"/>
  <c r="T335" i="69"/>
  <c r="L335" i="69"/>
  <c r="M335" i="69" s="1"/>
  <c r="BE334" i="69"/>
  <c r="BD334" i="69"/>
  <c r="AW334" i="69"/>
  <c r="AV334" i="69"/>
  <c r="AL334" i="69"/>
  <c r="AM334" i="69" s="1"/>
  <c r="AE334" i="69"/>
  <c r="AD334" i="69"/>
  <c r="T334" i="69"/>
  <c r="U334" i="69" s="1"/>
  <c r="L334" i="69"/>
  <c r="M334" i="69" s="1"/>
  <c r="BE333" i="69"/>
  <c r="BD333" i="69"/>
  <c r="AV333" i="69"/>
  <c r="AW333" i="69" s="1"/>
  <c r="AL333" i="69"/>
  <c r="AM333" i="69" s="1"/>
  <c r="AE333" i="69"/>
  <c r="AD333" i="69"/>
  <c r="U333" i="69"/>
  <c r="T333" i="69"/>
  <c r="M333" i="69"/>
  <c r="L333" i="69"/>
  <c r="BE332" i="69"/>
  <c r="BD332" i="69"/>
  <c r="AW332" i="69"/>
  <c r="AV332" i="69"/>
  <c r="AL332" i="69"/>
  <c r="AM332" i="69" s="1"/>
  <c r="AE332" i="69"/>
  <c r="AD332" i="69"/>
  <c r="U332" i="69"/>
  <c r="T332" i="69"/>
  <c r="L332" i="69"/>
  <c r="M332" i="69" s="1"/>
  <c r="BE331" i="69"/>
  <c r="BD331" i="69"/>
  <c r="AW331" i="69"/>
  <c r="AV331" i="69"/>
  <c r="AL331" i="69"/>
  <c r="AM331" i="69" s="1"/>
  <c r="AE331" i="69"/>
  <c r="AD331" i="69"/>
  <c r="T331" i="69"/>
  <c r="U331" i="69" s="1"/>
  <c r="M331" i="69"/>
  <c r="L331" i="69"/>
  <c r="BE330" i="69"/>
  <c r="BD330" i="69"/>
  <c r="AV330" i="69"/>
  <c r="AW330" i="69" s="1"/>
  <c r="AL330" i="69"/>
  <c r="AM330" i="69" s="1"/>
  <c r="AE330" i="69"/>
  <c r="AD330" i="69"/>
  <c r="T330" i="69"/>
  <c r="U330" i="69" s="1"/>
  <c r="L330" i="69"/>
  <c r="M330" i="69" s="1"/>
  <c r="BE329" i="69"/>
  <c r="BD329" i="69"/>
  <c r="AV329" i="69"/>
  <c r="AW329" i="69" s="1"/>
  <c r="AL329" i="69"/>
  <c r="AM329" i="69" s="1"/>
  <c r="AE329" i="69"/>
  <c r="AD329" i="69"/>
  <c r="U329" i="69"/>
  <c r="T329" i="69"/>
  <c r="L329" i="69"/>
  <c r="M329" i="69" s="1"/>
  <c r="BE328" i="69"/>
  <c r="BD328" i="69"/>
  <c r="AW328" i="69"/>
  <c r="AV328" i="69"/>
  <c r="AL328" i="69"/>
  <c r="AM328" i="69" s="1"/>
  <c r="AE328" i="69"/>
  <c r="AD328" i="69"/>
  <c r="T328" i="69"/>
  <c r="U328" i="69" s="1"/>
  <c r="L328" i="69"/>
  <c r="M328" i="69" s="1"/>
  <c r="BE327" i="69"/>
  <c r="BD327" i="69"/>
  <c r="AV327" i="69"/>
  <c r="AW327" i="69" s="1"/>
  <c r="AL327" i="69"/>
  <c r="AM327" i="69" s="1"/>
  <c r="AE327" i="69"/>
  <c r="AD327" i="69"/>
  <c r="U327" i="69"/>
  <c r="T327" i="69"/>
  <c r="M327" i="69"/>
  <c r="L327" i="69"/>
  <c r="BE326" i="69"/>
  <c r="BD326" i="69"/>
  <c r="AW326" i="69"/>
  <c r="AV326" i="69"/>
  <c r="AL326" i="69"/>
  <c r="AM326" i="69" s="1"/>
  <c r="AE326" i="69"/>
  <c r="AD326" i="69"/>
  <c r="U326" i="69"/>
  <c r="T326" i="69"/>
  <c r="L326" i="69"/>
  <c r="M326" i="69" s="1"/>
  <c r="BE325" i="69"/>
  <c r="BD325" i="69"/>
  <c r="AV325" i="69"/>
  <c r="AW325" i="69" s="1"/>
  <c r="AL325" i="69"/>
  <c r="AM325" i="69" s="1"/>
  <c r="AE325" i="69"/>
  <c r="AD325" i="69"/>
  <c r="T325" i="69"/>
  <c r="U325" i="69" s="1"/>
  <c r="M325" i="69"/>
  <c r="L325" i="69"/>
  <c r="BE324" i="69"/>
  <c r="BD324" i="69"/>
  <c r="AV324" i="69"/>
  <c r="AW324" i="69" s="1"/>
  <c r="AL324" i="69"/>
  <c r="AM324" i="69" s="1"/>
  <c r="AE324" i="69"/>
  <c r="AD324" i="69"/>
  <c r="T324" i="69"/>
  <c r="U324" i="69" s="1"/>
  <c r="M324" i="69"/>
  <c r="L324" i="69"/>
  <c r="BE323" i="69"/>
  <c r="BD323" i="69"/>
  <c r="AV323" i="69"/>
  <c r="AW323" i="69" s="1"/>
  <c r="AL323" i="69"/>
  <c r="AM323" i="69" s="1"/>
  <c r="AE323" i="69"/>
  <c r="AD323" i="69"/>
  <c r="U323" i="69"/>
  <c r="T323" i="69"/>
  <c r="L323" i="69"/>
  <c r="M323" i="69" s="1"/>
  <c r="BE322" i="69"/>
  <c r="BD322" i="69"/>
  <c r="AW322" i="69"/>
  <c r="AV322" i="69"/>
  <c r="AL322" i="69"/>
  <c r="AM322" i="69" s="1"/>
  <c r="AE322" i="69"/>
  <c r="AD322" i="69"/>
  <c r="T322" i="69"/>
  <c r="U322" i="69" s="1"/>
  <c r="L322" i="69"/>
  <c r="M322" i="69" s="1"/>
  <c r="BE321" i="69"/>
  <c r="BD321" i="69"/>
  <c r="AV321" i="69"/>
  <c r="AW321" i="69" s="1"/>
  <c r="AL321" i="69"/>
  <c r="AM321" i="69" s="1"/>
  <c r="AE321" i="69"/>
  <c r="AD321" i="69"/>
  <c r="U321" i="69"/>
  <c r="T321" i="69"/>
  <c r="M321" i="69"/>
  <c r="L321" i="69"/>
  <c r="BE320" i="69"/>
  <c r="BD320" i="69"/>
  <c r="AW320" i="69"/>
  <c r="AV320" i="69"/>
  <c r="AL320" i="69"/>
  <c r="AM320" i="69" s="1"/>
  <c r="AE320" i="69"/>
  <c r="AD320" i="69"/>
  <c r="U320" i="69"/>
  <c r="T320" i="69"/>
  <c r="L320" i="69"/>
  <c r="M320" i="69" s="1"/>
  <c r="BE319" i="69"/>
  <c r="BD319" i="69"/>
  <c r="AW319" i="69"/>
  <c r="AV319" i="69"/>
  <c r="AL319" i="69"/>
  <c r="AM319" i="69" s="1"/>
  <c r="AE319" i="69"/>
  <c r="AD319" i="69"/>
  <c r="T319" i="69"/>
  <c r="U319" i="69" s="1"/>
  <c r="M319" i="69"/>
  <c r="L319" i="69"/>
  <c r="BE318" i="69"/>
  <c r="BD318" i="69"/>
  <c r="AV318" i="69"/>
  <c r="AW318" i="69" s="1"/>
  <c r="AL318" i="69"/>
  <c r="AM318" i="69" s="1"/>
  <c r="AE318" i="69"/>
  <c r="AD318" i="69"/>
  <c r="T318" i="69"/>
  <c r="U318" i="69" s="1"/>
  <c r="L318" i="69"/>
  <c r="M318" i="69" s="1"/>
  <c r="BE317" i="69"/>
  <c r="BD317" i="69"/>
  <c r="AV317" i="69"/>
  <c r="AW317" i="69" s="1"/>
  <c r="AL317" i="69"/>
  <c r="AM317" i="69" s="1"/>
  <c r="AE317" i="69"/>
  <c r="AD317" i="69"/>
  <c r="U317" i="69"/>
  <c r="T317" i="69"/>
  <c r="L317" i="69"/>
  <c r="M317" i="69" s="1"/>
  <c r="BE316" i="69"/>
  <c r="BD316" i="69"/>
  <c r="AW316" i="69"/>
  <c r="AV316" i="69"/>
  <c r="AL316" i="69"/>
  <c r="AM316" i="69" s="1"/>
  <c r="AE316" i="69"/>
  <c r="AD316" i="69"/>
  <c r="T316" i="69"/>
  <c r="U316" i="69" s="1"/>
  <c r="L316" i="69"/>
  <c r="M316" i="69" s="1"/>
  <c r="BE315" i="69"/>
  <c r="BD315" i="69"/>
  <c r="AV315" i="69"/>
  <c r="AW315" i="69" s="1"/>
  <c r="AL315" i="69"/>
  <c r="AM315" i="69" s="1"/>
  <c r="AD315" i="69"/>
  <c r="AE315" i="69" s="1"/>
  <c r="U315" i="69"/>
  <c r="T315" i="69"/>
  <c r="M315" i="69"/>
  <c r="L315" i="69"/>
  <c r="BD314" i="69"/>
  <c r="BE314" i="69" s="1"/>
  <c r="AW314" i="69"/>
  <c r="AV314" i="69"/>
  <c r="AL314" i="69"/>
  <c r="AM314" i="69" s="1"/>
  <c r="AD314" i="69"/>
  <c r="AE314" i="69" s="1"/>
  <c r="U314" i="69"/>
  <c r="T314" i="69"/>
  <c r="L314" i="69"/>
  <c r="M314" i="69" s="1"/>
  <c r="BD313" i="69"/>
  <c r="BE313" i="69" s="1"/>
  <c r="AW313" i="69"/>
  <c r="AV313" i="69"/>
  <c r="AL313" i="69"/>
  <c r="AM313" i="69" s="1"/>
  <c r="AE313" i="69"/>
  <c r="AD313" i="69"/>
  <c r="T313" i="69"/>
  <c r="U313" i="69" s="1"/>
  <c r="M313" i="69"/>
  <c r="L313" i="69"/>
  <c r="BE312" i="69"/>
  <c r="BD312" i="69"/>
  <c r="AW312" i="69"/>
  <c r="AV312" i="69"/>
  <c r="AL312" i="69"/>
  <c r="AM312" i="69" s="1"/>
  <c r="AD312" i="69"/>
  <c r="AE312" i="69" s="1"/>
  <c r="T312" i="69"/>
  <c r="U312" i="69" s="1"/>
  <c r="M312" i="69"/>
  <c r="L312" i="69"/>
  <c r="BD311" i="69"/>
  <c r="BE311" i="69" s="1"/>
  <c r="AV311" i="69"/>
  <c r="AW311" i="69" s="1"/>
  <c r="AL311" i="69"/>
  <c r="AM311" i="69" s="1"/>
  <c r="AE311" i="69"/>
  <c r="AD311" i="69"/>
  <c r="U311" i="69"/>
  <c r="T311" i="69"/>
  <c r="L311" i="69"/>
  <c r="M311" i="69" s="1"/>
  <c r="BE310" i="69"/>
  <c r="BD310" i="69"/>
  <c r="AW310" i="69"/>
  <c r="AV310" i="69"/>
  <c r="AL310" i="69"/>
  <c r="AM310" i="69" s="1"/>
  <c r="AD310" i="69"/>
  <c r="AE310" i="69" s="1"/>
  <c r="T310" i="69"/>
  <c r="U310" i="69" s="1"/>
  <c r="L310" i="69"/>
  <c r="M310" i="69" s="1"/>
  <c r="BE309" i="69"/>
  <c r="BD309" i="69"/>
  <c r="AV309" i="69"/>
  <c r="AW309" i="69" s="1"/>
  <c r="AL309" i="69"/>
  <c r="AM309" i="69" s="1"/>
  <c r="AE309" i="69"/>
  <c r="AD309" i="69"/>
  <c r="T309" i="69"/>
  <c r="U309" i="69" s="1"/>
  <c r="L309" i="69"/>
  <c r="M309" i="69" s="1"/>
  <c r="BE308" i="69"/>
  <c r="BD308" i="69"/>
  <c r="AV308" i="69"/>
  <c r="AW308" i="69" s="1"/>
  <c r="AL308" i="69"/>
  <c r="AM308" i="69" s="1"/>
  <c r="AE308" i="69"/>
  <c r="AD308" i="69"/>
  <c r="T308" i="69"/>
  <c r="U308" i="69" s="1"/>
  <c r="L308" i="69"/>
  <c r="M308" i="69" s="1"/>
  <c r="BE307" i="69"/>
  <c r="BD307" i="69"/>
  <c r="AV307" i="69"/>
  <c r="AW307" i="69" s="1"/>
  <c r="AL307" i="69"/>
  <c r="AM307" i="69" s="1"/>
  <c r="AD307" i="69"/>
  <c r="AE307" i="69" s="1"/>
  <c r="T307" i="69"/>
  <c r="U307" i="69" s="1"/>
  <c r="L307" i="69"/>
  <c r="M307" i="69" s="1"/>
  <c r="BE306" i="69"/>
  <c r="BD306" i="69"/>
  <c r="AV306" i="69"/>
  <c r="AW306" i="69" s="1"/>
  <c r="AL306" i="69"/>
  <c r="AM306" i="69" s="1"/>
  <c r="AE306" i="69"/>
  <c r="AD306" i="69"/>
  <c r="T306" i="69"/>
  <c r="U306" i="69" s="1"/>
  <c r="L306" i="69"/>
  <c r="M306" i="69" s="1"/>
  <c r="BE305" i="69"/>
  <c r="BD305" i="69"/>
  <c r="AV305" i="69"/>
  <c r="AW305" i="69" s="1"/>
  <c r="AL305" i="69"/>
  <c r="AM305" i="69" s="1"/>
  <c r="AE305" i="69"/>
  <c r="AD305" i="69"/>
  <c r="T305" i="69"/>
  <c r="U305" i="69" s="1"/>
  <c r="L305" i="69"/>
  <c r="M305" i="69" s="1"/>
  <c r="BE304" i="69"/>
  <c r="BD304" i="69"/>
  <c r="AV304" i="69"/>
  <c r="AW304" i="69" s="1"/>
  <c r="AL304" i="69"/>
  <c r="AM304" i="69" s="1"/>
  <c r="AD304" i="69"/>
  <c r="AE304" i="69" s="1"/>
  <c r="T304" i="69"/>
  <c r="U304" i="69" s="1"/>
  <c r="L304" i="69"/>
  <c r="M304" i="69" s="1"/>
  <c r="BE303" i="69"/>
  <c r="BD303" i="69"/>
  <c r="AV303" i="69"/>
  <c r="AW303" i="69" s="1"/>
  <c r="AL303" i="69"/>
  <c r="AM303" i="69" s="1"/>
  <c r="AE303" i="69"/>
  <c r="AD303" i="69"/>
  <c r="T303" i="69"/>
  <c r="U303" i="69" s="1"/>
  <c r="L303" i="69"/>
  <c r="M303" i="69" s="1"/>
  <c r="BE302" i="69"/>
  <c r="BD302" i="69"/>
  <c r="AV302" i="69"/>
  <c r="AW302" i="69" s="1"/>
  <c r="AL302" i="69"/>
  <c r="AM302" i="69" s="1"/>
  <c r="AE302" i="69"/>
  <c r="AD302" i="69"/>
  <c r="T302" i="69"/>
  <c r="U302" i="69" s="1"/>
  <c r="L302" i="69"/>
  <c r="M302" i="69" s="1"/>
  <c r="BE301" i="69"/>
  <c r="BD301" i="69"/>
  <c r="AV301" i="69"/>
  <c r="AW301" i="69" s="1"/>
  <c r="AL301" i="69"/>
  <c r="AM301" i="69" s="1"/>
  <c r="AD301" i="69"/>
  <c r="AE301" i="69" s="1"/>
  <c r="T301" i="69"/>
  <c r="U301" i="69" s="1"/>
  <c r="L301" i="69"/>
  <c r="M301" i="69" s="1"/>
  <c r="BE300" i="69"/>
  <c r="BD300" i="69"/>
  <c r="AV300" i="69"/>
  <c r="AW300" i="69" s="1"/>
  <c r="AL300" i="69"/>
  <c r="AM300" i="69" s="1"/>
  <c r="AE300" i="69"/>
  <c r="AD300" i="69"/>
  <c r="T300" i="69"/>
  <c r="U300" i="69" s="1"/>
  <c r="L300" i="69"/>
  <c r="M300" i="69" s="1"/>
  <c r="BE299" i="69"/>
  <c r="BD299" i="69"/>
  <c r="AV299" i="69"/>
  <c r="AW299" i="69" s="1"/>
  <c r="AL299" i="69"/>
  <c r="AM299" i="69" s="1"/>
  <c r="AE299" i="69"/>
  <c r="AD299" i="69"/>
  <c r="T299" i="69"/>
  <c r="U299" i="69" s="1"/>
  <c r="L299" i="69"/>
  <c r="M299" i="69" s="1"/>
  <c r="BE298" i="69"/>
  <c r="BD298" i="69"/>
  <c r="AV298" i="69"/>
  <c r="AW298" i="69" s="1"/>
  <c r="AL298" i="69"/>
  <c r="AM298" i="69" s="1"/>
  <c r="AD298" i="69"/>
  <c r="AE298" i="69" s="1"/>
  <c r="T298" i="69"/>
  <c r="U298" i="69" s="1"/>
  <c r="L298" i="69"/>
  <c r="M298" i="69" s="1"/>
  <c r="BE297" i="69"/>
  <c r="BD297" i="69"/>
  <c r="AV297" i="69"/>
  <c r="AW297" i="69" s="1"/>
  <c r="AL297" i="69"/>
  <c r="AM297" i="69" s="1"/>
  <c r="AE297" i="69"/>
  <c r="AD297" i="69"/>
  <c r="T297" i="69"/>
  <c r="U297" i="69" s="1"/>
  <c r="L297" i="69"/>
  <c r="M297" i="69" s="1"/>
  <c r="BD296" i="69"/>
  <c r="BE296" i="69" s="1"/>
  <c r="AV296" i="69"/>
  <c r="AW296" i="69" s="1"/>
  <c r="AL296" i="69"/>
  <c r="AM296" i="69" s="1"/>
  <c r="AE296" i="69"/>
  <c r="AD296" i="69"/>
  <c r="T296" i="69"/>
  <c r="U296" i="69" s="1"/>
  <c r="L296" i="69"/>
  <c r="M296" i="69" s="1"/>
  <c r="BE295" i="69"/>
  <c r="BD295" i="69"/>
  <c r="AV295" i="69"/>
  <c r="AW295" i="69" s="1"/>
  <c r="AL295" i="69"/>
  <c r="AM295" i="69" s="1"/>
  <c r="AD295" i="69"/>
  <c r="AE295" i="69" s="1"/>
  <c r="T295" i="69"/>
  <c r="U295" i="69" s="1"/>
  <c r="L295" i="69"/>
  <c r="M295" i="69" s="1"/>
  <c r="BE294" i="69"/>
  <c r="BD294" i="69"/>
  <c r="AV294" i="69"/>
  <c r="AW294" i="69" s="1"/>
  <c r="AL294" i="69"/>
  <c r="AM294" i="69" s="1"/>
  <c r="AE294" i="69"/>
  <c r="AD294" i="69"/>
  <c r="T294" i="69"/>
  <c r="U294" i="69" s="1"/>
  <c r="L294" i="69"/>
  <c r="M294" i="69" s="1"/>
  <c r="BD293" i="69"/>
  <c r="BE293" i="69" s="1"/>
  <c r="AV293" i="69"/>
  <c r="AW293" i="69" s="1"/>
  <c r="AL293" i="69"/>
  <c r="AM293" i="69" s="1"/>
  <c r="AE293" i="69"/>
  <c r="AD293" i="69"/>
  <c r="T293" i="69"/>
  <c r="U293" i="69" s="1"/>
  <c r="L293" i="69"/>
  <c r="M293" i="69" s="1"/>
  <c r="BE292" i="69"/>
  <c r="BD292" i="69"/>
  <c r="AV292" i="69"/>
  <c r="AW292" i="69" s="1"/>
  <c r="AL292" i="69"/>
  <c r="AM292" i="69" s="1"/>
  <c r="AD292" i="69"/>
  <c r="AE292" i="69" s="1"/>
  <c r="T292" i="69"/>
  <c r="U292" i="69" s="1"/>
  <c r="L292" i="69"/>
  <c r="M292" i="69" s="1"/>
  <c r="BE291" i="69"/>
  <c r="BD291" i="69"/>
  <c r="AV291" i="69"/>
  <c r="AW291" i="69" s="1"/>
  <c r="AL291" i="69"/>
  <c r="AM291" i="69" s="1"/>
  <c r="AE291" i="69"/>
  <c r="AD291" i="69"/>
  <c r="T291" i="69"/>
  <c r="U291" i="69" s="1"/>
  <c r="L291" i="69"/>
  <c r="M291" i="69" s="1"/>
  <c r="BD290" i="69"/>
  <c r="BE290" i="69" s="1"/>
  <c r="AV290" i="69"/>
  <c r="AW290" i="69" s="1"/>
  <c r="AL290" i="69"/>
  <c r="AM290" i="69" s="1"/>
  <c r="AE290" i="69"/>
  <c r="AD290" i="69"/>
  <c r="T290" i="69"/>
  <c r="U290" i="69" s="1"/>
  <c r="L290" i="69"/>
  <c r="M290" i="69" s="1"/>
  <c r="BE289" i="69"/>
  <c r="BD289" i="69"/>
  <c r="AV289" i="69"/>
  <c r="AW289" i="69" s="1"/>
  <c r="AL289" i="69"/>
  <c r="AM289" i="69" s="1"/>
  <c r="AD289" i="69"/>
  <c r="AE289" i="69" s="1"/>
  <c r="T289" i="69"/>
  <c r="U289" i="69" s="1"/>
  <c r="L289" i="69"/>
  <c r="M289" i="69" s="1"/>
  <c r="BE288" i="69"/>
  <c r="BD288" i="69"/>
  <c r="AV288" i="69"/>
  <c r="AW288" i="69" s="1"/>
  <c r="AL288" i="69"/>
  <c r="AM288" i="69" s="1"/>
  <c r="AE288" i="69"/>
  <c r="AD288" i="69"/>
  <c r="T288" i="69"/>
  <c r="U288" i="69" s="1"/>
  <c r="L288" i="69"/>
  <c r="M288" i="69" s="1"/>
  <c r="BD287" i="69"/>
  <c r="BE287" i="69" s="1"/>
  <c r="AV287" i="69"/>
  <c r="AW287" i="69" s="1"/>
  <c r="AL287" i="69"/>
  <c r="AM287" i="69" s="1"/>
  <c r="AE287" i="69"/>
  <c r="AD287" i="69"/>
  <c r="T287" i="69"/>
  <c r="U287" i="69" s="1"/>
  <c r="L287" i="69"/>
  <c r="M287" i="69" s="1"/>
  <c r="BE286" i="69"/>
  <c r="BD286" i="69"/>
  <c r="AV286" i="69"/>
  <c r="AW286" i="69" s="1"/>
  <c r="AL286" i="69"/>
  <c r="AM286" i="69" s="1"/>
  <c r="AD286" i="69"/>
  <c r="AE286" i="69" s="1"/>
  <c r="T286" i="69"/>
  <c r="U286" i="69" s="1"/>
  <c r="L286" i="69"/>
  <c r="M286" i="69" s="1"/>
  <c r="BE285" i="69"/>
  <c r="BD285" i="69"/>
  <c r="AV285" i="69"/>
  <c r="AW285" i="69" s="1"/>
  <c r="AL285" i="69"/>
  <c r="AM285" i="69" s="1"/>
  <c r="AE285" i="69"/>
  <c r="AD285" i="69"/>
  <c r="T285" i="69"/>
  <c r="U285" i="69" s="1"/>
  <c r="L285" i="69"/>
  <c r="M285" i="69" s="1"/>
  <c r="BD284" i="69"/>
  <c r="BE284" i="69" s="1"/>
  <c r="AV284" i="69"/>
  <c r="AW284" i="69" s="1"/>
  <c r="AL284" i="69"/>
  <c r="AM284" i="69" s="1"/>
  <c r="AE284" i="69"/>
  <c r="AD284" i="69"/>
  <c r="T284" i="69"/>
  <c r="U284" i="69" s="1"/>
  <c r="L284" i="69"/>
  <c r="M284" i="69" s="1"/>
  <c r="BE283" i="69"/>
  <c r="BD283" i="69"/>
  <c r="AV283" i="69"/>
  <c r="AW283" i="69" s="1"/>
  <c r="AL283" i="69"/>
  <c r="AM283" i="69" s="1"/>
  <c r="AD283" i="69"/>
  <c r="AE283" i="69" s="1"/>
  <c r="T283" i="69"/>
  <c r="U283" i="69" s="1"/>
  <c r="L283" i="69"/>
  <c r="M283" i="69" s="1"/>
  <c r="BE282" i="69"/>
  <c r="BD282" i="69"/>
  <c r="AV282" i="69"/>
  <c r="AW282" i="69" s="1"/>
  <c r="AL282" i="69"/>
  <c r="AM282" i="69" s="1"/>
  <c r="AE282" i="69"/>
  <c r="AD282" i="69"/>
  <c r="T282" i="69"/>
  <c r="U282" i="69" s="1"/>
  <c r="L282" i="69"/>
  <c r="M282" i="69" s="1"/>
  <c r="BD281" i="69"/>
  <c r="BE281" i="69" s="1"/>
  <c r="AV281" i="69"/>
  <c r="AW281" i="69" s="1"/>
  <c r="AL281" i="69"/>
  <c r="AM281" i="69" s="1"/>
  <c r="AE281" i="69"/>
  <c r="AD281" i="69"/>
  <c r="T281" i="69"/>
  <c r="U281" i="69" s="1"/>
  <c r="L281" i="69"/>
  <c r="M281" i="69" s="1"/>
  <c r="BE280" i="69"/>
  <c r="BD280" i="69"/>
  <c r="AV280" i="69"/>
  <c r="AW280" i="69" s="1"/>
  <c r="AL280" i="69"/>
  <c r="AM280" i="69" s="1"/>
  <c r="AD280" i="69"/>
  <c r="AE280" i="69" s="1"/>
  <c r="T280" i="69"/>
  <c r="U280" i="69" s="1"/>
  <c r="L280" i="69"/>
  <c r="M280" i="69" s="1"/>
  <c r="BE279" i="69"/>
  <c r="BD279" i="69"/>
  <c r="AV279" i="69"/>
  <c r="AW279" i="69" s="1"/>
  <c r="AL279" i="69"/>
  <c r="AM279" i="69" s="1"/>
  <c r="AE279" i="69"/>
  <c r="AD279" i="69"/>
  <c r="T279" i="69"/>
  <c r="U279" i="69" s="1"/>
  <c r="L279" i="69"/>
  <c r="M279" i="69" s="1"/>
  <c r="BD278" i="69"/>
  <c r="BE278" i="69" s="1"/>
  <c r="AV278" i="69"/>
  <c r="AW278" i="69" s="1"/>
  <c r="AL278" i="69"/>
  <c r="AM278" i="69" s="1"/>
  <c r="AE278" i="69"/>
  <c r="AD278" i="69"/>
  <c r="T278" i="69"/>
  <c r="U278" i="69" s="1"/>
  <c r="L278" i="69"/>
  <c r="M278" i="69" s="1"/>
  <c r="BE277" i="69"/>
  <c r="BD277" i="69"/>
  <c r="AV277" i="69"/>
  <c r="AW277" i="69" s="1"/>
  <c r="AL277" i="69"/>
  <c r="AM277" i="69" s="1"/>
  <c r="AD277" i="69"/>
  <c r="AE277" i="69" s="1"/>
  <c r="T277" i="69"/>
  <c r="U277" i="69" s="1"/>
  <c r="L277" i="69"/>
  <c r="M277" i="69" s="1"/>
  <c r="BE276" i="69"/>
  <c r="BD276" i="69"/>
  <c r="AV276" i="69"/>
  <c r="AW276" i="69" s="1"/>
  <c r="AL276" i="69"/>
  <c r="AM276" i="69" s="1"/>
  <c r="AE276" i="69"/>
  <c r="AD276" i="69"/>
  <c r="T276" i="69"/>
  <c r="U276" i="69" s="1"/>
  <c r="L276" i="69"/>
  <c r="M276" i="69" s="1"/>
  <c r="BD275" i="69"/>
  <c r="BE275" i="69" s="1"/>
  <c r="AV275" i="69"/>
  <c r="AW275" i="69" s="1"/>
  <c r="AL275" i="69"/>
  <c r="AM275" i="69" s="1"/>
  <c r="AE275" i="69"/>
  <c r="AD275" i="69"/>
  <c r="T275" i="69"/>
  <c r="U275" i="69" s="1"/>
  <c r="L275" i="69"/>
  <c r="M275" i="69" s="1"/>
  <c r="BE274" i="69"/>
  <c r="BD274" i="69"/>
  <c r="AV274" i="69"/>
  <c r="AW274" i="69" s="1"/>
  <c r="AL274" i="69"/>
  <c r="AM274" i="69" s="1"/>
  <c r="AD274" i="69"/>
  <c r="AE274" i="69" s="1"/>
  <c r="T274" i="69"/>
  <c r="U274" i="69" s="1"/>
  <c r="L274" i="69"/>
  <c r="M274" i="69" s="1"/>
  <c r="BE273" i="69"/>
  <c r="BD273" i="69"/>
  <c r="AV273" i="69"/>
  <c r="AW273" i="69" s="1"/>
  <c r="AL273" i="69"/>
  <c r="AM273" i="69" s="1"/>
  <c r="AE273" i="69"/>
  <c r="AD273" i="69"/>
  <c r="T273" i="69"/>
  <c r="U273" i="69" s="1"/>
  <c r="L273" i="69"/>
  <c r="M273" i="69" s="1"/>
  <c r="BD272" i="69"/>
  <c r="BE272" i="69" s="1"/>
  <c r="AV272" i="69"/>
  <c r="AW272" i="69" s="1"/>
  <c r="AL272" i="69"/>
  <c r="AM272" i="69" s="1"/>
  <c r="AE272" i="69"/>
  <c r="AD272" i="69"/>
  <c r="T272" i="69"/>
  <c r="U272" i="69" s="1"/>
  <c r="L272" i="69"/>
  <c r="M272" i="69" s="1"/>
  <c r="BE271" i="69"/>
  <c r="BD271" i="69"/>
  <c r="AV271" i="69"/>
  <c r="AW271" i="69" s="1"/>
  <c r="AL271" i="69"/>
  <c r="AM271" i="69" s="1"/>
  <c r="AD271" i="69"/>
  <c r="AE271" i="69" s="1"/>
  <c r="T271" i="69"/>
  <c r="U271" i="69" s="1"/>
  <c r="L271" i="69"/>
  <c r="M271" i="69" s="1"/>
  <c r="BE270" i="69"/>
  <c r="BD270" i="69"/>
  <c r="AV270" i="69"/>
  <c r="AW270" i="69" s="1"/>
  <c r="AL270" i="69"/>
  <c r="AM270" i="69" s="1"/>
  <c r="AE270" i="69"/>
  <c r="AD270" i="69"/>
  <c r="T270" i="69"/>
  <c r="U270" i="69" s="1"/>
  <c r="L270" i="69"/>
  <c r="M270" i="69" s="1"/>
  <c r="BD269" i="69"/>
  <c r="BE269" i="69" s="1"/>
  <c r="AV269" i="69"/>
  <c r="AW269" i="69" s="1"/>
  <c r="AL269" i="69"/>
  <c r="AM269" i="69" s="1"/>
  <c r="AE269" i="69"/>
  <c r="AD269" i="69"/>
  <c r="T269" i="69"/>
  <c r="U269" i="69" s="1"/>
  <c r="L269" i="69"/>
  <c r="M269" i="69" s="1"/>
  <c r="BE268" i="69"/>
  <c r="BD268" i="69"/>
  <c r="AV268" i="69"/>
  <c r="AW268" i="69" s="1"/>
  <c r="AL268" i="69"/>
  <c r="AM268" i="69" s="1"/>
  <c r="AD268" i="69"/>
  <c r="AE268" i="69" s="1"/>
  <c r="T268" i="69"/>
  <c r="U268" i="69" s="1"/>
  <c r="L268" i="69"/>
  <c r="M268" i="69" s="1"/>
  <c r="BE267" i="69"/>
  <c r="BD267" i="69"/>
  <c r="AV267" i="69"/>
  <c r="AW267" i="69" s="1"/>
  <c r="AL267" i="69"/>
  <c r="AM267" i="69" s="1"/>
  <c r="AE267" i="69"/>
  <c r="AD267" i="69"/>
  <c r="T267" i="69"/>
  <c r="U267" i="69" s="1"/>
  <c r="L267" i="69"/>
  <c r="M267" i="69" s="1"/>
  <c r="BD266" i="69"/>
  <c r="BE266" i="69" s="1"/>
  <c r="AV266" i="69"/>
  <c r="AW266" i="69" s="1"/>
  <c r="AL266" i="69"/>
  <c r="AM266" i="69" s="1"/>
  <c r="AE266" i="69"/>
  <c r="AD266" i="69"/>
  <c r="T266" i="69"/>
  <c r="U266" i="69" s="1"/>
  <c r="L266" i="69"/>
  <c r="M266" i="69" s="1"/>
  <c r="BE265" i="69"/>
  <c r="BD265" i="69"/>
  <c r="AV265" i="69"/>
  <c r="AW265" i="69" s="1"/>
  <c r="AL265" i="69"/>
  <c r="AM265" i="69" s="1"/>
  <c r="AD265" i="69"/>
  <c r="AE265" i="69" s="1"/>
  <c r="T265" i="69"/>
  <c r="U265" i="69" s="1"/>
  <c r="L265" i="69"/>
  <c r="M265" i="69" s="1"/>
  <c r="BE264" i="69"/>
  <c r="BD264" i="69"/>
  <c r="AV264" i="69"/>
  <c r="AW264" i="69" s="1"/>
  <c r="AL264" i="69"/>
  <c r="AM264" i="69" s="1"/>
  <c r="AE264" i="69"/>
  <c r="AD264" i="69"/>
  <c r="T264" i="69"/>
  <c r="U264" i="69" s="1"/>
  <c r="L264" i="69"/>
  <c r="M264" i="69" s="1"/>
  <c r="BD263" i="69"/>
  <c r="BE263" i="69" s="1"/>
  <c r="AV263" i="69"/>
  <c r="AW263" i="69" s="1"/>
  <c r="AL263" i="69"/>
  <c r="AM263" i="69" s="1"/>
  <c r="AE263" i="69"/>
  <c r="AD263" i="69"/>
  <c r="T263" i="69"/>
  <c r="U263" i="69" s="1"/>
  <c r="L263" i="69"/>
  <c r="M263" i="69" s="1"/>
  <c r="BE262" i="69"/>
  <c r="BD262" i="69"/>
  <c r="AV262" i="69"/>
  <c r="AW262" i="69" s="1"/>
  <c r="AL262" i="69"/>
  <c r="AM262" i="69" s="1"/>
  <c r="AD262" i="69"/>
  <c r="AE262" i="69" s="1"/>
  <c r="T262" i="69"/>
  <c r="U262" i="69" s="1"/>
  <c r="L262" i="69"/>
  <c r="M262" i="69" s="1"/>
  <c r="BE261" i="69"/>
  <c r="BD261" i="69"/>
  <c r="AV261" i="69"/>
  <c r="AW261" i="69" s="1"/>
  <c r="AL261" i="69"/>
  <c r="AM261" i="69" s="1"/>
  <c r="AE261" i="69"/>
  <c r="AD261" i="69"/>
  <c r="U261" i="69"/>
  <c r="T261" i="69"/>
  <c r="L261" i="69"/>
  <c r="M261" i="69" s="1"/>
  <c r="BE260" i="69"/>
  <c r="BD260" i="69"/>
  <c r="AW260" i="69"/>
  <c r="AV260" i="69"/>
  <c r="AL260" i="69"/>
  <c r="AM260" i="69" s="1"/>
  <c r="AD260" i="69"/>
  <c r="AE260" i="69" s="1"/>
  <c r="U260" i="69"/>
  <c r="T260" i="69"/>
  <c r="L260" i="69"/>
  <c r="M260" i="69" s="1"/>
  <c r="BD259" i="69"/>
  <c r="BE259" i="69" s="1"/>
  <c r="AW259" i="69"/>
  <c r="AV259" i="69"/>
  <c r="AL259" i="69"/>
  <c r="AM259" i="69" s="1"/>
  <c r="AE259" i="69"/>
  <c r="AD259" i="69"/>
  <c r="T259" i="69"/>
  <c r="U259" i="69" s="1"/>
  <c r="L259" i="69"/>
  <c r="M259" i="69" s="1"/>
  <c r="BD258" i="69"/>
  <c r="BE258" i="69" s="1"/>
  <c r="AV258" i="69"/>
  <c r="AW258" i="69" s="1"/>
  <c r="AL258" i="69"/>
  <c r="AM258" i="69" s="1"/>
  <c r="AD258" i="69"/>
  <c r="AE258" i="69" s="1"/>
  <c r="U258" i="69"/>
  <c r="T258" i="69"/>
  <c r="L258" i="69"/>
  <c r="M258" i="69" s="1"/>
  <c r="BE257" i="69"/>
  <c r="BD257" i="69"/>
  <c r="AV257" i="69"/>
  <c r="AW257" i="69" s="1"/>
  <c r="AL257" i="69"/>
  <c r="AM257" i="69" s="1"/>
  <c r="AD257" i="69"/>
  <c r="AE257" i="69" s="1"/>
  <c r="T257" i="69"/>
  <c r="U257" i="69" s="1"/>
  <c r="L257" i="69"/>
  <c r="M257" i="69" s="1"/>
  <c r="BD256" i="69"/>
  <c r="BE256" i="69" s="1"/>
  <c r="AW256" i="69"/>
  <c r="AV256" i="69"/>
  <c r="AL256" i="69"/>
  <c r="AM256" i="69" s="1"/>
  <c r="AE256" i="69"/>
  <c r="AD256" i="69"/>
  <c r="T256" i="69"/>
  <c r="U256" i="69" s="1"/>
  <c r="L256" i="69"/>
  <c r="M256" i="69" s="1"/>
  <c r="BE255" i="69"/>
  <c r="BD255" i="69"/>
  <c r="AV255" i="69"/>
  <c r="AW255" i="69" s="1"/>
  <c r="AL255" i="69"/>
  <c r="AM255" i="69" s="1"/>
  <c r="AE255" i="69"/>
  <c r="AD255" i="69"/>
  <c r="U255" i="69"/>
  <c r="T255" i="69"/>
  <c r="L255" i="69"/>
  <c r="M255" i="69" s="1"/>
  <c r="BE254" i="69"/>
  <c r="BD254" i="69"/>
  <c r="AW254" i="69"/>
  <c r="AV254" i="69"/>
  <c r="AL254" i="69"/>
  <c r="AM254" i="69" s="1"/>
  <c r="AD254" i="69"/>
  <c r="AE254" i="69" s="1"/>
  <c r="U254" i="69"/>
  <c r="T254" i="69"/>
  <c r="L254" i="69"/>
  <c r="M254" i="69" s="1"/>
  <c r="BD253" i="69"/>
  <c r="BE253" i="69" s="1"/>
  <c r="AW253" i="69"/>
  <c r="AV253" i="69"/>
  <c r="AL253" i="69"/>
  <c r="AM253" i="69" s="1"/>
  <c r="AE253" i="69"/>
  <c r="AD253" i="69"/>
  <c r="T253" i="69"/>
  <c r="U253" i="69" s="1"/>
  <c r="L253" i="69"/>
  <c r="M253" i="69" s="1"/>
  <c r="BD252" i="69"/>
  <c r="BE252" i="69" s="1"/>
  <c r="AV252" i="69"/>
  <c r="AW252" i="69" s="1"/>
  <c r="AL252" i="69"/>
  <c r="AM252" i="69" s="1"/>
  <c r="AD252" i="69"/>
  <c r="AE252" i="69" s="1"/>
  <c r="U252" i="69"/>
  <c r="T252" i="69"/>
  <c r="L252" i="69"/>
  <c r="M252" i="69" s="1"/>
  <c r="BE251" i="69"/>
  <c r="BD251" i="69"/>
  <c r="AV251" i="69"/>
  <c r="AW251" i="69" s="1"/>
  <c r="AL251" i="69"/>
  <c r="AM251" i="69" s="1"/>
  <c r="AD251" i="69"/>
  <c r="AE251" i="69" s="1"/>
  <c r="T251" i="69"/>
  <c r="U251" i="69" s="1"/>
  <c r="L251" i="69"/>
  <c r="M251" i="69" s="1"/>
  <c r="BD250" i="69"/>
  <c r="BE250" i="69" s="1"/>
  <c r="AW250" i="69"/>
  <c r="AV250" i="69"/>
  <c r="AL250" i="69"/>
  <c r="AM250" i="69" s="1"/>
  <c r="AE250" i="69"/>
  <c r="AD250" i="69"/>
  <c r="T250" i="69"/>
  <c r="U250" i="69" s="1"/>
  <c r="L250" i="69"/>
  <c r="M250" i="69" s="1"/>
  <c r="BE249" i="69"/>
  <c r="BD249" i="69"/>
  <c r="AV249" i="69"/>
  <c r="AW249" i="69" s="1"/>
  <c r="AL249" i="69"/>
  <c r="AM249" i="69" s="1"/>
  <c r="AE249" i="69"/>
  <c r="AD249" i="69"/>
  <c r="U249" i="69"/>
  <c r="T249" i="69"/>
  <c r="L249" i="69"/>
  <c r="M249" i="69" s="1"/>
  <c r="BE248" i="69"/>
  <c r="BD248" i="69"/>
  <c r="AW248" i="69"/>
  <c r="AV248" i="69"/>
  <c r="AL248" i="69"/>
  <c r="AM248" i="69" s="1"/>
  <c r="AD248" i="69"/>
  <c r="AE248" i="69" s="1"/>
  <c r="U248" i="69"/>
  <c r="T248" i="69"/>
  <c r="L248" i="69"/>
  <c r="M248" i="69" s="1"/>
  <c r="BD247" i="69"/>
  <c r="BE247" i="69" s="1"/>
  <c r="AW247" i="69"/>
  <c r="AV247" i="69"/>
  <c r="AL247" i="69"/>
  <c r="AM247" i="69" s="1"/>
  <c r="AE247" i="69"/>
  <c r="AD247" i="69"/>
  <c r="T247" i="69"/>
  <c r="U247" i="69" s="1"/>
  <c r="L247" i="69"/>
  <c r="M247" i="69" s="1"/>
  <c r="BD246" i="69"/>
  <c r="BE246" i="69" s="1"/>
  <c r="AV246" i="69"/>
  <c r="AW246" i="69" s="1"/>
  <c r="AL246" i="69"/>
  <c r="AM246" i="69" s="1"/>
  <c r="AD246" i="69"/>
  <c r="AE246" i="69" s="1"/>
  <c r="U246" i="69"/>
  <c r="T246" i="69"/>
  <c r="L246" i="69"/>
  <c r="M246" i="69" s="1"/>
  <c r="BE245" i="69"/>
  <c r="BD245" i="69"/>
  <c r="AV245" i="69"/>
  <c r="AW245" i="69" s="1"/>
  <c r="AL245" i="69"/>
  <c r="AM245" i="69" s="1"/>
  <c r="AD245" i="69"/>
  <c r="AE245" i="69" s="1"/>
  <c r="T245" i="69"/>
  <c r="U245" i="69" s="1"/>
  <c r="L245" i="69"/>
  <c r="M245" i="69" s="1"/>
  <c r="BD244" i="69"/>
  <c r="BE244" i="69" s="1"/>
  <c r="AW244" i="69"/>
  <c r="AV244" i="69"/>
  <c r="AL244" i="69"/>
  <c r="AM244" i="69" s="1"/>
  <c r="AE244" i="69"/>
  <c r="AD244" i="69"/>
  <c r="T244" i="69"/>
  <c r="U244" i="69" s="1"/>
  <c r="L244" i="69"/>
  <c r="M244" i="69" s="1"/>
  <c r="BE243" i="69"/>
  <c r="BD243" i="69"/>
  <c r="AV243" i="69"/>
  <c r="AW243" i="69" s="1"/>
  <c r="AL243" i="69"/>
  <c r="AM243" i="69" s="1"/>
  <c r="AE243" i="69"/>
  <c r="AD243" i="69"/>
  <c r="U243" i="69"/>
  <c r="T243" i="69"/>
  <c r="L243" i="69"/>
  <c r="M243" i="69" s="1"/>
  <c r="BE242" i="69"/>
  <c r="BD242" i="69"/>
  <c r="AW242" i="69"/>
  <c r="AV242" i="69"/>
  <c r="AL242" i="69"/>
  <c r="AM242" i="69" s="1"/>
  <c r="AD242" i="69"/>
  <c r="AE242" i="69" s="1"/>
  <c r="U242" i="69"/>
  <c r="T242" i="69"/>
  <c r="L242" i="69"/>
  <c r="M242" i="69" s="1"/>
  <c r="BD241" i="69"/>
  <c r="BE241" i="69" s="1"/>
  <c r="AW241" i="69"/>
  <c r="AV241" i="69"/>
  <c r="AL241" i="69"/>
  <c r="AM241" i="69" s="1"/>
  <c r="AE241" i="69"/>
  <c r="AD241" i="69"/>
  <c r="T241" i="69"/>
  <c r="U241" i="69" s="1"/>
  <c r="L241" i="69"/>
  <c r="M241" i="69" s="1"/>
  <c r="BD240" i="69"/>
  <c r="BE240" i="69" s="1"/>
  <c r="AV240" i="69"/>
  <c r="AW240" i="69" s="1"/>
  <c r="AL240" i="69"/>
  <c r="AM240" i="69" s="1"/>
  <c r="AD240" i="69"/>
  <c r="AE240" i="69" s="1"/>
  <c r="U240" i="69"/>
  <c r="T240" i="69"/>
  <c r="L240" i="69"/>
  <c r="M240" i="69" s="1"/>
  <c r="BE239" i="69"/>
  <c r="BD239" i="69"/>
  <c r="AV239" i="69"/>
  <c r="AW239" i="69" s="1"/>
  <c r="AL239" i="69"/>
  <c r="AM239" i="69" s="1"/>
  <c r="AD239" i="69"/>
  <c r="AE239" i="69" s="1"/>
  <c r="T239" i="69"/>
  <c r="U239" i="69" s="1"/>
  <c r="L239" i="69"/>
  <c r="M239" i="69" s="1"/>
  <c r="BD238" i="69"/>
  <c r="BE238" i="69" s="1"/>
  <c r="AW238" i="69"/>
  <c r="AV238" i="69"/>
  <c r="AL238" i="69"/>
  <c r="AM238" i="69" s="1"/>
  <c r="AE238" i="69"/>
  <c r="AD238" i="69"/>
  <c r="T238" i="69"/>
  <c r="U238" i="69" s="1"/>
  <c r="L238" i="69"/>
  <c r="M238" i="69" s="1"/>
  <c r="BE237" i="69"/>
  <c r="BD237" i="69"/>
  <c r="AV237" i="69"/>
  <c r="AW237" i="69" s="1"/>
  <c r="AM237" i="69"/>
  <c r="AL237" i="69"/>
  <c r="AE237" i="69"/>
  <c r="AD237" i="69"/>
  <c r="T237" i="69"/>
  <c r="U237" i="69" s="1"/>
  <c r="L237" i="69"/>
  <c r="M237" i="69" s="1"/>
  <c r="BE236" i="69"/>
  <c r="BD236" i="69"/>
  <c r="AV236" i="69"/>
  <c r="AW236" i="69" s="1"/>
  <c r="AM236" i="69"/>
  <c r="AL236" i="69"/>
  <c r="AE236" i="69"/>
  <c r="AD236" i="69"/>
  <c r="T236" i="69"/>
  <c r="U236" i="69" s="1"/>
  <c r="L236" i="69"/>
  <c r="M236" i="69" s="1"/>
  <c r="BE235" i="69"/>
  <c r="BD235" i="69"/>
  <c r="AV235" i="69"/>
  <c r="AW235" i="69" s="1"/>
  <c r="AM235" i="69"/>
  <c r="AL235" i="69"/>
  <c r="AE235" i="69"/>
  <c r="AD235" i="69"/>
  <c r="T235" i="69"/>
  <c r="U235" i="69" s="1"/>
  <c r="L235" i="69"/>
  <c r="M235" i="69" s="1"/>
  <c r="BE234" i="69"/>
  <c r="BD234" i="69"/>
  <c r="AV234" i="69"/>
  <c r="AW234" i="69" s="1"/>
  <c r="AM234" i="69"/>
  <c r="AL234" i="69"/>
  <c r="AE234" i="69"/>
  <c r="AD234" i="69"/>
  <c r="T234" i="69"/>
  <c r="U234" i="69" s="1"/>
  <c r="L234" i="69"/>
  <c r="M234" i="69" s="1"/>
  <c r="BE233" i="69"/>
  <c r="BD233" i="69"/>
  <c r="AW233" i="69"/>
  <c r="AV233" i="69"/>
  <c r="AM233" i="69"/>
  <c r="AL233" i="69"/>
  <c r="AE233" i="69"/>
  <c r="AD233" i="69"/>
  <c r="T233" i="69"/>
  <c r="U233" i="69" s="1"/>
  <c r="L233" i="69"/>
  <c r="M233" i="69" s="1"/>
  <c r="BE232" i="69"/>
  <c r="BD232" i="69"/>
  <c r="AV232" i="69"/>
  <c r="AW232" i="69" s="1"/>
  <c r="AM232" i="69"/>
  <c r="AL232" i="69"/>
  <c r="AE232" i="69"/>
  <c r="AD232" i="69"/>
  <c r="T232" i="69"/>
  <c r="U232" i="69" s="1"/>
  <c r="L232" i="69"/>
  <c r="M232" i="69" s="1"/>
  <c r="BE231" i="69"/>
  <c r="BD231" i="69"/>
  <c r="AV231" i="69"/>
  <c r="AW231" i="69" s="1"/>
  <c r="AM231" i="69"/>
  <c r="AL231" i="69"/>
  <c r="AE231" i="69"/>
  <c r="AD231" i="69"/>
  <c r="T231" i="69"/>
  <c r="U231" i="69" s="1"/>
  <c r="L231" i="69"/>
  <c r="M231" i="69" s="1"/>
  <c r="BE230" i="69"/>
  <c r="BD230" i="69"/>
  <c r="AV230" i="69"/>
  <c r="AW230" i="69" s="1"/>
  <c r="AM230" i="69"/>
  <c r="AL230" i="69"/>
  <c r="AE230" i="69"/>
  <c r="AD230" i="69"/>
  <c r="T230" i="69"/>
  <c r="U230" i="69" s="1"/>
  <c r="L230" i="69"/>
  <c r="M230" i="69" s="1"/>
  <c r="BE229" i="69"/>
  <c r="BD229" i="69"/>
  <c r="AV229" i="69"/>
  <c r="AW229" i="69" s="1"/>
  <c r="AM229" i="69"/>
  <c r="AL229" i="69"/>
  <c r="AE229" i="69"/>
  <c r="AD229" i="69"/>
  <c r="T229" i="69"/>
  <c r="U229" i="69" s="1"/>
  <c r="L229" i="69"/>
  <c r="M229" i="69" s="1"/>
  <c r="BE228" i="69"/>
  <c r="BD228" i="69"/>
  <c r="AV228" i="69"/>
  <c r="AW228" i="69" s="1"/>
  <c r="AM228" i="69"/>
  <c r="AL228" i="69"/>
  <c r="AE228" i="69"/>
  <c r="AD228" i="69"/>
  <c r="T228" i="69"/>
  <c r="U228" i="69" s="1"/>
  <c r="L228" i="69"/>
  <c r="M228" i="69" s="1"/>
  <c r="BE227" i="69"/>
  <c r="BD227" i="69"/>
  <c r="AW227" i="69"/>
  <c r="AV227" i="69"/>
  <c r="AM227" i="69"/>
  <c r="AL227" i="69"/>
  <c r="AE227" i="69"/>
  <c r="AD227" i="69"/>
  <c r="T227" i="69"/>
  <c r="U227" i="69" s="1"/>
  <c r="L227" i="69"/>
  <c r="M227" i="69" s="1"/>
  <c r="BE226" i="69"/>
  <c r="BD226" i="69"/>
  <c r="AV226" i="69"/>
  <c r="AW226" i="69" s="1"/>
  <c r="AM226" i="69"/>
  <c r="AL226" i="69"/>
  <c r="AE226" i="69"/>
  <c r="AD226" i="69"/>
  <c r="T226" i="69"/>
  <c r="U226" i="69" s="1"/>
  <c r="L226" i="69"/>
  <c r="M226" i="69" s="1"/>
  <c r="BE225" i="69"/>
  <c r="BD225" i="69"/>
  <c r="AV225" i="69"/>
  <c r="AW225" i="69" s="1"/>
  <c r="AM225" i="69"/>
  <c r="AL225" i="69"/>
  <c r="AE225" i="69"/>
  <c r="AD225" i="69"/>
  <c r="T225" i="69"/>
  <c r="U225" i="69" s="1"/>
  <c r="L225" i="69"/>
  <c r="M225" i="69" s="1"/>
  <c r="BE224" i="69"/>
  <c r="BD224" i="69"/>
  <c r="AV224" i="69"/>
  <c r="AW224" i="69" s="1"/>
  <c r="AM224" i="69"/>
  <c r="AL224" i="69"/>
  <c r="AE224" i="69"/>
  <c r="AD224" i="69"/>
  <c r="T224" i="69"/>
  <c r="U224" i="69" s="1"/>
  <c r="L224" i="69"/>
  <c r="M224" i="69" s="1"/>
  <c r="BE223" i="69"/>
  <c r="BD223" i="69"/>
  <c r="AV223" i="69"/>
  <c r="AW223" i="69" s="1"/>
  <c r="AM223" i="69"/>
  <c r="AL223" i="69"/>
  <c r="AE223" i="69"/>
  <c r="AD223" i="69"/>
  <c r="T223" i="69"/>
  <c r="U223" i="69" s="1"/>
  <c r="L223" i="69"/>
  <c r="M223" i="69" s="1"/>
  <c r="BE222" i="69"/>
  <c r="BD222" i="69"/>
  <c r="AV222" i="69"/>
  <c r="AW222" i="69" s="1"/>
  <c r="AM222" i="69"/>
  <c r="AL222" i="69"/>
  <c r="AE222" i="69"/>
  <c r="AD222" i="69"/>
  <c r="T222" i="69"/>
  <c r="U222" i="69" s="1"/>
  <c r="L222" i="69"/>
  <c r="M222" i="69" s="1"/>
  <c r="BE221" i="69"/>
  <c r="BD221" i="69"/>
  <c r="AW221" i="69"/>
  <c r="AV221" i="69"/>
  <c r="AM221" i="69"/>
  <c r="AL221" i="69"/>
  <c r="AE221" i="69"/>
  <c r="AD221" i="69"/>
  <c r="T221" i="69"/>
  <c r="U221" i="69" s="1"/>
  <c r="L221" i="69"/>
  <c r="M221" i="69" s="1"/>
  <c r="BE220" i="69"/>
  <c r="BD220" i="69"/>
  <c r="AV220" i="69"/>
  <c r="AW220" i="69" s="1"/>
  <c r="AM220" i="69"/>
  <c r="AL220" i="69"/>
  <c r="AE220" i="69"/>
  <c r="AD220" i="69"/>
  <c r="T220" i="69"/>
  <c r="U220" i="69" s="1"/>
  <c r="L220" i="69"/>
  <c r="M220" i="69" s="1"/>
  <c r="BE219" i="69"/>
  <c r="BD219" i="69"/>
  <c r="AV219" i="69"/>
  <c r="AW219" i="69" s="1"/>
  <c r="AM219" i="69"/>
  <c r="AL219" i="69"/>
  <c r="AE219" i="69"/>
  <c r="AD219" i="69"/>
  <c r="T219" i="69"/>
  <c r="U219" i="69" s="1"/>
  <c r="L219" i="69"/>
  <c r="M219" i="69" s="1"/>
  <c r="BE218" i="69"/>
  <c r="BD218" i="69"/>
  <c r="AV218" i="69"/>
  <c r="AW218" i="69" s="1"/>
  <c r="AM218" i="69"/>
  <c r="AL218" i="69"/>
  <c r="AE218" i="69"/>
  <c r="AD218" i="69"/>
  <c r="T218" i="69"/>
  <c r="U218" i="69" s="1"/>
  <c r="L218" i="69"/>
  <c r="M218" i="69" s="1"/>
  <c r="BE217" i="69"/>
  <c r="BD217" i="69"/>
  <c r="AV217" i="69"/>
  <c r="AW217" i="69" s="1"/>
  <c r="AM217" i="69"/>
  <c r="AL217" i="69"/>
  <c r="AE217" i="69"/>
  <c r="AD217" i="69"/>
  <c r="T217" i="69"/>
  <c r="U217" i="69" s="1"/>
  <c r="L217" i="69"/>
  <c r="M217" i="69" s="1"/>
  <c r="BE216" i="69"/>
  <c r="BD216" i="69"/>
  <c r="AV216" i="69"/>
  <c r="AW216" i="69" s="1"/>
  <c r="AM216" i="69"/>
  <c r="AL216" i="69"/>
  <c r="AE216" i="69"/>
  <c r="AD216" i="69"/>
  <c r="T216" i="69"/>
  <c r="U216" i="69" s="1"/>
  <c r="L216" i="69"/>
  <c r="M216" i="69" s="1"/>
  <c r="BE215" i="69"/>
  <c r="BD215" i="69"/>
  <c r="AW215" i="69"/>
  <c r="AV215" i="69"/>
  <c r="AM215" i="69"/>
  <c r="AL215" i="69"/>
  <c r="AE215" i="69"/>
  <c r="AD215" i="69"/>
  <c r="T215" i="69"/>
  <c r="U215" i="69" s="1"/>
  <c r="L215" i="69"/>
  <c r="M215" i="69" s="1"/>
  <c r="BE214" i="69"/>
  <c r="BD214" i="69"/>
  <c r="AV214" i="69"/>
  <c r="AW214" i="69" s="1"/>
  <c r="AM214" i="69"/>
  <c r="AL214" i="69"/>
  <c r="AE214" i="69"/>
  <c r="AD214" i="69"/>
  <c r="T214" i="69"/>
  <c r="U214" i="69" s="1"/>
  <c r="L214" i="69"/>
  <c r="M214" i="69" s="1"/>
  <c r="BE213" i="69"/>
  <c r="BD213" i="69"/>
  <c r="AV213" i="69"/>
  <c r="AW213" i="69" s="1"/>
  <c r="AM213" i="69"/>
  <c r="AL213" i="69"/>
  <c r="AE213" i="69"/>
  <c r="AD213" i="69"/>
  <c r="T213" i="69"/>
  <c r="U213" i="69" s="1"/>
  <c r="L213" i="69"/>
  <c r="M213" i="69" s="1"/>
  <c r="BE212" i="69"/>
  <c r="BD212" i="69"/>
  <c r="AV212" i="69"/>
  <c r="AW212" i="69" s="1"/>
  <c r="AM212" i="69"/>
  <c r="AL212" i="69"/>
  <c r="AE212" i="69"/>
  <c r="AD212" i="69"/>
  <c r="T212" i="69"/>
  <c r="U212" i="69" s="1"/>
  <c r="L212" i="69"/>
  <c r="M212" i="69" s="1"/>
  <c r="BE211" i="69"/>
  <c r="BD211" i="69"/>
  <c r="AV211" i="69"/>
  <c r="AW211" i="69" s="1"/>
  <c r="AM211" i="69"/>
  <c r="AL211" i="69"/>
  <c r="AE211" i="69"/>
  <c r="AD211" i="69"/>
  <c r="T211" i="69"/>
  <c r="U211" i="69" s="1"/>
  <c r="L211" i="69"/>
  <c r="M211" i="69" s="1"/>
  <c r="BE210" i="69"/>
  <c r="BD210" i="69"/>
  <c r="AV210" i="69"/>
  <c r="AW210" i="69" s="1"/>
  <c r="AM210" i="69"/>
  <c r="AL210" i="69"/>
  <c r="AE210" i="69"/>
  <c r="AD210" i="69"/>
  <c r="T210" i="69"/>
  <c r="U210" i="69" s="1"/>
  <c r="L210" i="69"/>
  <c r="M210" i="69" s="1"/>
  <c r="BE209" i="69"/>
  <c r="BD209" i="69"/>
  <c r="AW209" i="69"/>
  <c r="AV209" i="69"/>
  <c r="AM209" i="69"/>
  <c r="AL209" i="69"/>
  <c r="AE209" i="69"/>
  <c r="AD209" i="69"/>
  <c r="T209" i="69"/>
  <c r="U209" i="69" s="1"/>
  <c r="L209" i="69"/>
  <c r="M209" i="69" s="1"/>
  <c r="BE208" i="69"/>
  <c r="BD208" i="69"/>
  <c r="AV208" i="69"/>
  <c r="AW208" i="69" s="1"/>
  <c r="AM208" i="69"/>
  <c r="AL208" i="69"/>
  <c r="AE208" i="69"/>
  <c r="AD208" i="69"/>
  <c r="T208" i="69"/>
  <c r="U208" i="69" s="1"/>
  <c r="L208" i="69"/>
  <c r="M208" i="69" s="1"/>
  <c r="BE207" i="69"/>
  <c r="BD207" i="69"/>
  <c r="AV207" i="69"/>
  <c r="AW207" i="69" s="1"/>
  <c r="AM207" i="69"/>
  <c r="AL207" i="69"/>
  <c r="AE207" i="69"/>
  <c r="AD207" i="69"/>
  <c r="T207" i="69"/>
  <c r="U207" i="69" s="1"/>
  <c r="L207" i="69"/>
  <c r="M207" i="69" s="1"/>
  <c r="BE206" i="69"/>
  <c r="BD206" i="69"/>
  <c r="AV206" i="69"/>
  <c r="AW206" i="69" s="1"/>
  <c r="AM206" i="69"/>
  <c r="AL206" i="69"/>
  <c r="AE206" i="69"/>
  <c r="AD206" i="69"/>
  <c r="T206" i="69"/>
  <c r="U206" i="69" s="1"/>
  <c r="L206" i="69"/>
  <c r="M206" i="69" s="1"/>
  <c r="BE205" i="69"/>
  <c r="BD205" i="69"/>
  <c r="AV205" i="69"/>
  <c r="AW205" i="69" s="1"/>
  <c r="AM205" i="69"/>
  <c r="AL205" i="69"/>
  <c r="AE205" i="69"/>
  <c r="AD205" i="69"/>
  <c r="T205" i="69"/>
  <c r="U205" i="69" s="1"/>
  <c r="L205" i="69"/>
  <c r="M205" i="69" s="1"/>
  <c r="BE204" i="69"/>
  <c r="BD204" i="69"/>
  <c r="AV204" i="69"/>
  <c r="AW204" i="69" s="1"/>
  <c r="AM204" i="69"/>
  <c r="AL204" i="69"/>
  <c r="AE204" i="69"/>
  <c r="AD204" i="69"/>
  <c r="T204" i="69"/>
  <c r="U204" i="69" s="1"/>
  <c r="L204" i="69"/>
  <c r="M204" i="69" s="1"/>
  <c r="BE203" i="69"/>
  <c r="BD203" i="69"/>
  <c r="AW203" i="69"/>
  <c r="AV203" i="69"/>
  <c r="AM203" i="69"/>
  <c r="AL203" i="69"/>
  <c r="AE203" i="69"/>
  <c r="AD203" i="69"/>
  <c r="T203" i="69"/>
  <c r="U203" i="69" s="1"/>
  <c r="L203" i="69"/>
  <c r="M203" i="69" s="1"/>
  <c r="BE202" i="69"/>
  <c r="BD202" i="69"/>
  <c r="AV202" i="69"/>
  <c r="AW202" i="69" s="1"/>
  <c r="AM202" i="69"/>
  <c r="AL202" i="69"/>
  <c r="AE202" i="69"/>
  <c r="AD202" i="69"/>
  <c r="T202" i="69"/>
  <c r="U202" i="69" s="1"/>
  <c r="L202" i="69"/>
  <c r="M202" i="69" s="1"/>
  <c r="BE201" i="69"/>
  <c r="BD201" i="69"/>
  <c r="AV201" i="69"/>
  <c r="AW201" i="69" s="1"/>
  <c r="AM201" i="69"/>
  <c r="AL201" i="69"/>
  <c r="AE201" i="69"/>
  <c r="AD201" i="69"/>
  <c r="T201" i="69"/>
  <c r="U201" i="69" s="1"/>
  <c r="L201" i="69"/>
  <c r="M201" i="69" s="1"/>
  <c r="BE200" i="69"/>
  <c r="BD200" i="69"/>
  <c r="AV200" i="69"/>
  <c r="AW200" i="69" s="1"/>
  <c r="AM200" i="69"/>
  <c r="AL200" i="69"/>
  <c r="AE200" i="69"/>
  <c r="AD200" i="69"/>
  <c r="U200" i="69"/>
  <c r="T200" i="69"/>
  <c r="L200" i="69"/>
  <c r="M200" i="69" s="1"/>
  <c r="BE199" i="69"/>
  <c r="BD199" i="69"/>
  <c r="AW199" i="69"/>
  <c r="AV199" i="69"/>
  <c r="AM199" i="69"/>
  <c r="AL199" i="69"/>
  <c r="AE199" i="69"/>
  <c r="AD199" i="69"/>
  <c r="U199" i="69"/>
  <c r="T199" i="69"/>
  <c r="L199" i="69"/>
  <c r="M199" i="69" s="1"/>
  <c r="BE198" i="69"/>
  <c r="BD198" i="69"/>
  <c r="AV198" i="69"/>
  <c r="AW198" i="69" s="1"/>
  <c r="AM198" i="69"/>
  <c r="AL198" i="69"/>
  <c r="AE198" i="69"/>
  <c r="AD198" i="69"/>
  <c r="T198" i="69"/>
  <c r="U198" i="69" s="1"/>
  <c r="L198" i="69"/>
  <c r="M198" i="69" s="1"/>
  <c r="BE197" i="69"/>
  <c r="BD197" i="69"/>
  <c r="AW197" i="69"/>
  <c r="AV197" i="69"/>
  <c r="AM197" i="69"/>
  <c r="AL197" i="69"/>
  <c r="AE197" i="69"/>
  <c r="AD197" i="69"/>
  <c r="T197" i="69"/>
  <c r="U197" i="69" s="1"/>
  <c r="L197" i="69"/>
  <c r="M197" i="69" s="1"/>
  <c r="BE196" i="69"/>
  <c r="BD196" i="69"/>
  <c r="AV196" i="69"/>
  <c r="AW196" i="69" s="1"/>
  <c r="AM196" i="69"/>
  <c r="AL196" i="69"/>
  <c r="AE196" i="69"/>
  <c r="AD196" i="69"/>
  <c r="T196" i="69"/>
  <c r="U196" i="69" s="1"/>
  <c r="L196" i="69"/>
  <c r="M196" i="69" s="1"/>
  <c r="BE195" i="69"/>
  <c r="BD195" i="69"/>
  <c r="AV195" i="69"/>
  <c r="AW195" i="69" s="1"/>
  <c r="AM195" i="69"/>
  <c r="AL195" i="69"/>
  <c r="AE195" i="69"/>
  <c r="AD195" i="69"/>
  <c r="U195" i="69"/>
  <c r="T195" i="69"/>
  <c r="L195" i="69"/>
  <c r="M195" i="69" s="1"/>
  <c r="BE194" i="69"/>
  <c r="BD194" i="69"/>
  <c r="AW194" i="69"/>
  <c r="AV194" i="69"/>
  <c r="AM194" i="69"/>
  <c r="AL194" i="69"/>
  <c r="AE194" i="69"/>
  <c r="AD194" i="69"/>
  <c r="T194" i="69"/>
  <c r="U194" i="69" s="1"/>
  <c r="L194" i="69"/>
  <c r="M194" i="69" s="1"/>
  <c r="BE193" i="69"/>
  <c r="BD193" i="69"/>
  <c r="AV193" i="69"/>
  <c r="AW193" i="69" s="1"/>
  <c r="AM193" i="69"/>
  <c r="AL193" i="69"/>
  <c r="AE193" i="69"/>
  <c r="AD193" i="69"/>
  <c r="U193" i="69"/>
  <c r="T193" i="69"/>
  <c r="L193" i="69"/>
  <c r="M193" i="69" s="1"/>
  <c r="BE192" i="69"/>
  <c r="BD192" i="69"/>
  <c r="AV192" i="69"/>
  <c r="AW192" i="69" s="1"/>
  <c r="AM192" i="69"/>
  <c r="AL192" i="69"/>
  <c r="AE192" i="69"/>
  <c r="AD192" i="69"/>
  <c r="T192" i="69"/>
  <c r="U192" i="69" s="1"/>
  <c r="L192" i="69"/>
  <c r="M192" i="69" s="1"/>
  <c r="BE191" i="69"/>
  <c r="BD191" i="69"/>
  <c r="AV191" i="69"/>
  <c r="AW191" i="69" s="1"/>
  <c r="AM191" i="69"/>
  <c r="AL191" i="69"/>
  <c r="AE191" i="69"/>
  <c r="AD191" i="69"/>
  <c r="U191" i="69"/>
  <c r="T191" i="69"/>
  <c r="L191" i="69"/>
  <c r="M191" i="69" s="1"/>
  <c r="BE190" i="69"/>
  <c r="BD190" i="69"/>
  <c r="AV190" i="69"/>
  <c r="AW190" i="69" s="1"/>
  <c r="AM190" i="69"/>
  <c r="AL190" i="69"/>
  <c r="AE190" i="69"/>
  <c r="AD190" i="69"/>
  <c r="T190" i="69"/>
  <c r="U190" i="69" s="1"/>
  <c r="L190" i="69"/>
  <c r="M190" i="69" s="1"/>
  <c r="BE189" i="69"/>
  <c r="BD189" i="69"/>
  <c r="AW189" i="69"/>
  <c r="AV189" i="69"/>
  <c r="AM189" i="69"/>
  <c r="AL189" i="69"/>
  <c r="AE189" i="69"/>
  <c r="AD189" i="69"/>
  <c r="T189" i="69"/>
  <c r="U189" i="69" s="1"/>
  <c r="L189" i="69"/>
  <c r="M189" i="69" s="1"/>
  <c r="BE188" i="69"/>
  <c r="BD188" i="69"/>
  <c r="AV188" i="69"/>
  <c r="AW188" i="69" s="1"/>
  <c r="AM188" i="69"/>
  <c r="AL188" i="69"/>
  <c r="AE188" i="69"/>
  <c r="AD188" i="69"/>
  <c r="U188" i="69"/>
  <c r="T188" i="69"/>
  <c r="L188" i="69"/>
  <c r="M188" i="69" s="1"/>
  <c r="BE187" i="69"/>
  <c r="BD187" i="69"/>
  <c r="AW187" i="69"/>
  <c r="AV187" i="69"/>
  <c r="AM187" i="69"/>
  <c r="AL187" i="69"/>
  <c r="AE187" i="69"/>
  <c r="AD187" i="69"/>
  <c r="U187" i="69"/>
  <c r="T187" i="69"/>
  <c r="L187" i="69"/>
  <c r="M187" i="69" s="1"/>
  <c r="BE186" i="69"/>
  <c r="BD186" i="69"/>
  <c r="AV186" i="69"/>
  <c r="AW186" i="69" s="1"/>
  <c r="AM186" i="69"/>
  <c r="AL186" i="69"/>
  <c r="AE186" i="69"/>
  <c r="AD186" i="69"/>
  <c r="T186" i="69"/>
  <c r="U186" i="69" s="1"/>
  <c r="L186" i="69"/>
  <c r="M186" i="69" s="1"/>
  <c r="BE185" i="69"/>
  <c r="BD185" i="69"/>
  <c r="AW185" i="69"/>
  <c r="AV185" i="69"/>
  <c r="AM185" i="69"/>
  <c r="AL185" i="69"/>
  <c r="AE185" i="69"/>
  <c r="AD185" i="69"/>
  <c r="T185" i="69"/>
  <c r="U185" i="69" s="1"/>
  <c r="L185" i="69"/>
  <c r="M185" i="69" s="1"/>
  <c r="BE184" i="69"/>
  <c r="BD184" i="69"/>
  <c r="AV184" i="69"/>
  <c r="AW184" i="69" s="1"/>
  <c r="AM184" i="69"/>
  <c r="AL184" i="69"/>
  <c r="AE184" i="69"/>
  <c r="AD184" i="69"/>
  <c r="T184" i="69"/>
  <c r="U184" i="69" s="1"/>
  <c r="L184" i="69"/>
  <c r="M184" i="69" s="1"/>
  <c r="BE183" i="69"/>
  <c r="BD183" i="69"/>
  <c r="AV183" i="69"/>
  <c r="AW183" i="69" s="1"/>
  <c r="AM183" i="69"/>
  <c r="AL183" i="69"/>
  <c r="AE183" i="69"/>
  <c r="AD183" i="69"/>
  <c r="U183" i="69"/>
  <c r="T183" i="69"/>
  <c r="L183" i="69"/>
  <c r="M183" i="69" s="1"/>
  <c r="BE182" i="69"/>
  <c r="BD182" i="69"/>
  <c r="AW182" i="69"/>
  <c r="AV182" i="69"/>
  <c r="AL182" i="69"/>
  <c r="AM182" i="69" s="1"/>
  <c r="AE182" i="69"/>
  <c r="AD182" i="69"/>
  <c r="T182" i="69"/>
  <c r="U182" i="69" s="1"/>
  <c r="L182" i="69"/>
  <c r="M182" i="69" s="1"/>
  <c r="BE181" i="69"/>
  <c r="BD181" i="69"/>
  <c r="AV181" i="69"/>
  <c r="AW181" i="69" s="1"/>
  <c r="AL181" i="69"/>
  <c r="AM181" i="69" s="1"/>
  <c r="AE181" i="69"/>
  <c r="AD181" i="69"/>
  <c r="U181" i="69"/>
  <c r="T181" i="69"/>
  <c r="L181" i="69"/>
  <c r="M181" i="69" s="1"/>
  <c r="BE180" i="69"/>
  <c r="BD180" i="69"/>
  <c r="AV180" i="69"/>
  <c r="AW180" i="69" s="1"/>
  <c r="AM180" i="69"/>
  <c r="AL180" i="69"/>
  <c r="AE180" i="69"/>
  <c r="AD180" i="69"/>
  <c r="T180" i="69"/>
  <c r="U180" i="69" s="1"/>
  <c r="L180" i="69"/>
  <c r="M180" i="69" s="1"/>
  <c r="BE179" i="69"/>
  <c r="BD179" i="69"/>
  <c r="AV179" i="69"/>
  <c r="AW179" i="69" s="1"/>
  <c r="AM179" i="69"/>
  <c r="AL179" i="69"/>
  <c r="AE179" i="69"/>
  <c r="AD179" i="69"/>
  <c r="U179" i="69"/>
  <c r="T179" i="69"/>
  <c r="L179" i="69"/>
  <c r="M179" i="69" s="1"/>
  <c r="BE178" i="69"/>
  <c r="BD178" i="69"/>
  <c r="AV178" i="69"/>
  <c r="AW178" i="69" s="1"/>
  <c r="AL178" i="69"/>
  <c r="AM178" i="69" s="1"/>
  <c r="AE178" i="69"/>
  <c r="AD178" i="69"/>
  <c r="T178" i="69"/>
  <c r="U178" i="69" s="1"/>
  <c r="L178" i="69"/>
  <c r="M178" i="69" s="1"/>
  <c r="BE177" i="69"/>
  <c r="BD177" i="69"/>
  <c r="AW177" i="69"/>
  <c r="AV177" i="69"/>
  <c r="AL177" i="69"/>
  <c r="AM177" i="69" s="1"/>
  <c r="AE177" i="69"/>
  <c r="AD177" i="69"/>
  <c r="T177" i="69"/>
  <c r="U177" i="69" s="1"/>
  <c r="L177" i="69"/>
  <c r="M177" i="69" s="1"/>
  <c r="BE176" i="69"/>
  <c r="BD176" i="69"/>
  <c r="AV176" i="69"/>
  <c r="AW176" i="69" s="1"/>
  <c r="AL176" i="69"/>
  <c r="AM176" i="69" s="1"/>
  <c r="AE176" i="69"/>
  <c r="AD176" i="69"/>
  <c r="U176" i="69"/>
  <c r="T176" i="69"/>
  <c r="L176" i="69"/>
  <c r="M176" i="69" s="1"/>
  <c r="BE175" i="69"/>
  <c r="BD175" i="69"/>
  <c r="AW175" i="69"/>
  <c r="AV175" i="69"/>
  <c r="AM175" i="69"/>
  <c r="AL175" i="69"/>
  <c r="AE175" i="69"/>
  <c r="AD175" i="69"/>
  <c r="U175" i="69"/>
  <c r="T175" i="69"/>
  <c r="L175" i="69"/>
  <c r="M175" i="69" s="1"/>
  <c r="BE174" i="69"/>
  <c r="BD174" i="69"/>
  <c r="AV174" i="69"/>
  <c r="AW174" i="69" s="1"/>
  <c r="AL174" i="69"/>
  <c r="AM174" i="69" s="1"/>
  <c r="AE174" i="69"/>
  <c r="AD174" i="69"/>
  <c r="T174" i="69"/>
  <c r="U174" i="69" s="1"/>
  <c r="L174" i="69"/>
  <c r="M174" i="69" s="1"/>
  <c r="BE173" i="69"/>
  <c r="BD173" i="69"/>
  <c r="AW173" i="69"/>
  <c r="AV173" i="69"/>
  <c r="AM173" i="69"/>
  <c r="AL173" i="69"/>
  <c r="AE173" i="69"/>
  <c r="AD173" i="69"/>
  <c r="T173" i="69"/>
  <c r="U173" i="69" s="1"/>
  <c r="L173" i="69"/>
  <c r="M173" i="69" s="1"/>
  <c r="BE172" i="69"/>
  <c r="BD172" i="69"/>
  <c r="AV172" i="69"/>
  <c r="AW172" i="69" s="1"/>
  <c r="AL172" i="69"/>
  <c r="AM172" i="69" s="1"/>
  <c r="AD172" i="69"/>
  <c r="AE172" i="69" s="1"/>
  <c r="T172" i="69"/>
  <c r="U172" i="69" s="1"/>
  <c r="L172" i="69"/>
  <c r="M172" i="69" s="1"/>
  <c r="BE171" i="69"/>
  <c r="BD171" i="69"/>
  <c r="AV171" i="69"/>
  <c r="AW171" i="69" s="1"/>
  <c r="AM171" i="69"/>
  <c r="AL171" i="69"/>
  <c r="AE171" i="69"/>
  <c r="AD171" i="69"/>
  <c r="U171" i="69"/>
  <c r="T171" i="69"/>
  <c r="L171" i="69"/>
  <c r="M171" i="69" s="1"/>
  <c r="BE170" i="69"/>
  <c r="BD170" i="69"/>
  <c r="AW170" i="69"/>
  <c r="AV170" i="69"/>
  <c r="AL170" i="69"/>
  <c r="AM170" i="69" s="1"/>
  <c r="AD170" i="69"/>
  <c r="AE170" i="69" s="1"/>
  <c r="T170" i="69"/>
  <c r="U170" i="69" s="1"/>
  <c r="L170" i="69"/>
  <c r="M170" i="69" s="1"/>
  <c r="BE169" i="69"/>
  <c r="BD169" i="69"/>
  <c r="AW169" i="69"/>
  <c r="AV169" i="69"/>
  <c r="AL169" i="69"/>
  <c r="AM169" i="69" s="1"/>
  <c r="AE169" i="69"/>
  <c r="AD169" i="69"/>
  <c r="U169" i="69"/>
  <c r="T169" i="69"/>
  <c r="L169" i="69"/>
  <c r="M169" i="69" s="1"/>
  <c r="BE168" i="69"/>
  <c r="BD168" i="69"/>
  <c r="AV168" i="69"/>
  <c r="AW168" i="69" s="1"/>
  <c r="AM168" i="69"/>
  <c r="AL168" i="69"/>
  <c r="AD168" i="69"/>
  <c r="AE168" i="69" s="1"/>
  <c r="T168" i="69"/>
  <c r="U168" i="69" s="1"/>
  <c r="L168" i="69"/>
  <c r="M168" i="69" s="1"/>
  <c r="BE167" i="69"/>
  <c r="BD167" i="69"/>
  <c r="AV167" i="69"/>
  <c r="AW167" i="69" s="1"/>
  <c r="AM167" i="69"/>
  <c r="AL167" i="69"/>
  <c r="AD167" i="69"/>
  <c r="AE167" i="69" s="1"/>
  <c r="U167" i="69"/>
  <c r="T167" i="69"/>
  <c r="L167" i="69"/>
  <c r="M167" i="69" s="1"/>
  <c r="BE166" i="69"/>
  <c r="BD166" i="69"/>
  <c r="AV166" i="69"/>
  <c r="AW166" i="69" s="1"/>
  <c r="AL166" i="69"/>
  <c r="AM166" i="69" s="1"/>
  <c r="AE166" i="69"/>
  <c r="AD166" i="69"/>
  <c r="T166" i="69"/>
  <c r="U166" i="69" s="1"/>
  <c r="L166" i="69"/>
  <c r="M166" i="69" s="1"/>
  <c r="BE165" i="69"/>
  <c r="BD165" i="69"/>
  <c r="AW165" i="69"/>
  <c r="AV165" i="69"/>
  <c r="AL165" i="69"/>
  <c r="AM165" i="69" s="1"/>
  <c r="AE165" i="69"/>
  <c r="AD165" i="69"/>
  <c r="T165" i="69"/>
  <c r="U165" i="69" s="1"/>
  <c r="L165" i="69"/>
  <c r="M165" i="69" s="1"/>
  <c r="BE164" i="69"/>
  <c r="BD164" i="69"/>
  <c r="AV164" i="69"/>
  <c r="AW164" i="69" s="1"/>
  <c r="AL164" i="69"/>
  <c r="AM164" i="69" s="1"/>
  <c r="AD164" i="69"/>
  <c r="AE164" i="69" s="1"/>
  <c r="U164" i="69"/>
  <c r="T164" i="69"/>
  <c r="L164" i="69"/>
  <c r="M164" i="69" s="1"/>
  <c r="BE163" i="69"/>
  <c r="BD163" i="69"/>
  <c r="AW163" i="69"/>
  <c r="AV163" i="69"/>
  <c r="AM163" i="69"/>
  <c r="AL163" i="69"/>
  <c r="AD163" i="69"/>
  <c r="AE163" i="69" s="1"/>
  <c r="U163" i="69"/>
  <c r="T163" i="69"/>
  <c r="L163" i="69"/>
  <c r="M163" i="69" s="1"/>
  <c r="BE162" i="69"/>
  <c r="BD162" i="69"/>
  <c r="AV162" i="69"/>
  <c r="AW162" i="69" s="1"/>
  <c r="AL162" i="69"/>
  <c r="AM162" i="69" s="1"/>
  <c r="AD162" i="69"/>
  <c r="AE162" i="69" s="1"/>
  <c r="T162" i="69"/>
  <c r="U162" i="69" s="1"/>
  <c r="L162" i="69"/>
  <c r="M162" i="69" s="1"/>
  <c r="BE161" i="69"/>
  <c r="BD161" i="69"/>
  <c r="AW161" i="69"/>
  <c r="AV161" i="69"/>
  <c r="AM161" i="69"/>
  <c r="AL161" i="69"/>
  <c r="AE161" i="69"/>
  <c r="AD161" i="69"/>
  <c r="T161" i="69"/>
  <c r="U161" i="69" s="1"/>
  <c r="M161" i="69"/>
  <c r="L161" i="69"/>
  <c r="BE160" i="69"/>
  <c r="BD160" i="69"/>
  <c r="AW160" i="69"/>
  <c r="AV160" i="69"/>
  <c r="AM160" i="69"/>
  <c r="AL160" i="69"/>
  <c r="AE160" i="69"/>
  <c r="AD160" i="69"/>
  <c r="T160" i="69"/>
  <c r="U160" i="69" s="1"/>
  <c r="L160" i="69"/>
  <c r="M160" i="69" s="1"/>
  <c r="BE159" i="69"/>
  <c r="BD159" i="69"/>
  <c r="AW159" i="69"/>
  <c r="AV159" i="69"/>
  <c r="AM159" i="69"/>
  <c r="AL159" i="69"/>
  <c r="AE159" i="69"/>
  <c r="AD159" i="69"/>
  <c r="T159" i="69"/>
  <c r="U159" i="69" s="1"/>
  <c r="M159" i="69"/>
  <c r="L159" i="69"/>
  <c r="BE158" i="69"/>
  <c r="BD158" i="69"/>
  <c r="AW158" i="69"/>
  <c r="AV158" i="69"/>
  <c r="AM158" i="69"/>
  <c r="AL158" i="69"/>
  <c r="AE158" i="69"/>
  <c r="AD158" i="69"/>
  <c r="T158" i="69"/>
  <c r="U158" i="69" s="1"/>
  <c r="L158" i="69"/>
  <c r="M158" i="69" s="1"/>
  <c r="BE157" i="69"/>
  <c r="BD157" i="69"/>
  <c r="AW157" i="69"/>
  <c r="AV157" i="69"/>
  <c r="AM157" i="69"/>
  <c r="AL157" i="69"/>
  <c r="AE157" i="69"/>
  <c r="AD157" i="69"/>
  <c r="T157" i="69"/>
  <c r="U157" i="69" s="1"/>
  <c r="M157" i="69"/>
  <c r="L157" i="69"/>
  <c r="BE156" i="69"/>
  <c r="BD156" i="69"/>
  <c r="AW156" i="69"/>
  <c r="AV156" i="69"/>
  <c r="AM156" i="69"/>
  <c r="AL156" i="69"/>
  <c r="AE156" i="69"/>
  <c r="AD156" i="69"/>
  <c r="T156" i="69"/>
  <c r="U156" i="69" s="1"/>
  <c r="L156" i="69"/>
  <c r="M156" i="69" s="1"/>
  <c r="BE155" i="69"/>
  <c r="BD155" i="69"/>
  <c r="AW155" i="69"/>
  <c r="AV155" i="69"/>
  <c r="AM155" i="69"/>
  <c r="AL155" i="69"/>
  <c r="AE155" i="69"/>
  <c r="AD155" i="69"/>
  <c r="T155" i="69"/>
  <c r="U155" i="69" s="1"/>
  <c r="L155" i="69"/>
  <c r="M155" i="69" s="1"/>
  <c r="BE154" i="69"/>
  <c r="BD154" i="69"/>
  <c r="AW154" i="69"/>
  <c r="AV154" i="69"/>
  <c r="AM154" i="69"/>
  <c r="AL154" i="69"/>
  <c r="AE154" i="69"/>
  <c r="AD154" i="69"/>
  <c r="T154" i="69"/>
  <c r="U154" i="69" s="1"/>
  <c r="M154" i="69"/>
  <c r="L154" i="69"/>
  <c r="BE153" i="69"/>
  <c r="BD153" i="69"/>
  <c r="AW153" i="69"/>
  <c r="AV153" i="69"/>
  <c r="AM153" i="69"/>
  <c r="AL153" i="69"/>
  <c r="AE153" i="69"/>
  <c r="AD153" i="69"/>
  <c r="T153" i="69"/>
  <c r="U153" i="69" s="1"/>
  <c r="L153" i="69"/>
  <c r="M153" i="69" s="1"/>
  <c r="BE152" i="69"/>
  <c r="BD152" i="69"/>
  <c r="AW152" i="69"/>
  <c r="AV152" i="69"/>
  <c r="AM152" i="69"/>
  <c r="AL152" i="69"/>
  <c r="AE152" i="69"/>
  <c r="AD152" i="69"/>
  <c r="T152" i="69"/>
  <c r="U152" i="69" s="1"/>
  <c r="M152" i="69"/>
  <c r="L152" i="69"/>
  <c r="BE151" i="69"/>
  <c r="BD151" i="69"/>
  <c r="AW151" i="69"/>
  <c r="AV151" i="69"/>
  <c r="AM151" i="69"/>
  <c r="AL151" i="69"/>
  <c r="AE151" i="69"/>
  <c r="AD151" i="69"/>
  <c r="T151" i="69"/>
  <c r="U151" i="69" s="1"/>
  <c r="L151" i="69"/>
  <c r="M151" i="69" s="1"/>
  <c r="BE150" i="69"/>
  <c r="BD150" i="69"/>
  <c r="AW150" i="69"/>
  <c r="AV150" i="69"/>
  <c r="AM150" i="69"/>
  <c r="AL150" i="69"/>
  <c r="AE150" i="69"/>
  <c r="AD150" i="69"/>
  <c r="T150" i="69"/>
  <c r="U150" i="69" s="1"/>
  <c r="L150" i="69"/>
  <c r="M150" i="69" s="1"/>
  <c r="BE149" i="69"/>
  <c r="BD149" i="69"/>
  <c r="AW149" i="69"/>
  <c r="AV149" i="69"/>
  <c r="AM149" i="69"/>
  <c r="AL149" i="69"/>
  <c r="AE149" i="69"/>
  <c r="AD149" i="69"/>
  <c r="T149" i="69"/>
  <c r="U149" i="69" s="1"/>
  <c r="M149" i="69"/>
  <c r="L149" i="69"/>
  <c r="BE148" i="69"/>
  <c r="BD148" i="69"/>
  <c r="AW148" i="69"/>
  <c r="AV148" i="69"/>
  <c r="AM148" i="69"/>
  <c r="AL148" i="69"/>
  <c r="AE148" i="69"/>
  <c r="AD148" i="69"/>
  <c r="T148" i="69"/>
  <c r="U148" i="69" s="1"/>
  <c r="L148" i="69"/>
  <c r="M148" i="69" s="1"/>
  <c r="BE147" i="69"/>
  <c r="BD147" i="69"/>
  <c r="AW147" i="69"/>
  <c r="AV147" i="69"/>
  <c r="AM147" i="69"/>
  <c r="AL147" i="69"/>
  <c r="AE147" i="69"/>
  <c r="AD147" i="69"/>
  <c r="T147" i="69"/>
  <c r="U147" i="69" s="1"/>
  <c r="M147" i="69"/>
  <c r="L147" i="69"/>
  <c r="BE146" i="69"/>
  <c r="BD146" i="69"/>
  <c r="AW146" i="69"/>
  <c r="AV146" i="69"/>
  <c r="AM146" i="69"/>
  <c r="AL146" i="69"/>
  <c r="AE146" i="69"/>
  <c r="AD146" i="69"/>
  <c r="T146" i="69"/>
  <c r="U146" i="69" s="1"/>
  <c r="L146" i="69"/>
  <c r="M146" i="69" s="1"/>
  <c r="BE145" i="69"/>
  <c r="BD145" i="69"/>
  <c r="AW145" i="69"/>
  <c r="AV145" i="69"/>
  <c r="AM145" i="69"/>
  <c r="AL145" i="69"/>
  <c r="AE145" i="69"/>
  <c r="AD145" i="69"/>
  <c r="T145" i="69"/>
  <c r="U145" i="69" s="1"/>
  <c r="M145" i="69"/>
  <c r="L145" i="69"/>
  <c r="BE144" i="69"/>
  <c r="BD144" i="69"/>
  <c r="AW144" i="69"/>
  <c r="AV144" i="69"/>
  <c r="AM144" i="69"/>
  <c r="AL144" i="69"/>
  <c r="AE144" i="69"/>
  <c r="AD144" i="69"/>
  <c r="T144" i="69"/>
  <c r="U144" i="69" s="1"/>
  <c r="L144" i="69"/>
  <c r="M144" i="69" s="1"/>
  <c r="BE143" i="69"/>
  <c r="BD143" i="69"/>
  <c r="AW143" i="69"/>
  <c r="AV143" i="69"/>
  <c r="AM143" i="69"/>
  <c r="AL143" i="69"/>
  <c r="AE143" i="69"/>
  <c r="AD143" i="69"/>
  <c r="T143" i="69"/>
  <c r="U143" i="69" s="1"/>
  <c r="L143" i="69"/>
  <c r="M143" i="69" s="1"/>
  <c r="BE142" i="69"/>
  <c r="BD142" i="69"/>
  <c r="AW142" i="69"/>
  <c r="AV142" i="69"/>
  <c r="AM142" i="69"/>
  <c r="AL142" i="69"/>
  <c r="AE142" i="69"/>
  <c r="AD142" i="69"/>
  <c r="T142" i="69"/>
  <c r="U142" i="69" s="1"/>
  <c r="M142" i="69"/>
  <c r="L142" i="69"/>
  <c r="BE141" i="69"/>
  <c r="BD141" i="69"/>
  <c r="AW141" i="69"/>
  <c r="AV141" i="69"/>
  <c r="AM141" i="69"/>
  <c r="AL141" i="69"/>
  <c r="AE141" i="69"/>
  <c r="AD141" i="69"/>
  <c r="T141" i="69"/>
  <c r="U141" i="69" s="1"/>
  <c r="L141" i="69"/>
  <c r="M141" i="69" s="1"/>
  <c r="BE140" i="69"/>
  <c r="BD140" i="69"/>
  <c r="AW140" i="69"/>
  <c r="AV140" i="69"/>
  <c r="AM140" i="69"/>
  <c r="AL140" i="69"/>
  <c r="AE140" i="69"/>
  <c r="AD140" i="69"/>
  <c r="T140" i="69"/>
  <c r="U140" i="69" s="1"/>
  <c r="M140" i="69"/>
  <c r="L140" i="69"/>
  <c r="BE139" i="69"/>
  <c r="BD139" i="69"/>
  <c r="AW139" i="69"/>
  <c r="AV139" i="69"/>
  <c r="AM139" i="69"/>
  <c r="AL139" i="69"/>
  <c r="AE139" i="69"/>
  <c r="AD139" i="69"/>
  <c r="T139" i="69"/>
  <c r="U139" i="69" s="1"/>
  <c r="L139" i="69"/>
  <c r="M139" i="69" s="1"/>
  <c r="BE138" i="69"/>
  <c r="BD138" i="69"/>
  <c r="AW138" i="69"/>
  <c r="AV138" i="69"/>
  <c r="AM138" i="69"/>
  <c r="AL138" i="69"/>
  <c r="AE138" i="69"/>
  <c r="AD138" i="69"/>
  <c r="T138" i="69"/>
  <c r="U138" i="69" s="1"/>
  <c r="L138" i="69"/>
  <c r="M138" i="69" s="1"/>
  <c r="BD137" i="69"/>
  <c r="BE137" i="69" s="1"/>
  <c r="AW137" i="69"/>
  <c r="AV137" i="69"/>
  <c r="AM137" i="69"/>
  <c r="AL137" i="69"/>
  <c r="AE137" i="69"/>
  <c r="AD137" i="69"/>
  <c r="T137" i="69"/>
  <c r="U137" i="69" s="1"/>
  <c r="L137" i="69"/>
  <c r="M137" i="69" s="1"/>
  <c r="BD136" i="69"/>
  <c r="BE136" i="69" s="1"/>
  <c r="AW136" i="69"/>
  <c r="AV136" i="69"/>
  <c r="AM136" i="69"/>
  <c r="AL136" i="69"/>
  <c r="AE136" i="69"/>
  <c r="AD136" i="69"/>
  <c r="T136" i="69"/>
  <c r="U136" i="69" s="1"/>
  <c r="L136" i="69"/>
  <c r="M136" i="69" s="1"/>
  <c r="BD135" i="69"/>
  <c r="BE135" i="69" s="1"/>
  <c r="AW135" i="69"/>
  <c r="AV135" i="69"/>
  <c r="AM135" i="69"/>
  <c r="AL135" i="69"/>
  <c r="AE135" i="69"/>
  <c r="AD135" i="69"/>
  <c r="T135" i="69"/>
  <c r="U135" i="69" s="1"/>
  <c r="L135" i="69"/>
  <c r="M135" i="69" s="1"/>
  <c r="BD134" i="69"/>
  <c r="BE134" i="69" s="1"/>
  <c r="AW134" i="69"/>
  <c r="AV134" i="69"/>
  <c r="AM134" i="69"/>
  <c r="AL134" i="69"/>
  <c r="AE134" i="69"/>
  <c r="AD134" i="69"/>
  <c r="T134" i="69"/>
  <c r="U134" i="69" s="1"/>
  <c r="M134" i="69"/>
  <c r="L134" i="69"/>
  <c r="BD133" i="69"/>
  <c r="BE133" i="69" s="1"/>
  <c r="AW133" i="69"/>
  <c r="AV133" i="69"/>
  <c r="AM133" i="69"/>
  <c r="AL133" i="69"/>
  <c r="AE133" i="69"/>
  <c r="AD133" i="69"/>
  <c r="T133" i="69"/>
  <c r="U133" i="69" s="1"/>
  <c r="M133" i="69"/>
  <c r="L133" i="69"/>
  <c r="BD132" i="69"/>
  <c r="BE132" i="69" s="1"/>
  <c r="AW132" i="69"/>
  <c r="AV132" i="69"/>
  <c r="AM132" i="69"/>
  <c r="AL132" i="69"/>
  <c r="AE132" i="69"/>
  <c r="AD132" i="69"/>
  <c r="T132" i="69"/>
  <c r="U132" i="69" s="1"/>
  <c r="L132" i="69"/>
  <c r="M132" i="69" s="1"/>
  <c r="BD131" i="69"/>
  <c r="BE131" i="69" s="1"/>
  <c r="AW131" i="69"/>
  <c r="AV131" i="69"/>
  <c r="AM131" i="69"/>
  <c r="AL131" i="69"/>
  <c r="AE131" i="69"/>
  <c r="AD131" i="69"/>
  <c r="T131" i="69"/>
  <c r="U131" i="69" s="1"/>
  <c r="L131" i="69"/>
  <c r="M131" i="69" s="1"/>
  <c r="BD130" i="69"/>
  <c r="BE130" i="69" s="1"/>
  <c r="AW130" i="69"/>
  <c r="AV130" i="69"/>
  <c r="AM130" i="69"/>
  <c r="AL130" i="69"/>
  <c r="AE130" i="69"/>
  <c r="AD130" i="69"/>
  <c r="T130" i="69"/>
  <c r="U130" i="69" s="1"/>
  <c r="L130" i="69"/>
  <c r="M130" i="69" s="1"/>
  <c r="BD129" i="69"/>
  <c r="BE129" i="69" s="1"/>
  <c r="AW129" i="69"/>
  <c r="AV129" i="69"/>
  <c r="AM129" i="69"/>
  <c r="AL129" i="69"/>
  <c r="AE129" i="69"/>
  <c r="AD129" i="69"/>
  <c r="T129" i="69"/>
  <c r="U129" i="69" s="1"/>
  <c r="L129" i="69"/>
  <c r="M129" i="69" s="1"/>
  <c r="BD128" i="69"/>
  <c r="BE128" i="69" s="1"/>
  <c r="AW128" i="69"/>
  <c r="AV128" i="69"/>
  <c r="AM128" i="69"/>
  <c r="AL128" i="69"/>
  <c r="AE128" i="69"/>
  <c r="AD128" i="69"/>
  <c r="T128" i="69"/>
  <c r="U128" i="69" s="1"/>
  <c r="M128" i="69"/>
  <c r="L128" i="69"/>
  <c r="BD127" i="69"/>
  <c r="BE127" i="69" s="1"/>
  <c r="AW127" i="69"/>
  <c r="AV127" i="69"/>
  <c r="AM127" i="69"/>
  <c r="AL127" i="69"/>
  <c r="AE127" i="69"/>
  <c r="AD127" i="69"/>
  <c r="T127" i="69"/>
  <c r="U127" i="69" s="1"/>
  <c r="M127" i="69"/>
  <c r="L127" i="69"/>
  <c r="BD126" i="69"/>
  <c r="BE126" i="69" s="1"/>
  <c r="AW126" i="69"/>
  <c r="AV126" i="69"/>
  <c r="AM126" i="69"/>
  <c r="AL126" i="69"/>
  <c r="AE126" i="69"/>
  <c r="AD126" i="69"/>
  <c r="T126" i="69"/>
  <c r="U126" i="69" s="1"/>
  <c r="L126" i="69"/>
  <c r="M126" i="69" s="1"/>
  <c r="BD125" i="69"/>
  <c r="BE125" i="69" s="1"/>
  <c r="AW125" i="69"/>
  <c r="AV125" i="69"/>
  <c r="AM125" i="69"/>
  <c r="AL125" i="69"/>
  <c r="AE125" i="69"/>
  <c r="AD125" i="69"/>
  <c r="T125" i="69"/>
  <c r="U125" i="69" s="1"/>
  <c r="L125" i="69"/>
  <c r="M125" i="69" s="1"/>
  <c r="BD124" i="69"/>
  <c r="BE124" i="69" s="1"/>
  <c r="AV124" i="69"/>
  <c r="AW124" i="69" s="1"/>
  <c r="AM124" i="69"/>
  <c r="AL124" i="69"/>
  <c r="AE124" i="69"/>
  <c r="AD124" i="69"/>
  <c r="T124" i="69"/>
  <c r="U124" i="69" s="1"/>
  <c r="L124" i="69"/>
  <c r="M124" i="69" s="1"/>
  <c r="BD123" i="69"/>
  <c r="BE123" i="69" s="1"/>
  <c r="AW123" i="69"/>
  <c r="AV123" i="69"/>
  <c r="AM123" i="69"/>
  <c r="AL123" i="69"/>
  <c r="AE123" i="69"/>
  <c r="AD123" i="69"/>
  <c r="T123" i="69"/>
  <c r="U123" i="69" s="1"/>
  <c r="L123" i="69"/>
  <c r="M123" i="69" s="1"/>
  <c r="BD122" i="69"/>
  <c r="BE122" i="69" s="1"/>
  <c r="AV122" i="69"/>
  <c r="AW122" i="69" s="1"/>
  <c r="AM122" i="69"/>
  <c r="AL122" i="69"/>
  <c r="AE122" i="69"/>
  <c r="AD122" i="69"/>
  <c r="T122" i="69"/>
  <c r="U122" i="69" s="1"/>
  <c r="M122" i="69"/>
  <c r="L122" i="69"/>
  <c r="BD121" i="69"/>
  <c r="BE121" i="69" s="1"/>
  <c r="AW121" i="69"/>
  <c r="AV121" i="69"/>
  <c r="AM121" i="69"/>
  <c r="AL121" i="69"/>
  <c r="AE121" i="69"/>
  <c r="AD121" i="69"/>
  <c r="T121" i="69"/>
  <c r="U121" i="69" s="1"/>
  <c r="M121" i="69"/>
  <c r="L121" i="69"/>
  <c r="BD120" i="69"/>
  <c r="BE120" i="69" s="1"/>
  <c r="AV120" i="69"/>
  <c r="AW120" i="69" s="1"/>
  <c r="AM120" i="69"/>
  <c r="AL120" i="69"/>
  <c r="AE120" i="69"/>
  <c r="AD120" i="69"/>
  <c r="T120" i="69"/>
  <c r="U120" i="69" s="1"/>
  <c r="L120" i="69"/>
  <c r="M120" i="69" s="1"/>
  <c r="BD119" i="69"/>
  <c r="BE119" i="69" s="1"/>
  <c r="AW119" i="69"/>
  <c r="AV119" i="69"/>
  <c r="AM119" i="69"/>
  <c r="AL119" i="69"/>
  <c r="AE119" i="69"/>
  <c r="AD119" i="69"/>
  <c r="T119" i="69"/>
  <c r="U119" i="69" s="1"/>
  <c r="M119" i="69"/>
  <c r="L119" i="69"/>
  <c r="BD118" i="69"/>
  <c r="BE118" i="69" s="1"/>
  <c r="AV118" i="69"/>
  <c r="AW118" i="69" s="1"/>
  <c r="AM118" i="69"/>
  <c r="AL118" i="69"/>
  <c r="AE118" i="69"/>
  <c r="AD118" i="69"/>
  <c r="T118" i="69"/>
  <c r="U118" i="69" s="1"/>
  <c r="L118" i="69"/>
  <c r="M118" i="69" s="1"/>
  <c r="BD117" i="69"/>
  <c r="BE117" i="69" s="1"/>
  <c r="AW117" i="69"/>
  <c r="AV117" i="69"/>
  <c r="AM117" i="69"/>
  <c r="AL117" i="69"/>
  <c r="AE117" i="69"/>
  <c r="AD117" i="69"/>
  <c r="T117" i="69"/>
  <c r="U117" i="69" s="1"/>
  <c r="L117" i="69"/>
  <c r="M117" i="69" s="1"/>
  <c r="BD116" i="69"/>
  <c r="BE116" i="69" s="1"/>
  <c r="AW116" i="69"/>
  <c r="AV116" i="69"/>
  <c r="AM116" i="69"/>
  <c r="AL116" i="69"/>
  <c r="AE116" i="69"/>
  <c r="AD116" i="69"/>
  <c r="T116" i="69"/>
  <c r="U116" i="69" s="1"/>
  <c r="M116" i="69"/>
  <c r="L116" i="69"/>
  <c r="BD115" i="69"/>
  <c r="BE115" i="69" s="1"/>
  <c r="AW115" i="69"/>
  <c r="AV115" i="69"/>
  <c r="AM115" i="69"/>
  <c r="AL115" i="69"/>
  <c r="AE115" i="69"/>
  <c r="AD115" i="69"/>
  <c r="T115" i="69"/>
  <c r="U115" i="69" s="1"/>
  <c r="M115" i="69"/>
  <c r="L115" i="69"/>
  <c r="BD114" i="69"/>
  <c r="BE114" i="69" s="1"/>
  <c r="AV114" i="69"/>
  <c r="AW114" i="69" s="1"/>
  <c r="AM114" i="69"/>
  <c r="AL114" i="69"/>
  <c r="AE114" i="69"/>
  <c r="AD114" i="69"/>
  <c r="T114" i="69"/>
  <c r="U114" i="69" s="1"/>
  <c r="L114" i="69"/>
  <c r="M114" i="69" s="1"/>
  <c r="BD113" i="69"/>
  <c r="BE113" i="69" s="1"/>
  <c r="AW113" i="69"/>
  <c r="AV113" i="69"/>
  <c r="AL113" i="69"/>
  <c r="AM113" i="69" s="1"/>
  <c r="AE113" i="69"/>
  <c r="AD113" i="69"/>
  <c r="T113" i="69"/>
  <c r="U113" i="69" s="1"/>
  <c r="L113" i="69"/>
  <c r="M113" i="69" s="1"/>
  <c r="BD112" i="69"/>
  <c r="BE112" i="69" s="1"/>
  <c r="AV112" i="69"/>
  <c r="AW112" i="69" s="1"/>
  <c r="AM112" i="69"/>
  <c r="AL112" i="69"/>
  <c r="AE112" i="69"/>
  <c r="AD112" i="69"/>
  <c r="T112" i="69"/>
  <c r="U112" i="69" s="1"/>
  <c r="L112" i="69"/>
  <c r="M112" i="69" s="1"/>
  <c r="BD111" i="69"/>
  <c r="BE111" i="69" s="1"/>
  <c r="AW111" i="69"/>
  <c r="AV111" i="69"/>
  <c r="AL111" i="69"/>
  <c r="AM111" i="69" s="1"/>
  <c r="AE111" i="69"/>
  <c r="AD111" i="69"/>
  <c r="T111" i="69"/>
  <c r="U111" i="69" s="1"/>
  <c r="L111" i="69"/>
  <c r="M111" i="69" s="1"/>
  <c r="BD110" i="69"/>
  <c r="BE110" i="69" s="1"/>
  <c r="AV110" i="69"/>
  <c r="AW110" i="69" s="1"/>
  <c r="AM110" i="69"/>
  <c r="AL110" i="69"/>
  <c r="AE110" i="69"/>
  <c r="AD110" i="69"/>
  <c r="T110" i="69"/>
  <c r="U110" i="69" s="1"/>
  <c r="M110" i="69"/>
  <c r="L110" i="69"/>
  <c r="BD109" i="69"/>
  <c r="BE109" i="69" s="1"/>
  <c r="AW109" i="69"/>
  <c r="AV109" i="69"/>
  <c r="AL109" i="69"/>
  <c r="AM109" i="69" s="1"/>
  <c r="AE109" i="69"/>
  <c r="AD109" i="69"/>
  <c r="T109" i="69"/>
  <c r="U109" i="69" s="1"/>
  <c r="M109" i="69"/>
  <c r="L109" i="69"/>
  <c r="BD108" i="69"/>
  <c r="BE108" i="69" s="1"/>
  <c r="AV108" i="69"/>
  <c r="AW108" i="69" s="1"/>
  <c r="AM108" i="69"/>
  <c r="AL108" i="69"/>
  <c r="AE108" i="69"/>
  <c r="AD108" i="69"/>
  <c r="T108" i="69"/>
  <c r="U108" i="69" s="1"/>
  <c r="L108" i="69"/>
  <c r="M108" i="69" s="1"/>
  <c r="BD107" i="69"/>
  <c r="BE107" i="69" s="1"/>
  <c r="AW107" i="69"/>
  <c r="AV107" i="69"/>
  <c r="AL107" i="69"/>
  <c r="AM107" i="69" s="1"/>
  <c r="AE107" i="69"/>
  <c r="AD107" i="69"/>
  <c r="T107" i="69"/>
  <c r="U107" i="69" s="1"/>
  <c r="L107" i="69"/>
  <c r="M107" i="69" s="1"/>
  <c r="BD106" i="69"/>
  <c r="BE106" i="69" s="1"/>
  <c r="AV106" i="69"/>
  <c r="AW106" i="69" s="1"/>
  <c r="AM106" i="69"/>
  <c r="AL106" i="69"/>
  <c r="AE106" i="69"/>
  <c r="AD106" i="69"/>
  <c r="U106" i="69"/>
  <c r="T106" i="69"/>
  <c r="L106" i="69"/>
  <c r="M106" i="69" s="1"/>
  <c r="BD105" i="69"/>
  <c r="BE105" i="69" s="1"/>
  <c r="AV105" i="69"/>
  <c r="AW105" i="69" s="1"/>
  <c r="AM105" i="69"/>
  <c r="AL105" i="69"/>
  <c r="AE105" i="69"/>
  <c r="AD105" i="69"/>
  <c r="T105" i="69"/>
  <c r="U105" i="69" s="1"/>
  <c r="L105" i="69"/>
  <c r="M105" i="69" s="1"/>
  <c r="BD104" i="69"/>
  <c r="BE104" i="69" s="1"/>
  <c r="AW104" i="69"/>
  <c r="AV104" i="69"/>
  <c r="AL104" i="69"/>
  <c r="AM104" i="69" s="1"/>
  <c r="AE104" i="69"/>
  <c r="AD104" i="69"/>
  <c r="T104" i="69"/>
  <c r="U104" i="69" s="1"/>
  <c r="M104" i="69"/>
  <c r="L104" i="69"/>
  <c r="BD103" i="69"/>
  <c r="BE103" i="69" s="1"/>
  <c r="AV103" i="69"/>
  <c r="AW103" i="69" s="1"/>
  <c r="AL103" i="69"/>
  <c r="AM103" i="69" s="1"/>
  <c r="AE103" i="69"/>
  <c r="AD103" i="69"/>
  <c r="U103" i="69"/>
  <c r="T103" i="69"/>
  <c r="L103" i="69"/>
  <c r="M103" i="69" s="1"/>
  <c r="BD102" i="69"/>
  <c r="BE102" i="69" s="1"/>
  <c r="AW102" i="69"/>
  <c r="AV102" i="69"/>
  <c r="AM102" i="69"/>
  <c r="AL102" i="69"/>
  <c r="AE102" i="69"/>
  <c r="AD102" i="69"/>
  <c r="U102" i="69"/>
  <c r="T102" i="69"/>
  <c r="L102" i="69"/>
  <c r="M102" i="69" s="1"/>
  <c r="BD101" i="69"/>
  <c r="BE101" i="69" s="1"/>
  <c r="AV101" i="69"/>
  <c r="AW101" i="69" s="1"/>
  <c r="AL101" i="69"/>
  <c r="AM101" i="69" s="1"/>
  <c r="AE101" i="69"/>
  <c r="AD101" i="69"/>
  <c r="U101" i="69"/>
  <c r="T101" i="69"/>
  <c r="M101" i="69"/>
  <c r="L101" i="69"/>
  <c r="BD100" i="69"/>
  <c r="BE100" i="69" s="1"/>
  <c r="AW100" i="69"/>
  <c r="AV100" i="69"/>
  <c r="AM100" i="69"/>
  <c r="AL100" i="69"/>
  <c r="AE100" i="69"/>
  <c r="AD100" i="69"/>
  <c r="T100" i="69"/>
  <c r="U100" i="69" s="1"/>
  <c r="M100" i="69"/>
  <c r="L100" i="69"/>
  <c r="BD99" i="69"/>
  <c r="BE99" i="69" s="1"/>
  <c r="AV99" i="69"/>
  <c r="AW99" i="69" s="1"/>
  <c r="AL99" i="69"/>
  <c r="AM99" i="69" s="1"/>
  <c r="AE99" i="69"/>
  <c r="AD99" i="69"/>
  <c r="T99" i="69"/>
  <c r="U99" i="69" s="1"/>
  <c r="M99" i="69"/>
  <c r="L99" i="69"/>
  <c r="BD98" i="69"/>
  <c r="BE98" i="69" s="1"/>
  <c r="AV98" i="69"/>
  <c r="AW98" i="69" s="1"/>
  <c r="AM98" i="69"/>
  <c r="AL98" i="69"/>
  <c r="AE98" i="69"/>
  <c r="AD98" i="69"/>
  <c r="U98" i="69"/>
  <c r="T98" i="69"/>
  <c r="L98" i="69"/>
  <c r="M98" i="69" s="1"/>
  <c r="BD97" i="69"/>
  <c r="BE97" i="69" s="1"/>
  <c r="AW97" i="69"/>
  <c r="AV97" i="69"/>
  <c r="AL97" i="69"/>
  <c r="AM97" i="69" s="1"/>
  <c r="AE97" i="69"/>
  <c r="AD97" i="69"/>
  <c r="T97" i="69"/>
  <c r="U97" i="69" s="1"/>
  <c r="L97" i="69"/>
  <c r="M97" i="69" s="1"/>
  <c r="BD96" i="69"/>
  <c r="BE96" i="69" s="1"/>
  <c r="AW96" i="69"/>
  <c r="AV96" i="69"/>
  <c r="AL96" i="69"/>
  <c r="AM96" i="69" s="1"/>
  <c r="AE96" i="69"/>
  <c r="AD96" i="69"/>
  <c r="T96" i="69"/>
  <c r="U96" i="69" s="1"/>
  <c r="M96" i="69"/>
  <c r="L96" i="69"/>
  <c r="BD95" i="69"/>
  <c r="BE95" i="69" s="1"/>
  <c r="AW95" i="69"/>
  <c r="AV95" i="69"/>
  <c r="AM95" i="69"/>
  <c r="AL95" i="69"/>
  <c r="AE95" i="69"/>
  <c r="AD95" i="69"/>
  <c r="T95" i="69"/>
  <c r="U95" i="69" s="1"/>
  <c r="L95" i="69"/>
  <c r="M95" i="69" s="1"/>
  <c r="BD94" i="69"/>
  <c r="BE94" i="69" s="1"/>
  <c r="AV94" i="69"/>
  <c r="AW94" i="69" s="1"/>
  <c r="AM94" i="69"/>
  <c r="AL94" i="69"/>
  <c r="AE94" i="69"/>
  <c r="AD94" i="69"/>
  <c r="U94" i="69"/>
  <c r="T94" i="69"/>
  <c r="L94" i="69"/>
  <c r="M94" i="69" s="1"/>
  <c r="BD93" i="69"/>
  <c r="BE93" i="69" s="1"/>
  <c r="AV93" i="69"/>
  <c r="AW93" i="69" s="1"/>
  <c r="AM93" i="69"/>
  <c r="AL93" i="69"/>
  <c r="AE93" i="69"/>
  <c r="AD93" i="69"/>
  <c r="T93" i="69"/>
  <c r="U93" i="69" s="1"/>
  <c r="L93" i="69"/>
  <c r="M93" i="69" s="1"/>
  <c r="BD92" i="69"/>
  <c r="BE92" i="69" s="1"/>
  <c r="AW92" i="69"/>
  <c r="AV92" i="69"/>
  <c r="AL92" i="69"/>
  <c r="AM92" i="69" s="1"/>
  <c r="AE92" i="69"/>
  <c r="AD92" i="69"/>
  <c r="T92" i="69"/>
  <c r="U92" i="69" s="1"/>
  <c r="M92" i="69"/>
  <c r="L92" i="69"/>
  <c r="BD91" i="69"/>
  <c r="BE91" i="69" s="1"/>
  <c r="AV91" i="69"/>
  <c r="AW91" i="69" s="1"/>
  <c r="AL91" i="69"/>
  <c r="AM91" i="69" s="1"/>
  <c r="AE91" i="69"/>
  <c r="AD91" i="69"/>
  <c r="U91" i="69"/>
  <c r="T91" i="69"/>
  <c r="L91" i="69"/>
  <c r="M91" i="69" s="1"/>
  <c r="BD90" i="69"/>
  <c r="BE90" i="69" s="1"/>
  <c r="AV90" i="69"/>
  <c r="AW90" i="69" s="1"/>
  <c r="AM90" i="69"/>
  <c r="AL90" i="69"/>
  <c r="AE90" i="69"/>
  <c r="AD90" i="69"/>
  <c r="U90" i="69"/>
  <c r="T90" i="69"/>
  <c r="L90" i="69"/>
  <c r="M90" i="69" s="1"/>
  <c r="BD89" i="69"/>
  <c r="BE89" i="69" s="1"/>
  <c r="AV89" i="69"/>
  <c r="AW89" i="69" s="1"/>
  <c r="AL89" i="69"/>
  <c r="AM89" i="69" s="1"/>
  <c r="AE89" i="69"/>
  <c r="AD89" i="69"/>
  <c r="U89" i="69"/>
  <c r="T89" i="69"/>
  <c r="M89" i="69"/>
  <c r="L89" i="69"/>
  <c r="BD88" i="69"/>
  <c r="BE88" i="69" s="1"/>
  <c r="AW88" i="69"/>
  <c r="AV88" i="69"/>
  <c r="AM88" i="69"/>
  <c r="AL88" i="69"/>
  <c r="AE88" i="69"/>
  <c r="AD88" i="69"/>
  <c r="T88" i="69"/>
  <c r="U88" i="69" s="1"/>
  <c r="M88" i="69"/>
  <c r="L88" i="69"/>
  <c r="BD87" i="69"/>
  <c r="BE87" i="69" s="1"/>
  <c r="AV87" i="69"/>
  <c r="AW87" i="69" s="1"/>
  <c r="AL87" i="69"/>
  <c r="AM87" i="69" s="1"/>
  <c r="AE87" i="69"/>
  <c r="AD87" i="69"/>
  <c r="T87" i="69"/>
  <c r="U87" i="69" s="1"/>
  <c r="M87" i="69"/>
  <c r="L87" i="69"/>
  <c r="BD86" i="69"/>
  <c r="BE86" i="69" s="1"/>
  <c r="AV86" i="69"/>
  <c r="AW86" i="69" s="1"/>
  <c r="AM86" i="69"/>
  <c r="AL86" i="69"/>
  <c r="AE86" i="69"/>
  <c r="AD86" i="69"/>
  <c r="U86" i="69"/>
  <c r="T86" i="69"/>
  <c r="L86" i="69"/>
  <c r="M86" i="69" s="1"/>
  <c r="BD85" i="69"/>
  <c r="BE85" i="69" s="1"/>
  <c r="AW85" i="69"/>
  <c r="AV85" i="69"/>
  <c r="AL85" i="69"/>
  <c r="AM85" i="69" s="1"/>
  <c r="AE85" i="69"/>
  <c r="AD85" i="69"/>
  <c r="U85" i="69"/>
  <c r="T85" i="69"/>
  <c r="L85" i="69"/>
  <c r="M85" i="69" s="1"/>
  <c r="BD84" i="69"/>
  <c r="BE84" i="69" s="1"/>
  <c r="AV84" i="69"/>
  <c r="AW84" i="69" s="1"/>
  <c r="AL84" i="69"/>
  <c r="AM84" i="69" s="1"/>
  <c r="AE84" i="69"/>
  <c r="AD84" i="69"/>
  <c r="T84" i="69"/>
  <c r="U84" i="69" s="1"/>
  <c r="M84" i="69"/>
  <c r="L84" i="69"/>
  <c r="BD83" i="69"/>
  <c r="BE83" i="69" s="1"/>
  <c r="AW83" i="69"/>
  <c r="AV83" i="69"/>
  <c r="AM83" i="69"/>
  <c r="AL83" i="69"/>
  <c r="AE83" i="69"/>
  <c r="AD83" i="69"/>
  <c r="T83" i="69"/>
  <c r="U83" i="69" s="1"/>
  <c r="L83" i="69"/>
  <c r="M83" i="69" s="1"/>
  <c r="BD82" i="69"/>
  <c r="BE82" i="69" s="1"/>
  <c r="AV82" i="69"/>
  <c r="AW82" i="69" s="1"/>
  <c r="AL82" i="69"/>
  <c r="AM82" i="69" s="1"/>
  <c r="AE82" i="69"/>
  <c r="AD82" i="69"/>
  <c r="U82" i="69"/>
  <c r="T82" i="69"/>
  <c r="L82" i="69"/>
  <c r="M82" i="69" s="1"/>
  <c r="BD81" i="69"/>
  <c r="BE81" i="69" s="1"/>
  <c r="AV81" i="69"/>
  <c r="AW81" i="69" s="1"/>
  <c r="AM81" i="69"/>
  <c r="AL81" i="69"/>
  <c r="AE81" i="69"/>
  <c r="AD81" i="69"/>
  <c r="T81" i="69"/>
  <c r="U81" i="69" s="1"/>
  <c r="L81" i="69"/>
  <c r="M81" i="69" s="1"/>
  <c r="BD80" i="69"/>
  <c r="BE80" i="69" s="1"/>
  <c r="AW80" i="69"/>
  <c r="AV80" i="69"/>
  <c r="AL80" i="69"/>
  <c r="AM80" i="69" s="1"/>
  <c r="AE80" i="69"/>
  <c r="AD80" i="69"/>
  <c r="T80" i="69"/>
  <c r="U80" i="69" s="1"/>
  <c r="M80" i="69"/>
  <c r="L80" i="69"/>
  <c r="BD79" i="69"/>
  <c r="BE79" i="69" s="1"/>
  <c r="AV79" i="69"/>
  <c r="AW79" i="69" s="1"/>
  <c r="AL79" i="69"/>
  <c r="AM79" i="69" s="1"/>
  <c r="AE79" i="69"/>
  <c r="AD79" i="69"/>
  <c r="U79" i="69"/>
  <c r="T79" i="69"/>
  <c r="L79" i="69"/>
  <c r="M79" i="69" s="1"/>
  <c r="BD78" i="69"/>
  <c r="BE78" i="69" s="1"/>
  <c r="AW78" i="69"/>
  <c r="AV78" i="69"/>
  <c r="AM78" i="69"/>
  <c r="AL78" i="69"/>
  <c r="AE78" i="69"/>
  <c r="AD78" i="69"/>
  <c r="T78" i="69"/>
  <c r="U78" i="69" s="1"/>
  <c r="L78" i="69"/>
  <c r="M78" i="69" s="1"/>
  <c r="BD77" i="69"/>
  <c r="BE77" i="69" s="1"/>
  <c r="AV77" i="69"/>
  <c r="AW77" i="69" s="1"/>
  <c r="AL77" i="69"/>
  <c r="AM77" i="69" s="1"/>
  <c r="AE77" i="69"/>
  <c r="AD77" i="69"/>
  <c r="U77" i="69"/>
  <c r="T77" i="69"/>
  <c r="M77" i="69"/>
  <c r="L77" i="69"/>
  <c r="BD76" i="69"/>
  <c r="BE76" i="69" s="1"/>
  <c r="AW76" i="69"/>
  <c r="AV76" i="69"/>
  <c r="AL76" i="69"/>
  <c r="AM76" i="69" s="1"/>
  <c r="AE76" i="69"/>
  <c r="AD76" i="69"/>
  <c r="T76" i="69"/>
  <c r="U76" i="69" s="1"/>
  <c r="L76" i="69"/>
  <c r="M76" i="69" s="1"/>
  <c r="BD75" i="69"/>
  <c r="BE75" i="69" s="1"/>
  <c r="AV75" i="69"/>
  <c r="AW75" i="69" s="1"/>
  <c r="AL75" i="69"/>
  <c r="AM75" i="69" s="1"/>
  <c r="AE75" i="69"/>
  <c r="AD75" i="69"/>
  <c r="T75" i="69"/>
  <c r="U75" i="69" s="1"/>
  <c r="M75" i="69"/>
  <c r="L75" i="69"/>
  <c r="BD74" i="69"/>
  <c r="BE74" i="69" s="1"/>
  <c r="AV74" i="69"/>
  <c r="AW74" i="69" s="1"/>
  <c r="AM74" i="69"/>
  <c r="AL74" i="69"/>
  <c r="AE74" i="69"/>
  <c r="AD74" i="69"/>
  <c r="U74" i="69"/>
  <c r="T74" i="69"/>
  <c r="L74" i="69"/>
  <c r="M74" i="69" s="1"/>
  <c r="BD73" i="69"/>
  <c r="BE73" i="69" s="1"/>
  <c r="AW73" i="69"/>
  <c r="AV73" i="69"/>
  <c r="AL73" i="69"/>
  <c r="AM73" i="69" s="1"/>
  <c r="AE73" i="69"/>
  <c r="AD73" i="69"/>
  <c r="U73" i="69"/>
  <c r="T73" i="69"/>
  <c r="L73" i="69"/>
  <c r="M73" i="69" s="1"/>
  <c r="BD72" i="69"/>
  <c r="BE72" i="69" s="1"/>
  <c r="AV72" i="69"/>
  <c r="AW72" i="69" s="1"/>
  <c r="AL72" i="69"/>
  <c r="AM72" i="69" s="1"/>
  <c r="AE72" i="69"/>
  <c r="AD72" i="69"/>
  <c r="T72" i="69"/>
  <c r="U72" i="69" s="1"/>
  <c r="M72" i="69"/>
  <c r="L72" i="69"/>
  <c r="BD71" i="69"/>
  <c r="BE71" i="69" s="1"/>
  <c r="AW71" i="69"/>
  <c r="AV71" i="69"/>
  <c r="AM71" i="69"/>
  <c r="AL71" i="69"/>
  <c r="AE71" i="69"/>
  <c r="AD71" i="69"/>
  <c r="T71" i="69"/>
  <c r="U71" i="69" s="1"/>
  <c r="L71" i="69"/>
  <c r="M71" i="69" s="1"/>
  <c r="BD70" i="69"/>
  <c r="BE70" i="69" s="1"/>
  <c r="AV70" i="69"/>
  <c r="AW70" i="69" s="1"/>
  <c r="AL70" i="69"/>
  <c r="AM70" i="69" s="1"/>
  <c r="AE70" i="69"/>
  <c r="AD70" i="69"/>
  <c r="U70" i="69"/>
  <c r="T70" i="69"/>
  <c r="L70" i="69"/>
  <c r="M70" i="69" s="1"/>
  <c r="BD69" i="69"/>
  <c r="BE69" i="69" s="1"/>
  <c r="AV69" i="69"/>
  <c r="AW69" i="69" s="1"/>
  <c r="AM69" i="69"/>
  <c r="AL69" i="69"/>
  <c r="AE69" i="69"/>
  <c r="AD69" i="69"/>
  <c r="T69" i="69"/>
  <c r="U69" i="69" s="1"/>
  <c r="L69" i="69"/>
  <c r="M69" i="69" s="1"/>
  <c r="BD68" i="69"/>
  <c r="BE68" i="69" s="1"/>
  <c r="AW68" i="69"/>
  <c r="AV68" i="69"/>
  <c r="AL68" i="69"/>
  <c r="AM68" i="69" s="1"/>
  <c r="AE68" i="69"/>
  <c r="AD68" i="69"/>
  <c r="T68" i="69"/>
  <c r="U68" i="69" s="1"/>
  <c r="M68" i="69"/>
  <c r="L68" i="69"/>
  <c r="BD67" i="69"/>
  <c r="BE67" i="69" s="1"/>
  <c r="AV67" i="69"/>
  <c r="AW67" i="69" s="1"/>
  <c r="AL67" i="69"/>
  <c r="AM67" i="69" s="1"/>
  <c r="AE67" i="69"/>
  <c r="AD67" i="69"/>
  <c r="U67" i="69"/>
  <c r="T67" i="69"/>
  <c r="L67" i="69"/>
  <c r="M67" i="69" s="1"/>
  <c r="BD66" i="69"/>
  <c r="BE66" i="69" s="1"/>
  <c r="AW66" i="69"/>
  <c r="AV66" i="69"/>
  <c r="AM66" i="69"/>
  <c r="AL66" i="69"/>
  <c r="AE66" i="69"/>
  <c r="AD66" i="69"/>
  <c r="T66" i="69"/>
  <c r="U66" i="69" s="1"/>
  <c r="L66" i="69"/>
  <c r="M66" i="69" s="1"/>
  <c r="BD65" i="69"/>
  <c r="BE65" i="69" s="1"/>
  <c r="AV65" i="69"/>
  <c r="AW65" i="69" s="1"/>
  <c r="AL65" i="69"/>
  <c r="AM65" i="69" s="1"/>
  <c r="AE65" i="69"/>
  <c r="AD65" i="69"/>
  <c r="U65" i="69"/>
  <c r="T65" i="69"/>
  <c r="M65" i="69"/>
  <c r="L65" i="69"/>
  <c r="BD64" i="69"/>
  <c r="BE64" i="69" s="1"/>
  <c r="AW64" i="69"/>
  <c r="AV64" i="69"/>
  <c r="AL64" i="69"/>
  <c r="AM64" i="69" s="1"/>
  <c r="AE64" i="69"/>
  <c r="AD64" i="69"/>
  <c r="T64" i="69"/>
  <c r="U64" i="69" s="1"/>
  <c r="L64" i="69"/>
  <c r="M64" i="69" s="1"/>
  <c r="BD63" i="69"/>
  <c r="BE63" i="69" s="1"/>
  <c r="AV63" i="69"/>
  <c r="AW63" i="69" s="1"/>
  <c r="AL63" i="69"/>
  <c r="AM63" i="69" s="1"/>
  <c r="AE63" i="69"/>
  <c r="AD63" i="69"/>
  <c r="T63" i="69"/>
  <c r="U63" i="69" s="1"/>
  <c r="M63" i="69"/>
  <c r="L63" i="69"/>
  <c r="BD62" i="69"/>
  <c r="BE62" i="69" s="1"/>
  <c r="AV62" i="69"/>
  <c r="AW62" i="69" s="1"/>
  <c r="AM62" i="69"/>
  <c r="AL62" i="69"/>
  <c r="AD62" i="69"/>
  <c r="AA3" i="69" s="1"/>
  <c r="U62" i="69"/>
  <c r="T62" i="69"/>
  <c r="L62" i="69"/>
  <c r="M62" i="69" s="1"/>
  <c r="BD61" i="69"/>
  <c r="BE61" i="69" s="1"/>
  <c r="AV61" i="69"/>
  <c r="AW61" i="69" s="1"/>
  <c r="AM61" i="69"/>
  <c r="AL61" i="69"/>
  <c r="AE61" i="69"/>
  <c r="AD61" i="69"/>
  <c r="U61" i="69"/>
  <c r="T61" i="69"/>
  <c r="L61" i="69"/>
  <c r="M61" i="69" s="1"/>
  <c r="BD60" i="69"/>
  <c r="BE60" i="69" s="1"/>
  <c r="AV60" i="69"/>
  <c r="AW60" i="69" s="1"/>
  <c r="AM60" i="69"/>
  <c r="AL60" i="69"/>
  <c r="AD60" i="69"/>
  <c r="AE60" i="69" s="1"/>
  <c r="U60" i="69"/>
  <c r="T60" i="69"/>
  <c r="L60" i="69"/>
  <c r="M60" i="69" s="1"/>
  <c r="BD59" i="69"/>
  <c r="BE59" i="69" s="1"/>
  <c r="AV59" i="69"/>
  <c r="AW59" i="69" s="1"/>
  <c r="AM59" i="69"/>
  <c r="AL59" i="69"/>
  <c r="AE59" i="69"/>
  <c r="AD59" i="69"/>
  <c r="U59" i="69"/>
  <c r="T59" i="69"/>
  <c r="L59" i="69"/>
  <c r="M59" i="69" s="1"/>
  <c r="BD58" i="69"/>
  <c r="BE58" i="69" s="1"/>
  <c r="AV58" i="69"/>
  <c r="AW58" i="69" s="1"/>
  <c r="AM58" i="69"/>
  <c r="AL58" i="69"/>
  <c r="AD58" i="69"/>
  <c r="AE58" i="69" s="1"/>
  <c r="U58" i="69"/>
  <c r="T58" i="69"/>
  <c r="L58" i="69"/>
  <c r="M58" i="69" s="1"/>
  <c r="BD57" i="69"/>
  <c r="BE57" i="69" s="1"/>
  <c r="AV57" i="69"/>
  <c r="AW57" i="69" s="1"/>
  <c r="AM57" i="69"/>
  <c r="AL57" i="69"/>
  <c r="AE57" i="69"/>
  <c r="AD57" i="69"/>
  <c r="U57" i="69"/>
  <c r="T57" i="69"/>
  <c r="L57" i="69"/>
  <c r="M57" i="69" s="1"/>
  <c r="BD56" i="69"/>
  <c r="BE56" i="69" s="1"/>
  <c r="AV56" i="69"/>
  <c r="AW56" i="69" s="1"/>
  <c r="AM56" i="69"/>
  <c r="AL56" i="69"/>
  <c r="AD56" i="69"/>
  <c r="AE56" i="69" s="1"/>
  <c r="U56" i="69"/>
  <c r="T56" i="69"/>
  <c r="L56" i="69"/>
  <c r="M56" i="69" s="1"/>
  <c r="BD55" i="69"/>
  <c r="BE55" i="69" s="1"/>
  <c r="AV55" i="69"/>
  <c r="AW55" i="69" s="1"/>
  <c r="AM55" i="69"/>
  <c r="AL55" i="69"/>
  <c r="AE55" i="69"/>
  <c r="AD55" i="69"/>
  <c r="U55" i="69"/>
  <c r="T55" i="69"/>
  <c r="L55" i="69"/>
  <c r="M55" i="69" s="1"/>
  <c r="BD54" i="69"/>
  <c r="BE54" i="69" s="1"/>
  <c r="AV54" i="69"/>
  <c r="AW54" i="69" s="1"/>
  <c r="AM54" i="69"/>
  <c r="AL54" i="69"/>
  <c r="AD54" i="69"/>
  <c r="AE54" i="69" s="1"/>
  <c r="U54" i="69"/>
  <c r="T54" i="69"/>
  <c r="L54" i="69"/>
  <c r="M54" i="69" s="1"/>
  <c r="BD53" i="69"/>
  <c r="BE53" i="69" s="1"/>
  <c r="AV53" i="69"/>
  <c r="AW53" i="69" s="1"/>
  <c r="AM53" i="69"/>
  <c r="AL53" i="69"/>
  <c r="AE53" i="69"/>
  <c r="AD53" i="69"/>
  <c r="U53" i="69"/>
  <c r="T53" i="69"/>
  <c r="L53" i="69"/>
  <c r="M53" i="69" s="1"/>
  <c r="BD52" i="69"/>
  <c r="BE52" i="69" s="1"/>
  <c r="AV52" i="69"/>
  <c r="AW52" i="69" s="1"/>
  <c r="AM52" i="69"/>
  <c r="AL52" i="69"/>
  <c r="AD52" i="69"/>
  <c r="AE52" i="69" s="1"/>
  <c r="U52" i="69"/>
  <c r="T52" i="69"/>
  <c r="L52" i="69"/>
  <c r="M52" i="69" s="1"/>
  <c r="BD51" i="69"/>
  <c r="BE51" i="69" s="1"/>
  <c r="AV51" i="69"/>
  <c r="AW51" i="69" s="1"/>
  <c r="AM51" i="69"/>
  <c r="AL51" i="69"/>
  <c r="AE51" i="69"/>
  <c r="AD51" i="69"/>
  <c r="U51" i="69"/>
  <c r="T51" i="69"/>
  <c r="L51" i="69"/>
  <c r="M51" i="69" s="1"/>
  <c r="BD50" i="69"/>
  <c r="BE50" i="69" s="1"/>
  <c r="AV50" i="69"/>
  <c r="AW50" i="69" s="1"/>
  <c r="AM50" i="69"/>
  <c r="AL50" i="69"/>
  <c r="AD50" i="69"/>
  <c r="AE50" i="69" s="1"/>
  <c r="U50" i="69"/>
  <c r="T50" i="69"/>
  <c r="L50" i="69"/>
  <c r="M50" i="69" s="1"/>
  <c r="BD49" i="69"/>
  <c r="BE49" i="69" s="1"/>
  <c r="AV49" i="69"/>
  <c r="AW49" i="69" s="1"/>
  <c r="AM49" i="69"/>
  <c r="AL49" i="69"/>
  <c r="AE49" i="69"/>
  <c r="AD49" i="69"/>
  <c r="U49" i="69"/>
  <c r="T49" i="69"/>
  <c r="L49" i="69"/>
  <c r="M49" i="69" s="1"/>
  <c r="BD48" i="69"/>
  <c r="BE48" i="69" s="1"/>
  <c r="AV48" i="69"/>
  <c r="AW48" i="69" s="1"/>
  <c r="AM48" i="69"/>
  <c r="AL48" i="69"/>
  <c r="AD48" i="69"/>
  <c r="AE48" i="69" s="1"/>
  <c r="U48" i="69"/>
  <c r="T48" i="69"/>
  <c r="L48" i="69"/>
  <c r="M48" i="69" s="1"/>
  <c r="BD47" i="69"/>
  <c r="BE47" i="69" s="1"/>
  <c r="AV47" i="69"/>
  <c r="AW47" i="69" s="1"/>
  <c r="AM47" i="69"/>
  <c r="AL47" i="69"/>
  <c r="AE47" i="69"/>
  <c r="AD47" i="69"/>
  <c r="U47" i="69"/>
  <c r="T47" i="69"/>
  <c r="L47" i="69"/>
  <c r="M47" i="69" s="1"/>
  <c r="BD46" i="69"/>
  <c r="BE46" i="69" s="1"/>
  <c r="AV46" i="69"/>
  <c r="AW46" i="69" s="1"/>
  <c r="AM46" i="69"/>
  <c r="AL46" i="69"/>
  <c r="AD46" i="69"/>
  <c r="AE46" i="69" s="1"/>
  <c r="U46" i="69"/>
  <c r="T46" i="69"/>
  <c r="L46" i="69"/>
  <c r="M46" i="69" s="1"/>
  <c r="BD45" i="69"/>
  <c r="BE45" i="69" s="1"/>
  <c r="AV45" i="69"/>
  <c r="AW45" i="69" s="1"/>
  <c r="AL45" i="69"/>
  <c r="AM45" i="69" s="1"/>
  <c r="AE45" i="69"/>
  <c r="AD45" i="69"/>
  <c r="U45" i="69"/>
  <c r="T45" i="69"/>
  <c r="L45" i="69"/>
  <c r="M45" i="69" s="1"/>
  <c r="BD44" i="69"/>
  <c r="BE44" i="69" s="1"/>
  <c r="AV44" i="69"/>
  <c r="AW44" i="69" s="1"/>
  <c r="AL44" i="69"/>
  <c r="AM44" i="69" s="1"/>
  <c r="AD44" i="69"/>
  <c r="AE44" i="69" s="1"/>
  <c r="U44" i="69"/>
  <c r="T44" i="69"/>
  <c r="L44" i="69"/>
  <c r="M44" i="69" s="1"/>
  <c r="BD43" i="69"/>
  <c r="BE43" i="69" s="1"/>
  <c r="AV43" i="69"/>
  <c r="AW43" i="69" s="1"/>
  <c r="AL43" i="69"/>
  <c r="AM43" i="69" s="1"/>
  <c r="AD43" i="69"/>
  <c r="AE43" i="69" s="1"/>
  <c r="U43" i="69"/>
  <c r="T43" i="69"/>
  <c r="L43" i="69"/>
  <c r="M43" i="69" s="1"/>
  <c r="BD42" i="69"/>
  <c r="BE42" i="69" s="1"/>
  <c r="AV42" i="69"/>
  <c r="AW42" i="69" s="1"/>
  <c r="AL42" i="69"/>
  <c r="AM42" i="69" s="1"/>
  <c r="AE42" i="69"/>
  <c r="AD42" i="69"/>
  <c r="U42" i="69"/>
  <c r="T42" i="69"/>
  <c r="L42" i="69"/>
  <c r="M42" i="69" s="1"/>
  <c r="BD41" i="69"/>
  <c r="BE41" i="69" s="1"/>
  <c r="AV41" i="69"/>
  <c r="AW41" i="69" s="1"/>
  <c r="AL41" i="69"/>
  <c r="AM41" i="69" s="1"/>
  <c r="AD41" i="69"/>
  <c r="AE41" i="69" s="1"/>
  <c r="U41" i="69"/>
  <c r="T41" i="69"/>
  <c r="L41" i="69"/>
  <c r="M41" i="69" s="1"/>
  <c r="BD40" i="69"/>
  <c r="BE40" i="69" s="1"/>
  <c r="AV40" i="69"/>
  <c r="AW40" i="69" s="1"/>
  <c r="AL40" i="69"/>
  <c r="AM40" i="69" s="1"/>
  <c r="AD40" i="69"/>
  <c r="AE40" i="69" s="1"/>
  <c r="U40" i="69"/>
  <c r="T40" i="69"/>
  <c r="L40" i="69"/>
  <c r="M40" i="69" s="1"/>
  <c r="BD39" i="69"/>
  <c r="BE39" i="69" s="1"/>
  <c r="AV39" i="69"/>
  <c r="AW39" i="69" s="1"/>
  <c r="AL39" i="69"/>
  <c r="AM39" i="69" s="1"/>
  <c r="AE39" i="69"/>
  <c r="AD39" i="69"/>
  <c r="U39" i="69"/>
  <c r="T39" i="69"/>
  <c r="L39" i="69"/>
  <c r="M39" i="69" s="1"/>
  <c r="BD38" i="69"/>
  <c r="BE38" i="69" s="1"/>
  <c r="AV38" i="69"/>
  <c r="AW38" i="69" s="1"/>
  <c r="AL38" i="69"/>
  <c r="AM38" i="69" s="1"/>
  <c r="AD38" i="69"/>
  <c r="AE38" i="69" s="1"/>
  <c r="U38" i="69"/>
  <c r="T38" i="69"/>
  <c r="L38" i="69"/>
  <c r="M38" i="69" s="1"/>
  <c r="BD37" i="69"/>
  <c r="BE37" i="69" s="1"/>
  <c r="AV37" i="69"/>
  <c r="AW37" i="69" s="1"/>
  <c r="AL37" i="69"/>
  <c r="AM37" i="69" s="1"/>
  <c r="AD37" i="69"/>
  <c r="AE37" i="69" s="1"/>
  <c r="U37" i="69"/>
  <c r="T37" i="69"/>
  <c r="L37" i="69"/>
  <c r="M37" i="69" s="1"/>
  <c r="BD36" i="69"/>
  <c r="BE36" i="69" s="1"/>
  <c r="AV36" i="69"/>
  <c r="AW36" i="69" s="1"/>
  <c r="AL36" i="69"/>
  <c r="AM36" i="69" s="1"/>
  <c r="AE36" i="69"/>
  <c r="AD36" i="69"/>
  <c r="U36" i="69"/>
  <c r="T36" i="69"/>
  <c r="L36" i="69"/>
  <c r="M36" i="69" s="1"/>
  <c r="BD35" i="69"/>
  <c r="BE35" i="69" s="1"/>
  <c r="AV35" i="69"/>
  <c r="AW35" i="69" s="1"/>
  <c r="AL35" i="69"/>
  <c r="AM35" i="69" s="1"/>
  <c r="AD35" i="69"/>
  <c r="AE35" i="69" s="1"/>
  <c r="U35" i="69"/>
  <c r="T35" i="69"/>
  <c r="L35" i="69"/>
  <c r="M35" i="69" s="1"/>
  <c r="BD34" i="69"/>
  <c r="BE34" i="69" s="1"/>
  <c r="AV34" i="69"/>
  <c r="AW34" i="69" s="1"/>
  <c r="AL34" i="69"/>
  <c r="AM34" i="69" s="1"/>
  <c r="AD34" i="69"/>
  <c r="AE34" i="69" s="1"/>
  <c r="U34" i="69"/>
  <c r="T34" i="69"/>
  <c r="L34" i="69"/>
  <c r="M34" i="69" s="1"/>
  <c r="BD33" i="69"/>
  <c r="BE33" i="69" s="1"/>
  <c r="AV33" i="69"/>
  <c r="AW33" i="69" s="1"/>
  <c r="AL33" i="69"/>
  <c r="AM33" i="69" s="1"/>
  <c r="AE33" i="69"/>
  <c r="AD33" i="69"/>
  <c r="U33" i="69"/>
  <c r="T33" i="69"/>
  <c r="L33" i="69"/>
  <c r="M33" i="69" s="1"/>
  <c r="BD32" i="69"/>
  <c r="BE32" i="69" s="1"/>
  <c r="AV32" i="69"/>
  <c r="AW32" i="69" s="1"/>
  <c r="AL32" i="69"/>
  <c r="AM32" i="69" s="1"/>
  <c r="AD32" i="69"/>
  <c r="AE32" i="69" s="1"/>
  <c r="U32" i="69"/>
  <c r="T32" i="69"/>
  <c r="L32" i="69"/>
  <c r="M32" i="69" s="1"/>
  <c r="BD31" i="69"/>
  <c r="BE31" i="69" s="1"/>
  <c r="AV31" i="69"/>
  <c r="AW31" i="69" s="1"/>
  <c r="AL31" i="69"/>
  <c r="AM31" i="69" s="1"/>
  <c r="AD31" i="69"/>
  <c r="AE31" i="69" s="1"/>
  <c r="U31" i="69"/>
  <c r="T31" i="69"/>
  <c r="L31" i="69"/>
  <c r="M31" i="69" s="1"/>
  <c r="BD30" i="69"/>
  <c r="BE30" i="69" s="1"/>
  <c r="AV30" i="69"/>
  <c r="AW30" i="69" s="1"/>
  <c r="AL30" i="69"/>
  <c r="AM30" i="69" s="1"/>
  <c r="AE30" i="69"/>
  <c r="AD30" i="69"/>
  <c r="U30" i="69"/>
  <c r="T30" i="69"/>
  <c r="L30" i="69"/>
  <c r="M30" i="69" s="1"/>
  <c r="BD29" i="69"/>
  <c r="BE29" i="69" s="1"/>
  <c r="AV29" i="69"/>
  <c r="AW29" i="69" s="1"/>
  <c r="AL29" i="69"/>
  <c r="AM29" i="69" s="1"/>
  <c r="AD29" i="69"/>
  <c r="AE29" i="69" s="1"/>
  <c r="U29" i="69"/>
  <c r="T29" i="69"/>
  <c r="L29" i="69"/>
  <c r="M29" i="69" s="1"/>
  <c r="BD28" i="69"/>
  <c r="BE28" i="69" s="1"/>
  <c r="AV28" i="69"/>
  <c r="AW28" i="69" s="1"/>
  <c r="AL28" i="69"/>
  <c r="AM28" i="69" s="1"/>
  <c r="AD28" i="69"/>
  <c r="AE28" i="69" s="1"/>
  <c r="U28" i="69"/>
  <c r="T28" i="69"/>
  <c r="L28" i="69"/>
  <c r="M28" i="69" s="1"/>
  <c r="BD27" i="69"/>
  <c r="BE27" i="69" s="1"/>
  <c r="AV27" i="69"/>
  <c r="AW27" i="69" s="1"/>
  <c r="AL27" i="69"/>
  <c r="AM27" i="69" s="1"/>
  <c r="AE27" i="69"/>
  <c r="AD27" i="69"/>
  <c r="U27" i="69"/>
  <c r="T27" i="69"/>
  <c r="L27" i="69"/>
  <c r="M27" i="69" s="1"/>
  <c r="BD26" i="69"/>
  <c r="BE26" i="69" s="1"/>
  <c r="AV26" i="69"/>
  <c r="AW26" i="69" s="1"/>
  <c r="AL26" i="69"/>
  <c r="AM26" i="69" s="1"/>
  <c r="AD26" i="69"/>
  <c r="AE26" i="69" s="1"/>
  <c r="U26" i="69"/>
  <c r="T26" i="69"/>
  <c r="L26" i="69"/>
  <c r="M26" i="69" s="1"/>
  <c r="BD25" i="69"/>
  <c r="BE25" i="69" s="1"/>
  <c r="AV25" i="69"/>
  <c r="AW25" i="69" s="1"/>
  <c r="AL25" i="69"/>
  <c r="AM25" i="69" s="1"/>
  <c r="AD25" i="69"/>
  <c r="AE25" i="69" s="1"/>
  <c r="U25" i="69"/>
  <c r="T25" i="69"/>
  <c r="L25" i="69"/>
  <c r="M25" i="69" s="1"/>
  <c r="BE24" i="69"/>
  <c r="BD24" i="69"/>
  <c r="AW24" i="69"/>
  <c r="AV24" i="69"/>
  <c r="AL24" i="69"/>
  <c r="AM24" i="69" s="1"/>
  <c r="AD24" i="69"/>
  <c r="AE24" i="69" s="1"/>
  <c r="T24" i="69"/>
  <c r="U24" i="69" s="1"/>
  <c r="M24" i="69"/>
  <c r="L24" i="69"/>
  <c r="BE23" i="69"/>
  <c r="BD23" i="69"/>
  <c r="AW23" i="69"/>
  <c r="AV23" i="69"/>
  <c r="AL23" i="69"/>
  <c r="AM23" i="69" s="1"/>
  <c r="AE23" i="69"/>
  <c r="AD23" i="69"/>
  <c r="T23" i="69"/>
  <c r="U23" i="69" s="1"/>
  <c r="M23" i="69"/>
  <c r="L23" i="69"/>
  <c r="BD22" i="69"/>
  <c r="BE22" i="69" s="1"/>
  <c r="AV22" i="69"/>
  <c r="AW22" i="69" s="1"/>
  <c r="AM22" i="69"/>
  <c r="AL22" i="69"/>
  <c r="AE22" i="69"/>
  <c r="AD22" i="69"/>
  <c r="T22" i="69"/>
  <c r="U22" i="69" s="1"/>
  <c r="L22" i="69"/>
  <c r="M22" i="69" s="1"/>
  <c r="BE21" i="69"/>
  <c r="BD21" i="69"/>
  <c r="AW21" i="69"/>
  <c r="AV21" i="69"/>
  <c r="AL21" i="69"/>
  <c r="AM21" i="69" s="1"/>
  <c r="AD21" i="69"/>
  <c r="AE21" i="69" s="1"/>
  <c r="T21" i="69"/>
  <c r="U21" i="69" s="1"/>
  <c r="L21" i="69"/>
  <c r="M21" i="69" s="1"/>
  <c r="BE20" i="69"/>
  <c r="BD20" i="69"/>
  <c r="AW20" i="69"/>
  <c r="AV20" i="69"/>
  <c r="AM20" i="69"/>
  <c r="AL20" i="69"/>
  <c r="AD20" i="69"/>
  <c r="AE20" i="69" s="1"/>
  <c r="U20" i="69"/>
  <c r="T20" i="69"/>
  <c r="L20" i="69"/>
  <c r="M20" i="69" s="1"/>
  <c r="BE19" i="69"/>
  <c r="BD19" i="69"/>
  <c r="AV19" i="69"/>
  <c r="AW19" i="69" s="1"/>
  <c r="AM19" i="69"/>
  <c r="AL19" i="69"/>
  <c r="AD19" i="69"/>
  <c r="AE19" i="69" s="1"/>
  <c r="U19" i="69"/>
  <c r="T19" i="69"/>
  <c r="M19" i="69"/>
  <c r="L19" i="69"/>
  <c r="BE18" i="69"/>
  <c r="BD18" i="69"/>
  <c r="AV18" i="69"/>
  <c r="AW18" i="69" s="1"/>
  <c r="AL18" i="69"/>
  <c r="AM18" i="69" s="1"/>
  <c r="AD18" i="69"/>
  <c r="AE18" i="69" s="1"/>
  <c r="T18" i="69"/>
  <c r="U18" i="69" s="1"/>
  <c r="L18" i="69"/>
  <c r="M18" i="69" s="1"/>
  <c r="BD17" i="69"/>
  <c r="BE17" i="69" s="1"/>
  <c r="AV17" i="69"/>
  <c r="AW17" i="69" s="1"/>
  <c r="AL17" i="69"/>
  <c r="AM17" i="69" s="1"/>
  <c r="AD17" i="69"/>
  <c r="AE17" i="69" s="1"/>
  <c r="U17" i="69"/>
  <c r="T17" i="69"/>
  <c r="L17" i="69"/>
  <c r="M17" i="69" s="1"/>
  <c r="BD16" i="69"/>
  <c r="BE16" i="69" s="1"/>
  <c r="AV16" i="69"/>
  <c r="AW16" i="69" s="1"/>
  <c r="AL16" i="69"/>
  <c r="AM16" i="69" s="1"/>
  <c r="AE16" i="69"/>
  <c r="AD16" i="69"/>
  <c r="U16" i="69"/>
  <c r="T16" i="69"/>
  <c r="M16" i="69"/>
  <c r="L16" i="69"/>
  <c r="BD15" i="69"/>
  <c r="BE15" i="69" s="1"/>
  <c r="AW15" i="69"/>
  <c r="AV15" i="69"/>
  <c r="AM15" i="69"/>
  <c r="AL15" i="69"/>
  <c r="AE15" i="69"/>
  <c r="AD15" i="69"/>
  <c r="T15" i="69"/>
  <c r="U15" i="69" s="1"/>
  <c r="M15" i="69"/>
  <c r="L15" i="69"/>
  <c r="BD14" i="69"/>
  <c r="BE14" i="69" s="1"/>
  <c r="AV14" i="69"/>
  <c r="AW14" i="69" s="1"/>
  <c r="AL14" i="69"/>
  <c r="AI3" i="69" s="1"/>
  <c r="AE14" i="69"/>
  <c r="AD14" i="69"/>
  <c r="T14" i="69"/>
  <c r="U14" i="69" s="1"/>
  <c r="L14" i="69"/>
  <c r="M14" i="69" s="1"/>
  <c r="BD13" i="69"/>
  <c r="AW13" i="69"/>
  <c r="AV13" i="69"/>
  <c r="AL13" i="69"/>
  <c r="AM13" i="69" s="1"/>
  <c r="AD13" i="69"/>
  <c r="AE13" i="69" s="1"/>
  <c r="T13" i="69"/>
  <c r="U13" i="69" s="1"/>
  <c r="L13" i="69"/>
  <c r="M13" i="69" s="1"/>
  <c r="BE12" i="69"/>
  <c r="BD12" i="69"/>
  <c r="AW12" i="69"/>
  <c r="AV12" i="69"/>
  <c r="AM12" i="69"/>
  <c r="AL12" i="69"/>
  <c r="AD12" i="69"/>
  <c r="AE12" i="69" s="1"/>
  <c r="T12" i="69"/>
  <c r="Q3" i="69" s="1"/>
  <c r="L12" i="69"/>
  <c r="M12" i="69" s="1"/>
  <c r="FH11" i="69"/>
  <c r="FG11" i="69"/>
  <c r="EY11" i="69"/>
  <c r="EP11" i="69"/>
  <c r="EQ11" i="69" s="1"/>
  <c r="EQ9" i="69" s="1"/>
  <c r="EH11" i="69"/>
  <c r="EI11" i="69" s="1"/>
  <c r="EI9" i="69" s="1"/>
  <c r="EI7" i="69" s="1"/>
  <c r="DY11" i="69"/>
  <c r="DX11" i="69"/>
  <c r="DQ11" i="69"/>
  <c r="DP11" i="69"/>
  <c r="DG11" i="69"/>
  <c r="DG9" i="69" s="1"/>
  <c r="DG7" i="69" s="1"/>
  <c r="DF11" i="69"/>
  <c r="CX11" i="69"/>
  <c r="CN11" i="69"/>
  <c r="CF11" i="69"/>
  <c r="CG11" i="69" s="1"/>
  <c r="BW11" i="69"/>
  <c r="BW9" i="69" s="1"/>
  <c r="BW7" i="69" s="1"/>
  <c r="BV11" i="69"/>
  <c r="BO11" i="69"/>
  <c r="BN11" i="69"/>
  <c r="BE11" i="69"/>
  <c r="BD11" i="69"/>
  <c r="AV11" i="69"/>
  <c r="AW11" i="69" s="1"/>
  <c r="AL11" i="69"/>
  <c r="AM11" i="69" s="1"/>
  <c r="AD11" i="69"/>
  <c r="AE11" i="69" s="1"/>
  <c r="U11" i="69"/>
  <c r="T11" i="69"/>
  <c r="M11" i="69"/>
  <c r="L11" i="69"/>
  <c r="FH9" i="69"/>
  <c r="FH7" i="69" s="1"/>
  <c r="DY9" i="69"/>
  <c r="DY7" i="69" s="1"/>
  <c r="DX9" i="69"/>
  <c r="DQ9" i="69"/>
  <c r="DQ5" i="69" s="1"/>
  <c r="CG9" i="69"/>
  <c r="CG3" i="69" s="1"/>
  <c r="BO9" i="69"/>
  <c r="BO7" i="69" s="1"/>
  <c r="FG7" i="69"/>
  <c r="FF7" i="69"/>
  <c r="EY7" i="69"/>
  <c r="EX7" i="69" s="1"/>
  <c r="EP7" i="69"/>
  <c r="EO7" i="69" s="1"/>
  <c r="EH7" i="69"/>
  <c r="EG7" i="69" s="1"/>
  <c r="DX7" i="69"/>
  <c r="DW7" i="69"/>
  <c r="DP7" i="69"/>
  <c r="DO7" i="69" s="1"/>
  <c r="DF7" i="69"/>
  <c r="DE7" i="69" s="1"/>
  <c r="CX7" i="69"/>
  <c r="CN7" i="69"/>
  <c r="CM7" i="69"/>
  <c r="CG7" i="69"/>
  <c r="CF7" i="69"/>
  <c r="CE7" i="69" s="1"/>
  <c r="BV7" i="69"/>
  <c r="BU7" i="69" s="1"/>
  <c r="BN7" i="69"/>
  <c r="BM7" i="69" s="1"/>
  <c r="BD7" i="69"/>
  <c r="AV7" i="69"/>
  <c r="AU7" i="69" s="1"/>
  <c r="AL7" i="69"/>
  <c r="AD7" i="69"/>
  <c r="AC7" i="69" s="1"/>
  <c r="T7" i="69"/>
  <c r="L7" i="69"/>
  <c r="K7" i="69" s="1"/>
  <c r="FG6" i="69"/>
  <c r="FF6" i="69"/>
  <c r="EY6" i="69"/>
  <c r="EX6" i="69"/>
  <c r="EP6" i="69"/>
  <c r="EO6" i="69"/>
  <c r="EH6" i="69"/>
  <c r="EG6" i="69" s="1"/>
  <c r="DX6" i="69"/>
  <c r="DW6" i="69"/>
  <c r="DP6" i="69"/>
  <c r="DP9" i="69" s="1"/>
  <c r="DO6" i="69"/>
  <c r="DF6" i="69"/>
  <c r="DE6" i="69" s="1"/>
  <c r="CX6" i="69"/>
  <c r="CW6" i="69"/>
  <c r="CF6" i="69"/>
  <c r="CE6" i="69"/>
  <c r="CF9" i="69" s="1"/>
  <c r="B19" i="69" s="1"/>
  <c r="BV6" i="69"/>
  <c r="BU6" i="69" s="1"/>
  <c r="BS6" i="69"/>
  <c r="A18" i="69" s="1"/>
  <c r="BN6" i="69"/>
  <c r="BM6" i="69"/>
  <c r="BD6" i="69"/>
  <c r="AV6" i="69"/>
  <c r="AL6" i="69"/>
  <c r="AD6" i="69"/>
  <c r="AC6" i="69" s="1"/>
  <c r="Y2" i="69" s="1"/>
  <c r="T6" i="69"/>
  <c r="S6" i="69" s="1"/>
  <c r="L6" i="69"/>
  <c r="K6" i="69" s="1"/>
  <c r="EI5" i="69"/>
  <c r="CG5" i="69"/>
  <c r="BW5" i="69"/>
  <c r="FF4" i="69"/>
  <c r="FD4" i="69"/>
  <c r="EO4" i="69"/>
  <c r="EM6" i="69" s="1"/>
  <c r="EM4" i="69"/>
  <c r="EG4" i="69"/>
  <c r="EE4" i="69"/>
  <c r="DW4" i="69"/>
  <c r="DU4" i="69"/>
  <c r="DO4" i="69"/>
  <c r="DM4" i="69"/>
  <c r="DE4" i="69"/>
  <c r="DC4" i="69"/>
  <c r="CE4" i="69"/>
  <c r="CC4" i="69"/>
  <c r="BU4" i="69"/>
  <c r="BS4" i="69"/>
  <c r="BK4" i="69"/>
  <c r="BM4" i="69" s="1"/>
  <c r="AU4" i="69"/>
  <c r="AS4" i="69"/>
  <c r="AI4" i="69"/>
  <c r="AK4" i="69" s="1"/>
  <c r="K4" i="69"/>
  <c r="I4" i="69"/>
  <c r="G4" i="69"/>
  <c r="FF3" i="69"/>
  <c r="FD3" i="69"/>
  <c r="EV3" i="69"/>
  <c r="EO3" i="69"/>
  <c r="EM3" i="69"/>
  <c r="EI3" i="69"/>
  <c r="EE3" i="69"/>
  <c r="EG3" i="69" s="1"/>
  <c r="DW3" i="69"/>
  <c r="DU3" i="69"/>
  <c r="DQ3" i="69"/>
  <c r="DM3" i="69"/>
  <c r="DE3" i="69"/>
  <c r="DC3" i="69"/>
  <c r="DC6" i="69" s="1"/>
  <c r="A22" i="69" s="1"/>
  <c r="CU3" i="69"/>
  <c r="CW3" i="69" s="1"/>
  <c r="CE3" i="69"/>
  <c r="CC3" i="69"/>
  <c r="BW3" i="69"/>
  <c r="BU3" i="69"/>
  <c r="BS3" i="69"/>
  <c r="BO3" i="69"/>
  <c r="BM3" i="69"/>
  <c r="BK3" i="69"/>
  <c r="AS3" i="69"/>
  <c r="S3" i="69"/>
  <c r="K3" i="69"/>
  <c r="I3" i="69"/>
  <c r="G2" i="69" l="1"/>
  <c r="BV4" i="69"/>
  <c r="EQ7" i="69"/>
  <c r="EQ5" i="69"/>
  <c r="EQ3" i="69"/>
  <c r="EP4" i="69" s="1"/>
  <c r="EP2" i="69" s="1"/>
  <c r="AK3" i="69"/>
  <c r="AI6" i="69" s="1"/>
  <c r="A14" i="69" s="1"/>
  <c r="AC3" i="69"/>
  <c r="DY3" i="69"/>
  <c r="FH3" i="69"/>
  <c r="BN9" i="69"/>
  <c r="B17" i="69" s="1"/>
  <c r="FG9" i="69"/>
  <c r="AA4" i="69"/>
  <c r="AC4" i="69" s="1"/>
  <c r="BK6" i="69"/>
  <c r="U12" i="69"/>
  <c r="AM14" i="69"/>
  <c r="AM9" i="69" s="1"/>
  <c r="AE62" i="69"/>
  <c r="DG5" i="69"/>
  <c r="EE6" i="69"/>
  <c r="EH4" i="69" s="1"/>
  <c r="EH2" i="69" s="1"/>
  <c r="EE9" i="69" s="1"/>
  <c r="E25" i="69" s="1"/>
  <c r="S7" i="69"/>
  <c r="O2" i="69" s="1"/>
  <c r="O4" i="69"/>
  <c r="DY5" i="69"/>
  <c r="AK6" i="69"/>
  <c r="AL9" i="69" s="1"/>
  <c r="B14" i="69" s="1"/>
  <c r="EH9" i="69"/>
  <c r="CW7" i="69"/>
  <c r="CX9" i="69" s="1"/>
  <c r="B21" i="69" s="1"/>
  <c r="DG3" i="69"/>
  <c r="Q4" i="69"/>
  <c r="S4" i="69" s="1"/>
  <c r="AK7" i="69"/>
  <c r="AU6" i="69"/>
  <c r="AQ2" i="69" s="1"/>
  <c r="M9" i="69"/>
  <c r="BA4" i="69"/>
  <c r="BC4" i="69" s="1"/>
  <c r="BA3" i="69"/>
  <c r="CC6" i="69"/>
  <c r="A19" i="69" s="1"/>
  <c r="DO3" i="69"/>
  <c r="DM6" i="69" s="1"/>
  <c r="DP4" i="69" s="1"/>
  <c r="DP2" i="69" s="1"/>
  <c r="DM9" i="69" s="1"/>
  <c r="E23" i="69" s="1"/>
  <c r="EX3" i="69"/>
  <c r="EP9" i="69"/>
  <c r="DQ7" i="69"/>
  <c r="BE13" i="69"/>
  <c r="AD9" i="69"/>
  <c r="B13" i="69" s="1"/>
  <c r="FH5" i="69"/>
  <c r="BC6" i="69"/>
  <c r="BD9" i="69" s="1"/>
  <c r="B16" i="69" s="1"/>
  <c r="EY9" i="69"/>
  <c r="BC7" i="69"/>
  <c r="U9" i="69"/>
  <c r="CN6" i="69"/>
  <c r="CK4" i="69"/>
  <c r="CM4" i="69" s="1"/>
  <c r="CK3" i="69"/>
  <c r="EV4" i="69"/>
  <c r="EX4" i="69" s="1"/>
  <c r="EZ11" i="69"/>
  <c r="EZ9" i="69" s="1"/>
  <c r="BV9" i="69"/>
  <c r="B18" i="69" s="1"/>
  <c r="I6" i="69"/>
  <c r="A11" i="69" s="1"/>
  <c r="AU3" i="69"/>
  <c r="AQ4" i="69" s="1"/>
  <c r="DU6" i="69"/>
  <c r="FD6" i="69"/>
  <c r="AE9" i="69"/>
  <c r="CO11" i="69"/>
  <c r="CO9" i="69" s="1"/>
  <c r="AW9" i="69"/>
  <c r="BE9" i="69"/>
  <c r="L9" i="69"/>
  <c r="B11" i="69" s="1"/>
  <c r="DF9" i="69"/>
  <c r="B22" i="69" s="1"/>
  <c r="CU4" i="69"/>
  <c r="CW4" i="69" s="1"/>
  <c r="CY11" i="69"/>
  <c r="CY9" i="69" s="1"/>
  <c r="BO5" i="69"/>
  <c r="AM7" i="69" l="1"/>
  <c r="AM5" i="69"/>
  <c r="AM3" i="69"/>
  <c r="AL4" i="69" s="1"/>
  <c r="BC3" i="69"/>
  <c r="BA6" i="69" s="1"/>
  <c r="A16" i="69" s="1"/>
  <c r="U7" i="69"/>
  <c r="U5" i="69"/>
  <c r="U3" i="69"/>
  <c r="T4" i="69" s="1"/>
  <c r="A17" i="69"/>
  <c r="BN4" i="69"/>
  <c r="AY2" i="69"/>
  <c r="Q6" i="69"/>
  <c r="A12" i="69" s="1"/>
  <c r="CY7" i="69"/>
  <c r="CY5" i="69"/>
  <c r="CY3" i="69"/>
  <c r="C18" i="69"/>
  <c r="BV2" i="69"/>
  <c r="D18" i="69" s="1"/>
  <c r="AS6" i="69"/>
  <c r="A15" i="69" s="1"/>
  <c r="M5" i="69"/>
  <c r="M7" i="69"/>
  <c r="M3" i="69"/>
  <c r="L4" i="69" s="1"/>
  <c r="FG4" i="69"/>
  <c r="FG2" i="69" s="1"/>
  <c r="CU6" i="69"/>
  <c r="A21" i="69" s="1"/>
  <c r="T9" i="69"/>
  <c r="B12" i="69" s="1"/>
  <c r="DX4" i="69"/>
  <c r="DX2" i="69" s="1"/>
  <c r="EZ3" i="69"/>
  <c r="EZ5" i="69"/>
  <c r="EZ7" i="69"/>
  <c r="EV6" i="69"/>
  <c r="BE7" i="69"/>
  <c r="BE3" i="69"/>
  <c r="BE5" i="69"/>
  <c r="Y4" i="69"/>
  <c r="CF4" i="69"/>
  <c r="CF2" i="69" s="1"/>
  <c r="AW5" i="69"/>
  <c r="AW3" i="69"/>
  <c r="AV4" i="69" s="1"/>
  <c r="AW7" i="69"/>
  <c r="CM3" i="69"/>
  <c r="CK6" i="69" s="1"/>
  <c r="A20" i="69" s="1"/>
  <c r="AG2" i="69"/>
  <c r="AA6" i="69"/>
  <c r="A13" i="69" s="1"/>
  <c r="CO5" i="69"/>
  <c r="CO7" i="69"/>
  <c r="CO3" i="69"/>
  <c r="AG4" i="69"/>
  <c r="AE7" i="69"/>
  <c r="AE5" i="69"/>
  <c r="AE3" i="69"/>
  <c r="CN9" i="69"/>
  <c r="B20" i="69" s="1"/>
  <c r="CM6" i="69"/>
  <c r="AV9" i="69"/>
  <c r="B15" i="69" s="1"/>
  <c r="DF4" i="69"/>
  <c r="D19" i="69" l="1"/>
  <c r="CC9" i="69"/>
  <c r="E19" i="69" s="1"/>
  <c r="C17" i="69"/>
  <c r="C19" i="69"/>
  <c r="BN2" i="69"/>
  <c r="C11" i="69"/>
  <c r="L2" i="69"/>
  <c r="C12" i="69"/>
  <c r="T2" i="69"/>
  <c r="D12" i="69" s="1"/>
  <c r="BD4" i="69"/>
  <c r="CN4" i="69"/>
  <c r="C22" i="69"/>
  <c r="DF2" i="69"/>
  <c r="D22" i="69" s="1"/>
  <c r="AY4" i="69"/>
  <c r="CX4" i="69"/>
  <c r="EY4" i="69"/>
  <c r="EY2" i="69" s="1"/>
  <c r="EV9" i="69" s="1"/>
  <c r="C14" i="69"/>
  <c r="AL2" i="69"/>
  <c r="D14" i="69" s="1"/>
  <c r="AD4" i="69"/>
  <c r="C15" i="69"/>
  <c r="AV2" i="69"/>
  <c r="BD2" i="69" l="1"/>
  <c r="D16" i="69" s="1"/>
  <c r="C16" i="69"/>
  <c r="D15" i="69"/>
  <c r="C13" i="69"/>
  <c r="AD2" i="69"/>
  <c r="D11" i="69"/>
  <c r="I9" i="69"/>
  <c r="E11" i="69" s="1"/>
  <c r="D17" i="69"/>
  <c r="BK9" i="69"/>
  <c r="E17" i="69" s="1"/>
  <c r="C21" i="69"/>
  <c r="CX2" i="69"/>
  <c r="C20" i="69"/>
  <c r="CN2" i="69"/>
  <c r="D20" i="69" s="1"/>
  <c r="CU9" i="69" l="1"/>
  <c r="E21" i="69" s="1"/>
  <c r="D21" i="69"/>
  <c r="AA9" i="69"/>
  <c r="E13" i="69" s="1"/>
  <c r="D13" i="69"/>
  <c r="AS9" i="69"/>
  <c r="E15" i="69" s="1"/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 s="1"/>
  <c r="BD99" i="67"/>
  <c r="BE99" i="67" s="1"/>
  <c r="BD100" i="67"/>
  <c r="BE100" i="67" s="1"/>
  <c r="BD101" i="67"/>
  <c r="BE101" i="67"/>
  <c r="BD102" i="67"/>
  <c r="BE102" i="67" s="1"/>
  <c r="BD103" i="67"/>
  <c r="BE103" i="67"/>
  <c r="BD104" i="67"/>
  <c r="BE104" i="67" s="1"/>
  <c r="BD105" i="67"/>
  <c r="BE105" i="67" s="1"/>
  <c r="BD106" i="67"/>
  <c r="BE106" i="67" s="1"/>
  <c r="BD107" i="67"/>
  <c r="BE107" i="67"/>
  <c r="BD108" i="67"/>
  <c r="BE108" i="67" s="1"/>
  <c r="BD109" i="67"/>
  <c r="BE109" i="67"/>
  <c r="BD110" i="67"/>
  <c r="BA3" i="67" s="1"/>
  <c r="BD111" i="67"/>
  <c r="BE111" i="67"/>
  <c r="BD112" i="67"/>
  <c r="BE112" i="67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/>
  <c r="BD200" i="67"/>
  <c r="BE200" i="67"/>
  <c r="BD201" i="67"/>
  <c r="BE201" i="67"/>
  <c r="BD202" i="67"/>
  <c r="BE202" i="67"/>
  <c r="BD203" i="67"/>
  <c r="BE203" i="67" s="1"/>
  <c r="BD204" i="67"/>
  <c r="BE204" i="67" s="1"/>
  <c r="BD205" i="67"/>
  <c r="BE205" i="67"/>
  <c r="BD206" i="67"/>
  <c r="BE206" i="67" s="1"/>
  <c r="BD207" i="67"/>
  <c r="BE207" i="67"/>
  <c r="BD208" i="67"/>
  <c r="BE208" i="67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 s="1"/>
  <c r="BD216" i="67"/>
  <c r="BE216" i="67" s="1"/>
  <c r="BD217" i="67"/>
  <c r="BE217" i="67"/>
  <c r="BD218" i="67"/>
  <c r="BE218" i="67"/>
  <c r="BD219" i="67"/>
  <c r="BE219" i="67"/>
  <c r="BD220" i="67"/>
  <c r="BE220" i="67"/>
  <c r="BD221" i="67"/>
  <c r="BE221" i="67" s="1"/>
  <c r="BD222" i="67"/>
  <c r="BE222" i="67" s="1"/>
  <c r="BD223" i="67"/>
  <c r="BE223" i="67"/>
  <c r="BD224" i="67"/>
  <c r="BE224" i="67"/>
  <c r="BD225" i="67"/>
  <c r="BE225" i="67"/>
  <c r="BD226" i="67"/>
  <c r="BE226" i="67"/>
  <c r="BD227" i="67"/>
  <c r="BE227" i="67" s="1"/>
  <c r="BD228" i="67"/>
  <c r="BE228" i="67" s="1"/>
  <c r="BD229" i="67"/>
  <c r="BE229" i="67"/>
  <c r="BD230" i="67"/>
  <c r="BE230" i="67" s="1"/>
  <c r="BD231" i="67"/>
  <c r="BE231" i="67"/>
  <c r="BD232" i="67"/>
  <c r="BE232" i="67"/>
  <c r="BD233" i="67"/>
  <c r="BE233" i="67" s="1"/>
  <c r="BD234" i="67"/>
  <c r="BE234" i="67" s="1"/>
  <c r="BD235" i="67"/>
  <c r="BE235" i="67"/>
  <c r="BD236" i="67"/>
  <c r="BE236" i="67"/>
  <c r="BD237" i="67"/>
  <c r="BE237" i="67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/>
  <c r="AV98" i="67"/>
  <c r="AW98" i="67"/>
  <c r="AV99" i="67"/>
  <c r="AW99" i="67"/>
  <c r="AV100" i="67"/>
  <c r="AW100" i="67" s="1"/>
  <c r="AV101" i="67"/>
  <c r="AW101" i="67" s="1"/>
  <c r="AV102" i="67"/>
  <c r="AW102" i="67"/>
  <c r="AV103" i="67"/>
  <c r="AW103" i="67" s="1"/>
  <c r="AV104" i="67"/>
  <c r="AW104" i="67"/>
  <c r="AV105" i="67"/>
  <c r="AW105" i="67"/>
  <c r="AV106" i="67"/>
  <c r="AW106" i="67" s="1"/>
  <c r="AV107" i="67"/>
  <c r="AW107" i="67" s="1"/>
  <c r="AV108" i="67"/>
  <c r="AW108" i="67"/>
  <c r="AV109" i="67"/>
  <c r="AW109" i="67"/>
  <c r="AV110" i="67"/>
  <c r="AW110" i="67"/>
  <c r="AV111" i="67"/>
  <c r="AW111" i="67"/>
  <c r="AV112" i="67"/>
  <c r="AW112" i="67" s="1"/>
  <c r="AV113" i="67"/>
  <c r="AW113" i="67" s="1"/>
  <c r="AV114" i="67"/>
  <c r="AW114" i="67"/>
  <c r="AV115" i="67"/>
  <c r="AW115" i="67"/>
  <c r="AV116" i="67"/>
  <c r="AW116" i="67"/>
  <c r="AV117" i="67"/>
  <c r="AW117" i="67"/>
  <c r="AV118" i="67"/>
  <c r="AW118" i="67" s="1"/>
  <c r="AV119" i="67"/>
  <c r="AW119" i="67" s="1"/>
  <c r="AV120" i="67"/>
  <c r="AW120" i="67" s="1"/>
  <c r="AV121" i="67"/>
  <c r="AW121" i="67"/>
  <c r="AV122" i="67"/>
  <c r="AW122" i="67" s="1"/>
  <c r="AV123" i="67"/>
  <c r="AW123" i="67" s="1"/>
  <c r="AV124" i="67"/>
  <c r="AW124" i="67" s="1"/>
  <c r="AV125" i="67"/>
  <c r="AW125" i="67"/>
  <c r="AV126" i="67"/>
  <c r="AW126" i="67" s="1"/>
  <c r="AV127" i="67"/>
  <c r="AW127" i="67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 s="1"/>
  <c r="AL185" i="67"/>
  <c r="AM185" i="67" s="1"/>
  <c r="AL186" i="67"/>
  <c r="AM186" i="67"/>
  <c r="AL187" i="67"/>
  <c r="AM187" i="67"/>
  <c r="AL188" i="67"/>
  <c r="AM188" i="67"/>
  <c r="AL189" i="67"/>
  <c r="AM189" i="67"/>
  <c r="AL190" i="67"/>
  <c r="AM190" i="67" s="1"/>
  <c r="AL191" i="67"/>
  <c r="AM191" i="67" s="1"/>
  <c r="AL192" i="67"/>
  <c r="AM192" i="67"/>
  <c r="AL193" i="67"/>
  <c r="AM193" i="67"/>
  <c r="AL194" i="67"/>
  <c r="AM194" i="67"/>
  <c r="AL195" i="67"/>
  <c r="AM195" i="67"/>
  <c r="AL196" i="67"/>
  <c r="AM196" i="67" s="1"/>
  <c r="AL197" i="67"/>
  <c r="AM197" i="67" s="1"/>
  <c r="AL198" i="67"/>
  <c r="AM198" i="67" s="1"/>
  <c r="AL199" i="67"/>
  <c r="AM199" i="67" s="1"/>
  <c r="AL200" i="67"/>
  <c r="AM200" i="67" s="1"/>
  <c r="AL201" i="67"/>
  <c r="AM201" i="67" s="1"/>
  <c r="AL202" i="67"/>
  <c r="AM202" i="67" s="1"/>
  <c r="AL203" i="67"/>
  <c r="AM203" i="67" s="1"/>
  <c r="AL204" i="67"/>
  <c r="AM204" i="67" s="1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D12" i="67"/>
  <c r="AE12" i="67"/>
  <c r="AD13" i="67"/>
  <c r="AE13" i="67" s="1"/>
  <c r="AD14" i="67"/>
  <c r="AE14" i="67"/>
  <c r="AD15" i="67"/>
  <c r="AE15" i="67" s="1"/>
  <c r="AD16" i="67"/>
  <c r="AE16" i="67" s="1"/>
  <c r="AD17" i="67"/>
  <c r="AE17" i="67" s="1"/>
  <c r="AD18" i="67"/>
  <c r="AE18" i="67"/>
  <c r="AD19" i="67"/>
  <c r="AE19" i="67" s="1"/>
  <c r="AD20" i="67"/>
  <c r="AE20" i="67"/>
  <c r="AD21" i="67"/>
  <c r="AE21" i="67" s="1"/>
  <c r="AD22" i="67"/>
  <c r="AE22" i="67" s="1"/>
  <c r="AD23" i="67"/>
  <c r="AE23" i="67" s="1"/>
  <c r="AD24" i="67"/>
  <c r="AE24" i="67"/>
  <c r="AD25" i="67"/>
  <c r="AE25" i="67" s="1"/>
  <c r="AD26" i="67"/>
  <c r="AE26" i="67"/>
  <c r="AD27" i="67"/>
  <c r="AE27" i="67" s="1"/>
  <c r="AD28" i="67"/>
  <c r="AE28" i="67" s="1"/>
  <c r="AD29" i="67"/>
  <c r="AE29" i="67" s="1"/>
  <c r="AD30" i="67"/>
  <c r="AE30" i="67"/>
  <c r="AD31" i="67"/>
  <c r="AE31" i="67" s="1"/>
  <c r="AD32" i="67"/>
  <c r="AE32" i="67"/>
  <c r="AD33" i="67"/>
  <c r="AE33" i="67" s="1"/>
  <c r="AD34" i="67"/>
  <c r="AE34" i="67" s="1"/>
  <c r="AD35" i="67"/>
  <c r="AE35" i="67" s="1"/>
  <c r="AD36" i="67"/>
  <c r="AE36" i="67"/>
  <c r="AD37" i="67"/>
  <c r="AE37" i="67" s="1"/>
  <c r="AD38" i="67"/>
  <c r="AE38" i="67"/>
  <c r="AD39" i="67"/>
  <c r="AE39" i="67" s="1"/>
  <c r="AD40" i="67"/>
  <c r="AE40" i="67" s="1"/>
  <c r="AD41" i="67"/>
  <c r="AE41" i="67" s="1"/>
  <c r="AD42" i="67"/>
  <c r="AE42" i="67"/>
  <c r="AD43" i="67"/>
  <c r="AE43" i="67" s="1"/>
  <c r="AD44" i="67"/>
  <c r="AE44" i="67"/>
  <c r="AD45" i="67"/>
  <c r="AE45" i="67" s="1"/>
  <c r="AD46" i="67"/>
  <c r="AE46" i="67" s="1"/>
  <c r="AD47" i="67"/>
  <c r="AE47" i="67" s="1"/>
  <c r="AD48" i="67"/>
  <c r="AE48" i="67"/>
  <c r="AD49" i="67"/>
  <c r="AE49" i="67" s="1"/>
  <c r="AD50" i="67"/>
  <c r="AE50" i="67"/>
  <c r="AD51" i="67"/>
  <c r="AE51" i="67" s="1"/>
  <c r="AD52" i="67"/>
  <c r="AE52" i="67" s="1"/>
  <c r="AD53" i="67"/>
  <c r="AE53" i="67" s="1"/>
  <c r="AD54" i="67"/>
  <c r="AE54" i="67"/>
  <c r="AD55" i="67"/>
  <c r="AE55" i="67" s="1"/>
  <c r="AD56" i="67"/>
  <c r="AE56" i="67"/>
  <c r="AD57" i="67"/>
  <c r="AE57" i="67" s="1"/>
  <c r="AD58" i="67"/>
  <c r="AE58" i="67" s="1"/>
  <c r="AD59" i="67"/>
  <c r="AE59" i="67" s="1"/>
  <c r="AD60" i="67"/>
  <c r="AE60" i="67"/>
  <c r="AD61" i="67"/>
  <c r="AE61" i="67" s="1"/>
  <c r="AD62" i="67"/>
  <c r="AE62" i="67"/>
  <c r="AD63" i="67"/>
  <c r="AE63" i="67" s="1"/>
  <c r="AD64" i="67"/>
  <c r="AE64" i="67" s="1"/>
  <c r="AD65" i="67"/>
  <c r="AE65" i="67" s="1"/>
  <c r="AD66" i="67"/>
  <c r="AE66" i="67"/>
  <c r="AD67" i="67"/>
  <c r="AE67" i="67" s="1"/>
  <c r="AD68" i="67"/>
  <c r="AE68" i="67"/>
  <c r="AD69" i="67"/>
  <c r="AE69" i="67" s="1"/>
  <c r="AD70" i="67"/>
  <c r="AE70" i="67" s="1"/>
  <c r="AD71" i="67"/>
  <c r="AE71" i="67" s="1"/>
  <c r="AD72" i="67"/>
  <c r="AE72" i="67"/>
  <c r="AD73" i="67"/>
  <c r="AE73" i="67" s="1"/>
  <c r="AD74" i="67"/>
  <c r="AE74" i="67"/>
  <c r="AD75" i="67"/>
  <c r="AE75" i="67" s="1"/>
  <c r="AD76" i="67"/>
  <c r="AE76" i="67" s="1"/>
  <c r="AD77" i="67"/>
  <c r="AE77" i="67" s="1"/>
  <c r="AD78" i="67"/>
  <c r="AE78" i="67"/>
  <c r="AD79" i="67"/>
  <c r="AE79" i="67" s="1"/>
  <c r="AD80" i="67"/>
  <c r="AE80" i="67"/>
  <c r="AD81" i="67"/>
  <c r="AE81" i="67" s="1"/>
  <c r="AD82" i="67"/>
  <c r="AE82" i="67" s="1"/>
  <c r="AD83" i="67"/>
  <c r="AE83" i="67" s="1"/>
  <c r="AD84" i="67"/>
  <c r="AE84" i="67"/>
  <c r="AD85" i="67"/>
  <c r="AE85" i="67" s="1"/>
  <c r="AD86" i="67"/>
  <c r="AE86" i="67"/>
  <c r="AD87" i="67"/>
  <c r="AE87" i="67" s="1"/>
  <c r="AD88" i="67"/>
  <c r="AE88" i="67" s="1"/>
  <c r="AD89" i="67"/>
  <c r="AE89" i="67" s="1"/>
  <c r="AD90" i="67"/>
  <c r="AE90" i="67"/>
  <c r="AD91" i="67"/>
  <c r="AE91" i="67" s="1"/>
  <c r="AD92" i="67"/>
  <c r="AE92" i="67"/>
  <c r="AD93" i="67"/>
  <c r="AE93" i="67" s="1"/>
  <c r="AD94" i="67"/>
  <c r="AE94" i="67" s="1"/>
  <c r="AD95" i="67"/>
  <c r="AE95" i="67" s="1"/>
  <c r="AD96" i="67"/>
  <c r="AE96" i="67"/>
  <c r="AD97" i="67"/>
  <c r="AE97" i="67" s="1"/>
  <c r="AD98" i="67"/>
  <c r="AE98" i="67"/>
  <c r="AD99" i="67"/>
  <c r="AE99" i="67" s="1"/>
  <c r="AD100" i="67"/>
  <c r="AE100" i="67" s="1"/>
  <c r="AD101" i="67"/>
  <c r="AE101" i="67" s="1"/>
  <c r="AD102" i="67"/>
  <c r="AE102" i="67"/>
  <c r="AD103" i="67"/>
  <c r="AE103" i="67" s="1"/>
  <c r="AD104" i="67"/>
  <c r="AE104" i="67"/>
  <c r="AD105" i="67"/>
  <c r="AE105" i="67" s="1"/>
  <c r="AD106" i="67"/>
  <c r="AE106" i="67" s="1"/>
  <c r="AD107" i="67"/>
  <c r="AE107" i="67" s="1"/>
  <c r="AD108" i="67"/>
  <c r="AE108" i="67"/>
  <c r="AD109" i="67"/>
  <c r="AE109" i="67" s="1"/>
  <c r="AD110" i="67"/>
  <c r="AE110" i="67"/>
  <c r="AD111" i="67"/>
  <c r="AE111" i="67" s="1"/>
  <c r="AD112" i="67"/>
  <c r="AE112" i="67" s="1"/>
  <c r="AD113" i="67"/>
  <c r="AE113" i="67" s="1"/>
  <c r="AD114" i="67"/>
  <c r="AE114" i="67"/>
  <c r="AD115" i="67"/>
  <c r="AE115" i="67" s="1"/>
  <c r="AD116" i="67"/>
  <c r="AE116" i="67"/>
  <c r="AD117" i="67"/>
  <c r="AE117" i="67" s="1"/>
  <c r="AD118" i="67"/>
  <c r="AE118" i="67" s="1"/>
  <c r="AD119" i="67"/>
  <c r="AE119" i="67" s="1"/>
  <c r="AD120" i="67"/>
  <c r="AE120" i="67"/>
  <c r="AD121" i="67"/>
  <c r="AE121" i="67" s="1"/>
  <c r="AD122" i="67"/>
  <c r="AE122" i="67"/>
  <c r="AD123" i="67"/>
  <c r="AE123" i="67" s="1"/>
  <c r="AD124" i="67"/>
  <c r="AE124" i="67" s="1"/>
  <c r="AD125" i="67"/>
  <c r="AE125" i="67" s="1"/>
  <c r="AD126" i="67"/>
  <c r="AE126" i="67"/>
  <c r="AD127" i="67"/>
  <c r="AE127" i="67" s="1"/>
  <c r="AD128" i="67"/>
  <c r="AE128" i="67"/>
  <c r="AD129" i="67"/>
  <c r="AE129" i="67" s="1"/>
  <c r="AD130" i="67"/>
  <c r="AE130" i="67" s="1"/>
  <c r="AD131" i="67"/>
  <c r="AE131" i="67" s="1"/>
  <c r="AD132" i="67"/>
  <c r="AE132" i="67"/>
  <c r="AD133" i="67"/>
  <c r="AE133" i="67" s="1"/>
  <c r="AD134" i="67"/>
  <c r="AE134" i="67"/>
  <c r="AD135" i="67"/>
  <c r="AE135" i="67" s="1"/>
  <c r="AD136" i="67"/>
  <c r="AE136" i="67" s="1"/>
  <c r="AD137" i="67"/>
  <c r="AE137" i="67" s="1"/>
  <c r="AD138" i="67"/>
  <c r="AE138" i="67"/>
  <c r="AD139" i="67"/>
  <c r="AE139" i="67" s="1"/>
  <c r="AD140" i="67"/>
  <c r="AE140" i="67"/>
  <c r="AD141" i="67"/>
  <c r="AE141" i="67" s="1"/>
  <c r="AD142" i="67"/>
  <c r="AE142" i="67" s="1"/>
  <c r="AD143" i="67"/>
  <c r="AE143" i="67" s="1"/>
  <c r="AD144" i="67"/>
  <c r="AE144" i="67"/>
  <c r="AD145" i="67"/>
  <c r="AE145" i="67" s="1"/>
  <c r="AD146" i="67"/>
  <c r="AE146" i="67"/>
  <c r="AD147" i="67"/>
  <c r="AE147" i="67" s="1"/>
  <c r="AD148" i="67"/>
  <c r="AE148" i="67" s="1"/>
  <c r="AD149" i="67"/>
  <c r="AE149" i="67" s="1"/>
  <c r="AD150" i="67"/>
  <c r="AE150" i="67"/>
  <c r="AD151" i="67"/>
  <c r="AE151" i="67" s="1"/>
  <c r="AD152" i="67"/>
  <c r="AE152" i="67"/>
  <c r="AD153" i="67"/>
  <c r="AE153" i="67" s="1"/>
  <c r="AD154" i="67"/>
  <c r="AE154" i="67" s="1"/>
  <c r="AD155" i="67"/>
  <c r="AE155" i="67" s="1"/>
  <c r="AD156" i="67"/>
  <c r="AE156" i="67"/>
  <c r="AD157" i="67"/>
  <c r="AE157" i="67" s="1"/>
  <c r="AD158" i="67"/>
  <c r="AE158" i="67"/>
  <c r="AD159" i="67"/>
  <c r="AE159" i="67" s="1"/>
  <c r="AD160" i="67"/>
  <c r="AE160" i="67" s="1"/>
  <c r="AD161" i="67"/>
  <c r="AE161" i="67" s="1"/>
  <c r="AD162" i="67"/>
  <c r="AE162" i="67"/>
  <c r="AD163" i="67"/>
  <c r="AE163" i="67" s="1"/>
  <c r="AD164" i="67"/>
  <c r="AE164" i="67"/>
  <c r="AD165" i="67"/>
  <c r="AE165" i="67" s="1"/>
  <c r="AD166" i="67"/>
  <c r="AE166" i="67" s="1"/>
  <c r="AD167" i="67"/>
  <c r="AE167" i="67" s="1"/>
  <c r="AD168" i="67"/>
  <c r="AE168" i="67"/>
  <c r="AD169" i="67"/>
  <c r="AE169" i="67" s="1"/>
  <c r="AD170" i="67"/>
  <c r="AE170" i="67"/>
  <c r="AD171" i="67"/>
  <c r="AE171" i="67" s="1"/>
  <c r="AD172" i="67"/>
  <c r="AE172" i="67" s="1"/>
  <c r="AD173" i="67"/>
  <c r="AE173" i="67" s="1"/>
  <c r="AD174" i="67"/>
  <c r="AE174" i="67"/>
  <c r="AD175" i="67"/>
  <c r="AE175" i="67" s="1"/>
  <c r="AD176" i="67"/>
  <c r="AE176" i="67"/>
  <c r="AD177" i="67"/>
  <c r="AE177" i="67" s="1"/>
  <c r="AD178" i="67"/>
  <c r="AE178" i="67" s="1"/>
  <c r="AD179" i="67"/>
  <c r="AE179" i="67" s="1"/>
  <c r="AD180" i="67"/>
  <c r="AE180" i="67"/>
  <c r="AD181" i="67"/>
  <c r="AE181" i="67" s="1"/>
  <c r="AD182" i="67"/>
  <c r="AE182" i="67"/>
  <c r="AD183" i="67"/>
  <c r="AE183" i="67" s="1"/>
  <c r="AD184" i="67"/>
  <c r="AE184" i="67" s="1"/>
  <c r="AD185" i="67"/>
  <c r="AE185" i="67" s="1"/>
  <c r="AD186" i="67"/>
  <c r="AE186" i="67"/>
  <c r="AD187" i="67"/>
  <c r="AE187" i="67" s="1"/>
  <c r="AD188" i="67"/>
  <c r="AE188" i="67"/>
  <c r="AD189" i="67"/>
  <c r="AE189" i="67" s="1"/>
  <c r="AD190" i="67"/>
  <c r="AE190" i="67" s="1"/>
  <c r="AD191" i="67"/>
  <c r="AE191" i="67" s="1"/>
  <c r="AD192" i="67"/>
  <c r="AE192" i="67"/>
  <c r="AD193" i="67"/>
  <c r="AE193" i="67" s="1"/>
  <c r="AD194" i="67"/>
  <c r="AE194" i="67"/>
  <c r="AD195" i="67"/>
  <c r="AE195" i="67" s="1"/>
  <c r="AD196" i="67"/>
  <c r="AE196" i="67" s="1"/>
  <c r="AD197" i="67"/>
  <c r="AE197" i="67" s="1"/>
  <c r="AD198" i="67"/>
  <c r="AE198" i="67"/>
  <c r="AD199" i="67"/>
  <c r="AE199" i="67" s="1"/>
  <c r="AD200" i="67"/>
  <c r="AE200" i="67"/>
  <c r="AD201" i="67"/>
  <c r="AE201" i="67" s="1"/>
  <c r="AD202" i="67"/>
  <c r="AE202" i="67" s="1"/>
  <c r="AD203" i="67"/>
  <c r="AE203" i="67" s="1"/>
  <c r="AD204" i="67"/>
  <c r="AE204" i="67"/>
  <c r="AD205" i="67"/>
  <c r="AE205" i="67" s="1"/>
  <c r="AD206" i="67"/>
  <c r="AE206" i="67"/>
  <c r="AD207" i="67"/>
  <c r="AE207" i="67" s="1"/>
  <c r="AD208" i="67"/>
  <c r="AE208" i="67" s="1"/>
  <c r="AD209" i="67"/>
  <c r="AE209" i="67" s="1"/>
  <c r="AD210" i="67"/>
  <c r="AE210" i="67"/>
  <c r="AD211" i="67"/>
  <c r="AE211" i="67" s="1"/>
  <c r="AD212" i="67"/>
  <c r="AE212" i="67"/>
  <c r="AD213" i="67"/>
  <c r="AE213" i="67" s="1"/>
  <c r="AD214" i="67"/>
  <c r="AE214" i="67" s="1"/>
  <c r="AD215" i="67"/>
  <c r="AE215" i="67" s="1"/>
  <c r="AD216" i="67"/>
  <c r="AE216" i="67"/>
  <c r="AD217" i="67"/>
  <c r="AE217" i="67" s="1"/>
  <c r="AD218" i="67"/>
  <c r="AE218" i="67"/>
  <c r="AD219" i="67"/>
  <c r="AE219" i="67" s="1"/>
  <c r="AD220" i="67"/>
  <c r="AE220" i="67" s="1"/>
  <c r="AD221" i="67"/>
  <c r="AE221" i="67" s="1"/>
  <c r="AD222" i="67"/>
  <c r="AE222" i="67"/>
  <c r="AD223" i="67"/>
  <c r="AE223" i="67" s="1"/>
  <c r="AD224" i="67"/>
  <c r="AE224" i="67"/>
  <c r="AD225" i="67"/>
  <c r="AE225" i="67" s="1"/>
  <c r="AD226" i="67"/>
  <c r="AE226" i="67" s="1"/>
  <c r="AD227" i="67"/>
  <c r="AE227" i="67" s="1"/>
  <c r="AD228" i="67"/>
  <c r="AE228" i="67"/>
  <c r="AD229" i="67"/>
  <c r="AE229" i="67" s="1"/>
  <c r="AD230" i="67"/>
  <c r="AE230" i="67"/>
  <c r="AD231" i="67"/>
  <c r="AE231" i="67" s="1"/>
  <c r="AD232" i="67"/>
  <c r="AE232" i="67" s="1"/>
  <c r="AD233" i="67"/>
  <c r="AE233" i="67" s="1"/>
  <c r="AD234" i="67"/>
  <c r="AE234" i="67"/>
  <c r="AD235" i="67"/>
  <c r="AE235" i="67" s="1"/>
  <c r="AD236" i="67"/>
  <c r="AE236" i="67"/>
  <c r="AD237" i="67"/>
  <c r="AE237" i="67" s="1"/>
  <c r="AD238" i="67"/>
  <c r="AE238" i="67" s="1"/>
  <c r="AD239" i="67"/>
  <c r="AE239" i="67" s="1"/>
  <c r="AD240" i="67"/>
  <c r="AE240" i="67"/>
  <c r="AD241" i="67"/>
  <c r="AE241" i="67" s="1"/>
  <c r="AD242" i="67"/>
  <c r="AE242" i="67"/>
  <c r="AD243" i="67"/>
  <c r="AE243" i="67" s="1"/>
  <c r="AD244" i="67"/>
  <c r="AE244" i="67" s="1"/>
  <c r="AD245" i="67"/>
  <c r="AE245" i="67" s="1"/>
  <c r="AD246" i="67"/>
  <c r="AE246" i="67"/>
  <c r="AD247" i="67"/>
  <c r="AE247" i="67" s="1"/>
  <c r="AD248" i="67"/>
  <c r="AE248" i="67"/>
  <c r="AD249" i="67"/>
  <c r="AE249" i="67" s="1"/>
  <c r="AD250" i="67"/>
  <c r="AE250" i="67" s="1"/>
  <c r="AD251" i="67"/>
  <c r="AE251" i="67" s="1"/>
  <c r="AD252" i="67"/>
  <c r="AE252" i="67"/>
  <c r="AD253" i="67"/>
  <c r="AE253" i="67" s="1"/>
  <c r="AD254" i="67"/>
  <c r="AE254" i="67"/>
  <c r="AD255" i="67"/>
  <c r="AE255" i="67" s="1"/>
  <c r="AD256" i="67"/>
  <c r="AE256" i="67" s="1"/>
  <c r="AD257" i="67"/>
  <c r="AE257" i="67" s="1"/>
  <c r="AD258" i="67"/>
  <c r="AE258" i="67"/>
  <c r="AD259" i="67"/>
  <c r="AE259" i="67" s="1"/>
  <c r="AD260" i="67"/>
  <c r="AE260" i="67"/>
  <c r="AD261" i="67"/>
  <c r="AE261" i="67" s="1"/>
  <c r="AD262" i="67"/>
  <c r="AE262" i="67" s="1"/>
  <c r="AD263" i="67"/>
  <c r="AE263" i="67" s="1"/>
  <c r="AD264" i="67"/>
  <c r="AE264" i="67"/>
  <c r="AD265" i="67"/>
  <c r="AE265" i="67" s="1"/>
  <c r="AD266" i="67"/>
  <c r="AE266" i="67"/>
  <c r="AD267" i="67"/>
  <c r="AE267" i="67" s="1"/>
  <c r="AD268" i="67"/>
  <c r="AE268" i="67" s="1"/>
  <c r="AD269" i="67"/>
  <c r="AE269" i="67" s="1"/>
  <c r="AD270" i="67"/>
  <c r="AE270" i="67"/>
  <c r="AD271" i="67"/>
  <c r="AE271" i="67" s="1"/>
  <c r="AD272" i="67"/>
  <c r="AE272" i="67"/>
  <c r="AD273" i="67"/>
  <c r="AE273" i="67" s="1"/>
  <c r="AD274" i="67"/>
  <c r="AE274" i="67" s="1"/>
  <c r="AD275" i="67"/>
  <c r="AE275" i="67" s="1"/>
  <c r="AD276" i="67"/>
  <c r="AE276" i="67"/>
  <c r="AD277" i="67"/>
  <c r="AE277" i="67" s="1"/>
  <c r="AD278" i="67"/>
  <c r="AE278" i="67"/>
  <c r="AD279" i="67"/>
  <c r="AE279" i="67" s="1"/>
  <c r="AD280" i="67"/>
  <c r="AE280" i="67" s="1"/>
  <c r="AD281" i="67"/>
  <c r="AE281" i="67"/>
  <c r="AD282" i="67"/>
  <c r="AE282" i="67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/>
  <c r="AD289" i="67"/>
  <c r="AE289" i="67" s="1"/>
  <c r="AD290" i="67"/>
  <c r="AE290" i="67" s="1"/>
  <c r="AD291" i="67"/>
  <c r="AE291" i="67" s="1"/>
  <c r="AD292" i="67"/>
  <c r="AE292" i="67" s="1"/>
  <c r="AD293" i="67"/>
  <c r="AE293" i="67"/>
  <c r="AD294" i="67"/>
  <c r="AE294" i="67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/>
  <c r="AD301" i="67"/>
  <c r="AE301" i="67" s="1"/>
  <c r="AD302" i="67"/>
  <c r="AE302" i="67"/>
  <c r="AD303" i="67"/>
  <c r="AE303" i="67" s="1"/>
  <c r="AD304" i="67"/>
  <c r="AE304" i="67" s="1"/>
  <c r="AD305" i="67"/>
  <c r="AE305" i="67"/>
  <c r="AD306" i="67"/>
  <c r="AE306" i="67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/>
  <c r="AD313" i="67"/>
  <c r="AE313" i="67" s="1"/>
  <c r="AD314" i="67"/>
  <c r="AE314" i="67" s="1"/>
  <c r="AD315" i="67"/>
  <c r="AE315" i="67" s="1"/>
  <c r="AD316" i="67"/>
  <c r="AE316" i="67" s="1"/>
  <c r="AD317" i="67"/>
  <c r="AE317" i="67"/>
  <c r="AD318" i="67"/>
  <c r="AE318" i="67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/>
  <c r="AD327" i="67"/>
  <c r="AE327" i="67" s="1"/>
  <c r="AD328" i="67"/>
  <c r="AE328" i="67" s="1"/>
  <c r="AD329" i="67"/>
  <c r="AE329" i="67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/>
  <c r="AD337" i="67"/>
  <c r="AE337" i="67" s="1"/>
  <c r="AD338" i="67"/>
  <c r="AE338" i="67" s="1"/>
  <c r="AD339" i="67"/>
  <c r="AE339" i="67" s="1"/>
  <c r="AD340" i="67"/>
  <c r="AE340" i="67" s="1"/>
  <c r="AD341" i="67"/>
  <c r="AE341" i="67"/>
  <c r="AD342" i="67"/>
  <c r="AE342" i="67" s="1"/>
  <c r="AD343" i="67"/>
  <c r="AE343" i="67" s="1"/>
  <c r="AD344" i="67"/>
  <c r="AE344" i="67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/>
  <c r="AD387" i="67"/>
  <c r="AE387" i="67" s="1"/>
  <c r="AD388" i="67"/>
  <c r="AE38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 s="1"/>
  <c r="T184" i="67"/>
  <c r="U184" i="67"/>
  <c r="T185" i="67"/>
  <c r="U185" i="67" s="1"/>
  <c r="T186" i="67"/>
  <c r="U186" i="67" s="1"/>
  <c r="T187" i="67"/>
  <c r="U187" i="67" s="1"/>
  <c r="T188" i="67"/>
  <c r="U188" i="67"/>
  <c r="T189" i="67"/>
  <c r="U189" i="67" s="1"/>
  <c r="T190" i="67"/>
  <c r="U190" i="67"/>
  <c r="T191" i="67"/>
  <c r="U191" i="67" s="1"/>
  <c r="T192" i="67"/>
  <c r="U192" i="67" s="1"/>
  <c r="T193" i="67"/>
  <c r="U193" i="67" s="1"/>
  <c r="T194" i="67"/>
  <c r="U194" i="67"/>
  <c r="T195" i="67"/>
  <c r="U195" i="67" s="1"/>
  <c r="T196" i="67"/>
  <c r="U196" i="67"/>
  <c r="T197" i="67"/>
  <c r="U197" i="67" s="1"/>
  <c r="T198" i="67"/>
  <c r="U198" i="67" s="1"/>
  <c r="T199" i="67"/>
  <c r="U199" i="67" s="1"/>
  <c r="T200" i="67"/>
  <c r="U200" i="67"/>
  <c r="T201" i="67"/>
  <c r="U201" i="67" s="1"/>
  <c r="T202" i="67"/>
  <c r="U202" i="67"/>
  <c r="T203" i="67"/>
  <c r="U203" i="67" s="1"/>
  <c r="T204" i="67"/>
  <c r="U204" i="67" s="1"/>
  <c r="T205" i="67"/>
  <c r="U205" i="67" s="1"/>
  <c r="T206" i="67"/>
  <c r="U206" i="67"/>
  <c r="T207" i="67"/>
  <c r="U207" i="67" s="1"/>
  <c r="T208" i="67"/>
  <c r="U208" i="67"/>
  <c r="T209" i="67"/>
  <c r="U209" i="67" s="1"/>
  <c r="T210" i="67"/>
  <c r="U210" i="67" s="1"/>
  <c r="T211" i="67"/>
  <c r="U211" i="67" s="1"/>
  <c r="T212" i="67"/>
  <c r="U212" i="67"/>
  <c r="T213" i="67"/>
  <c r="U213" i="67" s="1"/>
  <c r="T214" i="67"/>
  <c r="U214" i="67"/>
  <c r="T215" i="67"/>
  <c r="U215" i="67" s="1"/>
  <c r="T216" i="67"/>
  <c r="U216" i="67" s="1"/>
  <c r="T217" i="67"/>
  <c r="U217" i="67" s="1"/>
  <c r="T218" i="67"/>
  <c r="U218" i="67"/>
  <c r="T219" i="67"/>
  <c r="U219" i="67" s="1"/>
  <c r="T220" i="67"/>
  <c r="U220" i="67"/>
  <c r="T221" i="67"/>
  <c r="U221" i="67" s="1"/>
  <c r="T222" i="67"/>
  <c r="U222" i="67" s="1"/>
  <c r="T223" i="67"/>
  <c r="U223" i="67" s="1"/>
  <c r="T224" i="67"/>
  <c r="U224" i="67"/>
  <c r="T225" i="67"/>
  <c r="U225" i="67" s="1"/>
  <c r="T226" i="67"/>
  <c r="U226" i="67"/>
  <c r="T227" i="67"/>
  <c r="U227" i="67" s="1"/>
  <c r="T228" i="67"/>
  <c r="U228" i="67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 s="1"/>
  <c r="L184" i="67"/>
  <c r="M184" i="67"/>
  <c r="L185" i="67"/>
  <c r="M185" i="67"/>
  <c r="L186" i="67"/>
  <c r="M186" i="67"/>
  <c r="L187" i="67"/>
  <c r="M187" i="67" s="1"/>
  <c r="L188" i="67"/>
  <c r="M188" i="67"/>
  <c r="L189" i="67"/>
  <c r="M189" i="67" s="1"/>
  <c r="L190" i="67"/>
  <c r="M190" i="67"/>
  <c r="L191" i="67"/>
  <c r="M191" i="67"/>
  <c r="L192" i="67"/>
  <c r="M192" i="67"/>
  <c r="L193" i="67"/>
  <c r="M193" i="67" s="1"/>
  <c r="L194" i="67"/>
  <c r="M194" i="67"/>
  <c r="L195" i="67"/>
  <c r="M195" i="67" s="1"/>
  <c r="L196" i="67"/>
  <c r="M196" i="67"/>
  <c r="L197" i="67"/>
  <c r="M197" i="67"/>
  <c r="L198" i="67"/>
  <c r="M198" i="67"/>
  <c r="L199" i="67"/>
  <c r="M199" i="67" s="1"/>
  <c r="L200" i="67"/>
  <c r="M200" i="67"/>
  <c r="L201" i="67"/>
  <c r="M201" i="67" s="1"/>
  <c r="L202" i="67"/>
  <c r="M202" i="67"/>
  <c r="L203" i="67"/>
  <c r="M203" i="67"/>
  <c r="L204" i="67"/>
  <c r="M204" i="67"/>
  <c r="L205" i="67"/>
  <c r="M205" i="67" s="1"/>
  <c r="L206" i="67"/>
  <c r="M206" i="67"/>
  <c r="L207" i="67"/>
  <c r="M207" i="67" s="1"/>
  <c r="L208" i="67"/>
  <c r="M208" i="67"/>
  <c r="L209" i="67"/>
  <c r="M209" i="67"/>
  <c r="L210" i="67"/>
  <c r="M210" i="67"/>
  <c r="L211" i="67"/>
  <c r="M211" i="67" s="1"/>
  <c r="L212" i="67"/>
  <c r="M212" i="67"/>
  <c r="L213" i="67"/>
  <c r="M213" i="67" s="1"/>
  <c r="L214" i="67"/>
  <c r="M214" i="67"/>
  <c r="L215" i="67"/>
  <c r="M215" i="67"/>
  <c r="L216" i="67"/>
  <c r="M216" i="67"/>
  <c r="L217" i="67"/>
  <c r="M217" i="67" s="1"/>
  <c r="L218" i="67"/>
  <c r="M218" i="67"/>
  <c r="L219" i="67"/>
  <c r="M219" i="67" s="1"/>
  <c r="L220" i="67"/>
  <c r="M220" i="67"/>
  <c r="L221" i="67"/>
  <c r="M221" i="67"/>
  <c r="L222" i="67"/>
  <c r="M222" i="67"/>
  <c r="L223" i="67"/>
  <c r="M223" i="67" s="1"/>
  <c r="L224" i="67"/>
  <c r="M224" i="67"/>
  <c r="L225" i="67"/>
  <c r="M225" i="67" s="1"/>
  <c r="L226" i="67"/>
  <c r="M226" i="67"/>
  <c r="L227" i="67"/>
  <c r="M227" i="67"/>
  <c r="L228" i="67"/>
  <c r="M228" i="67"/>
  <c r="L229" i="67"/>
  <c r="M229" i="67" s="1"/>
  <c r="L230" i="67"/>
  <c r="M230" i="67"/>
  <c r="L231" i="67"/>
  <c r="M231" i="67" s="1"/>
  <c r="L232" i="67"/>
  <c r="M232" i="67"/>
  <c r="L233" i="67"/>
  <c r="M233" i="67"/>
  <c r="L234" i="67"/>
  <c r="M234" i="67"/>
  <c r="L235" i="67"/>
  <c r="M235" i="67" s="1"/>
  <c r="L236" i="67"/>
  <c r="M236" i="67"/>
  <c r="L237" i="67"/>
  <c r="M237" i="67" s="1"/>
  <c r="L238" i="67"/>
  <c r="M238" i="67"/>
  <c r="L239" i="67"/>
  <c r="M239" i="67"/>
  <c r="L240" i="67"/>
  <c r="M240" i="67"/>
  <c r="L241" i="67"/>
  <c r="M241" i="67" s="1"/>
  <c r="L242" i="67"/>
  <c r="M242" i="67"/>
  <c r="L243" i="67"/>
  <c r="M243" i="67" s="1"/>
  <c r="L244" i="67"/>
  <c r="M244" i="67" s="1"/>
  <c r="L245" i="67"/>
  <c r="M245" i="67" s="1"/>
  <c r="L246" i="67"/>
  <c r="M246" i="67" s="1"/>
  <c r="L247" i="67"/>
  <c r="M247" i="67"/>
  <c r="L248" i="67"/>
  <c r="M248" i="67" s="1"/>
  <c r="L249" i="67"/>
  <c r="M249" i="67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FG11" i="67"/>
  <c r="FH11" i="67" s="1"/>
  <c r="FH9" i="67" s="1"/>
  <c r="EY11" i="67"/>
  <c r="EZ11" i="67" s="1"/>
  <c r="EZ9" i="67" s="1"/>
  <c r="EP11" i="67"/>
  <c r="EQ11" i="67" s="1"/>
  <c r="EQ9" i="67" s="1"/>
  <c r="EH11" i="67"/>
  <c r="EI11" i="67" s="1"/>
  <c r="EI9" i="67" s="1"/>
  <c r="DX11" i="67"/>
  <c r="DY11" i="67" s="1"/>
  <c r="DY9" i="67" s="1"/>
  <c r="DP11" i="67"/>
  <c r="DQ11" i="67" s="1"/>
  <c r="DQ9" i="67" s="1"/>
  <c r="DF11" i="67"/>
  <c r="DG11" i="67" s="1"/>
  <c r="DG9" i="67" s="1"/>
  <c r="CX11" i="67"/>
  <c r="CY11" i="67" s="1"/>
  <c r="CY9" i="67" s="1"/>
  <c r="CN11" i="67"/>
  <c r="CO11" i="67" s="1"/>
  <c r="CO9" i="67" s="1"/>
  <c r="CF11" i="67"/>
  <c r="CG11" i="67" s="1"/>
  <c r="CG9" i="67" s="1"/>
  <c r="BV11" i="67"/>
  <c r="BW11" i="67" s="1"/>
  <c r="BW9" i="67" s="1"/>
  <c r="BN11" i="67"/>
  <c r="BO11" i="67" s="1"/>
  <c r="BO9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/>
  <c r="DP7" i="67"/>
  <c r="DO7" i="67" s="1"/>
  <c r="DF7" i="67"/>
  <c r="CX7" i="67"/>
  <c r="CW7" i="67" s="1"/>
  <c r="CN7" i="67"/>
  <c r="CM7" i="67" s="1"/>
  <c r="CF7" i="67"/>
  <c r="CE7" i="67" s="1"/>
  <c r="BV7" i="67"/>
  <c r="BU7" i="67" s="1"/>
  <c r="BN7" i="67"/>
  <c r="BD7" i="67"/>
  <c r="BC7" i="67" s="1"/>
  <c r="AV7" i="67"/>
  <c r="AU7" i="67" s="1"/>
  <c r="AL7" i="67"/>
  <c r="AK7" i="67" s="1"/>
  <c r="AD7" i="67"/>
  <c r="AC7" i="67" s="1"/>
  <c r="T7" i="67"/>
  <c r="FG6" i="67"/>
  <c r="EY6" i="67"/>
  <c r="EP6" i="67"/>
  <c r="EH6" i="67"/>
  <c r="EG6" i="67"/>
  <c r="DX6" i="67"/>
  <c r="DP6" i="67"/>
  <c r="CX6" i="67"/>
  <c r="CW6" i="67"/>
  <c r="CF6" i="67"/>
  <c r="BV6" i="67"/>
  <c r="BN6" i="67"/>
  <c r="BM6" i="67" s="1"/>
  <c r="BD6" i="67"/>
  <c r="AV6" i="67"/>
  <c r="AL6" i="67"/>
  <c r="AD6" i="67"/>
  <c r="AC6" i="67" s="1"/>
  <c r="Y2" i="67" s="1"/>
  <c r="T6" i="67"/>
  <c r="L6" i="67"/>
  <c r="FD4" i="67"/>
  <c r="FF4" i="67" s="1"/>
  <c r="EV4" i="67"/>
  <c r="EX4" i="67" s="1"/>
  <c r="EM4" i="67"/>
  <c r="EO4" i="67" s="1"/>
  <c r="DM4" i="67"/>
  <c r="DO4" i="67" s="1"/>
  <c r="CW4" i="67"/>
  <c r="CU4" i="67"/>
  <c r="CK4" i="67"/>
  <c r="CM4" i="67" s="1"/>
  <c r="CC4" i="67"/>
  <c r="CE4" i="67" s="1"/>
  <c r="BS4" i="67"/>
  <c r="BU4" i="67" s="1"/>
  <c r="BK4" i="67"/>
  <c r="BM4" i="67" s="1"/>
  <c r="BA4" i="67"/>
  <c r="BC4" i="67" s="1"/>
  <c r="AS4" i="67"/>
  <c r="AU4" i="67" s="1"/>
  <c r="FD3" i="67"/>
  <c r="EV3" i="67"/>
  <c r="EX3" i="67" s="1"/>
  <c r="EM3" i="67"/>
  <c r="DM3" i="67"/>
  <c r="DO3" i="67" s="1"/>
  <c r="CW3" i="67"/>
  <c r="CU3" i="67"/>
  <c r="CC3" i="67"/>
  <c r="CE3" i="67" s="1"/>
  <c r="BS3" i="67"/>
  <c r="BM3" i="67"/>
  <c r="BK3" i="67"/>
  <c r="AS3" i="67"/>
  <c r="AU3" i="67" s="1"/>
  <c r="A5" i="63" a="1"/>
  <c r="A4" i="63" a="1"/>
  <c r="A5" i="63" l="1"/>
  <c r="A4" i="63"/>
  <c r="EE4" i="67"/>
  <c r="EG4" i="67" s="1"/>
  <c r="BE110" i="67"/>
  <c r="I3" i="67"/>
  <c r="DC3" i="67"/>
  <c r="DE3" i="67" s="1"/>
  <c r="DC6" i="67" s="1"/>
  <c r="DE7" i="67"/>
  <c r="AA3" i="67"/>
  <c r="AC3" i="67" s="1"/>
  <c r="L7" i="67"/>
  <c r="K7" i="67" s="1"/>
  <c r="AI3" i="67"/>
  <c r="DU3" i="67"/>
  <c r="CN6" i="67"/>
  <c r="CM6" i="67" s="1"/>
  <c r="S7" i="67"/>
  <c r="O2" i="67" s="1"/>
  <c r="K6" i="67"/>
  <c r="G2" i="67" s="1"/>
  <c r="S6" i="67"/>
  <c r="EE3" i="67"/>
  <c r="EG3" i="67" s="1"/>
  <c r="DF6" i="67"/>
  <c r="DC4" i="67"/>
  <c r="DE4" i="67" s="1"/>
  <c r="BM7" i="67"/>
  <c r="AE9" i="67"/>
  <c r="AE7" i="67" s="1"/>
  <c r="I4" i="67"/>
  <c r="K4" i="67" s="1"/>
  <c r="CK3" i="67"/>
  <c r="AI4" i="67"/>
  <c r="AK4" i="67" s="1"/>
  <c r="DU4" i="67"/>
  <c r="DW4" i="67" s="1"/>
  <c r="BE9" i="67"/>
  <c r="BE5" i="67" s="1"/>
  <c r="AW9" i="67"/>
  <c r="AW7" i="67" s="1"/>
  <c r="AM9" i="67"/>
  <c r="AM7" i="67" s="1"/>
  <c r="AA4" i="67"/>
  <c r="AC4" i="67" s="1"/>
  <c r="AA6" i="67" s="1"/>
  <c r="U9" i="67"/>
  <c r="U7" i="67" s="1"/>
  <c r="Q3" i="67"/>
  <c r="O4" i="67" s="1"/>
  <c r="Q4" i="67"/>
  <c r="S4" i="67" s="1"/>
  <c r="M9" i="67"/>
  <c r="M7" i="67" s="1"/>
  <c r="AE5" i="67"/>
  <c r="AE3" i="67"/>
  <c r="AW5" i="67"/>
  <c r="BO7" i="67"/>
  <c r="BO5" i="67"/>
  <c r="BO3" i="67"/>
  <c r="CG7" i="67"/>
  <c r="CG5" i="67"/>
  <c r="CG3" i="67"/>
  <c r="CY7" i="67"/>
  <c r="CY5" i="67"/>
  <c r="CY3" i="67"/>
  <c r="DQ7" i="67"/>
  <c r="DQ5" i="67"/>
  <c r="DQ3" i="67"/>
  <c r="EI7" i="67"/>
  <c r="EI5" i="67"/>
  <c r="EI3" i="67"/>
  <c r="EZ7" i="67"/>
  <c r="EZ5" i="67"/>
  <c r="EZ3" i="67"/>
  <c r="U5" i="67"/>
  <c r="BE7" i="67"/>
  <c r="BE3" i="67"/>
  <c r="BW3" i="67"/>
  <c r="BW7" i="67"/>
  <c r="BW5" i="67"/>
  <c r="CO7" i="67"/>
  <c r="CO5" i="67"/>
  <c r="CO3" i="67"/>
  <c r="DG7" i="67"/>
  <c r="DG3" i="67"/>
  <c r="DG5" i="67"/>
  <c r="DY7" i="67"/>
  <c r="DY3" i="67"/>
  <c r="DY5" i="67"/>
  <c r="EQ3" i="67"/>
  <c r="EQ7" i="67"/>
  <c r="EQ5" i="67"/>
  <c r="FH7" i="67"/>
  <c r="FH5" i="67"/>
  <c r="FH3" i="67"/>
  <c r="K3" i="67"/>
  <c r="I6" i="67" s="1"/>
  <c r="A11" i="67" s="1"/>
  <c r="AD9" i="67"/>
  <c r="B13" i="67" s="1"/>
  <c r="AU6" i="67"/>
  <c r="AQ2" i="67" s="1"/>
  <c r="BN9" i="67"/>
  <c r="B17" i="67" s="1"/>
  <c r="CE6" i="67"/>
  <c r="CF9" i="67" s="1"/>
  <c r="B19" i="67" s="1"/>
  <c r="CX9" i="67"/>
  <c r="B21" i="67" s="1"/>
  <c r="DO6" i="67"/>
  <c r="DP9" i="67" s="1"/>
  <c r="EH9" i="67"/>
  <c r="EX6" i="67"/>
  <c r="EY9" i="67" s="1"/>
  <c r="S3" i="67"/>
  <c r="Q6" i="67" s="1"/>
  <c r="AK3" i="67"/>
  <c r="AI6" i="67" s="1"/>
  <c r="AS6" i="67"/>
  <c r="BC3" i="67"/>
  <c r="BA6" i="67" s="1"/>
  <c r="BK6" i="67"/>
  <c r="A17" i="67" s="1"/>
  <c r="BU3" i="67"/>
  <c r="BS6" i="67" s="1"/>
  <c r="CC6" i="67"/>
  <c r="A19" i="67" s="1"/>
  <c r="CM3" i="67"/>
  <c r="CK6" i="67" s="1"/>
  <c r="CU6" i="67"/>
  <c r="A21" i="67" s="1"/>
  <c r="DM6" i="67"/>
  <c r="DW3" i="67"/>
  <c r="DU6" i="67" s="1"/>
  <c r="EE6" i="67"/>
  <c r="EO3" i="67"/>
  <c r="EM6" i="67" s="1"/>
  <c r="EV6" i="67"/>
  <c r="FF3" i="67"/>
  <c r="FD6" i="67" s="1"/>
  <c r="AG4" i="67"/>
  <c r="AQ4" i="67"/>
  <c r="L9" i="67"/>
  <c r="B11" i="67" s="1"/>
  <c r="T9" i="67"/>
  <c r="B12" i="67" s="1"/>
  <c r="AK6" i="67"/>
  <c r="AG2" i="67" s="1"/>
  <c r="BC6" i="67"/>
  <c r="AY2" i="67" s="1"/>
  <c r="BU6" i="67"/>
  <c r="BV9" i="67" s="1"/>
  <c r="B18" i="67" s="1"/>
  <c r="DE6" i="67"/>
  <c r="DW6" i="67"/>
  <c r="DX9" i="67" s="1"/>
  <c r="EO6" i="67"/>
  <c r="EP9" i="67" s="1"/>
  <c r="FF6" i="67"/>
  <c r="FG9" i="67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/>
  <c r="BD195" i="65"/>
  <c r="BE195" i="65" s="1"/>
  <c r="BD196" i="65"/>
  <c r="BE196" i="65" s="1"/>
  <c r="BD197" i="65"/>
  <c r="BE197" i="65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/>
  <c r="AV237" i="65"/>
  <c r="AW237" i="65" s="1"/>
  <c r="AV238" i="65"/>
  <c r="AW238" i="65" s="1"/>
  <c r="AV239" i="65"/>
  <c r="AW239" i="65" s="1"/>
  <c r="AV240" i="65"/>
  <c r="AW240" i="65" s="1"/>
  <c r="AV241" i="65"/>
  <c r="AW241" i="65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 s="1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 s="1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 s="1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 s="1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 s="1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 s="1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 s="1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 s="1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 s="1"/>
  <c r="AL232" i="65"/>
  <c r="AM232" i="65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/>
  <c r="AD101" i="65"/>
  <c r="AE101" i="65" s="1"/>
  <c r="AD102" i="65"/>
  <c r="AE102" i="65" s="1"/>
  <c r="AD103" i="65"/>
  <c r="AE103" i="65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/>
  <c r="L185" i="65"/>
  <c r="M185" i="65" s="1"/>
  <c r="L186" i="65"/>
  <c r="M186" i="65" s="1"/>
  <c r="L187" i="65"/>
  <c r="M187" i="65"/>
  <c r="L188" i="65"/>
  <c r="M188" i="65" s="1"/>
  <c r="L189" i="65"/>
  <c r="M189" i="65" s="1"/>
  <c r="L190" i="65"/>
  <c r="M190" i="65"/>
  <c r="L191" i="65"/>
  <c r="M191" i="65" s="1"/>
  <c r="L192" i="65"/>
  <c r="M192" i="65" s="1"/>
  <c r="L193" i="65"/>
  <c r="M193" i="65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/>
  <c r="L200" i="65"/>
  <c r="M200" i="65"/>
  <c r="L201" i="65"/>
  <c r="M201" i="65"/>
  <c r="L202" i="65"/>
  <c r="M202" i="65"/>
  <c r="L203" i="65"/>
  <c r="M203" i="65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/>
  <c r="L284" i="65"/>
  <c r="M284" i="65" s="1"/>
  <c r="L285" i="65"/>
  <c r="M285" i="65" s="1"/>
  <c r="L286" i="65"/>
  <c r="M286" i="65"/>
  <c r="L287" i="65"/>
  <c r="M287" i="65" s="1"/>
  <c r="L288" i="65"/>
  <c r="M288" i="65" s="1"/>
  <c r="L289" i="65"/>
  <c r="M289" i="65"/>
  <c r="L290" i="65"/>
  <c r="M290" i="65" s="1"/>
  <c r="L291" i="65"/>
  <c r="M291" i="65" s="1"/>
  <c r="L292" i="65"/>
  <c r="M292" i="65"/>
  <c r="L293" i="65"/>
  <c r="M293" i="65" s="1"/>
  <c r="L294" i="65"/>
  <c r="M294" i="65" s="1"/>
  <c r="L295" i="65"/>
  <c r="M295" i="65"/>
  <c r="L296" i="65"/>
  <c r="M296" i="65" s="1"/>
  <c r="L297" i="65"/>
  <c r="M297" i="65" s="1"/>
  <c r="L298" i="65"/>
  <c r="M298" i="65"/>
  <c r="L299" i="65"/>
  <c r="M299" i="65" s="1"/>
  <c r="L300" i="65"/>
  <c r="M300" i="65" s="1"/>
  <c r="L301" i="65"/>
  <c r="M301" i="65"/>
  <c r="L302" i="65"/>
  <c r="M302" i="65" s="1"/>
  <c r="L303" i="65"/>
  <c r="M303" i="65" s="1"/>
  <c r="L304" i="65"/>
  <c r="M304" i="65"/>
  <c r="L305" i="65"/>
  <c r="M305" i="65" s="1"/>
  <c r="L306" i="65"/>
  <c r="M306" i="65" s="1"/>
  <c r="L307" i="65"/>
  <c r="M307" i="65"/>
  <c r="L308" i="65"/>
  <c r="M308" i="65" s="1"/>
  <c r="L309" i="65"/>
  <c r="M309" i="65" s="1"/>
  <c r="L310" i="65"/>
  <c r="M310" i="65"/>
  <c r="L311" i="65"/>
  <c r="M311" i="65" s="1"/>
  <c r="L312" i="65"/>
  <c r="M312" i="65" s="1"/>
  <c r="L313" i="65"/>
  <c r="M313" i="65"/>
  <c r="L314" i="65"/>
  <c r="M314" i="65" s="1"/>
  <c r="L315" i="65"/>
  <c r="M315" i="65" s="1"/>
  <c r="L316" i="65"/>
  <c r="M316" i="65"/>
  <c r="L317" i="65"/>
  <c r="M317" i="65" s="1"/>
  <c r="L318" i="65"/>
  <c r="M318" i="65" s="1"/>
  <c r="L319" i="65"/>
  <c r="M319" i="65"/>
  <c r="L320" i="65"/>
  <c r="M320" i="65" s="1"/>
  <c r="L321" i="65"/>
  <c r="M321" i="65" s="1"/>
  <c r="L322" i="65"/>
  <c r="M322" i="65"/>
  <c r="L323" i="65"/>
  <c r="M323" i="65" s="1"/>
  <c r="L324" i="65"/>
  <c r="M324" i="65" s="1"/>
  <c r="L325" i="65"/>
  <c r="M325" i="65"/>
  <c r="L326" i="65"/>
  <c r="M326" i="65" s="1"/>
  <c r="L327" i="65"/>
  <c r="M327" i="65" s="1"/>
  <c r="L328" i="65"/>
  <c r="M328" i="65"/>
  <c r="L329" i="65"/>
  <c r="M329" i="65" s="1"/>
  <c r="L330" i="65"/>
  <c r="M330" i="65" s="1"/>
  <c r="L331" i="65"/>
  <c r="M331" i="65"/>
  <c r="L332" i="65"/>
  <c r="M332" i="65" s="1"/>
  <c r="L333" i="65"/>
  <c r="M333" i="65" s="1"/>
  <c r="L334" i="65"/>
  <c r="M334" i="65"/>
  <c r="L335" i="65"/>
  <c r="M335" i="65" s="1"/>
  <c r="L336" i="65"/>
  <c r="M336" i="65" s="1"/>
  <c r="L337" i="65"/>
  <c r="M337" i="65"/>
  <c r="L338" i="65"/>
  <c r="M338" i="65" s="1"/>
  <c r="L339" i="65"/>
  <c r="M339" i="65" s="1"/>
  <c r="L340" i="65"/>
  <c r="M340" i="65"/>
  <c r="L341" i="65"/>
  <c r="M341" i="65" s="1"/>
  <c r="L342" i="65"/>
  <c r="M342" i="65" s="1"/>
  <c r="L343" i="65"/>
  <c r="M343" i="65"/>
  <c r="L344" i="65"/>
  <c r="M344" i="65" s="1"/>
  <c r="L345" i="65"/>
  <c r="M345" i="65" s="1"/>
  <c r="L346" i="65"/>
  <c r="M346" i="65"/>
  <c r="L347" i="65"/>
  <c r="M347" i="65" s="1"/>
  <c r="L348" i="65"/>
  <c r="M348" i="65" s="1"/>
  <c r="L349" i="65"/>
  <c r="M349" i="65"/>
  <c r="L350" i="65"/>
  <c r="M350" i="65" s="1"/>
  <c r="L351" i="65"/>
  <c r="M351" i="65" s="1"/>
  <c r="L352" i="65"/>
  <c r="M352" i="65"/>
  <c r="L353" i="65"/>
  <c r="M353" i="65" s="1"/>
  <c r="L354" i="65"/>
  <c r="M354" i="65" s="1"/>
  <c r="L355" i="65"/>
  <c r="M355" i="65"/>
  <c r="L356" i="65"/>
  <c r="M356" i="65" s="1"/>
  <c r="L357" i="65"/>
  <c r="M357" i="65" s="1"/>
  <c r="L358" i="65"/>
  <c r="M358" i="65"/>
  <c r="L359" i="65"/>
  <c r="M359" i="65" s="1"/>
  <c r="L360" i="65"/>
  <c r="M360" i="65" s="1"/>
  <c r="L361" i="65"/>
  <c r="M361" i="65"/>
  <c r="L362" i="65"/>
  <c r="M362" i="65" s="1"/>
  <c r="L363" i="65"/>
  <c r="M363" i="65" s="1"/>
  <c r="L364" i="65"/>
  <c r="M364" i="65"/>
  <c r="L365" i="65"/>
  <c r="M365" i="65" s="1"/>
  <c r="L366" i="65"/>
  <c r="M366" i="65" s="1"/>
  <c r="L367" i="65"/>
  <c r="M367" i="65"/>
  <c r="L368" i="65"/>
  <c r="M368" i="65" s="1"/>
  <c r="L369" i="65"/>
  <c r="M369" i="65" s="1"/>
  <c r="L370" i="65"/>
  <c r="M370" i="65"/>
  <c r="L371" i="65"/>
  <c r="M371" i="65" s="1"/>
  <c r="L372" i="65"/>
  <c r="M372" i="65" s="1"/>
  <c r="L373" i="65"/>
  <c r="M373" i="65"/>
  <c r="L374" i="65"/>
  <c r="M374" i="65" s="1"/>
  <c r="L375" i="65"/>
  <c r="M375" i="65" s="1"/>
  <c r="L376" i="65"/>
  <c r="M376" i="65"/>
  <c r="L377" i="65"/>
  <c r="M377" i="65" s="1"/>
  <c r="L378" i="65"/>
  <c r="M378" i="65" s="1"/>
  <c r="L379" i="65"/>
  <c r="M379" i="65"/>
  <c r="L380" i="65"/>
  <c r="M380" i="65" s="1"/>
  <c r="L381" i="65"/>
  <c r="M381" i="65" s="1"/>
  <c r="L382" i="65"/>
  <c r="M382" i="65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AY4" i="67" l="1"/>
  <c r="Y4" i="67"/>
  <c r="DF9" i="67"/>
  <c r="B22" i="67" s="1"/>
  <c r="AM3" i="67"/>
  <c r="CN9" i="67"/>
  <c r="B20" i="67" s="1"/>
  <c r="G4" i="67"/>
  <c r="U3" i="67"/>
  <c r="M5" i="67"/>
  <c r="T7" i="65"/>
  <c r="EH4" i="67"/>
  <c r="EH2" i="67" s="1"/>
  <c r="EE9" i="67" s="1"/>
  <c r="E25" i="67" s="1"/>
  <c r="AW3" i="67"/>
  <c r="AM5" i="67"/>
  <c r="M3" i="67"/>
  <c r="BD9" i="67"/>
  <c r="B16" i="67" s="1"/>
  <c r="EY4" i="67"/>
  <c r="EY2" i="67" s="1"/>
  <c r="EV9" i="67" s="1"/>
  <c r="DP4" i="67"/>
  <c r="DP2" i="67" s="1"/>
  <c r="DM9" i="67" s="1"/>
  <c r="E23" i="67" s="1"/>
  <c r="AV9" i="67"/>
  <c r="B15" i="67" s="1"/>
  <c r="FG4" i="67"/>
  <c r="FG2" i="67" s="1"/>
  <c r="DX4" i="67"/>
  <c r="DX2" i="67" s="1"/>
  <c r="EP4" i="67"/>
  <c r="EP2" i="67" s="1"/>
  <c r="A22" i="67"/>
  <c r="DF4" i="67"/>
  <c r="A20" i="67"/>
  <c r="A18" i="67"/>
  <c r="BV4" i="67"/>
  <c r="A16" i="67"/>
  <c r="BD4" i="67"/>
  <c r="A14" i="67"/>
  <c r="A12" i="67"/>
  <c r="T4" i="67"/>
  <c r="AL9" i="67"/>
  <c r="B14" i="67" s="1"/>
  <c r="A15" i="67"/>
  <c r="A13" i="67"/>
  <c r="AD4" i="67"/>
  <c r="BN4" i="67"/>
  <c r="CF4" i="67"/>
  <c r="CF2" i="67" s="1"/>
  <c r="CX4" i="67"/>
  <c r="L4" i="67"/>
  <c r="E4" i="63"/>
  <c r="E5" i="63"/>
  <c r="J4" i="63"/>
  <c r="CN4" i="67" l="1"/>
  <c r="C20" i="67" s="1"/>
  <c r="AV4" i="67"/>
  <c r="C15" i="67" s="1"/>
  <c r="C11" i="67"/>
  <c r="L2" i="67"/>
  <c r="D19" i="67"/>
  <c r="CC9" i="67"/>
  <c r="E19" i="67" s="1"/>
  <c r="C13" i="67"/>
  <c r="AD2" i="67"/>
  <c r="C21" i="67"/>
  <c r="CX2" i="67"/>
  <c r="C17" i="67"/>
  <c r="C19" i="67"/>
  <c r="BN2" i="67"/>
  <c r="C12" i="67"/>
  <c r="T2" i="67"/>
  <c r="D12" i="67" s="1"/>
  <c r="AL4" i="67"/>
  <c r="C16" i="67"/>
  <c r="BD2" i="67"/>
  <c r="D16" i="67" s="1"/>
  <c r="C18" i="67"/>
  <c r="BV2" i="67"/>
  <c r="D18" i="67" s="1"/>
  <c r="C22" i="67"/>
  <c r="DF2" i="67"/>
  <c r="D22" i="67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S7" i="65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AM5" i="65"/>
  <c r="EV4" i="65"/>
  <c r="EX4" i="65" s="1"/>
  <c r="EM4" i="65"/>
  <c r="EO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C3" i="65"/>
  <c r="BK3" i="65"/>
  <c r="AS3" i="65"/>
  <c r="AM3" i="65"/>
  <c r="AI3" i="65"/>
  <c r="AA3" i="65"/>
  <c r="I3" i="65"/>
  <c r="J5" i="63"/>
  <c r="C4" i="63"/>
  <c r="L5" i="63"/>
  <c r="B4" i="63"/>
  <c r="L4" i="63"/>
  <c r="G4" i="63"/>
  <c r="I4" i="63"/>
  <c r="D5" i="63"/>
  <c r="I5" i="63"/>
  <c r="C5" i="63"/>
  <c r="G5" i="63"/>
  <c r="D4" i="63"/>
  <c r="H4" i="63"/>
  <c r="B5" i="63"/>
  <c r="H5" i="63"/>
  <c r="CO3" i="65" l="1"/>
  <c r="CN2" i="67"/>
  <c r="D20" i="67" s="1"/>
  <c r="CO5" i="65"/>
  <c r="EE4" i="65"/>
  <c r="EG4" i="65" s="1"/>
  <c r="AV2" i="67"/>
  <c r="D15" i="67" s="1"/>
  <c r="C14" i="67"/>
  <c r="AL2" i="67"/>
  <c r="D14" i="67" s="1"/>
  <c r="D21" i="67"/>
  <c r="CU9" i="67"/>
  <c r="E21" i="67" s="1"/>
  <c r="AS9" i="67"/>
  <c r="E15" i="67" s="1"/>
  <c r="D13" i="67"/>
  <c r="D11" i="67"/>
  <c r="I9" i="67"/>
  <c r="E11" i="67" s="1"/>
  <c r="D17" i="67"/>
  <c r="BK9" i="67"/>
  <c r="E17" i="67" s="1"/>
  <c r="DE3" i="65"/>
  <c r="DA4" i="65" s="1"/>
  <c r="BM3" i="65"/>
  <c r="BI4" i="65" s="1"/>
  <c r="CE3" i="65"/>
  <c r="CA4" i="65" s="1"/>
  <c r="BI2" i="65"/>
  <c r="CA2" i="65"/>
  <c r="M11" i="65"/>
  <c r="M9" i="65" s="1"/>
  <c r="M7" i="65" s="1"/>
  <c r="I4" i="65"/>
  <c r="K4" i="65" s="1"/>
  <c r="L6" i="65"/>
  <c r="K6" i="65" s="1"/>
  <c r="G2" i="65" s="1"/>
  <c r="K3" i="65"/>
  <c r="G4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V6" i="65"/>
  <c r="FF3" i="65"/>
  <c r="FD6" i="65" s="1"/>
  <c r="S6" i="65"/>
  <c r="T9" i="65" s="1"/>
  <c r="AK6" i="65"/>
  <c r="AL9" i="65" s="1"/>
  <c r="BC6" i="65"/>
  <c r="BU6" i="65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A9" i="67" l="1"/>
  <c r="E13" i="67" s="1"/>
  <c r="BV9" i="65"/>
  <c r="I6" i="65"/>
  <c r="A11" i="65" s="1"/>
  <c r="BD9" i="65"/>
  <c r="EE6" i="65"/>
  <c r="EP4" i="65"/>
  <c r="EP2" i="65" s="1"/>
  <c r="AI6" i="65"/>
  <c r="A14" i="65" s="1"/>
  <c r="M5" i="65"/>
  <c r="M3" i="65"/>
  <c r="L9" i="65"/>
  <c r="B11" i="65" s="1"/>
  <c r="CW3" i="65"/>
  <c r="CU6" i="65" s="1"/>
  <c r="A21" i="65" s="1"/>
  <c r="CI2" i="65"/>
  <c r="BU3" i="65"/>
  <c r="BS6" i="65" s="1"/>
  <c r="A18" i="65" s="1"/>
  <c r="CM3" i="65"/>
  <c r="CK6" i="65" s="1"/>
  <c r="A20" i="65" s="1"/>
  <c r="BQ2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S4" i="65" l="1"/>
  <c r="AL4" i="65"/>
  <c r="CX4" i="65"/>
  <c r="BA6" i="65"/>
  <c r="T4" i="65"/>
  <c r="T2" i="65" s="1"/>
  <c r="D12" i="65" s="1"/>
  <c r="CI4" i="65"/>
  <c r="BQ4" i="65"/>
  <c r="O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A16" i="65" l="1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Y2" i="64" l="1"/>
  <c r="AQ2" i="64"/>
  <c r="K3" i="64"/>
  <c r="G4" i="64"/>
  <c r="AU3" i="64"/>
  <c r="AS6" i="64" s="1"/>
  <c r="A15" i="64" s="1"/>
  <c r="AQ4" i="64"/>
  <c r="C16" i="65"/>
  <c r="BD2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H4" i="64" l="1"/>
  <c r="EH2" i="64" s="1"/>
  <c r="EE9" i="64" s="1"/>
  <c r="E25" i="64" s="1"/>
  <c r="AG4" i="64"/>
  <c r="AY4" i="64"/>
  <c r="AG2" i="64"/>
  <c r="O4" i="64"/>
  <c r="D16" i="65"/>
  <c r="AS9" i="65"/>
  <c r="E15" i="65" s="1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20" i="64" l="1"/>
  <c r="C22" i="64"/>
  <c r="D15" i="64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J3" i="63"/>
  <c r="E3" i="63"/>
  <c r="E2" i="63"/>
  <c r="B2" i="63"/>
  <c r="I2" i="63"/>
  <c r="H2" i="63"/>
  <c r="D3" i="63"/>
  <c r="G3" i="63"/>
  <c r="L2" i="63"/>
  <c r="L3" i="63"/>
  <c r="G2" i="63"/>
  <c r="C2" i="63"/>
  <c r="C3" i="63"/>
  <c r="D2" i="63"/>
  <c r="B3" i="63"/>
  <c r="I3" i="63"/>
  <c r="H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<sst xmlns="http://schemas.openxmlformats.org/spreadsheetml/2006/main" count="1648" uniqueCount="46">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</sst>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'20221210T210000'!$L$10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'20221210T210000'!$G$11:$G$500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'20221210T210000'!$L$11:$L$500</c:f>
              <c:numCache>
                <c:formatCode>General</c:formatCode>
                <c:ptCount val="490"/>
                <c:pt idx="0">
                  <c:v>-7.5465061728395053</c:v>
                </c:pt>
                <c:pt idx="1">
                  <c:v>-4.9698395061728391</c:v>
                </c:pt>
                <c:pt idx="2">
                  <c:v>-2.6588024691358023</c:v>
                </c:pt>
                <c:pt idx="3">
                  <c:v>-0.61788641975308634</c:v>
                </c:pt>
                <c:pt idx="4">
                  <c:v>1.1585382716049382</c:v>
                </c:pt>
                <c:pt idx="5">
                  <c:v>2.694962962962963</c:v>
                </c:pt>
                <c:pt idx="6">
                  <c:v>4.0531851851851846</c:v>
                </c:pt>
                <c:pt idx="7">
                  <c:v>5.1989135802469129</c:v>
                </c:pt>
                <c:pt idx="8">
                  <c:v>6.1939382716049378</c:v>
                </c:pt>
                <c:pt idx="9">
                  <c:v>7.0868641975308631</c:v>
                </c:pt>
                <c:pt idx="10">
                  <c:v>7.8403827160493833</c:v>
                </c:pt>
                <c:pt idx="11">
                  <c:v>8.4959382716049383</c:v>
                </c:pt>
                <c:pt idx="12">
                  <c:v>9.117592592592592</c:v>
                </c:pt>
                <c:pt idx="13">
                  <c:v>9.6639012345679003</c:v>
                </c:pt>
                <c:pt idx="14">
                  <c:v>10.180061728395062</c:v>
                </c:pt>
                <c:pt idx="15">
                  <c:v>10.632172839506172</c:v>
                </c:pt>
                <c:pt idx="16">
                  <c:v>11.039074074074074</c:v>
                </c:pt>
                <c:pt idx="17">
                  <c:v>11.4309012345679</c:v>
                </c:pt>
                <c:pt idx="18">
                  <c:v>11.788827160493826</c:v>
                </c:pt>
                <c:pt idx="19">
                  <c:v>12.105308641975306</c:v>
                </c:pt>
                <c:pt idx="20">
                  <c:v>12.406666666666666</c:v>
                </c:pt>
                <c:pt idx="21">
                  <c:v>12.689259259259259</c:v>
                </c:pt>
                <c:pt idx="22">
                  <c:v>12.949259259259259</c:v>
                </c:pt>
                <c:pt idx="23">
                  <c:v>13.190370370370371</c:v>
                </c:pt>
                <c:pt idx="24">
                  <c:v>13.416419753086419</c:v>
                </c:pt>
                <c:pt idx="25">
                  <c:v>13.638765432098765</c:v>
                </c:pt>
                <c:pt idx="26">
                  <c:v>13.849753086419753</c:v>
                </c:pt>
                <c:pt idx="27">
                  <c:v>14.045679012345678</c:v>
                </c:pt>
                <c:pt idx="28">
                  <c:v>14.222716049382715</c:v>
                </c:pt>
                <c:pt idx="29">
                  <c:v>14.392222222222221</c:v>
                </c:pt>
                <c:pt idx="30">
                  <c:v>14.550493827160492</c:v>
                </c:pt>
                <c:pt idx="31">
                  <c:v>14.697407407407406</c:v>
                </c:pt>
                <c:pt idx="32">
                  <c:v>14.848148148148146</c:v>
                </c:pt>
                <c:pt idx="33">
                  <c:v>14.991234567901234</c:v>
                </c:pt>
                <c:pt idx="34">
                  <c:v>15.115679012345678</c:v>
                </c:pt>
                <c:pt idx="35">
                  <c:v>15.236172839506171</c:v>
                </c:pt>
                <c:pt idx="36">
                  <c:v>15.341728395061727</c:v>
                </c:pt>
                <c:pt idx="37">
                  <c:v>15.443456790123456</c:v>
                </c:pt>
                <c:pt idx="38">
                  <c:v>15.541358024691359</c:v>
                </c:pt>
                <c:pt idx="39">
                  <c:v>15.628024691358023</c:v>
                </c:pt>
                <c:pt idx="40">
                  <c:v>15.725925925925925</c:v>
                </c:pt>
                <c:pt idx="41">
                  <c:v>15.808888888888886</c:v>
                </c:pt>
                <c:pt idx="42">
                  <c:v>15.888024691358023</c:v>
                </c:pt>
                <c:pt idx="43">
                  <c:v>15.970864197530865</c:v>
                </c:pt>
                <c:pt idx="44">
                  <c:v>16.049999999999997</c:v>
                </c:pt>
                <c:pt idx="45">
                  <c:v>16.129135802469136</c:v>
                </c:pt>
                <c:pt idx="46">
                  <c:v>16.19691358024691</c:v>
                </c:pt>
                <c:pt idx="47">
                  <c:v>16.260987654320989</c:v>
                </c:pt>
                <c:pt idx="48">
                  <c:v>16.328765432098766</c:v>
                </c:pt>
                <c:pt idx="49">
                  <c:v>16.385308641975307</c:v>
                </c:pt>
                <c:pt idx="50">
                  <c:v>16.441851851851851</c:v>
                </c:pt>
                <c:pt idx="51">
                  <c:v>16.498271604938271</c:v>
                </c:pt>
                <c:pt idx="52">
                  <c:v>16.558641975308642</c:v>
                </c:pt>
                <c:pt idx="53">
                  <c:v>16.599999999999998</c:v>
                </c:pt>
                <c:pt idx="54">
                  <c:v>16.652839506172839</c:v>
                </c:pt>
                <c:pt idx="55">
                  <c:v>16.694197530864194</c:v>
                </c:pt>
                <c:pt idx="56">
                  <c:v>16.739506172839505</c:v>
                </c:pt>
                <c:pt idx="57">
                  <c:v>16.792222222222222</c:v>
                </c:pt>
                <c:pt idx="58">
                  <c:v>16.833703703703701</c:v>
                </c:pt>
                <c:pt idx="59">
                  <c:v>16.871358024691357</c:v>
                </c:pt>
                <c:pt idx="60">
                  <c:v>16.901481481481479</c:v>
                </c:pt>
                <c:pt idx="61">
                  <c:v>16.931604938271605</c:v>
                </c:pt>
                <c:pt idx="62">
                  <c:v>16.961728395061726</c:v>
                </c:pt>
                <c:pt idx="63">
                  <c:v>16.995679012345676</c:v>
                </c:pt>
                <c:pt idx="64">
                  <c:v>17.029506172839504</c:v>
                </c:pt>
                <c:pt idx="65">
                  <c:v>17.067283950617281</c:v>
                </c:pt>
                <c:pt idx="66">
                  <c:v>17.112469135802467</c:v>
                </c:pt>
                <c:pt idx="67">
                  <c:v>17.146296296296295</c:v>
                </c:pt>
                <c:pt idx="68">
                  <c:v>17.169012345679011</c:v>
                </c:pt>
                <c:pt idx="69">
                  <c:v>17.184074074074076</c:v>
                </c:pt>
                <c:pt idx="70">
                  <c:v>17.214197530864197</c:v>
                </c:pt>
                <c:pt idx="71">
                  <c:v>17.232962962962961</c:v>
                </c:pt>
                <c:pt idx="72">
                  <c:v>17.251851851851853</c:v>
                </c:pt>
                <c:pt idx="73">
                  <c:v>17.278271604938272</c:v>
                </c:pt>
                <c:pt idx="74">
                  <c:v>17.300864197530863</c:v>
                </c:pt>
                <c:pt idx="75">
                  <c:v>17.323456790123455</c:v>
                </c:pt>
                <c:pt idx="76">
                  <c:v>17.338518518518516</c:v>
                </c:pt>
                <c:pt idx="77">
                  <c:v>17.35358024691358</c:v>
                </c:pt>
                <c:pt idx="78">
                  <c:v>17.372469135802469</c:v>
                </c:pt>
                <c:pt idx="79">
                  <c:v>17.391234567901233</c:v>
                </c:pt>
                <c:pt idx="80">
                  <c:v>17.410123456790124</c:v>
                </c:pt>
                <c:pt idx="81">
                  <c:v>17.436419753086419</c:v>
                </c:pt>
                <c:pt idx="82">
                  <c:v>17.455308641975307</c:v>
                </c:pt>
                <c:pt idx="83">
                  <c:v>17.474197530864195</c:v>
                </c:pt>
                <c:pt idx="84">
                  <c:v>17.489259259259256</c:v>
                </c:pt>
                <c:pt idx="85">
                  <c:v>17.500493827160494</c:v>
                </c:pt>
                <c:pt idx="86">
                  <c:v>17.519382716049382</c:v>
                </c:pt>
                <c:pt idx="87">
                  <c:v>17.538148148148146</c:v>
                </c:pt>
                <c:pt idx="88">
                  <c:v>17.568271604938271</c:v>
                </c:pt>
                <c:pt idx="89">
                  <c:v>17.575925925925926</c:v>
                </c:pt>
                <c:pt idx="90">
                  <c:v>17.590987654320987</c:v>
                </c:pt>
                <c:pt idx="91">
                  <c:v>17.609753086419751</c:v>
                </c:pt>
                <c:pt idx="92">
                  <c:v>17.617283950617285</c:v>
                </c:pt>
                <c:pt idx="93">
                  <c:v>17.628641975308639</c:v>
                </c:pt>
                <c:pt idx="94">
                  <c:v>17.636172839506173</c:v>
                </c:pt>
                <c:pt idx="95">
                  <c:v>17.647407407407407</c:v>
                </c:pt>
                <c:pt idx="96">
                  <c:v>17.658765432098765</c:v>
                </c:pt>
                <c:pt idx="97">
                  <c:v>17.673827160493826</c:v>
                </c:pt>
                <c:pt idx="98">
                  <c:v>17.685185185185183</c:v>
                </c:pt>
                <c:pt idx="99">
                  <c:v>17.700246913580244</c:v>
                </c:pt>
                <c:pt idx="100">
                  <c:v>17.715308641975309</c:v>
                </c:pt>
                <c:pt idx="101">
                  <c:v>17.73037037037037</c:v>
                </c:pt>
                <c:pt idx="102">
                  <c:v>17.7379012345679</c:v>
                </c:pt>
                <c:pt idx="103">
                  <c:v>17.741604938271603</c:v>
                </c:pt>
                <c:pt idx="104">
                  <c:v>17.741604938271603</c:v>
                </c:pt>
                <c:pt idx="105">
                  <c:v>17.745432098765431</c:v>
                </c:pt>
                <c:pt idx="106">
                  <c:v>17.756666666666668</c:v>
                </c:pt>
                <c:pt idx="107">
                  <c:v>17.768024691358022</c:v>
                </c:pt>
                <c:pt idx="108">
                  <c:v>17.775555555555556</c:v>
                </c:pt>
                <c:pt idx="109">
                  <c:v>17.790617283950617</c:v>
                </c:pt>
                <c:pt idx="110">
                  <c:v>17.801975308641975</c:v>
                </c:pt>
                <c:pt idx="111">
                  <c:v>17.801975308641975</c:v>
                </c:pt>
                <c:pt idx="112">
                  <c:v>17.809506172839505</c:v>
                </c:pt>
                <c:pt idx="113">
                  <c:v>17.813209876543205</c:v>
                </c:pt>
                <c:pt idx="114">
                  <c:v>17.817037037037036</c:v>
                </c:pt>
                <c:pt idx="115">
                  <c:v>17.817037037037036</c:v>
                </c:pt>
                <c:pt idx="116">
                  <c:v>17.828271604938269</c:v>
                </c:pt>
                <c:pt idx="117">
                  <c:v>17.839629629629631</c:v>
                </c:pt>
                <c:pt idx="118">
                  <c:v>17.854691358024692</c:v>
                </c:pt>
                <c:pt idx="119">
                  <c:v>17.869753086419752</c:v>
                </c:pt>
                <c:pt idx="120">
                  <c:v>17.888518518518516</c:v>
                </c:pt>
                <c:pt idx="121">
                  <c:v>17.892345679012344</c:v>
                </c:pt>
                <c:pt idx="122">
                  <c:v>17.896049382716047</c:v>
                </c:pt>
                <c:pt idx="123">
                  <c:v>17.899876543209874</c:v>
                </c:pt>
                <c:pt idx="124">
                  <c:v>17.907407407407408</c:v>
                </c:pt>
                <c:pt idx="125">
                  <c:v>17.918765432098763</c:v>
                </c:pt>
                <c:pt idx="126">
                  <c:v>17.922469135802466</c:v>
                </c:pt>
                <c:pt idx="127">
                  <c:v>17.93</c:v>
                </c:pt>
                <c:pt idx="128">
                  <c:v>17.93753086419753</c:v>
                </c:pt>
                <c:pt idx="129">
                  <c:v>17.941358024691358</c:v>
                </c:pt>
                <c:pt idx="130">
                  <c:v>17.948888888888888</c:v>
                </c:pt>
                <c:pt idx="131">
                  <c:v>17.948888888888888</c:v>
                </c:pt>
                <c:pt idx="132">
                  <c:v>17.948888888888888</c:v>
                </c:pt>
                <c:pt idx="133">
                  <c:v>17.952592592592595</c:v>
                </c:pt>
                <c:pt idx="134">
                  <c:v>17.963950617283949</c:v>
                </c:pt>
                <c:pt idx="135">
                  <c:v>17.963950617283949</c:v>
                </c:pt>
                <c:pt idx="136">
                  <c:v>17.967654320987652</c:v>
                </c:pt>
                <c:pt idx="137">
                  <c:v>17.975185185185186</c:v>
                </c:pt>
                <c:pt idx="138">
                  <c:v>17.975185185185186</c:v>
                </c:pt>
                <c:pt idx="139">
                  <c:v>17.979012345679013</c:v>
                </c:pt>
                <c:pt idx="140">
                  <c:v>17.982716049382717</c:v>
                </c:pt>
                <c:pt idx="141">
                  <c:v>17.994074074074071</c:v>
                </c:pt>
                <c:pt idx="142">
                  <c:v>18.005432098765432</c:v>
                </c:pt>
                <c:pt idx="143">
                  <c:v>18.0241975308642</c:v>
                </c:pt>
                <c:pt idx="144">
                  <c:v>18.035555555555554</c:v>
                </c:pt>
                <c:pt idx="145">
                  <c:v>18.043086419753088</c:v>
                </c:pt>
                <c:pt idx="146">
                  <c:v>18.054320987654318</c:v>
                </c:pt>
                <c:pt idx="147">
                  <c:v>18.061851851851848</c:v>
                </c:pt>
                <c:pt idx="148">
                  <c:v>18.069382716049383</c:v>
                </c:pt>
                <c:pt idx="149">
                  <c:v>18.07320987654321</c:v>
                </c:pt>
                <c:pt idx="150">
                  <c:v>18.07320987654321</c:v>
                </c:pt>
                <c:pt idx="151">
                  <c:v>18.076913580246913</c:v>
                </c:pt>
                <c:pt idx="152">
                  <c:v>18.076913580246913</c:v>
                </c:pt>
                <c:pt idx="153">
                  <c:v>18.088271604938271</c:v>
                </c:pt>
                <c:pt idx="154">
                  <c:v>18.099506172839504</c:v>
                </c:pt>
                <c:pt idx="155">
                  <c:v>18.103333333333332</c:v>
                </c:pt>
                <c:pt idx="156">
                  <c:v>18.103333333333332</c:v>
                </c:pt>
                <c:pt idx="157">
                  <c:v>18.095802469135801</c:v>
                </c:pt>
                <c:pt idx="158">
                  <c:v>18.095802469135801</c:v>
                </c:pt>
                <c:pt idx="159">
                  <c:v>18.095802469135801</c:v>
                </c:pt>
                <c:pt idx="160">
                  <c:v>18.107037037037035</c:v>
                </c:pt>
                <c:pt idx="161">
                  <c:v>18.11469135802469</c:v>
                </c:pt>
                <c:pt idx="162">
                  <c:v>18.12222222222222</c:v>
                </c:pt>
                <c:pt idx="163">
                  <c:v>18.133456790123457</c:v>
                </c:pt>
                <c:pt idx="164">
                  <c:v>18.140987654320988</c:v>
                </c:pt>
                <c:pt idx="165">
                  <c:v>18.144814814814815</c:v>
                </c:pt>
                <c:pt idx="166">
                  <c:v>18.140987654320988</c:v>
                </c:pt>
                <c:pt idx="167">
                  <c:v>18.137283950617284</c:v>
                </c:pt>
                <c:pt idx="168">
                  <c:v>18.140987654320988</c:v>
                </c:pt>
                <c:pt idx="169">
                  <c:v>18.156049382716049</c:v>
                </c:pt>
                <c:pt idx="170">
                  <c:v>18.178641975308643</c:v>
                </c:pt>
                <c:pt idx="171">
                  <c:v>18.189999999999998</c:v>
                </c:pt>
                <c:pt idx="172">
                  <c:v>18.189999999999998</c:v>
                </c:pt>
                <c:pt idx="173">
                  <c:v>18.197530864197528</c:v>
                </c:pt>
                <c:pt idx="174">
                  <c:v>18.201234567901235</c:v>
                </c:pt>
                <c:pt idx="175">
                  <c:v>18.208765432098765</c:v>
                </c:pt>
                <c:pt idx="176">
                  <c:v>18.212592592592593</c:v>
                </c:pt>
                <c:pt idx="177">
                  <c:v>18.212592592592593</c:v>
                </c:pt>
                <c:pt idx="178">
                  <c:v>18.22012345679012</c:v>
                </c:pt>
                <c:pt idx="179">
                  <c:v>18.227654320987654</c:v>
                </c:pt>
                <c:pt idx="180">
                  <c:v>18.239012345679011</c:v>
                </c:pt>
                <c:pt idx="181">
                  <c:v>18.250246913580245</c:v>
                </c:pt>
                <c:pt idx="182">
                  <c:v>18.257777777777775</c:v>
                </c:pt>
                <c:pt idx="183">
                  <c:v>18.265308641975306</c:v>
                </c:pt>
                <c:pt idx="184">
                  <c:v>18.276666666666667</c:v>
                </c:pt>
                <c:pt idx="185">
                  <c:v>18.276666666666667</c:v>
                </c:pt>
                <c:pt idx="186">
                  <c:v>18.27283950617284</c:v>
                </c:pt>
                <c:pt idx="187">
                  <c:v>18.27283950617284</c:v>
                </c:pt>
                <c:pt idx="188">
                  <c:v>18.27283950617284</c:v>
                </c:pt>
                <c:pt idx="189">
                  <c:v>18.276666666666667</c:v>
                </c:pt>
                <c:pt idx="190">
                  <c:v>18.27283950617284</c:v>
                </c:pt>
                <c:pt idx="191">
                  <c:v>18.276666666666667</c:v>
                </c:pt>
                <c:pt idx="192">
                  <c:v>18.291728395061728</c:v>
                </c:pt>
                <c:pt idx="193">
                  <c:v>18.302962962962962</c:v>
                </c:pt>
                <c:pt idx="194">
                  <c:v>18.310493827160489</c:v>
                </c:pt>
                <c:pt idx="195">
                  <c:v>18.318024691358023</c:v>
                </c:pt>
                <c:pt idx="196">
                  <c:v>18.31432098765432</c:v>
                </c:pt>
                <c:pt idx="197">
                  <c:v>18.318024691358023</c:v>
                </c:pt>
                <c:pt idx="198">
                  <c:v>18.318024691358023</c:v>
                </c:pt>
                <c:pt idx="199">
                  <c:v>18.310493827160489</c:v>
                </c:pt>
                <c:pt idx="200">
                  <c:v>18.310493827160489</c:v>
                </c:pt>
                <c:pt idx="201">
                  <c:v>18.325679012345677</c:v>
                </c:pt>
                <c:pt idx="202">
                  <c:v>18.333209876543208</c:v>
                </c:pt>
                <c:pt idx="203">
                  <c:v>18.340740740740738</c:v>
                </c:pt>
                <c:pt idx="204">
                  <c:v>18.340740740740738</c:v>
                </c:pt>
                <c:pt idx="205">
                  <c:v>18.340740740740738</c:v>
                </c:pt>
                <c:pt idx="206">
                  <c:v>18.340740740740738</c:v>
                </c:pt>
                <c:pt idx="207">
                  <c:v>18.340740740740738</c:v>
                </c:pt>
                <c:pt idx="208">
                  <c:v>18.340740740740738</c:v>
                </c:pt>
                <c:pt idx="209">
                  <c:v>18.340740740740738</c:v>
                </c:pt>
                <c:pt idx="210">
                  <c:v>18.336913580246915</c:v>
                </c:pt>
                <c:pt idx="211">
                  <c:v>18.344444444444445</c:v>
                </c:pt>
                <c:pt idx="212">
                  <c:v>18.344444444444445</c:v>
                </c:pt>
                <c:pt idx="213">
                  <c:v>18.340740740740738</c:v>
                </c:pt>
                <c:pt idx="214">
                  <c:v>18.348271604938269</c:v>
                </c:pt>
                <c:pt idx="215">
                  <c:v>18.348271604938269</c:v>
                </c:pt>
                <c:pt idx="216">
                  <c:v>18.351975308641972</c:v>
                </c:pt>
                <c:pt idx="217">
                  <c:v>18.348271604938269</c:v>
                </c:pt>
                <c:pt idx="218">
                  <c:v>18.344444444444445</c:v>
                </c:pt>
                <c:pt idx="219">
                  <c:v>18.351975308641972</c:v>
                </c:pt>
                <c:pt idx="220">
                  <c:v>18.367037037037036</c:v>
                </c:pt>
                <c:pt idx="221">
                  <c:v>18.363333333333333</c:v>
                </c:pt>
                <c:pt idx="222">
                  <c:v>18.367037037037036</c:v>
                </c:pt>
                <c:pt idx="223">
                  <c:v>18.370864197530864</c:v>
                </c:pt>
                <c:pt idx="224">
                  <c:v>18.363333333333333</c:v>
                </c:pt>
                <c:pt idx="225">
                  <c:v>18.355802469135799</c:v>
                </c:pt>
                <c:pt idx="226">
                  <c:v>18.351975308641972</c:v>
                </c:pt>
                <c:pt idx="227">
                  <c:v>18.344444444444445</c:v>
                </c:pt>
                <c:pt idx="228">
                  <c:v>18.340740740740738</c:v>
                </c:pt>
                <c:pt idx="229">
                  <c:v>18.336913580246915</c:v>
                </c:pt>
                <c:pt idx="230">
                  <c:v>18.348271604938269</c:v>
                </c:pt>
                <c:pt idx="231">
                  <c:v>18.359506172839506</c:v>
                </c:pt>
                <c:pt idx="232">
                  <c:v>18.367037037037036</c:v>
                </c:pt>
                <c:pt idx="233">
                  <c:v>18.378395061728394</c:v>
                </c:pt>
                <c:pt idx="234">
                  <c:v>18.382098765432101</c:v>
                </c:pt>
                <c:pt idx="235">
                  <c:v>18.385925925925928</c:v>
                </c:pt>
                <c:pt idx="236">
                  <c:v>18.404691358024692</c:v>
                </c:pt>
                <c:pt idx="237">
                  <c:v>18.416049382716047</c:v>
                </c:pt>
                <c:pt idx="238">
                  <c:v>18.416049382716047</c:v>
                </c:pt>
                <c:pt idx="239">
                  <c:v>18.41975308641975</c:v>
                </c:pt>
                <c:pt idx="240">
                  <c:v>18.431111111111111</c:v>
                </c:pt>
                <c:pt idx="241">
                  <c:v>18.438641975308641</c:v>
                </c:pt>
                <c:pt idx="242">
                  <c:v>18.446172839506172</c:v>
                </c:pt>
                <c:pt idx="243">
                  <c:v>18.438641975308641</c:v>
                </c:pt>
                <c:pt idx="244">
                  <c:v>18.431111111111111</c:v>
                </c:pt>
                <c:pt idx="245">
                  <c:v>18.431111111111111</c:v>
                </c:pt>
                <c:pt idx="246">
                  <c:v>18.427283950617284</c:v>
                </c:pt>
                <c:pt idx="247">
                  <c:v>18.423580246913577</c:v>
                </c:pt>
                <c:pt idx="248">
                  <c:v>18.427283950617284</c:v>
                </c:pt>
                <c:pt idx="249">
                  <c:v>18.434938271604938</c:v>
                </c:pt>
                <c:pt idx="250">
                  <c:v>18.434938271604938</c:v>
                </c:pt>
                <c:pt idx="251">
                  <c:v>18.442469135802465</c:v>
                </c:pt>
                <c:pt idx="252">
                  <c:v>18.453703703703706</c:v>
                </c:pt>
                <c:pt idx="253">
                  <c:v>18.442469135802465</c:v>
                </c:pt>
                <c:pt idx="254">
                  <c:v>18.446172839506172</c:v>
                </c:pt>
                <c:pt idx="255">
                  <c:v>18.453703703703706</c:v>
                </c:pt>
                <c:pt idx="256">
                  <c:v>18.468765432098763</c:v>
                </c:pt>
                <c:pt idx="257">
                  <c:v>18.472592592592594</c:v>
                </c:pt>
                <c:pt idx="258">
                  <c:v>18.472592592592594</c:v>
                </c:pt>
                <c:pt idx="259">
                  <c:v>18.468765432098763</c:v>
                </c:pt>
                <c:pt idx="260">
                  <c:v>18.45753086419753</c:v>
                </c:pt>
                <c:pt idx="261">
                  <c:v>18.45753086419753</c:v>
                </c:pt>
                <c:pt idx="262">
                  <c:v>18.468765432098763</c:v>
                </c:pt>
                <c:pt idx="263">
                  <c:v>18.480123456790125</c:v>
                </c:pt>
                <c:pt idx="264">
                  <c:v>18.491358024691355</c:v>
                </c:pt>
                <c:pt idx="265">
                  <c:v>18.487654320987652</c:v>
                </c:pt>
                <c:pt idx="266">
                  <c:v>18.487654320987652</c:v>
                </c:pt>
                <c:pt idx="267">
                  <c:v>18.483827160493824</c:v>
                </c:pt>
                <c:pt idx="268">
                  <c:v>18.483827160493824</c:v>
                </c:pt>
                <c:pt idx="269">
                  <c:v>18.487654320987652</c:v>
                </c:pt>
                <c:pt idx="270">
                  <c:v>18.495185185185186</c:v>
                </c:pt>
                <c:pt idx="271">
                  <c:v>18.491358024691355</c:v>
                </c:pt>
                <c:pt idx="272">
                  <c:v>18.476296296296297</c:v>
                </c:pt>
                <c:pt idx="273">
                  <c:v>18.480123456790125</c:v>
                </c:pt>
                <c:pt idx="274">
                  <c:v>18.491358024691355</c:v>
                </c:pt>
                <c:pt idx="275">
                  <c:v>18.506419753086419</c:v>
                </c:pt>
                <c:pt idx="276">
                  <c:v>18.529012345679011</c:v>
                </c:pt>
                <c:pt idx="277">
                  <c:v>18.540370370370372</c:v>
                </c:pt>
                <c:pt idx="278">
                  <c:v>18.536543209876541</c:v>
                </c:pt>
                <c:pt idx="279">
                  <c:v>18.532839506172838</c:v>
                </c:pt>
                <c:pt idx="280">
                  <c:v>18.536543209876541</c:v>
                </c:pt>
                <c:pt idx="281">
                  <c:v>18.529012345679011</c:v>
                </c:pt>
                <c:pt idx="282">
                  <c:v>18.529012345679011</c:v>
                </c:pt>
                <c:pt idx="283">
                  <c:v>18.529012345679011</c:v>
                </c:pt>
                <c:pt idx="284">
                  <c:v>18.532839506172838</c:v>
                </c:pt>
                <c:pt idx="285">
                  <c:v>18.544197530864199</c:v>
                </c:pt>
                <c:pt idx="286">
                  <c:v>18.544197530864199</c:v>
                </c:pt>
                <c:pt idx="287">
                  <c:v>18.547901234567902</c:v>
                </c:pt>
                <c:pt idx="288">
                  <c:v>18.566790123456791</c:v>
                </c:pt>
                <c:pt idx="289">
                  <c:v>18.566790123456791</c:v>
                </c:pt>
                <c:pt idx="290">
                  <c:v>18.566790123456791</c:v>
                </c:pt>
                <c:pt idx="291">
                  <c:v>18.566790123456791</c:v>
                </c:pt>
                <c:pt idx="292">
                  <c:v>18.559259259259257</c:v>
                </c:pt>
                <c:pt idx="293">
                  <c:v>18.547901234567902</c:v>
                </c:pt>
                <c:pt idx="294">
                  <c:v>18.540370370370372</c:v>
                </c:pt>
                <c:pt idx="295">
                  <c:v>18.536543209876541</c:v>
                </c:pt>
                <c:pt idx="296">
                  <c:v>18.544197530864199</c:v>
                </c:pt>
                <c:pt idx="297">
                  <c:v>18.536543209876541</c:v>
                </c:pt>
                <c:pt idx="298">
                  <c:v>18.532839506172838</c:v>
                </c:pt>
                <c:pt idx="299">
                  <c:v>18.525308641975307</c:v>
                </c:pt>
                <c:pt idx="300">
                  <c:v>18.525308641975307</c:v>
                </c:pt>
                <c:pt idx="301">
                  <c:v>18.532839506172838</c:v>
                </c:pt>
                <c:pt idx="302">
                  <c:v>18.525308641975307</c:v>
                </c:pt>
                <c:pt idx="303">
                  <c:v>18.517777777777777</c:v>
                </c:pt>
                <c:pt idx="304">
                  <c:v>18.517777777777777</c:v>
                </c:pt>
                <c:pt idx="305">
                  <c:v>18.525308641975307</c:v>
                </c:pt>
                <c:pt idx="306">
                  <c:v>18.547901234567902</c:v>
                </c:pt>
                <c:pt idx="307">
                  <c:v>18.562962962962963</c:v>
                </c:pt>
                <c:pt idx="308">
                  <c:v>18.559259259259257</c:v>
                </c:pt>
                <c:pt idx="309">
                  <c:v>18.559259259259257</c:v>
                </c:pt>
                <c:pt idx="310">
                  <c:v>18.555432098765429</c:v>
                </c:pt>
                <c:pt idx="311">
                  <c:v>18.547901234567902</c:v>
                </c:pt>
                <c:pt idx="312">
                  <c:v>18.555432098765429</c:v>
                </c:pt>
                <c:pt idx="313">
                  <c:v>18.562962962962963</c:v>
                </c:pt>
                <c:pt idx="314">
                  <c:v>18.585555555555555</c:v>
                </c:pt>
                <c:pt idx="315">
                  <c:v>18.581851851851848</c:v>
                </c:pt>
                <c:pt idx="316">
                  <c:v>18.566790123456791</c:v>
                </c:pt>
                <c:pt idx="317">
                  <c:v>18.566790123456791</c:v>
                </c:pt>
                <c:pt idx="318">
                  <c:v>18.551728395061726</c:v>
                </c:pt>
                <c:pt idx="319">
                  <c:v>18.547901234567902</c:v>
                </c:pt>
                <c:pt idx="320">
                  <c:v>18.540370370370372</c:v>
                </c:pt>
                <c:pt idx="321">
                  <c:v>18.551728395061726</c:v>
                </c:pt>
                <c:pt idx="322">
                  <c:v>18.555432098765429</c:v>
                </c:pt>
                <c:pt idx="323">
                  <c:v>18.562962962962963</c:v>
                </c:pt>
                <c:pt idx="324">
                  <c:v>18.566790123456791</c:v>
                </c:pt>
                <c:pt idx="325">
                  <c:v>18.581851851851848</c:v>
                </c:pt>
                <c:pt idx="326">
                  <c:v>18.600617283950616</c:v>
                </c:pt>
                <c:pt idx="327">
                  <c:v>18.600617283950616</c:v>
                </c:pt>
                <c:pt idx="328">
                  <c:v>18.60814814814815</c:v>
                </c:pt>
                <c:pt idx="329">
                  <c:v>18.61567901234568</c:v>
                </c:pt>
                <c:pt idx="330">
                  <c:v>18.619506172839504</c:v>
                </c:pt>
                <c:pt idx="331">
                  <c:v>18.61567901234568</c:v>
                </c:pt>
                <c:pt idx="332">
                  <c:v>18.60814814814815</c:v>
                </c:pt>
                <c:pt idx="333">
                  <c:v>18.611975308641973</c:v>
                </c:pt>
                <c:pt idx="334">
                  <c:v>18.619506172839504</c:v>
                </c:pt>
                <c:pt idx="335">
                  <c:v>18.623209876543207</c:v>
                </c:pt>
                <c:pt idx="336">
                  <c:v>18.623209876543207</c:v>
                </c:pt>
                <c:pt idx="337">
                  <c:v>18.623209876543207</c:v>
                </c:pt>
                <c:pt idx="338">
                  <c:v>18.623209876543207</c:v>
                </c:pt>
                <c:pt idx="339">
                  <c:v>18.627037037037034</c:v>
                </c:pt>
                <c:pt idx="340">
                  <c:v>18.623209876543207</c:v>
                </c:pt>
                <c:pt idx="341">
                  <c:v>18.627037037037034</c:v>
                </c:pt>
                <c:pt idx="342">
                  <c:v>18.627037037037034</c:v>
                </c:pt>
                <c:pt idx="343">
                  <c:v>18.634567901234568</c:v>
                </c:pt>
                <c:pt idx="344">
                  <c:v>18.630740740740741</c:v>
                </c:pt>
                <c:pt idx="345">
                  <c:v>18.627037037037034</c:v>
                </c:pt>
                <c:pt idx="346">
                  <c:v>18.634567901234568</c:v>
                </c:pt>
                <c:pt idx="347">
                  <c:v>18.642098765432099</c:v>
                </c:pt>
                <c:pt idx="348">
                  <c:v>18.649629629629626</c:v>
                </c:pt>
                <c:pt idx="349">
                  <c:v>18.649629629629626</c:v>
                </c:pt>
                <c:pt idx="350">
                  <c:v>18.642098765432099</c:v>
                </c:pt>
                <c:pt idx="351">
                  <c:v>18.649629629629626</c:v>
                </c:pt>
                <c:pt idx="352">
                  <c:v>18.660987654320987</c:v>
                </c:pt>
                <c:pt idx="353">
                  <c:v>18.660987654320987</c:v>
                </c:pt>
                <c:pt idx="354">
                  <c:v>18.642098765432099</c:v>
                </c:pt>
                <c:pt idx="355">
                  <c:v>18.634567901234568</c:v>
                </c:pt>
                <c:pt idx="356">
                  <c:v>18.630740740740741</c:v>
                </c:pt>
                <c:pt idx="357">
                  <c:v>18.642098765432099</c:v>
                </c:pt>
                <c:pt idx="358">
                  <c:v>18.649629629629626</c:v>
                </c:pt>
                <c:pt idx="359">
                  <c:v>18.653456790123457</c:v>
                </c:pt>
                <c:pt idx="360">
                  <c:v>18.642098765432099</c:v>
                </c:pt>
                <c:pt idx="361">
                  <c:v>18.627037037037034</c:v>
                </c:pt>
                <c:pt idx="362">
                  <c:v>18.619506172839504</c:v>
                </c:pt>
                <c:pt idx="363">
                  <c:v>18.619506172839504</c:v>
                </c:pt>
                <c:pt idx="364">
                  <c:v>18.630740740740741</c:v>
                </c:pt>
                <c:pt idx="365">
                  <c:v>18.642098765432099</c:v>
                </c:pt>
                <c:pt idx="366">
                  <c:v>18.653456790123457</c:v>
                </c:pt>
                <c:pt idx="367">
                  <c:v>18.65716049382716</c:v>
                </c:pt>
                <c:pt idx="368">
                  <c:v>18.649629629629626</c:v>
                </c:pt>
                <c:pt idx="369">
                  <c:v>18.653456790123457</c:v>
                </c:pt>
                <c:pt idx="370">
                  <c:v>18.649629629629626</c:v>
                </c:pt>
                <c:pt idx="371">
                  <c:v>18.638271604938272</c:v>
                </c:pt>
                <c:pt idx="372">
                  <c:v>18.638271604938272</c:v>
                </c:pt>
                <c:pt idx="373">
                  <c:v>18.642098765432099</c:v>
                </c:pt>
                <c:pt idx="374">
                  <c:v>18.642098765432099</c:v>
                </c:pt>
                <c:pt idx="375">
                  <c:v>18.642098765432099</c:v>
                </c:pt>
                <c:pt idx="376">
                  <c:v>18.65716049382716</c:v>
                </c:pt>
                <c:pt idx="377">
                  <c:v>18.653456790123457</c:v>
                </c:pt>
                <c:pt idx="378">
                  <c:v>18.653456790123457</c:v>
                </c:pt>
                <c:pt idx="379">
                  <c:v>18.660987654320987</c:v>
                </c:pt>
                <c:pt idx="380">
                  <c:v>18.66469135802469</c:v>
                </c:pt>
                <c:pt idx="381">
                  <c:v>18.65716049382716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'20221210T210000'!$O$11:$O$500</c:f>
              <c:numCache>
                <c:formatCode>General</c:formatCode>
                <c:ptCount val="490"/>
                <c:pt idx="0">
                  <c:v>-0.10345500000000001</c:v>
                </c:pt>
                <c:pt idx="1">
                  <c:v>-9.8419199999999998E-2</c:v>
                </c:pt>
                <c:pt idx="2">
                  <c:v>-9.3383800000000003E-2</c:v>
                </c:pt>
                <c:pt idx="3">
                  <c:v>-8.8348399999999994E-2</c:v>
                </c:pt>
                <c:pt idx="4">
                  <c:v>-8.3312999999999998E-2</c:v>
                </c:pt>
                <c:pt idx="5">
                  <c:v>-7.8277600000000003E-2</c:v>
                </c:pt>
                <c:pt idx="6">
                  <c:v>-7.3242199999999993E-2</c:v>
                </c:pt>
                <c:pt idx="7">
                  <c:v>-6.8206799999999998E-2</c:v>
                </c:pt>
                <c:pt idx="8">
                  <c:v>-6.3171400000000003E-2</c:v>
                </c:pt>
                <c:pt idx="9">
                  <c:v>-5.8136E-2</c:v>
                </c:pt>
                <c:pt idx="10">
                  <c:v>-5.3100599999999998E-2</c:v>
                </c:pt>
                <c:pt idx="11">
                  <c:v>-4.8065200000000002E-2</c:v>
                </c:pt>
                <c:pt idx="12">
                  <c:v>-4.30298E-2</c:v>
                </c:pt>
                <c:pt idx="13">
                  <c:v>-3.7994399999999998E-2</c:v>
                </c:pt>
                <c:pt idx="14">
                  <c:v>-3.2959000000000002E-2</c:v>
                </c:pt>
                <c:pt idx="15">
                  <c:v>-2.79236E-2</c:v>
                </c:pt>
                <c:pt idx="16">
                  <c:v>-2.2888200000000001E-2</c:v>
                </c:pt>
                <c:pt idx="17">
                  <c:v>-1.7852799999999999E-2</c:v>
                </c:pt>
                <c:pt idx="18">
                  <c:v>-1.28174E-2</c:v>
                </c:pt>
                <c:pt idx="19">
                  <c:v>-7.78198E-3</c:v>
                </c:pt>
                <c:pt idx="20">
                  <c:v>-2.7465800000000002E-3</c:v>
                </c:pt>
                <c:pt idx="21">
                  <c:v>2.28882E-3</c:v>
                </c:pt>
                <c:pt idx="22">
                  <c:v>7.3242200000000002E-3</c:v>
                </c:pt>
                <c:pt idx="23">
                  <c:v>1.23596E-2</c:v>
                </c:pt>
                <c:pt idx="24">
                  <c:v>1.7395000000000001E-2</c:v>
                </c:pt>
                <c:pt idx="25">
                  <c:v>2.24304E-2</c:v>
                </c:pt>
                <c:pt idx="26">
                  <c:v>2.7465799999999999E-2</c:v>
                </c:pt>
                <c:pt idx="27">
                  <c:v>3.2501200000000001E-2</c:v>
                </c:pt>
                <c:pt idx="28">
                  <c:v>3.7536600000000003E-2</c:v>
                </c:pt>
                <c:pt idx="29">
                  <c:v>4.2571999999999999E-2</c:v>
                </c:pt>
                <c:pt idx="30">
                  <c:v>4.7607400000000001E-2</c:v>
                </c:pt>
                <c:pt idx="31">
                  <c:v>5.2642799999999997E-2</c:v>
                </c:pt>
                <c:pt idx="32">
                  <c:v>5.7678199999999999E-2</c:v>
                </c:pt>
                <c:pt idx="33">
                  <c:v>6.2713599999999994E-2</c:v>
                </c:pt>
                <c:pt idx="34">
                  <c:v>6.7749000000000004E-2</c:v>
                </c:pt>
                <c:pt idx="35">
                  <c:v>7.2784399999999999E-2</c:v>
                </c:pt>
                <c:pt idx="36">
                  <c:v>7.7819799999999995E-2</c:v>
                </c:pt>
                <c:pt idx="37">
                  <c:v>8.2855200000000004E-2</c:v>
                </c:pt>
                <c:pt idx="38">
                  <c:v>8.7890599999999999E-2</c:v>
                </c:pt>
                <c:pt idx="39">
                  <c:v>9.2925999999999995E-2</c:v>
                </c:pt>
                <c:pt idx="40">
                  <c:v>9.7961400000000004E-2</c:v>
                </c:pt>
                <c:pt idx="41">
                  <c:v>0.10299700000000001</c:v>
                </c:pt>
                <c:pt idx="42">
                  <c:v>0.108032</c:v>
                </c:pt>
                <c:pt idx="43">
                  <c:v>0.113068</c:v>
                </c:pt>
                <c:pt idx="44">
                  <c:v>0.118103</c:v>
                </c:pt>
                <c:pt idx="45">
                  <c:v>0.123138</c:v>
                </c:pt>
                <c:pt idx="46">
                  <c:v>0.12817400000000001</c:v>
                </c:pt>
                <c:pt idx="47">
                  <c:v>0.13320899999999999</c:v>
                </c:pt>
                <c:pt idx="48">
                  <c:v>0.13824500000000001</c:v>
                </c:pt>
                <c:pt idx="49">
                  <c:v>0.14327999999999999</c:v>
                </c:pt>
                <c:pt idx="50">
                  <c:v>0.148315</c:v>
                </c:pt>
                <c:pt idx="51">
                  <c:v>0.15335099999999999</c:v>
                </c:pt>
                <c:pt idx="52">
                  <c:v>0.158386</c:v>
                </c:pt>
                <c:pt idx="53">
                  <c:v>0.16342200000000001</c:v>
                </c:pt>
                <c:pt idx="54">
                  <c:v>0.168457</c:v>
                </c:pt>
                <c:pt idx="55">
                  <c:v>0.17349200000000001</c:v>
                </c:pt>
                <c:pt idx="56">
                  <c:v>0.17852799999999999</c:v>
                </c:pt>
                <c:pt idx="57">
                  <c:v>0.183563</c:v>
                </c:pt>
                <c:pt idx="58">
                  <c:v>0.18859899999999999</c:v>
                </c:pt>
                <c:pt idx="59">
                  <c:v>0.193634</c:v>
                </c:pt>
                <c:pt idx="60">
                  <c:v>0.19866900000000001</c:v>
                </c:pt>
                <c:pt idx="61">
                  <c:v>0.203705</c:v>
                </c:pt>
                <c:pt idx="62">
                  <c:v>0.20874000000000001</c:v>
                </c:pt>
                <c:pt idx="63">
                  <c:v>0.21377599999999999</c:v>
                </c:pt>
                <c:pt idx="64">
                  <c:v>0.21881100000000001</c:v>
                </c:pt>
                <c:pt idx="65">
                  <c:v>0.22384599999999999</c:v>
                </c:pt>
                <c:pt idx="66">
                  <c:v>0.228882</c:v>
                </c:pt>
                <c:pt idx="67">
                  <c:v>0.23391700000000001</c:v>
                </c:pt>
                <c:pt idx="68">
                  <c:v>0.238953</c:v>
                </c:pt>
                <c:pt idx="69">
                  <c:v>0.24398800000000001</c:v>
                </c:pt>
                <c:pt idx="70">
                  <c:v>0.24902299999999999</c:v>
                </c:pt>
                <c:pt idx="71">
                  <c:v>0.25405899999999998</c:v>
                </c:pt>
                <c:pt idx="72">
                  <c:v>0.25909399999999999</c:v>
                </c:pt>
                <c:pt idx="73">
                  <c:v>0.26412999999999998</c:v>
                </c:pt>
                <c:pt idx="74">
                  <c:v>0.26916499999999999</c:v>
                </c:pt>
                <c:pt idx="75">
                  <c:v>0.2742</c:v>
                </c:pt>
                <c:pt idx="76">
                  <c:v>0.27923599999999998</c:v>
                </c:pt>
                <c:pt idx="77">
                  <c:v>0.284271</c:v>
                </c:pt>
                <c:pt idx="78">
                  <c:v>0.28930699999999998</c:v>
                </c:pt>
                <c:pt idx="79">
                  <c:v>0.29434199999999999</c:v>
                </c:pt>
                <c:pt idx="80">
                  <c:v>0.299377</c:v>
                </c:pt>
                <c:pt idx="81">
                  <c:v>0.30441299999999999</c:v>
                </c:pt>
                <c:pt idx="82">
                  <c:v>0.309448</c:v>
                </c:pt>
                <c:pt idx="83">
                  <c:v>0.31448399999999999</c:v>
                </c:pt>
                <c:pt idx="84">
                  <c:v>0.319519</c:v>
                </c:pt>
                <c:pt idx="85">
                  <c:v>0.32455400000000001</c:v>
                </c:pt>
                <c:pt idx="86">
                  <c:v>0.32958999999999999</c:v>
                </c:pt>
                <c:pt idx="87">
                  <c:v>0.33462500000000001</c:v>
                </c:pt>
                <c:pt idx="88">
                  <c:v>0.33966099999999999</c:v>
                </c:pt>
                <c:pt idx="89">
                  <c:v>0.344696</c:v>
                </c:pt>
                <c:pt idx="90">
                  <c:v>0.34973100000000001</c:v>
                </c:pt>
                <c:pt idx="91">
                  <c:v>0.354767</c:v>
                </c:pt>
                <c:pt idx="92">
                  <c:v>0.35980200000000001</c:v>
                </c:pt>
                <c:pt idx="93">
                  <c:v>0.364838</c:v>
                </c:pt>
                <c:pt idx="94">
                  <c:v>0.36987300000000001</c:v>
                </c:pt>
                <c:pt idx="95">
                  <c:v>0.37490800000000002</c:v>
                </c:pt>
                <c:pt idx="96">
                  <c:v>0.379944</c:v>
                </c:pt>
                <c:pt idx="97">
                  <c:v>0.38497900000000002</c:v>
                </c:pt>
                <c:pt idx="98">
                  <c:v>0.390015</c:v>
                </c:pt>
                <c:pt idx="99">
                  <c:v>0.39505000000000001</c:v>
                </c:pt>
                <c:pt idx="100">
                  <c:v>0.40008500000000002</c:v>
                </c:pt>
                <c:pt idx="101">
                  <c:v>0.40512100000000001</c:v>
                </c:pt>
                <c:pt idx="102">
                  <c:v>0.41015600000000002</c:v>
                </c:pt>
                <c:pt idx="103">
                  <c:v>0.41519200000000001</c:v>
                </c:pt>
                <c:pt idx="104">
                  <c:v>0.42022700000000002</c:v>
                </c:pt>
                <c:pt idx="105">
                  <c:v>0.42526199999999997</c:v>
                </c:pt>
                <c:pt idx="106">
                  <c:v>0.43029800000000001</c:v>
                </c:pt>
                <c:pt idx="107">
                  <c:v>0.43533300000000003</c:v>
                </c:pt>
                <c:pt idx="108">
                  <c:v>0.44036900000000001</c:v>
                </c:pt>
                <c:pt idx="109">
                  <c:v>0.44540400000000002</c:v>
                </c:pt>
                <c:pt idx="110">
                  <c:v>0.45043899999999998</c:v>
                </c:pt>
                <c:pt idx="111">
                  <c:v>0.45547500000000002</c:v>
                </c:pt>
                <c:pt idx="112">
                  <c:v>0.46050999999999997</c:v>
                </c:pt>
                <c:pt idx="113">
                  <c:v>0.46554600000000002</c:v>
                </c:pt>
                <c:pt idx="114">
                  <c:v>0.47058100000000003</c:v>
                </c:pt>
                <c:pt idx="115">
                  <c:v>0.47561599999999998</c:v>
                </c:pt>
                <c:pt idx="116">
                  <c:v>0.48065200000000002</c:v>
                </c:pt>
                <c:pt idx="117">
                  <c:v>0.48568699999999998</c:v>
                </c:pt>
                <c:pt idx="118">
                  <c:v>0.49072300000000002</c:v>
                </c:pt>
                <c:pt idx="119">
                  <c:v>0.49575799999999998</c:v>
                </c:pt>
                <c:pt idx="120">
                  <c:v>0.50079300000000004</c:v>
                </c:pt>
                <c:pt idx="121">
                  <c:v>0.50582899999999997</c:v>
                </c:pt>
                <c:pt idx="122">
                  <c:v>0.51086399999999998</c:v>
                </c:pt>
                <c:pt idx="123">
                  <c:v>0.51590000000000003</c:v>
                </c:pt>
                <c:pt idx="124">
                  <c:v>0.52093500000000004</c:v>
                </c:pt>
                <c:pt idx="125">
                  <c:v>0.52597000000000005</c:v>
                </c:pt>
                <c:pt idx="126">
                  <c:v>0.53100599999999998</c:v>
                </c:pt>
                <c:pt idx="127">
                  <c:v>0.53604099999999999</c:v>
                </c:pt>
                <c:pt idx="128">
                  <c:v>0.54107700000000003</c:v>
                </c:pt>
                <c:pt idx="129">
                  <c:v>0.54611200000000004</c:v>
                </c:pt>
                <c:pt idx="130">
                  <c:v>0.55114700000000005</c:v>
                </c:pt>
                <c:pt idx="131">
                  <c:v>0.55618299999999998</c:v>
                </c:pt>
                <c:pt idx="132">
                  <c:v>0.56121799999999999</c:v>
                </c:pt>
                <c:pt idx="133">
                  <c:v>0.56625400000000004</c:v>
                </c:pt>
                <c:pt idx="134">
                  <c:v>0.57128900000000005</c:v>
                </c:pt>
                <c:pt idx="135">
                  <c:v>0.57632399999999995</c:v>
                </c:pt>
                <c:pt idx="136">
                  <c:v>0.58135999999999999</c:v>
                </c:pt>
                <c:pt idx="137">
                  <c:v>0.586395</c:v>
                </c:pt>
                <c:pt idx="138">
                  <c:v>0.59143100000000004</c:v>
                </c:pt>
                <c:pt idx="139">
                  <c:v>0.59646600000000005</c:v>
                </c:pt>
                <c:pt idx="140">
                  <c:v>0.60150099999999995</c:v>
                </c:pt>
                <c:pt idx="141">
                  <c:v>0.60653699999999999</c:v>
                </c:pt>
                <c:pt idx="142">
                  <c:v>0.611572</c:v>
                </c:pt>
                <c:pt idx="143">
                  <c:v>0.61660800000000004</c:v>
                </c:pt>
                <c:pt idx="144">
                  <c:v>0.62164299999999995</c:v>
                </c:pt>
                <c:pt idx="145">
                  <c:v>0.62667799999999996</c:v>
                </c:pt>
                <c:pt idx="146">
                  <c:v>0.631714</c:v>
                </c:pt>
                <c:pt idx="147">
                  <c:v>0.63674900000000001</c:v>
                </c:pt>
                <c:pt idx="148">
                  <c:v>0.64178500000000005</c:v>
                </c:pt>
                <c:pt idx="149">
                  <c:v>0.64681999999999995</c:v>
                </c:pt>
                <c:pt idx="150">
                  <c:v>0.65185499999999996</c:v>
                </c:pt>
                <c:pt idx="151">
                  <c:v>0.656891</c:v>
                </c:pt>
                <c:pt idx="152">
                  <c:v>0.66192600000000001</c:v>
                </c:pt>
                <c:pt idx="153">
                  <c:v>0.66696200000000005</c:v>
                </c:pt>
                <c:pt idx="154">
                  <c:v>0.67199699999999996</c:v>
                </c:pt>
                <c:pt idx="155">
                  <c:v>0.67703199999999997</c:v>
                </c:pt>
                <c:pt idx="156">
                  <c:v>0.68206800000000001</c:v>
                </c:pt>
                <c:pt idx="157">
                  <c:v>0.68710300000000002</c:v>
                </c:pt>
                <c:pt idx="158">
                  <c:v>0.69213899999999995</c:v>
                </c:pt>
                <c:pt idx="159">
                  <c:v>0.69717399999999996</c:v>
                </c:pt>
                <c:pt idx="160">
                  <c:v>0.70220899999999997</c:v>
                </c:pt>
                <c:pt idx="161">
                  <c:v>0.70724500000000001</c:v>
                </c:pt>
                <c:pt idx="162">
                  <c:v>0.71228000000000002</c:v>
                </c:pt>
                <c:pt idx="163">
                  <c:v>0.71731599999999995</c:v>
                </c:pt>
                <c:pt idx="164">
                  <c:v>0.72235099999999997</c:v>
                </c:pt>
                <c:pt idx="165">
                  <c:v>0.72738599999999998</c:v>
                </c:pt>
                <c:pt idx="166">
                  <c:v>0.73242200000000002</c:v>
                </c:pt>
                <c:pt idx="167">
                  <c:v>0.73745700000000003</c:v>
                </c:pt>
                <c:pt idx="168">
                  <c:v>0.74249299999999996</c:v>
                </c:pt>
                <c:pt idx="169">
                  <c:v>0.74752799999999997</c:v>
                </c:pt>
                <c:pt idx="170">
                  <c:v>0.75256299999999998</c:v>
                </c:pt>
                <c:pt idx="171">
                  <c:v>0.75759900000000002</c:v>
                </c:pt>
                <c:pt idx="172">
                  <c:v>0.76263400000000003</c:v>
                </c:pt>
                <c:pt idx="173">
                  <c:v>0.76766999999999996</c:v>
                </c:pt>
                <c:pt idx="174">
                  <c:v>0.77270499999999998</c:v>
                </c:pt>
                <c:pt idx="175">
                  <c:v>0.77773999999999999</c:v>
                </c:pt>
                <c:pt idx="176">
                  <c:v>0.78277600000000003</c:v>
                </c:pt>
                <c:pt idx="177">
                  <c:v>0.78781100000000004</c:v>
                </c:pt>
                <c:pt idx="178">
                  <c:v>0.79284699999999997</c:v>
                </c:pt>
                <c:pt idx="179">
                  <c:v>0.79788199999999998</c:v>
                </c:pt>
                <c:pt idx="180">
                  <c:v>0.80291699999999999</c:v>
                </c:pt>
                <c:pt idx="181">
                  <c:v>0.80795300000000003</c:v>
                </c:pt>
                <c:pt idx="182">
                  <c:v>0.81298800000000004</c:v>
                </c:pt>
                <c:pt idx="183">
                  <c:v>0.81802399999999997</c:v>
                </c:pt>
                <c:pt idx="184">
                  <c:v>0.82305899999999999</c:v>
                </c:pt>
                <c:pt idx="185">
                  <c:v>0.828094</c:v>
                </c:pt>
                <c:pt idx="186">
                  <c:v>0.83313000000000004</c:v>
                </c:pt>
                <c:pt idx="187">
                  <c:v>0.83816500000000005</c:v>
                </c:pt>
                <c:pt idx="188">
                  <c:v>0.84320099999999998</c:v>
                </c:pt>
                <c:pt idx="189">
                  <c:v>0.84823599999999999</c:v>
                </c:pt>
                <c:pt idx="190">
                  <c:v>0.853271</c:v>
                </c:pt>
                <c:pt idx="191">
                  <c:v>0.85830700000000004</c:v>
                </c:pt>
                <c:pt idx="192">
                  <c:v>0.86334200000000005</c:v>
                </c:pt>
                <c:pt idx="193">
                  <c:v>0.86837799999999998</c:v>
                </c:pt>
                <c:pt idx="194">
                  <c:v>0.87341299999999999</c:v>
                </c:pt>
                <c:pt idx="195">
                  <c:v>0.87844800000000001</c:v>
                </c:pt>
                <c:pt idx="196">
                  <c:v>0.88348400000000005</c:v>
                </c:pt>
                <c:pt idx="197">
                  <c:v>0.88851899999999995</c:v>
                </c:pt>
                <c:pt idx="198">
                  <c:v>0.89355499999999999</c:v>
                </c:pt>
                <c:pt idx="199">
                  <c:v>0.89859</c:v>
                </c:pt>
                <c:pt idx="200">
                  <c:v>0.90362500000000001</c:v>
                </c:pt>
                <c:pt idx="201">
                  <c:v>0.90866100000000005</c:v>
                </c:pt>
                <c:pt idx="202">
                  <c:v>0.91369599999999995</c:v>
                </c:pt>
                <c:pt idx="203">
                  <c:v>0.91873199999999999</c:v>
                </c:pt>
                <c:pt idx="204">
                  <c:v>0.923767</c:v>
                </c:pt>
                <c:pt idx="205">
                  <c:v>0.92880200000000002</c:v>
                </c:pt>
                <c:pt idx="206">
                  <c:v>0.93383799999999995</c:v>
                </c:pt>
                <c:pt idx="207">
                  <c:v>0.93887299999999996</c:v>
                </c:pt>
                <c:pt idx="208">
                  <c:v>0.943909</c:v>
                </c:pt>
                <c:pt idx="209">
                  <c:v>0.94894400000000001</c:v>
                </c:pt>
                <c:pt idx="210">
                  <c:v>0.95397900000000002</c:v>
                </c:pt>
                <c:pt idx="211">
                  <c:v>0.95901499999999995</c:v>
                </c:pt>
                <c:pt idx="212">
                  <c:v>0.96404999999999996</c:v>
                </c:pt>
                <c:pt idx="213">
                  <c:v>0.969086</c:v>
                </c:pt>
                <c:pt idx="214">
                  <c:v>0.97412100000000001</c:v>
                </c:pt>
                <c:pt idx="215">
                  <c:v>0.97915600000000003</c:v>
                </c:pt>
                <c:pt idx="216">
                  <c:v>0.98419199999999996</c:v>
                </c:pt>
                <c:pt idx="217">
                  <c:v>0.98922699999999997</c:v>
                </c:pt>
                <c:pt idx="218">
                  <c:v>0.99426300000000001</c:v>
                </c:pt>
                <c:pt idx="219">
                  <c:v>0.99929800000000002</c:v>
                </c:pt>
                <c:pt idx="220">
                  <c:v>1.0043299999999999</c:v>
                </c:pt>
                <c:pt idx="221">
                  <c:v>1.0093700000000001</c:v>
                </c:pt>
                <c:pt idx="222">
                  <c:v>1.0144</c:v>
                </c:pt>
                <c:pt idx="223">
                  <c:v>1.0194399999999999</c:v>
                </c:pt>
                <c:pt idx="224">
                  <c:v>1.0244800000000001</c:v>
                </c:pt>
                <c:pt idx="225">
                  <c:v>1.0295099999999999</c:v>
                </c:pt>
                <c:pt idx="226">
                  <c:v>1.0345500000000001</c:v>
                </c:pt>
                <c:pt idx="227">
                  <c:v>1.0395799999999999</c:v>
                </c:pt>
                <c:pt idx="228">
                  <c:v>1.0446200000000001</c:v>
                </c:pt>
                <c:pt idx="229">
                  <c:v>1.04965</c:v>
                </c:pt>
                <c:pt idx="230">
                  <c:v>1.0546899999999999</c:v>
                </c:pt>
                <c:pt idx="231">
                  <c:v>1.05972</c:v>
                </c:pt>
                <c:pt idx="232">
                  <c:v>1.0647599999999999</c:v>
                </c:pt>
                <c:pt idx="233">
                  <c:v>1.06979</c:v>
                </c:pt>
                <c:pt idx="234">
                  <c:v>1.07483</c:v>
                </c:pt>
                <c:pt idx="235">
                  <c:v>1.07986</c:v>
                </c:pt>
                <c:pt idx="236">
                  <c:v>1.0849</c:v>
                </c:pt>
                <c:pt idx="237">
                  <c:v>1.0899399999999999</c:v>
                </c:pt>
                <c:pt idx="238">
                  <c:v>1.09497</c:v>
                </c:pt>
                <c:pt idx="239">
                  <c:v>1.1000099999999999</c:v>
                </c:pt>
                <c:pt idx="240">
                  <c:v>1.10504</c:v>
                </c:pt>
                <c:pt idx="241">
                  <c:v>1.11008</c:v>
                </c:pt>
                <c:pt idx="242">
                  <c:v>1.11511</c:v>
                </c:pt>
                <c:pt idx="243">
                  <c:v>1.12015</c:v>
                </c:pt>
                <c:pt idx="244">
                  <c:v>1.1251800000000001</c:v>
                </c:pt>
                <c:pt idx="245">
                  <c:v>1.13022</c:v>
                </c:pt>
                <c:pt idx="246">
                  <c:v>1.1352500000000001</c:v>
                </c:pt>
                <c:pt idx="247">
                  <c:v>1.14029</c:v>
                </c:pt>
                <c:pt idx="248">
                  <c:v>1.1453199999999999</c:v>
                </c:pt>
                <c:pt idx="249">
                  <c:v>1.15036</c:v>
                </c:pt>
                <c:pt idx="250">
                  <c:v>1.1554</c:v>
                </c:pt>
                <c:pt idx="251">
                  <c:v>1.1604300000000001</c:v>
                </c:pt>
                <c:pt idx="252">
                  <c:v>1.16547</c:v>
                </c:pt>
                <c:pt idx="253">
                  <c:v>1.1705000000000001</c:v>
                </c:pt>
                <c:pt idx="254">
                  <c:v>1.17554</c:v>
                </c:pt>
                <c:pt idx="255">
                  <c:v>1.1805699999999999</c:v>
                </c:pt>
                <c:pt idx="256">
                  <c:v>1.1856100000000001</c:v>
                </c:pt>
                <c:pt idx="257">
                  <c:v>1.1906399999999999</c:v>
                </c:pt>
                <c:pt idx="258">
                  <c:v>1.1956800000000001</c:v>
                </c:pt>
                <c:pt idx="259">
                  <c:v>1.2007099999999999</c:v>
                </c:pt>
                <c:pt idx="260">
                  <c:v>1.2057500000000001</c:v>
                </c:pt>
                <c:pt idx="261">
                  <c:v>1.21078</c:v>
                </c:pt>
                <c:pt idx="262">
                  <c:v>1.2158199999999999</c:v>
                </c:pt>
                <c:pt idx="263">
                  <c:v>1.2208600000000001</c:v>
                </c:pt>
                <c:pt idx="264">
                  <c:v>1.2258899999999999</c:v>
                </c:pt>
                <c:pt idx="265">
                  <c:v>1.2309300000000001</c:v>
                </c:pt>
                <c:pt idx="266">
                  <c:v>1.2359599999999999</c:v>
                </c:pt>
                <c:pt idx="267">
                  <c:v>1.2410000000000001</c:v>
                </c:pt>
                <c:pt idx="268">
                  <c:v>1.24603</c:v>
                </c:pt>
                <c:pt idx="269">
                  <c:v>1.2510699999999999</c:v>
                </c:pt>
                <c:pt idx="270">
                  <c:v>1.2561</c:v>
                </c:pt>
                <c:pt idx="271">
                  <c:v>1.2611399999999999</c:v>
                </c:pt>
                <c:pt idx="272">
                  <c:v>1.26617</c:v>
                </c:pt>
                <c:pt idx="273">
                  <c:v>1.27121</c:v>
                </c:pt>
                <c:pt idx="274">
                  <c:v>1.2762500000000001</c:v>
                </c:pt>
                <c:pt idx="275">
                  <c:v>1.28128</c:v>
                </c:pt>
                <c:pt idx="276">
                  <c:v>1.2863199999999999</c:v>
                </c:pt>
                <c:pt idx="277">
                  <c:v>1.29135</c:v>
                </c:pt>
                <c:pt idx="278">
                  <c:v>1.2963899999999999</c:v>
                </c:pt>
                <c:pt idx="279">
                  <c:v>1.30142</c:v>
                </c:pt>
                <c:pt idx="280">
                  <c:v>1.30646</c:v>
                </c:pt>
                <c:pt idx="281">
                  <c:v>1.31149</c:v>
                </c:pt>
                <c:pt idx="282">
                  <c:v>1.31653</c:v>
                </c:pt>
                <c:pt idx="283">
                  <c:v>1.3215600000000001</c:v>
                </c:pt>
                <c:pt idx="284">
                  <c:v>1.3266</c:v>
                </c:pt>
                <c:pt idx="285">
                  <c:v>1.3316300000000001</c:v>
                </c:pt>
                <c:pt idx="286">
                  <c:v>1.33667</c:v>
                </c:pt>
                <c:pt idx="287">
                  <c:v>1.34171</c:v>
                </c:pt>
                <c:pt idx="288">
                  <c:v>1.34674</c:v>
                </c:pt>
                <c:pt idx="289">
                  <c:v>1.35178</c:v>
                </c:pt>
                <c:pt idx="290">
                  <c:v>1.3568100000000001</c:v>
                </c:pt>
                <c:pt idx="291">
                  <c:v>1.36185</c:v>
                </c:pt>
                <c:pt idx="292">
                  <c:v>1.3668800000000001</c:v>
                </c:pt>
                <c:pt idx="293">
                  <c:v>1.37192</c:v>
                </c:pt>
                <c:pt idx="294">
                  <c:v>1.3769499999999999</c:v>
                </c:pt>
                <c:pt idx="295">
                  <c:v>1.3819900000000001</c:v>
                </c:pt>
                <c:pt idx="296">
                  <c:v>1.3870199999999999</c:v>
                </c:pt>
                <c:pt idx="297">
                  <c:v>1.3920600000000001</c:v>
                </c:pt>
                <c:pt idx="298">
                  <c:v>1.3970899999999999</c:v>
                </c:pt>
                <c:pt idx="299">
                  <c:v>1.4021300000000001</c:v>
                </c:pt>
                <c:pt idx="300">
                  <c:v>1.40717</c:v>
                </c:pt>
                <c:pt idx="301">
                  <c:v>1.4121999999999999</c:v>
                </c:pt>
                <c:pt idx="302">
                  <c:v>1.4172400000000001</c:v>
                </c:pt>
                <c:pt idx="303">
                  <c:v>1.4222699999999999</c:v>
                </c:pt>
                <c:pt idx="304">
                  <c:v>1.4273100000000001</c:v>
                </c:pt>
                <c:pt idx="305">
                  <c:v>1.4323399999999999</c:v>
                </c:pt>
                <c:pt idx="306">
                  <c:v>1.4373800000000001</c:v>
                </c:pt>
                <c:pt idx="307">
                  <c:v>1.44241</c:v>
                </c:pt>
                <c:pt idx="308">
                  <c:v>1.4474499999999999</c:v>
                </c:pt>
                <c:pt idx="309">
                  <c:v>1.45248</c:v>
                </c:pt>
                <c:pt idx="310">
                  <c:v>1.4575199999999999</c:v>
                </c:pt>
                <c:pt idx="311">
                  <c:v>1.46255</c:v>
                </c:pt>
                <c:pt idx="312">
                  <c:v>1.46759</c:v>
                </c:pt>
                <c:pt idx="313">
                  <c:v>1.4726300000000001</c:v>
                </c:pt>
                <c:pt idx="314">
                  <c:v>1.47766</c:v>
                </c:pt>
                <c:pt idx="315">
                  <c:v>1.4826999999999999</c:v>
                </c:pt>
                <c:pt idx="316">
                  <c:v>1.48773</c:v>
                </c:pt>
                <c:pt idx="317">
                  <c:v>1.4927699999999999</c:v>
                </c:pt>
                <c:pt idx="318">
                  <c:v>1.4978</c:v>
                </c:pt>
                <c:pt idx="319">
                  <c:v>1.50284</c:v>
                </c:pt>
                <c:pt idx="320">
                  <c:v>1.50787</c:v>
                </c:pt>
                <c:pt idx="321">
                  <c:v>1.51291</c:v>
                </c:pt>
                <c:pt idx="322">
                  <c:v>1.5179400000000001</c:v>
                </c:pt>
                <c:pt idx="323">
                  <c:v>1.52298</c:v>
                </c:pt>
                <c:pt idx="324">
                  <c:v>1.5280199999999999</c:v>
                </c:pt>
                <c:pt idx="325">
                  <c:v>1.53305</c:v>
                </c:pt>
                <c:pt idx="326">
                  <c:v>1.53809</c:v>
                </c:pt>
                <c:pt idx="327">
                  <c:v>1.54312</c:v>
                </c:pt>
                <c:pt idx="328">
                  <c:v>1.54816</c:v>
                </c:pt>
                <c:pt idx="329">
                  <c:v>1.5531900000000001</c:v>
                </c:pt>
                <c:pt idx="330">
                  <c:v>1.55823</c:v>
                </c:pt>
                <c:pt idx="331">
                  <c:v>1.5632600000000001</c:v>
                </c:pt>
                <c:pt idx="332">
                  <c:v>1.5683</c:v>
                </c:pt>
                <c:pt idx="333">
                  <c:v>1.5733299999999999</c:v>
                </c:pt>
                <c:pt idx="334">
                  <c:v>1.5783700000000001</c:v>
                </c:pt>
                <c:pt idx="335">
                  <c:v>1.5833999999999999</c:v>
                </c:pt>
                <c:pt idx="336">
                  <c:v>1.5884400000000001</c:v>
                </c:pt>
                <c:pt idx="337">
                  <c:v>1.59348</c:v>
                </c:pt>
                <c:pt idx="338">
                  <c:v>1.5985100000000001</c:v>
                </c:pt>
                <c:pt idx="339">
                  <c:v>1.60355</c:v>
                </c:pt>
                <c:pt idx="340">
                  <c:v>1.6085799999999999</c:v>
                </c:pt>
                <c:pt idx="341">
                  <c:v>1.6136200000000001</c:v>
                </c:pt>
                <c:pt idx="342">
                  <c:v>1.6186499999999999</c:v>
                </c:pt>
                <c:pt idx="343">
                  <c:v>1.6236900000000001</c:v>
                </c:pt>
                <c:pt idx="344">
                  <c:v>1.6287199999999999</c:v>
                </c:pt>
                <c:pt idx="345">
                  <c:v>1.6337600000000001</c:v>
                </c:pt>
                <c:pt idx="346">
                  <c:v>1.63879</c:v>
                </c:pt>
                <c:pt idx="347">
                  <c:v>1.6438299999999999</c:v>
                </c:pt>
                <c:pt idx="348">
                  <c:v>1.64886</c:v>
                </c:pt>
                <c:pt idx="349">
                  <c:v>1.6538999999999999</c:v>
                </c:pt>
                <c:pt idx="350">
                  <c:v>1.6589400000000001</c:v>
                </c:pt>
                <c:pt idx="351">
                  <c:v>1.6639699999999999</c:v>
                </c:pt>
                <c:pt idx="352">
                  <c:v>1.6690100000000001</c:v>
                </c:pt>
                <c:pt idx="353">
                  <c:v>1.67404</c:v>
                </c:pt>
                <c:pt idx="354">
                  <c:v>1.6790799999999999</c:v>
                </c:pt>
                <c:pt idx="355">
                  <c:v>1.68411</c:v>
                </c:pt>
                <c:pt idx="356">
                  <c:v>1.6891499999999999</c:v>
                </c:pt>
                <c:pt idx="357">
                  <c:v>1.69418</c:v>
                </c:pt>
                <c:pt idx="358">
                  <c:v>1.69922</c:v>
                </c:pt>
                <c:pt idx="359">
                  <c:v>1.70425</c:v>
                </c:pt>
                <c:pt idx="360">
                  <c:v>1.70929</c:v>
                </c:pt>
                <c:pt idx="361">
                  <c:v>1.7143200000000001</c:v>
                </c:pt>
                <c:pt idx="362">
                  <c:v>1.71936</c:v>
                </c:pt>
                <c:pt idx="363">
                  <c:v>1.7243999999999999</c:v>
                </c:pt>
                <c:pt idx="364">
                  <c:v>1.72943</c:v>
                </c:pt>
                <c:pt idx="365">
                  <c:v>1.73447</c:v>
                </c:pt>
                <c:pt idx="366">
                  <c:v>1.7395</c:v>
                </c:pt>
                <c:pt idx="367">
                  <c:v>1.74454</c:v>
                </c:pt>
                <c:pt idx="368">
                  <c:v>1.7495700000000001</c:v>
                </c:pt>
                <c:pt idx="369">
                  <c:v>1.75461</c:v>
                </c:pt>
                <c:pt idx="370">
                  <c:v>1.7596400000000001</c:v>
                </c:pt>
                <c:pt idx="371">
                  <c:v>1.76468</c:v>
                </c:pt>
                <c:pt idx="372">
                  <c:v>1.7697099999999999</c:v>
                </c:pt>
                <c:pt idx="373">
                  <c:v>1.77475</c:v>
                </c:pt>
                <c:pt idx="374">
                  <c:v>1.77979</c:v>
                </c:pt>
                <c:pt idx="375">
                  <c:v>1.7848200000000001</c:v>
                </c:pt>
                <c:pt idx="376">
                  <c:v>1.78986</c:v>
                </c:pt>
                <c:pt idx="377">
                  <c:v>1.7948900000000001</c:v>
                </c:pt>
                <c:pt idx="378">
                  <c:v>1.79993</c:v>
                </c:pt>
                <c:pt idx="379">
                  <c:v>1.8049599999999999</c:v>
                </c:pt>
                <c:pt idx="380">
                  <c:v>1.81</c:v>
                </c:pt>
                <c:pt idx="381">
                  <c:v>1.8150299999999999</c:v>
                </c:pt>
              </c:numCache>
            </c:numRef>
          </c:xVal>
          <c:yVal>
            <c:numRef>
              <c:f>'20221210T210000'!$T$11:$T$500</c:f>
              <c:numCache>
                <c:formatCode>General</c:formatCode>
                <c:ptCount val="490"/>
                <c:pt idx="0">
                  <c:v>18.642098765432099</c:v>
                </c:pt>
                <c:pt idx="1">
                  <c:v>18.634567901234568</c:v>
                </c:pt>
                <c:pt idx="2">
                  <c:v>18.634567901234568</c:v>
                </c:pt>
                <c:pt idx="3">
                  <c:v>18.649629629629626</c:v>
                </c:pt>
                <c:pt idx="4">
                  <c:v>18.65716049382716</c:v>
                </c:pt>
                <c:pt idx="5">
                  <c:v>18.660987654320987</c:v>
                </c:pt>
                <c:pt idx="6">
                  <c:v>18.660987654320987</c:v>
                </c:pt>
                <c:pt idx="7">
                  <c:v>18.65716049382716</c:v>
                </c:pt>
                <c:pt idx="8">
                  <c:v>18.65716049382716</c:v>
                </c:pt>
                <c:pt idx="9">
                  <c:v>18.660987654320987</c:v>
                </c:pt>
                <c:pt idx="10">
                  <c:v>18.668518518518518</c:v>
                </c:pt>
                <c:pt idx="11">
                  <c:v>18.653456790123457</c:v>
                </c:pt>
                <c:pt idx="12">
                  <c:v>18.645802469135798</c:v>
                </c:pt>
                <c:pt idx="13">
                  <c:v>18.630740740740741</c:v>
                </c:pt>
                <c:pt idx="14">
                  <c:v>18.627037037037034</c:v>
                </c:pt>
                <c:pt idx="15">
                  <c:v>18.630740740740741</c:v>
                </c:pt>
                <c:pt idx="16">
                  <c:v>18.630740740740741</c:v>
                </c:pt>
                <c:pt idx="17">
                  <c:v>18.619506172839504</c:v>
                </c:pt>
                <c:pt idx="18">
                  <c:v>18.61567901234568</c:v>
                </c:pt>
                <c:pt idx="19">
                  <c:v>18.611975308641973</c:v>
                </c:pt>
                <c:pt idx="20">
                  <c:v>18.604444444444443</c:v>
                </c:pt>
                <c:pt idx="21">
                  <c:v>18.604444444444443</c:v>
                </c:pt>
                <c:pt idx="22">
                  <c:v>18.600617283950616</c:v>
                </c:pt>
                <c:pt idx="23">
                  <c:v>18.600617283950616</c:v>
                </c:pt>
                <c:pt idx="24">
                  <c:v>18.600617283950616</c:v>
                </c:pt>
                <c:pt idx="25">
                  <c:v>18.604444444444443</c:v>
                </c:pt>
                <c:pt idx="26">
                  <c:v>18.623209876543207</c:v>
                </c:pt>
                <c:pt idx="27">
                  <c:v>18.634567901234568</c:v>
                </c:pt>
                <c:pt idx="28">
                  <c:v>18.634567901234568</c:v>
                </c:pt>
                <c:pt idx="29">
                  <c:v>18.627037037037034</c:v>
                </c:pt>
                <c:pt idx="30">
                  <c:v>18.611975308641973</c:v>
                </c:pt>
                <c:pt idx="31">
                  <c:v>18.596913580246913</c:v>
                </c:pt>
                <c:pt idx="32">
                  <c:v>18.596913580246913</c:v>
                </c:pt>
                <c:pt idx="33">
                  <c:v>18.570493827160494</c:v>
                </c:pt>
                <c:pt idx="34">
                  <c:v>18.555432098765429</c:v>
                </c:pt>
                <c:pt idx="35">
                  <c:v>18.551728395061726</c:v>
                </c:pt>
                <c:pt idx="36">
                  <c:v>18.544197530864199</c:v>
                </c:pt>
                <c:pt idx="37">
                  <c:v>18.540370370370372</c:v>
                </c:pt>
                <c:pt idx="38">
                  <c:v>18.566790123456791</c:v>
                </c:pt>
                <c:pt idx="39">
                  <c:v>18.578024691358021</c:v>
                </c:pt>
                <c:pt idx="40">
                  <c:v>18.570493827160494</c:v>
                </c:pt>
                <c:pt idx="41">
                  <c:v>18.570493827160494</c:v>
                </c:pt>
                <c:pt idx="42">
                  <c:v>18.559259259259257</c:v>
                </c:pt>
                <c:pt idx="43">
                  <c:v>18.559259259259257</c:v>
                </c:pt>
                <c:pt idx="44">
                  <c:v>18.570493827160494</c:v>
                </c:pt>
                <c:pt idx="45">
                  <c:v>18.574320987654321</c:v>
                </c:pt>
                <c:pt idx="46">
                  <c:v>18.589382716049382</c:v>
                </c:pt>
                <c:pt idx="47">
                  <c:v>18.600617283950616</c:v>
                </c:pt>
                <c:pt idx="48">
                  <c:v>18.600617283950616</c:v>
                </c:pt>
                <c:pt idx="49">
                  <c:v>18.600617283950616</c:v>
                </c:pt>
                <c:pt idx="50">
                  <c:v>18.596913580246913</c:v>
                </c:pt>
                <c:pt idx="51">
                  <c:v>18.585555555555555</c:v>
                </c:pt>
                <c:pt idx="52">
                  <c:v>18.566790123456791</c:v>
                </c:pt>
                <c:pt idx="53">
                  <c:v>18.566790123456791</c:v>
                </c:pt>
                <c:pt idx="54">
                  <c:v>18.562962962962963</c:v>
                </c:pt>
                <c:pt idx="55">
                  <c:v>18.566790123456791</c:v>
                </c:pt>
                <c:pt idx="56">
                  <c:v>18.555432098765429</c:v>
                </c:pt>
                <c:pt idx="57">
                  <c:v>18.551728395061726</c:v>
                </c:pt>
                <c:pt idx="58">
                  <c:v>18.555432098765429</c:v>
                </c:pt>
                <c:pt idx="59">
                  <c:v>18.559259259259257</c:v>
                </c:pt>
                <c:pt idx="60">
                  <c:v>18.547901234567902</c:v>
                </c:pt>
                <c:pt idx="61">
                  <c:v>18.529012345679011</c:v>
                </c:pt>
                <c:pt idx="62">
                  <c:v>18.532839506172838</c:v>
                </c:pt>
                <c:pt idx="63">
                  <c:v>18.547901234567902</c:v>
                </c:pt>
                <c:pt idx="64">
                  <c:v>18.555432098765429</c:v>
                </c:pt>
                <c:pt idx="65">
                  <c:v>18.559259259259257</c:v>
                </c:pt>
                <c:pt idx="66">
                  <c:v>18.566790123456791</c:v>
                </c:pt>
                <c:pt idx="67">
                  <c:v>18.581851851851848</c:v>
                </c:pt>
                <c:pt idx="68">
                  <c:v>18.604444444444443</c:v>
                </c:pt>
                <c:pt idx="69">
                  <c:v>18.589382716049382</c:v>
                </c:pt>
                <c:pt idx="70">
                  <c:v>18.585555555555555</c:v>
                </c:pt>
                <c:pt idx="71">
                  <c:v>18.593086419753085</c:v>
                </c:pt>
                <c:pt idx="72">
                  <c:v>18.585555555555555</c:v>
                </c:pt>
                <c:pt idx="73">
                  <c:v>18.593086419753085</c:v>
                </c:pt>
                <c:pt idx="74">
                  <c:v>18.596913580246913</c:v>
                </c:pt>
                <c:pt idx="75">
                  <c:v>18.600617283950616</c:v>
                </c:pt>
                <c:pt idx="76">
                  <c:v>18.60814814814815</c:v>
                </c:pt>
                <c:pt idx="77">
                  <c:v>18.61567901234568</c:v>
                </c:pt>
                <c:pt idx="78">
                  <c:v>18.627037037037034</c:v>
                </c:pt>
                <c:pt idx="79">
                  <c:v>18.630740740740741</c:v>
                </c:pt>
                <c:pt idx="80">
                  <c:v>18.630740740740741</c:v>
                </c:pt>
                <c:pt idx="81">
                  <c:v>18.630740740740741</c:v>
                </c:pt>
                <c:pt idx="82">
                  <c:v>18.623209876543207</c:v>
                </c:pt>
                <c:pt idx="83">
                  <c:v>18.61567901234568</c:v>
                </c:pt>
                <c:pt idx="84">
                  <c:v>18.604444444444443</c:v>
                </c:pt>
                <c:pt idx="85">
                  <c:v>18.596913580246913</c:v>
                </c:pt>
                <c:pt idx="86">
                  <c:v>18.596913580246913</c:v>
                </c:pt>
                <c:pt idx="87">
                  <c:v>18.596913580246913</c:v>
                </c:pt>
                <c:pt idx="88">
                  <c:v>18.604444444444443</c:v>
                </c:pt>
                <c:pt idx="89">
                  <c:v>18.630740740740741</c:v>
                </c:pt>
                <c:pt idx="90">
                  <c:v>18.642098765432099</c:v>
                </c:pt>
                <c:pt idx="91">
                  <c:v>18.649629629629626</c:v>
                </c:pt>
                <c:pt idx="92">
                  <c:v>18.645802469135798</c:v>
                </c:pt>
                <c:pt idx="93">
                  <c:v>18.645802469135798</c:v>
                </c:pt>
                <c:pt idx="94">
                  <c:v>18.642098765432099</c:v>
                </c:pt>
                <c:pt idx="95">
                  <c:v>18.630740740740741</c:v>
                </c:pt>
                <c:pt idx="96">
                  <c:v>18.60814814814815</c:v>
                </c:pt>
                <c:pt idx="97">
                  <c:v>18.60814814814815</c:v>
                </c:pt>
                <c:pt idx="98">
                  <c:v>18.60814814814815</c:v>
                </c:pt>
                <c:pt idx="99">
                  <c:v>18.604444444444443</c:v>
                </c:pt>
                <c:pt idx="100">
                  <c:v>18.593086419753085</c:v>
                </c:pt>
                <c:pt idx="101">
                  <c:v>18.585555555555555</c:v>
                </c:pt>
                <c:pt idx="102">
                  <c:v>18.562962962962963</c:v>
                </c:pt>
                <c:pt idx="103">
                  <c:v>18.566790123456791</c:v>
                </c:pt>
                <c:pt idx="104">
                  <c:v>18.566790123456791</c:v>
                </c:pt>
                <c:pt idx="105">
                  <c:v>18.578024691358021</c:v>
                </c:pt>
                <c:pt idx="106">
                  <c:v>18.593086419753085</c:v>
                </c:pt>
                <c:pt idx="107">
                  <c:v>18.596913580246913</c:v>
                </c:pt>
                <c:pt idx="108">
                  <c:v>18.604444444444443</c:v>
                </c:pt>
                <c:pt idx="109">
                  <c:v>18.60814814814815</c:v>
                </c:pt>
                <c:pt idx="110">
                  <c:v>18.589382716049382</c:v>
                </c:pt>
                <c:pt idx="111">
                  <c:v>18.574320987654321</c:v>
                </c:pt>
                <c:pt idx="112">
                  <c:v>18.566790123456791</c:v>
                </c:pt>
                <c:pt idx="113">
                  <c:v>18.566790123456791</c:v>
                </c:pt>
                <c:pt idx="114">
                  <c:v>18.566790123456791</c:v>
                </c:pt>
                <c:pt idx="115">
                  <c:v>18.570493827160494</c:v>
                </c:pt>
                <c:pt idx="116">
                  <c:v>18.566790123456791</c:v>
                </c:pt>
                <c:pt idx="117">
                  <c:v>18.547901234567902</c:v>
                </c:pt>
                <c:pt idx="118">
                  <c:v>18.544197530864199</c:v>
                </c:pt>
                <c:pt idx="119">
                  <c:v>18.525308641975307</c:v>
                </c:pt>
                <c:pt idx="120">
                  <c:v>18.51395061728395</c:v>
                </c:pt>
                <c:pt idx="121">
                  <c:v>18.521481481481484</c:v>
                </c:pt>
                <c:pt idx="122">
                  <c:v>18.517777777777777</c:v>
                </c:pt>
                <c:pt idx="123">
                  <c:v>18.521481481481484</c:v>
                </c:pt>
                <c:pt idx="124">
                  <c:v>18.525308641975307</c:v>
                </c:pt>
                <c:pt idx="125">
                  <c:v>18.540370370370372</c:v>
                </c:pt>
                <c:pt idx="126">
                  <c:v>18.547901234567902</c:v>
                </c:pt>
                <c:pt idx="127">
                  <c:v>18.547901234567902</c:v>
                </c:pt>
                <c:pt idx="128">
                  <c:v>18.551728395061726</c:v>
                </c:pt>
                <c:pt idx="129">
                  <c:v>18.547901234567902</c:v>
                </c:pt>
                <c:pt idx="130">
                  <c:v>18.559259259259257</c:v>
                </c:pt>
                <c:pt idx="131">
                  <c:v>18.566790123456791</c:v>
                </c:pt>
                <c:pt idx="132">
                  <c:v>18.570493827160494</c:v>
                </c:pt>
                <c:pt idx="133">
                  <c:v>18.562962962962963</c:v>
                </c:pt>
                <c:pt idx="134">
                  <c:v>18.551728395061726</c:v>
                </c:pt>
                <c:pt idx="135">
                  <c:v>18.547901234567902</c:v>
                </c:pt>
                <c:pt idx="136">
                  <c:v>18.544197530864199</c:v>
                </c:pt>
                <c:pt idx="137">
                  <c:v>18.544197530864199</c:v>
                </c:pt>
                <c:pt idx="138">
                  <c:v>18.544197530864199</c:v>
                </c:pt>
                <c:pt idx="139">
                  <c:v>18.532839506172838</c:v>
                </c:pt>
                <c:pt idx="140">
                  <c:v>18.525308641975307</c:v>
                </c:pt>
                <c:pt idx="141">
                  <c:v>18.51395061728395</c:v>
                </c:pt>
                <c:pt idx="142">
                  <c:v>18.502716049382713</c:v>
                </c:pt>
                <c:pt idx="143">
                  <c:v>18.487654320987652</c:v>
                </c:pt>
                <c:pt idx="144">
                  <c:v>18.480123456790125</c:v>
                </c:pt>
                <c:pt idx="145">
                  <c:v>18.480123456790125</c:v>
                </c:pt>
                <c:pt idx="146">
                  <c:v>18.476296296296297</c:v>
                </c:pt>
                <c:pt idx="147">
                  <c:v>18.483827160493824</c:v>
                </c:pt>
                <c:pt idx="148">
                  <c:v>18.472592592592594</c:v>
                </c:pt>
                <c:pt idx="149">
                  <c:v>18.468765432098763</c:v>
                </c:pt>
                <c:pt idx="150">
                  <c:v>18.45753086419753</c:v>
                </c:pt>
                <c:pt idx="151">
                  <c:v>18.446172839506172</c:v>
                </c:pt>
                <c:pt idx="152">
                  <c:v>18.446172839506172</c:v>
                </c:pt>
                <c:pt idx="153">
                  <c:v>18.446172839506172</c:v>
                </c:pt>
                <c:pt idx="154">
                  <c:v>18.45</c:v>
                </c:pt>
                <c:pt idx="155">
                  <c:v>18.453703703703706</c:v>
                </c:pt>
                <c:pt idx="156">
                  <c:v>18.453703703703706</c:v>
                </c:pt>
                <c:pt idx="157">
                  <c:v>18.453703703703706</c:v>
                </c:pt>
                <c:pt idx="158">
                  <c:v>18.45</c:v>
                </c:pt>
                <c:pt idx="159">
                  <c:v>18.45</c:v>
                </c:pt>
                <c:pt idx="160">
                  <c:v>18.442469135802465</c:v>
                </c:pt>
                <c:pt idx="161">
                  <c:v>18.434938271604938</c:v>
                </c:pt>
                <c:pt idx="162">
                  <c:v>18.434938271604938</c:v>
                </c:pt>
                <c:pt idx="163">
                  <c:v>18.442469135802465</c:v>
                </c:pt>
                <c:pt idx="164">
                  <c:v>18.453703703703706</c:v>
                </c:pt>
                <c:pt idx="165">
                  <c:v>18.442469135802465</c:v>
                </c:pt>
                <c:pt idx="166">
                  <c:v>18.431111111111111</c:v>
                </c:pt>
                <c:pt idx="167">
                  <c:v>18.427283950617284</c:v>
                </c:pt>
                <c:pt idx="168">
                  <c:v>18.423580246913577</c:v>
                </c:pt>
                <c:pt idx="169">
                  <c:v>18.427283950617284</c:v>
                </c:pt>
                <c:pt idx="170">
                  <c:v>18.416049382716047</c:v>
                </c:pt>
                <c:pt idx="171">
                  <c:v>18.408518518518516</c:v>
                </c:pt>
                <c:pt idx="172">
                  <c:v>18.416049382716047</c:v>
                </c:pt>
                <c:pt idx="173">
                  <c:v>18.404691358024692</c:v>
                </c:pt>
                <c:pt idx="174">
                  <c:v>18.400987654320986</c:v>
                </c:pt>
                <c:pt idx="175">
                  <c:v>18.378395061728394</c:v>
                </c:pt>
                <c:pt idx="176">
                  <c:v>18.374567901234567</c:v>
                </c:pt>
                <c:pt idx="177">
                  <c:v>18.374567901234567</c:v>
                </c:pt>
                <c:pt idx="178">
                  <c:v>18.378395061728394</c:v>
                </c:pt>
                <c:pt idx="179">
                  <c:v>18.382098765432101</c:v>
                </c:pt>
                <c:pt idx="180">
                  <c:v>18.374567901234567</c:v>
                </c:pt>
                <c:pt idx="181">
                  <c:v>18.378395061728394</c:v>
                </c:pt>
                <c:pt idx="182">
                  <c:v>18.370864197530864</c:v>
                </c:pt>
                <c:pt idx="183">
                  <c:v>18.359506172839506</c:v>
                </c:pt>
                <c:pt idx="184">
                  <c:v>18.351975308641972</c:v>
                </c:pt>
                <c:pt idx="185">
                  <c:v>18.355802469135799</c:v>
                </c:pt>
                <c:pt idx="186">
                  <c:v>18.367037037037036</c:v>
                </c:pt>
                <c:pt idx="187">
                  <c:v>18.370864197530864</c:v>
                </c:pt>
                <c:pt idx="188">
                  <c:v>18.367037037037036</c:v>
                </c:pt>
                <c:pt idx="189">
                  <c:v>18.355802469135799</c:v>
                </c:pt>
                <c:pt idx="190">
                  <c:v>18.359506172839506</c:v>
                </c:pt>
                <c:pt idx="191">
                  <c:v>18.359506172839506</c:v>
                </c:pt>
                <c:pt idx="192">
                  <c:v>18.351975308641972</c:v>
                </c:pt>
                <c:pt idx="193">
                  <c:v>18.348271604938269</c:v>
                </c:pt>
                <c:pt idx="194">
                  <c:v>18.344444444444445</c:v>
                </c:pt>
                <c:pt idx="195">
                  <c:v>18.348271604938269</c:v>
                </c:pt>
                <c:pt idx="196">
                  <c:v>18.336913580246915</c:v>
                </c:pt>
                <c:pt idx="197">
                  <c:v>18.333209876543208</c:v>
                </c:pt>
                <c:pt idx="198">
                  <c:v>18.325679012345677</c:v>
                </c:pt>
                <c:pt idx="199">
                  <c:v>18.318024691358023</c:v>
                </c:pt>
                <c:pt idx="200">
                  <c:v>18.318024691358023</c:v>
                </c:pt>
                <c:pt idx="201">
                  <c:v>18.318024691358023</c:v>
                </c:pt>
                <c:pt idx="202">
                  <c:v>18.31432098765432</c:v>
                </c:pt>
                <c:pt idx="203">
                  <c:v>18.306790123456789</c:v>
                </c:pt>
                <c:pt idx="204">
                  <c:v>18.287901234567901</c:v>
                </c:pt>
                <c:pt idx="205">
                  <c:v>18.276666666666667</c:v>
                </c:pt>
                <c:pt idx="206">
                  <c:v>18.276666666666667</c:v>
                </c:pt>
                <c:pt idx="207">
                  <c:v>18.276666666666667</c:v>
                </c:pt>
                <c:pt idx="208">
                  <c:v>18.27283950617284</c:v>
                </c:pt>
                <c:pt idx="209">
                  <c:v>18.269135802469137</c:v>
                </c:pt>
                <c:pt idx="210">
                  <c:v>18.265308641975306</c:v>
                </c:pt>
                <c:pt idx="211">
                  <c:v>18.250246913580245</c:v>
                </c:pt>
                <c:pt idx="212">
                  <c:v>18.231481481481481</c:v>
                </c:pt>
                <c:pt idx="213">
                  <c:v>18.216296296296292</c:v>
                </c:pt>
                <c:pt idx="214">
                  <c:v>18.212592592592593</c:v>
                </c:pt>
                <c:pt idx="215">
                  <c:v>18.208765432098765</c:v>
                </c:pt>
                <c:pt idx="216">
                  <c:v>18.205061728395062</c:v>
                </c:pt>
                <c:pt idx="217">
                  <c:v>18.208765432098765</c:v>
                </c:pt>
                <c:pt idx="218">
                  <c:v>18.208765432098765</c:v>
                </c:pt>
                <c:pt idx="219">
                  <c:v>18.212592592592593</c:v>
                </c:pt>
                <c:pt idx="220">
                  <c:v>18.216296296296292</c:v>
                </c:pt>
                <c:pt idx="221">
                  <c:v>18.22012345679012</c:v>
                </c:pt>
                <c:pt idx="222">
                  <c:v>18.212592592592593</c:v>
                </c:pt>
                <c:pt idx="223">
                  <c:v>18.201234567901235</c:v>
                </c:pt>
                <c:pt idx="224">
                  <c:v>18.193703703703704</c:v>
                </c:pt>
                <c:pt idx="225">
                  <c:v>18.193703703703704</c:v>
                </c:pt>
                <c:pt idx="226">
                  <c:v>18.186172839506174</c:v>
                </c:pt>
                <c:pt idx="227">
                  <c:v>18.171111111111109</c:v>
                </c:pt>
                <c:pt idx="228">
                  <c:v>18.159876543209876</c:v>
                </c:pt>
                <c:pt idx="229">
                  <c:v>18.152345679012342</c:v>
                </c:pt>
                <c:pt idx="230">
                  <c:v>18.140987654320988</c:v>
                </c:pt>
                <c:pt idx="231">
                  <c:v>18.12975308641975</c:v>
                </c:pt>
                <c:pt idx="232">
                  <c:v>18.118395061728396</c:v>
                </c:pt>
                <c:pt idx="233">
                  <c:v>18.110864197530866</c:v>
                </c:pt>
                <c:pt idx="234">
                  <c:v>18.107037037037035</c:v>
                </c:pt>
                <c:pt idx="235">
                  <c:v>18.103333333333332</c:v>
                </c:pt>
                <c:pt idx="236">
                  <c:v>18.103333333333332</c:v>
                </c:pt>
                <c:pt idx="237">
                  <c:v>18.095802469135801</c:v>
                </c:pt>
                <c:pt idx="238">
                  <c:v>18.088271604938271</c:v>
                </c:pt>
                <c:pt idx="239">
                  <c:v>18.084444444444443</c:v>
                </c:pt>
                <c:pt idx="240">
                  <c:v>18.084444444444443</c:v>
                </c:pt>
                <c:pt idx="241">
                  <c:v>18.084444444444443</c:v>
                </c:pt>
                <c:pt idx="242">
                  <c:v>18.080740740740737</c:v>
                </c:pt>
                <c:pt idx="243">
                  <c:v>18.084444444444443</c:v>
                </c:pt>
                <c:pt idx="244">
                  <c:v>18.080740740740737</c:v>
                </c:pt>
                <c:pt idx="245">
                  <c:v>18.07320987654321</c:v>
                </c:pt>
                <c:pt idx="246">
                  <c:v>18.065679012345679</c:v>
                </c:pt>
                <c:pt idx="247">
                  <c:v>18.050617283950618</c:v>
                </c:pt>
                <c:pt idx="248">
                  <c:v>18.039259259259257</c:v>
                </c:pt>
                <c:pt idx="249">
                  <c:v>18.031728395061727</c:v>
                </c:pt>
                <c:pt idx="250">
                  <c:v>18.0241975308642</c:v>
                </c:pt>
                <c:pt idx="251">
                  <c:v>18.0241975308642</c:v>
                </c:pt>
                <c:pt idx="252">
                  <c:v>18.016666666666666</c:v>
                </c:pt>
                <c:pt idx="253">
                  <c:v>18.009135802469135</c:v>
                </c:pt>
                <c:pt idx="254">
                  <c:v>18.001604938271605</c:v>
                </c:pt>
                <c:pt idx="255">
                  <c:v>17.997777777777777</c:v>
                </c:pt>
                <c:pt idx="256">
                  <c:v>17.98654320987654</c:v>
                </c:pt>
                <c:pt idx="257">
                  <c:v>17.979012345679013</c:v>
                </c:pt>
                <c:pt idx="258">
                  <c:v>17.971481481481479</c:v>
                </c:pt>
                <c:pt idx="259">
                  <c:v>17.967654320987652</c:v>
                </c:pt>
                <c:pt idx="260">
                  <c:v>17.956419753086422</c:v>
                </c:pt>
                <c:pt idx="261">
                  <c:v>17.948888888888888</c:v>
                </c:pt>
                <c:pt idx="262">
                  <c:v>17.945061728395061</c:v>
                </c:pt>
                <c:pt idx="263">
                  <c:v>17.941358024691358</c:v>
                </c:pt>
                <c:pt idx="264">
                  <c:v>17.93</c:v>
                </c:pt>
                <c:pt idx="265">
                  <c:v>17.922469135802466</c:v>
                </c:pt>
                <c:pt idx="266">
                  <c:v>17.907407407407408</c:v>
                </c:pt>
                <c:pt idx="267">
                  <c:v>17.896049382716047</c:v>
                </c:pt>
                <c:pt idx="268">
                  <c:v>17.877283950617283</c:v>
                </c:pt>
                <c:pt idx="269">
                  <c:v>17.865925925925925</c:v>
                </c:pt>
                <c:pt idx="270">
                  <c:v>17.862222222222222</c:v>
                </c:pt>
                <c:pt idx="271">
                  <c:v>17.858395061728395</c:v>
                </c:pt>
                <c:pt idx="272">
                  <c:v>17.843333333333334</c:v>
                </c:pt>
                <c:pt idx="273">
                  <c:v>17.832098765432097</c:v>
                </c:pt>
                <c:pt idx="274">
                  <c:v>17.820740740740739</c:v>
                </c:pt>
                <c:pt idx="275">
                  <c:v>17.809506172839505</c:v>
                </c:pt>
                <c:pt idx="276">
                  <c:v>17.798148148148147</c:v>
                </c:pt>
                <c:pt idx="277">
                  <c:v>17.78679012345679</c:v>
                </c:pt>
                <c:pt idx="278">
                  <c:v>17.768024691358022</c:v>
                </c:pt>
                <c:pt idx="279">
                  <c:v>17.760493827160492</c:v>
                </c:pt>
                <c:pt idx="280">
                  <c:v>17.752962962962961</c:v>
                </c:pt>
                <c:pt idx="281">
                  <c:v>17.7379012345679</c:v>
                </c:pt>
                <c:pt idx="282">
                  <c:v>17.726543209876542</c:v>
                </c:pt>
                <c:pt idx="283">
                  <c:v>17.715308641975309</c:v>
                </c:pt>
                <c:pt idx="284">
                  <c:v>17.703950617283951</c:v>
                </c:pt>
                <c:pt idx="285">
                  <c:v>17.692716049382714</c:v>
                </c:pt>
                <c:pt idx="286">
                  <c:v>17.685185185185183</c:v>
                </c:pt>
                <c:pt idx="287">
                  <c:v>17.677530864197529</c:v>
                </c:pt>
                <c:pt idx="288">
                  <c:v>17.662469135802468</c:v>
                </c:pt>
                <c:pt idx="289">
                  <c:v>17.654938271604937</c:v>
                </c:pt>
                <c:pt idx="290">
                  <c:v>17.643703703703704</c:v>
                </c:pt>
                <c:pt idx="291">
                  <c:v>17.628641975308639</c:v>
                </c:pt>
                <c:pt idx="292">
                  <c:v>17.621111111111112</c:v>
                </c:pt>
                <c:pt idx="293">
                  <c:v>17.613580246913582</c:v>
                </c:pt>
                <c:pt idx="294">
                  <c:v>17.598518518518517</c:v>
                </c:pt>
                <c:pt idx="295">
                  <c:v>17.579629629629629</c:v>
                </c:pt>
                <c:pt idx="296">
                  <c:v>17.564567901234565</c:v>
                </c:pt>
                <c:pt idx="297">
                  <c:v>17.549506172839507</c:v>
                </c:pt>
                <c:pt idx="298">
                  <c:v>17.534444444444443</c:v>
                </c:pt>
                <c:pt idx="299">
                  <c:v>17.515555555555554</c:v>
                </c:pt>
                <c:pt idx="300">
                  <c:v>17.508024691358024</c:v>
                </c:pt>
                <c:pt idx="301">
                  <c:v>17.492962962962959</c:v>
                </c:pt>
                <c:pt idx="302">
                  <c:v>17.477901234567902</c:v>
                </c:pt>
                <c:pt idx="303">
                  <c:v>17.466543209876541</c:v>
                </c:pt>
                <c:pt idx="304">
                  <c:v>17.447777777777777</c:v>
                </c:pt>
                <c:pt idx="305">
                  <c:v>17.432716049382716</c:v>
                </c:pt>
                <c:pt idx="306">
                  <c:v>17.410123456790124</c:v>
                </c:pt>
                <c:pt idx="307">
                  <c:v>17.39506172839506</c:v>
                </c:pt>
                <c:pt idx="308">
                  <c:v>17.368641975308641</c:v>
                </c:pt>
                <c:pt idx="309">
                  <c:v>17.338518518518516</c:v>
                </c:pt>
                <c:pt idx="310">
                  <c:v>17.312098765432097</c:v>
                </c:pt>
                <c:pt idx="311">
                  <c:v>17.281975308641975</c:v>
                </c:pt>
                <c:pt idx="312">
                  <c:v>17.259382716049384</c:v>
                </c:pt>
                <c:pt idx="313">
                  <c:v>17.229259259259258</c:v>
                </c:pt>
                <c:pt idx="314">
                  <c:v>17.202839506172836</c:v>
                </c:pt>
                <c:pt idx="315">
                  <c:v>17.180246913580245</c:v>
                </c:pt>
                <c:pt idx="316">
                  <c:v>17.153950617283947</c:v>
                </c:pt>
                <c:pt idx="317">
                  <c:v>17.131234567901231</c:v>
                </c:pt>
                <c:pt idx="318">
                  <c:v>17.104938271604937</c:v>
                </c:pt>
                <c:pt idx="319">
                  <c:v>17.074814814814815</c:v>
                </c:pt>
                <c:pt idx="320">
                  <c:v>17.037037037037035</c:v>
                </c:pt>
                <c:pt idx="321">
                  <c:v>16.991851851851852</c:v>
                </c:pt>
                <c:pt idx="322">
                  <c:v>16.942962962962962</c:v>
                </c:pt>
                <c:pt idx="323">
                  <c:v>16.90901234567901</c:v>
                </c:pt>
                <c:pt idx="324">
                  <c:v>16.856296296296296</c:v>
                </c:pt>
                <c:pt idx="325">
                  <c:v>16.807283950617283</c:v>
                </c:pt>
                <c:pt idx="326">
                  <c:v>16.7620987654321</c:v>
                </c:pt>
                <c:pt idx="327">
                  <c:v>16.72444444444444</c:v>
                </c:pt>
                <c:pt idx="328">
                  <c:v>16.679135802469133</c:v>
                </c:pt>
                <c:pt idx="329">
                  <c:v>16.630246913580244</c:v>
                </c:pt>
                <c:pt idx="330">
                  <c:v>16.581234567901234</c:v>
                </c:pt>
                <c:pt idx="331">
                  <c:v>16.520987654320987</c:v>
                </c:pt>
                <c:pt idx="332">
                  <c:v>16.460617283950615</c:v>
                </c:pt>
                <c:pt idx="333">
                  <c:v>16.392839506172837</c:v>
                </c:pt>
                <c:pt idx="334">
                  <c:v>16.332592592592594</c:v>
                </c:pt>
                <c:pt idx="335">
                  <c:v>16.272222222222219</c:v>
                </c:pt>
                <c:pt idx="336">
                  <c:v>16.200740740740741</c:v>
                </c:pt>
                <c:pt idx="337">
                  <c:v>16.125308641975309</c:v>
                </c:pt>
                <c:pt idx="338">
                  <c:v>16.049999999999997</c:v>
                </c:pt>
                <c:pt idx="339">
                  <c:v>15.978395061728392</c:v>
                </c:pt>
                <c:pt idx="340">
                  <c:v>15.899259259259258</c:v>
                </c:pt>
                <c:pt idx="341">
                  <c:v>15.812592592592594</c:v>
                </c:pt>
                <c:pt idx="342">
                  <c:v>15.718395061728396</c:v>
                </c:pt>
                <c:pt idx="343">
                  <c:v>15.624197530864196</c:v>
                </c:pt>
                <c:pt idx="344">
                  <c:v>15.518765432098766</c:v>
                </c:pt>
                <c:pt idx="345">
                  <c:v>15.401975308641974</c:v>
                </c:pt>
                <c:pt idx="346">
                  <c:v>15.296419753086418</c:v>
                </c:pt>
                <c:pt idx="347">
                  <c:v>15.172098765432098</c:v>
                </c:pt>
                <c:pt idx="348">
                  <c:v>15.047777777777776</c:v>
                </c:pt>
                <c:pt idx="349">
                  <c:v>14.915925925925924</c:v>
                </c:pt>
                <c:pt idx="350">
                  <c:v>14.780246913580246</c:v>
                </c:pt>
                <c:pt idx="351">
                  <c:v>14.625802469135802</c:v>
                </c:pt>
                <c:pt idx="352">
                  <c:v>14.459999999999999</c:v>
                </c:pt>
                <c:pt idx="353">
                  <c:v>14.290493827160493</c:v>
                </c:pt>
                <c:pt idx="354">
                  <c:v>14.098395061728393</c:v>
                </c:pt>
                <c:pt idx="355">
                  <c:v>13.90246913580247</c:v>
                </c:pt>
                <c:pt idx="356">
                  <c:v>13.699012345679012</c:v>
                </c:pt>
                <c:pt idx="357">
                  <c:v>13.484197530864197</c:v>
                </c:pt>
                <c:pt idx="358">
                  <c:v>13.254444444444443</c:v>
                </c:pt>
                <c:pt idx="359">
                  <c:v>13.009506172839506</c:v>
                </c:pt>
                <c:pt idx="360">
                  <c:v>12.734444444444444</c:v>
                </c:pt>
                <c:pt idx="361">
                  <c:v>12.448148148148148</c:v>
                </c:pt>
                <c:pt idx="362">
                  <c:v>12.12037037037037</c:v>
                </c:pt>
                <c:pt idx="363">
                  <c:v>11.78506172839506</c:v>
                </c:pt>
                <c:pt idx="364">
                  <c:v>11.4309012345679</c:v>
                </c:pt>
                <c:pt idx="365">
                  <c:v>11.039074074074074</c:v>
                </c:pt>
                <c:pt idx="366">
                  <c:v>10.609567901234568</c:v>
                </c:pt>
                <c:pt idx="367">
                  <c:v>10.146148148148148</c:v>
                </c:pt>
                <c:pt idx="368">
                  <c:v>9.6375308641975295</c:v>
                </c:pt>
                <c:pt idx="369">
                  <c:v>9.0761481481481479</c:v>
                </c:pt>
                <c:pt idx="370">
                  <c:v>8.4469629629629619</c:v>
                </c:pt>
                <c:pt idx="371">
                  <c:v>7.7725679012345674</c:v>
                </c:pt>
                <c:pt idx="372">
                  <c:v>6.9776049382716048</c:v>
                </c:pt>
                <c:pt idx="373">
                  <c:v>6.1389259259259266</c:v>
                </c:pt>
                <c:pt idx="374">
                  <c:v>5.1454197530864194</c:v>
                </c:pt>
                <c:pt idx="375">
                  <c:v>4.0373580246913576</c:v>
                </c:pt>
                <c:pt idx="376">
                  <c:v>2.7575061728395065</c:v>
                </c:pt>
                <c:pt idx="377">
                  <c:v>1.297567901234568</c:v>
                </c:pt>
                <c:pt idx="378">
                  <c:v>-0.42325185185185177</c:v>
                </c:pt>
                <c:pt idx="379">
                  <c:v>-2.2929629629629629</c:v>
                </c:pt>
                <c:pt idx="380">
                  <c:v>-4.4096049382716043</c:v>
                </c:pt>
                <c:pt idx="381">
                  <c:v>-6.766617283950616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24736"/>
        <c:axId val="105980288"/>
      </c:scatterChart>
      <c:valAx>
        <c:axId val="10112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980288"/>
        <c:crosses val="autoZero"/>
        <c:crossBetween val="midCat"/>
      </c:valAx>
      <c:valAx>
        <c:axId val="10598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12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'20221210T210000'!$AD$10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'20221210T210000'!$Y$11:$Y$500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'20221210T210000'!$AD$11:$AD$500</c:f>
              <c:numCache>
                <c:formatCode>General</c:formatCode>
                <c:ptCount val="490"/>
                <c:pt idx="0">
                  <c:v>-6.766617283950616</c:v>
                </c:pt>
                <c:pt idx="1">
                  <c:v>-4.4096049382716043</c:v>
                </c:pt>
                <c:pt idx="2">
                  <c:v>-2.2929629629629629</c:v>
                </c:pt>
                <c:pt idx="3">
                  <c:v>-0.42325185185185177</c:v>
                </c:pt>
                <c:pt idx="4">
                  <c:v>1.297567901234568</c:v>
                </c:pt>
                <c:pt idx="5">
                  <c:v>2.7575061728395065</c:v>
                </c:pt>
                <c:pt idx="6">
                  <c:v>4.0373580246913576</c:v>
                </c:pt>
                <c:pt idx="7">
                  <c:v>5.1454197530864194</c:v>
                </c:pt>
                <c:pt idx="8">
                  <c:v>6.1389259259259266</c:v>
                </c:pt>
                <c:pt idx="9">
                  <c:v>6.9776049382716048</c:v>
                </c:pt>
                <c:pt idx="10">
                  <c:v>7.7725679012345674</c:v>
                </c:pt>
                <c:pt idx="11">
                  <c:v>8.4469629629629619</c:v>
                </c:pt>
                <c:pt idx="12">
                  <c:v>9.0761481481481479</c:v>
                </c:pt>
                <c:pt idx="13">
                  <c:v>9.6375308641975295</c:v>
                </c:pt>
                <c:pt idx="14">
                  <c:v>10.146148148148148</c:v>
                </c:pt>
                <c:pt idx="15">
                  <c:v>10.609567901234568</c:v>
                </c:pt>
                <c:pt idx="16">
                  <c:v>11.039074074074074</c:v>
                </c:pt>
                <c:pt idx="17">
                  <c:v>11.4309012345679</c:v>
                </c:pt>
                <c:pt idx="18">
                  <c:v>11.78506172839506</c:v>
                </c:pt>
                <c:pt idx="19">
                  <c:v>12.12037037037037</c:v>
                </c:pt>
                <c:pt idx="20">
                  <c:v>12.448148148148148</c:v>
                </c:pt>
                <c:pt idx="21">
                  <c:v>12.734444444444444</c:v>
                </c:pt>
                <c:pt idx="22">
                  <c:v>13.009506172839506</c:v>
                </c:pt>
                <c:pt idx="23">
                  <c:v>13.254444444444443</c:v>
                </c:pt>
                <c:pt idx="24">
                  <c:v>13.484197530864197</c:v>
                </c:pt>
                <c:pt idx="25">
                  <c:v>13.699012345679012</c:v>
                </c:pt>
                <c:pt idx="26">
                  <c:v>13.90246913580247</c:v>
                </c:pt>
                <c:pt idx="27">
                  <c:v>14.098395061728393</c:v>
                </c:pt>
                <c:pt idx="28">
                  <c:v>14.290493827160493</c:v>
                </c:pt>
                <c:pt idx="29">
                  <c:v>14.459999999999999</c:v>
                </c:pt>
                <c:pt idx="30">
                  <c:v>14.625802469135802</c:v>
                </c:pt>
                <c:pt idx="31">
                  <c:v>14.780246913580246</c:v>
                </c:pt>
                <c:pt idx="32">
                  <c:v>14.915925925925924</c:v>
                </c:pt>
                <c:pt idx="33">
                  <c:v>15.047777777777776</c:v>
                </c:pt>
                <c:pt idx="34">
                  <c:v>15.172098765432098</c:v>
                </c:pt>
                <c:pt idx="35">
                  <c:v>15.296419753086418</c:v>
                </c:pt>
                <c:pt idx="36">
                  <c:v>15.401975308641974</c:v>
                </c:pt>
                <c:pt idx="37">
                  <c:v>15.518765432098766</c:v>
                </c:pt>
                <c:pt idx="38">
                  <c:v>15.624197530864196</c:v>
                </c:pt>
                <c:pt idx="39">
                  <c:v>15.718395061728396</c:v>
                </c:pt>
                <c:pt idx="40">
                  <c:v>15.812592592592594</c:v>
                </c:pt>
                <c:pt idx="41">
                  <c:v>15.899259259259258</c:v>
                </c:pt>
                <c:pt idx="42">
                  <c:v>15.978395061728392</c:v>
                </c:pt>
                <c:pt idx="43">
                  <c:v>16.049999999999997</c:v>
                </c:pt>
                <c:pt idx="44">
                  <c:v>16.125308641975309</c:v>
                </c:pt>
                <c:pt idx="45">
                  <c:v>16.200740740740741</c:v>
                </c:pt>
                <c:pt idx="46">
                  <c:v>16.272222222222219</c:v>
                </c:pt>
                <c:pt idx="47">
                  <c:v>16.332592592592594</c:v>
                </c:pt>
                <c:pt idx="48">
                  <c:v>16.392839506172837</c:v>
                </c:pt>
                <c:pt idx="49">
                  <c:v>16.460617283950615</c:v>
                </c:pt>
                <c:pt idx="50">
                  <c:v>16.520987654320987</c:v>
                </c:pt>
                <c:pt idx="51">
                  <c:v>16.581234567901234</c:v>
                </c:pt>
                <c:pt idx="52">
                  <c:v>16.630246913580244</c:v>
                </c:pt>
                <c:pt idx="53">
                  <c:v>16.679135802469133</c:v>
                </c:pt>
                <c:pt idx="54">
                  <c:v>16.72444444444444</c:v>
                </c:pt>
                <c:pt idx="55">
                  <c:v>16.7620987654321</c:v>
                </c:pt>
                <c:pt idx="56">
                  <c:v>16.807283950617283</c:v>
                </c:pt>
                <c:pt idx="57">
                  <c:v>16.856296296296296</c:v>
                </c:pt>
                <c:pt idx="58">
                  <c:v>16.90901234567901</c:v>
                </c:pt>
                <c:pt idx="59">
                  <c:v>16.942962962962962</c:v>
                </c:pt>
                <c:pt idx="60">
                  <c:v>16.991851851851852</c:v>
                </c:pt>
                <c:pt idx="61">
                  <c:v>17.037037037037035</c:v>
                </c:pt>
                <c:pt idx="62">
                  <c:v>17.074814814814815</c:v>
                </c:pt>
                <c:pt idx="63">
                  <c:v>17.104938271604937</c:v>
                </c:pt>
                <c:pt idx="64">
                  <c:v>17.131234567901231</c:v>
                </c:pt>
                <c:pt idx="65">
                  <c:v>17.153950617283947</c:v>
                </c:pt>
                <c:pt idx="66">
                  <c:v>17.180246913580245</c:v>
                </c:pt>
                <c:pt idx="67">
                  <c:v>17.202839506172836</c:v>
                </c:pt>
                <c:pt idx="68">
                  <c:v>17.229259259259258</c:v>
                </c:pt>
                <c:pt idx="69">
                  <c:v>17.259382716049384</c:v>
                </c:pt>
                <c:pt idx="70">
                  <c:v>17.281975308641975</c:v>
                </c:pt>
                <c:pt idx="71">
                  <c:v>17.312098765432097</c:v>
                </c:pt>
                <c:pt idx="72">
                  <c:v>17.338518518518516</c:v>
                </c:pt>
                <c:pt idx="73">
                  <c:v>17.368641975308641</c:v>
                </c:pt>
                <c:pt idx="74">
                  <c:v>17.39506172839506</c:v>
                </c:pt>
                <c:pt idx="75">
                  <c:v>17.410123456790124</c:v>
                </c:pt>
                <c:pt idx="76">
                  <c:v>17.432716049382716</c:v>
                </c:pt>
                <c:pt idx="77">
                  <c:v>17.447777777777777</c:v>
                </c:pt>
                <c:pt idx="78">
                  <c:v>17.466543209876541</c:v>
                </c:pt>
                <c:pt idx="79">
                  <c:v>17.477901234567902</c:v>
                </c:pt>
                <c:pt idx="80">
                  <c:v>17.492962962962959</c:v>
                </c:pt>
                <c:pt idx="81">
                  <c:v>17.508024691358024</c:v>
                </c:pt>
                <c:pt idx="82">
                  <c:v>17.515555555555554</c:v>
                </c:pt>
                <c:pt idx="83">
                  <c:v>17.534444444444443</c:v>
                </c:pt>
                <c:pt idx="84">
                  <c:v>17.549506172839507</c:v>
                </c:pt>
                <c:pt idx="85">
                  <c:v>17.564567901234565</c:v>
                </c:pt>
                <c:pt idx="86">
                  <c:v>17.579629629629629</c:v>
                </c:pt>
                <c:pt idx="87">
                  <c:v>17.598518518518517</c:v>
                </c:pt>
                <c:pt idx="88">
                  <c:v>17.613580246913582</c:v>
                </c:pt>
                <c:pt idx="89">
                  <c:v>17.621111111111112</c:v>
                </c:pt>
                <c:pt idx="90">
                  <c:v>17.628641975308639</c:v>
                </c:pt>
                <c:pt idx="91">
                  <c:v>17.643703703703704</c:v>
                </c:pt>
                <c:pt idx="92">
                  <c:v>17.654938271604937</c:v>
                </c:pt>
                <c:pt idx="93">
                  <c:v>17.662469135802468</c:v>
                </c:pt>
                <c:pt idx="94">
                  <c:v>17.677530864197529</c:v>
                </c:pt>
                <c:pt idx="95">
                  <c:v>17.685185185185183</c:v>
                </c:pt>
                <c:pt idx="96">
                  <c:v>17.692716049382714</c:v>
                </c:pt>
                <c:pt idx="97">
                  <c:v>17.703950617283951</c:v>
                </c:pt>
                <c:pt idx="98">
                  <c:v>17.715308641975309</c:v>
                </c:pt>
                <c:pt idx="99">
                  <c:v>17.726543209876542</c:v>
                </c:pt>
                <c:pt idx="100">
                  <c:v>17.7379012345679</c:v>
                </c:pt>
                <c:pt idx="101">
                  <c:v>17.752962962962961</c:v>
                </c:pt>
                <c:pt idx="102">
                  <c:v>17.760493827160492</c:v>
                </c:pt>
                <c:pt idx="103">
                  <c:v>17.768024691358022</c:v>
                </c:pt>
                <c:pt idx="104">
                  <c:v>17.78679012345679</c:v>
                </c:pt>
                <c:pt idx="105">
                  <c:v>17.798148148148147</c:v>
                </c:pt>
                <c:pt idx="106">
                  <c:v>17.809506172839505</c:v>
                </c:pt>
                <c:pt idx="107">
                  <c:v>17.820740740740739</c:v>
                </c:pt>
                <c:pt idx="108">
                  <c:v>17.832098765432097</c:v>
                </c:pt>
                <c:pt idx="109">
                  <c:v>17.843333333333334</c:v>
                </c:pt>
                <c:pt idx="110">
                  <c:v>17.858395061728395</c:v>
                </c:pt>
                <c:pt idx="111">
                  <c:v>17.862222222222222</c:v>
                </c:pt>
                <c:pt idx="112">
                  <c:v>17.865925925925925</c:v>
                </c:pt>
                <c:pt idx="113">
                  <c:v>17.877283950617283</c:v>
                </c:pt>
                <c:pt idx="114">
                  <c:v>17.896049382716047</c:v>
                </c:pt>
                <c:pt idx="115">
                  <c:v>17.907407407407408</c:v>
                </c:pt>
                <c:pt idx="116">
                  <c:v>17.922469135802466</c:v>
                </c:pt>
                <c:pt idx="117">
                  <c:v>17.93</c:v>
                </c:pt>
                <c:pt idx="118">
                  <c:v>17.941358024691358</c:v>
                </c:pt>
                <c:pt idx="119">
                  <c:v>17.945061728395061</c:v>
                </c:pt>
                <c:pt idx="120">
                  <c:v>17.948888888888888</c:v>
                </c:pt>
                <c:pt idx="121">
                  <c:v>17.956419753086422</c:v>
                </c:pt>
                <c:pt idx="122">
                  <c:v>17.967654320987652</c:v>
                </c:pt>
                <c:pt idx="123">
                  <c:v>17.971481481481479</c:v>
                </c:pt>
                <c:pt idx="124">
                  <c:v>17.979012345679013</c:v>
                </c:pt>
                <c:pt idx="125">
                  <c:v>17.98654320987654</c:v>
                </c:pt>
                <c:pt idx="126">
                  <c:v>17.997777777777777</c:v>
                </c:pt>
                <c:pt idx="127">
                  <c:v>18.001604938271605</c:v>
                </c:pt>
                <c:pt idx="128">
                  <c:v>18.009135802469135</c:v>
                </c:pt>
                <c:pt idx="129">
                  <c:v>18.016666666666666</c:v>
                </c:pt>
                <c:pt idx="130">
                  <c:v>18.0241975308642</c:v>
                </c:pt>
                <c:pt idx="131">
                  <c:v>18.0241975308642</c:v>
                </c:pt>
                <c:pt idx="132">
                  <c:v>18.031728395061727</c:v>
                </c:pt>
                <c:pt idx="133">
                  <c:v>18.039259259259257</c:v>
                </c:pt>
                <c:pt idx="134">
                  <c:v>18.050617283950618</c:v>
                </c:pt>
                <c:pt idx="135">
                  <c:v>18.065679012345679</c:v>
                </c:pt>
                <c:pt idx="136">
                  <c:v>18.07320987654321</c:v>
                </c:pt>
                <c:pt idx="137">
                  <c:v>18.080740740740737</c:v>
                </c:pt>
                <c:pt idx="138">
                  <c:v>18.084444444444443</c:v>
                </c:pt>
                <c:pt idx="139">
                  <c:v>18.080740740740737</c:v>
                </c:pt>
                <c:pt idx="140">
                  <c:v>18.084444444444443</c:v>
                </c:pt>
                <c:pt idx="141">
                  <c:v>18.084444444444443</c:v>
                </c:pt>
                <c:pt idx="142">
                  <c:v>18.084444444444443</c:v>
                </c:pt>
                <c:pt idx="143">
                  <c:v>18.088271604938271</c:v>
                </c:pt>
                <c:pt idx="144">
                  <c:v>18.095802469135801</c:v>
                </c:pt>
                <c:pt idx="145">
                  <c:v>18.103333333333332</c:v>
                </c:pt>
                <c:pt idx="146">
                  <c:v>18.103333333333332</c:v>
                </c:pt>
                <c:pt idx="147">
                  <c:v>18.107037037037035</c:v>
                </c:pt>
                <c:pt idx="148">
                  <c:v>18.110864197530866</c:v>
                </c:pt>
                <c:pt idx="149">
                  <c:v>18.118395061728396</c:v>
                </c:pt>
                <c:pt idx="150">
                  <c:v>18.12975308641975</c:v>
                </c:pt>
                <c:pt idx="151">
                  <c:v>18.140987654320988</c:v>
                </c:pt>
                <c:pt idx="152">
                  <c:v>18.152345679012342</c:v>
                </c:pt>
                <c:pt idx="153">
                  <c:v>18.159876543209876</c:v>
                </c:pt>
                <c:pt idx="154">
                  <c:v>18.171111111111109</c:v>
                </c:pt>
                <c:pt idx="155">
                  <c:v>18.186172839506174</c:v>
                </c:pt>
                <c:pt idx="156">
                  <c:v>18.193703703703704</c:v>
                </c:pt>
                <c:pt idx="157">
                  <c:v>18.193703703703704</c:v>
                </c:pt>
                <c:pt idx="158">
                  <c:v>18.201234567901235</c:v>
                </c:pt>
                <c:pt idx="159">
                  <c:v>18.212592592592593</c:v>
                </c:pt>
                <c:pt idx="160">
                  <c:v>18.22012345679012</c:v>
                </c:pt>
                <c:pt idx="161">
                  <c:v>18.216296296296292</c:v>
                </c:pt>
                <c:pt idx="162">
                  <c:v>18.212592592592593</c:v>
                </c:pt>
                <c:pt idx="163">
                  <c:v>18.208765432098765</c:v>
                </c:pt>
                <c:pt idx="164">
                  <c:v>18.208765432098765</c:v>
                </c:pt>
                <c:pt idx="165">
                  <c:v>18.205061728395062</c:v>
                </c:pt>
                <c:pt idx="166">
                  <c:v>18.208765432098765</c:v>
                </c:pt>
                <c:pt idx="167">
                  <c:v>18.212592592592593</c:v>
                </c:pt>
                <c:pt idx="168">
                  <c:v>18.216296296296292</c:v>
                </c:pt>
                <c:pt idx="169">
                  <c:v>18.231481481481481</c:v>
                </c:pt>
                <c:pt idx="170">
                  <c:v>18.250246913580245</c:v>
                </c:pt>
                <c:pt idx="171">
                  <c:v>18.265308641975306</c:v>
                </c:pt>
                <c:pt idx="172">
                  <c:v>18.269135802469137</c:v>
                </c:pt>
                <c:pt idx="173">
                  <c:v>18.27283950617284</c:v>
                </c:pt>
                <c:pt idx="174">
                  <c:v>18.276666666666667</c:v>
                </c:pt>
                <c:pt idx="175">
                  <c:v>18.276666666666667</c:v>
                </c:pt>
                <c:pt idx="176">
                  <c:v>18.276666666666667</c:v>
                </c:pt>
                <c:pt idx="177">
                  <c:v>18.287901234567901</c:v>
                </c:pt>
                <c:pt idx="178">
                  <c:v>18.306790123456789</c:v>
                </c:pt>
                <c:pt idx="179">
                  <c:v>18.31432098765432</c:v>
                </c:pt>
                <c:pt idx="180">
                  <c:v>18.318024691358023</c:v>
                </c:pt>
                <c:pt idx="181">
                  <c:v>18.318024691358023</c:v>
                </c:pt>
                <c:pt idx="182">
                  <c:v>18.318024691358023</c:v>
                </c:pt>
                <c:pt idx="183">
                  <c:v>18.325679012345677</c:v>
                </c:pt>
                <c:pt idx="184">
                  <c:v>18.333209876543208</c:v>
                </c:pt>
                <c:pt idx="185">
                  <c:v>18.336913580246915</c:v>
                </c:pt>
                <c:pt idx="186">
                  <c:v>18.348271604938269</c:v>
                </c:pt>
                <c:pt idx="187">
                  <c:v>18.344444444444445</c:v>
                </c:pt>
                <c:pt idx="188">
                  <c:v>18.348271604938269</c:v>
                </c:pt>
                <c:pt idx="189">
                  <c:v>18.351975308641972</c:v>
                </c:pt>
                <c:pt idx="190">
                  <c:v>18.359506172839506</c:v>
                </c:pt>
                <c:pt idx="191">
                  <c:v>18.359506172839506</c:v>
                </c:pt>
                <c:pt idx="192">
                  <c:v>18.355802469135799</c:v>
                </c:pt>
                <c:pt idx="193">
                  <c:v>18.367037037037036</c:v>
                </c:pt>
                <c:pt idx="194">
                  <c:v>18.370864197530864</c:v>
                </c:pt>
                <c:pt idx="195">
                  <c:v>18.367037037037036</c:v>
                </c:pt>
                <c:pt idx="196">
                  <c:v>18.355802469135799</c:v>
                </c:pt>
                <c:pt idx="197">
                  <c:v>18.351975308641972</c:v>
                </c:pt>
                <c:pt idx="198">
                  <c:v>18.359506172839506</c:v>
                </c:pt>
                <c:pt idx="199">
                  <c:v>18.370864197530864</c:v>
                </c:pt>
                <c:pt idx="200">
                  <c:v>18.378395061728394</c:v>
                </c:pt>
                <c:pt idx="201">
                  <c:v>18.374567901234567</c:v>
                </c:pt>
                <c:pt idx="202">
                  <c:v>18.382098765432101</c:v>
                </c:pt>
                <c:pt idx="203">
                  <c:v>18.378395061728394</c:v>
                </c:pt>
                <c:pt idx="204">
                  <c:v>18.374567901234567</c:v>
                </c:pt>
                <c:pt idx="205">
                  <c:v>18.374567901234567</c:v>
                </c:pt>
                <c:pt idx="206">
                  <c:v>18.378395061728394</c:v>
                </c:pt>
                <c:pt idx="207">
                  <c:v>18.400987654320986</c:v>
                </c:pt>
                <c:pt idx="208">
                  <c:v>18.404691358024692</c:v>
                </c:pt>
                <c:pt idx="209">
                  <c:v>18.416049382716047</c:v>
                </c:pt>
                <c:pt idx="210">
                  <c:v>18.408518518518516</c:v>
                </c:pt>
                <c:pt idx="211">
                  <c:v>18.416049382716047</c:v>
                </c:pt>
                <c:pt idx="212">
                  <c:v>18.427283950617284</c:v>
                </c:pt>
                <c:pt idx="213">
                  <c:v>18.423580246913577</c:v>
                </c:pt>
                <c:pt idx="214">
                  <c:v>18.427283950617284</c:v>
                </c:pt>
                <c:pt idx="215">
                  <c:v>18.431111111111111</c:v>
                </c:pt>
                <c:pt idx="216">
                  <c:v>18.442469135802465</c:v>
                </c:pt>
                <c:pt idx="217">
                  <c:v>18.453703703703706</c:v>
                </c:pt>
                <c:pt idx="218">
                  <c:v>18.442469135802465</c:v>
                </c:pt>
                <c:pt idx="219">
                  <c:v>18.434938271604938</c:v>
                </c:pt>
                <c:pt idx="220">
                  <c:v>18.434938271604938</c:v>
                </c:pt>
                <c:pt idx="221">
                  <c:v>18.442469135802465</c:v>
                </c:pt>
                <c:pt idx="222">
                  <c:v>18.45</c:v>
                </c:pt>
                <c:pt idx="223">
                  <c:v>18.45</c:v>
                </c:pt>
                <c:pt idx="224">
                  <c:v>18.453703703703706</c:v>
                </c:pt>
                <c:pt idx="225">
                  <c:v>18.453703703703706</c:v>
                </c:pt>
                <c:pt idx="226">
                  <c:v>18.453703703703706</c:v>
                </c:pt>
                <c:pt idx="227">
                  <c:v>18.45</c:v>
                </c:pt>
                <c:pt idx="228">
                  <c:v>18.446172839506172</c:v>
                </c:pt>
                <c:pt idx="229">
                  <c:v>18.446172839506172</c:v>
                </c:pt>
                <c:pt idx="230">
                  <c:v>18.446172839506172</c:v>
                </c:pt>
                <c:pt idx="231">
                  <c:v>18.45753086419753</c:v>
                </c:pt>
                <c:pt idx="232">
                  <c:v>18.468765432098763</c:v>
                </c:pt>
                <c:pt idx="233">
                  <c:v>18.472592592592594</c:v>
                </c:pt>
                <c:pt idx="234">
                  <c:v>18.483827160493824</c:v>
                </c:pt>
                <c:pt idx="235">
                  <c:v>18.476296296296297</c:v>
                </c:pt>
                <c:pt idx="236">
                  <c:v>18.480123456790125</c:v>
                </c:pt>
                <c:pt idx="237">
                  <c:v>18.480123456790125</c:v>
                </c:pt>
                <c:pt idx="238">
                  <c:v>18.487654320987652</c:v>
                </c:pt>
                <c:pt idx="239">
                  <c:v>18.502716049382713</c:v>
                </c:pt>
                <c:pt idx="240">
                  <c:v>18.51395061728395</c:v>
                </c:pt>
                <c:pt idx="241">
                  <c:v>18.525308641975307</c:v>
                </c:pt>
                <c:pt idx="242">
                  <c:v>18.532839506172838</c:v>
                </c:pt>
                <c:pt idx="243">
                  <c:v>18.544197530864199</c:v>
                </c:pt>
                <c:pt idx="244">
                  <c:v>18.544197530864199</c:v>
                </c:pt>
                <c:pt idx="245">
                  <c:v>18.544197530864199</c:v>
                </c:pt>
                <c:pt idx="246">
                  <c:v>18.547901234567902</c:v>
                </c:pt>
                <c:pt idx="247">
                  <c:v>18.551728395061726</c:v>
                </c:pt>
                <c:pt idx="248">
                  <c:v>18.562962962962963</c:v>
                </c:pt>
                <c:pt idx="249">
                  <c:v>18.570493827160494</c:v>
                </c:pt>
                <c:pt idx="250">
                  <c:v>18.566790123456791</c:v>
                </c:pt>
                <c:pt idx="251">
                  <c:v>18.559259259259257</c:v>
                </c:pt>
                <c:pt idx="252">
                  <c:v>18.547901234567902</c:v>
                </c:pt>
                <c:pt idx="253">
                  <c:v>18.551728395061726</c:v>
                </c:pt>
                <c:pt idx="254">
                  <c:v>18.547901234567902</c:v>
                </c:pt>
                <c:pt idx="255">
                  <c:v>18.547901234567902</c:v>
                </c:pt>
                <c:pt idx="256">
                  <c:v>18.540370370370372</c:v>
                </c:pt>
                <c:pt idx="257">
                  <c:v>18.525308641975307</c:v>
                </c:pt>
                <c:pt idx="258">
                  <c:v>18.521481481481484</c:v>
                </c:pt>
                <c:pt idx="259">
                  <c:v>18.517777777777777</c:v>
                </c:pt>
                <c:pt idx="260">
                  <c:v>18.521481481481484</c:v>
                </c:pt>
                <c:pt idx="261">
                  <c:v>18.51395061728395</c:v>
                </c:pt>
                <c:pt idx="262">
                  <c:v>18.525308641975307</c:v>
                </c:pt>
                <c:pt idx="263">
                  <c:v>18.544197530864199</c:v>
                </c:pt>
                <c:pt idx="264">
                  <c:v>18.547901234567902</c:v>
                </c:pt>
                <c:pt idx="265">
                  <c:v>18.566790123456791</c:v>
                </c:pt>
                <c:pt idx="266">
                  <c:v>18.570493827160494</c:v>
                </c:pt>
                <c:pt idx="267">
                  <c:v>18.566790123456791</c:v>
                </c:pt>
                <c:pt idx="268">
                  <c:v>18.566790123456791</c:v>
                </c:pt>
                <c:pt idx="269">
                  <c:v>18.566790123456791</c:v>
                </c:pt>
                <c:pt idx="270">
                  <c:v>18.574320987654321</c:v>
                </c:pt>
                <c:pt idx="271">
                  <c:v>18.589382716049382</c:v>
                </c:pt>
                <c:pt idx="272">
                  <c:v>18.60814814814815</c:v>
                </c:pt>
                <c:pt idx="273">
                  <c:v>18.604444444444443</c:v>
                </c:pt>
                <c:pt idx="274">
                  <c:v>18.596913580246913</c:v>
                </c:pt>
                <c:pt idx="275">
                  <c:v>18.593086419753085</c:v>
                </c:pt>
                <c:pt idx="276">
                  <c:v>18.578024691358021</c:v>
                </c:pt>
                <c:pt idx="277">
                  <c:v>18.566790123456791</c:v>
                </c:pt>
                <c:pt idx="278">
                  <c:v>18.566790123456791</c:v>
                </c:pt>
                <c:pt idx="279">
                  <c:v>18.562962962962963</c:v>
                </c:pt>
                <c:pt idx="280">
                  <c:v>18.585555555555555</c:v>
                </c:pt>
                <c:pt idx="281">
                  <c:v>18.593086419753085</c:v>
                </c:pt>
                <c:pt idx="282">
                  <c:v>18.604444444444443</c:v>
                </c:pt>
                <c:pt idx="283">
                  <c:v>18.60814814814815</c:v>
                </c:pt>
                <c:pt idx="284">
                  <c:v>18.60814814814815</c:v>
                </c:pt>
                <c:pt idx="285">
                  <c:v>18.60814814814815</c:v>
                </c:pt>
                <c:pt idx="286">
                  <c:v>18.630740740740741</c:v>
                </c:pt>
                <c:pt idx="287">
                  <c:v>18.642098765432099</c:v>
                </c:pt>
                <c:pt idx="288">
                  <c:v>18.645802469135798</c:v>
                </c:pt>
                <c:pt idx="289">
                  <c:v>18.645802469135798</c:v>
                </c:pt>
                <c:pt idx="290">
                  <c:v>18.649629629629626</c:v>
                </c:pt>
                <c:pt idx="291">
                  <c:v>18.642098765432099</c:v>
                </c:pt>
                <c:pt idx="292">
                  <c:v>18.630740740740741</c:v>
                </c:pt>
                <c:pt idx="293">
                  <c:v>18.604444444444443</c:v>
                </c:pt>
                <c:pt idx="294">
                  <c:v>18.596913580246913</c:v>
                </c:pt>
                <c:pt idx="295">
                  <c:v>18.596913580246913</c:v>
                </c:pt>
                <c:pt idx="296">
                  <c:v>18.596913580246913</c:v>
                </c:pt>
                <c:pt idx="297">
                  <c:v>18.604444444444443</c:v>
                </c:pt>
                <c:pt idx="298">
                  <c:v>18.61567901234568</c:v>
                </c:pt>
                <c:pt idx="299">
                  <c:v>18.623209876543207</c:v>
                </c:pt>
                <c:pt idx="300">
                  <c:v>18.630740740740741</c:v>
                </c:pt>
                <c:pt idx="301">
                  <c:v>18.630740740740741</c:v>
                </c:pt>
                <c:pt idx="302">
                  <c:v>18.630740740740741</c:v>
                </c:pt>
                <c:pt idx="303">
                  <c:v>18.627037037037034</c:v>
                </c:pt>
                <c:pt idx="304">
                  <c:v>18.61567901234568</c:v>
                </c:pt>
                <c:pt idx="305">
                  <c:v>18.60814814814815</c:v>
                </c:pt>
                <c:pt idx="306">
                  <c:v>18.600617283950616</c:v>
                </c:pt>
                <c:pt idx="307">
                  <c:v>18.596913580246913</c:v>
                </c:pt>
                <c:pt idx="308">
                  <c:v>18.593086419753085</c:v>
                </c:pt>
                <c:pt idx="309">
                  <c:v>18.585555555555555</c:v>
                </c:pt>
                <c:pt idx="310">
                  <c:v>18.593086419753085</c:v>
                </c:pt>
                <c:pt idx="311">
                  <c:v>18.585555555555555</c:v>
                </c:pt>
                <c:pt idx="312">
                  <c:v>18.589382716049382</c:v>
                </c:pt>
                <c:pt idx="313">
                  <c:v>18.604444444444443</c:v>
                </c:pt>
                <c:pt idx="314">
                  <c:v>18.581851851851848</c:v>
                </c:pt>
                <c:pt idx="315">
                  <c:v>18.566790123456791</c:v>
                </c:pt>
                <c:pt idx="316">
                  <c:v>18.559259259259257</c:v>
                </c:pt>
                <c:pt idx="317">
                  <c:v>18.555432098765429</c:v>
                </c:pt>
                <c:pt idx="318">
                  <c:v>18.547901234567902</c:v>
                </c:pt>
                <c:pt idx="319">
                  <c:v>18.532839506172838</c:v>
                </c:pt>
                <c:pt idx="320">
                  <c:v>18.529012345679011</c:v>
                </c:pt>
                <c:pt idx="321">
                  <c:v>18.547901234567902</c:v>
                </c:pt>
                <c:pt idx="322">
                  <c:v>18.559259259259257</c:v>
                </c:pt>
                <c:pt idx="323">
                  <c:v>18.555432098765429</c:v>
                </c:pt>
                <c:pt idx="324">
                  <c:v>18.551728395061726</c:v>
                </c:pt>
                <c:pt idx="325">
                  <c:v>18.555432098765429</c:v>
                </c:pt>
                <c:pt idx="326">
                  <c:v>18.566790123456791</c:v>
                </c:pt>
                <c:pt idx="327">
                  <c:v>18.562962962962963</c:v>
                </c:pt>
                <c:pt idx="328">
                  <c:v>18.566790123456791</c:v>
                </c:pt>
                <c:pt idx="329">
                  <c:v>18.566790123456791</c:v>
                </c:pt>
                <c:pt idx="330">
                  <c:v>18.585555555555555</c:v>
                </c:pt>
                <c:pt idx="331">
                  <c:v>18.596913580246913</c:v>
                </c:pt>
                <c:pt idx="332">
                  <c:v>18.600617283950616</c:v>
                </c:pt>
                <c:pt idx="333">
                  <c:v>18.600617283950616</c:v>
                </c:pt>
                <c:pt idx="334">
                  <c:v>18.600617283950616</c:v>
                </c:pt>
                <c:pt idx="335">
                  <c:v>18.589382716049382</c:v>
                </c:pt>
                <c:pt idx="336">
                  <c:v>18.574320987654321</c:v>
                </c:pt>
                <c:pt idx="337">
                  <c:v>18.570493827160494</c:v>
                </c:pt>
                <c:pt idx="338">
                  <c:v>18.559259259259257</c:v>
                </c:pt>
                <c:pt idx="339">
                  <c:v>18.559259259259257</c:v>
                </c:pt>
                <c:pt idx="340">
                  <c:v>18.570493827160494</c:v>
                </c:pt>
                <c:pt idx="341">
                  <c:v>18.570493827160494</c:v>
                </c:pt>
                <c:pt idx="342">
                  <c:v>18.578024691358021</c:v>
                </c:pt>
                <c:pt idx="343">
                  <c:v>18.566790123456791</c:v>
                </c:pt>
                <c:pt idx="344">
                  <c:v>18.540370370370372</c:v>
                </c:pt>
                <c:pt idx="345">
                  <c:v>18.544197530864199</c:v>
                </c:pt>
                <c:pt idx="346">
                  <c:v>18.551728395061726</c:v>
                </c:pt>
                <c:pt idx="347">
                  <c:v>18.555432098765429</c:v>
                </c:pt>
                <c:pt idx="348">
                  <c:v>18.570493827160494</c:v>
                </c:pt>
                <c:pt idx="349">
                  <c:v>18.596913580246913</c:v>
                </c:pt>
                <c:pt idx="350">
                  <c:v>18.596913580246913</c:v>
                </c:pt>
                <c:pt idx="351">
                  <c:v>18.611975308641973</c:v>
                </c:pt>
                <c:pt idx="352">
                  <c:v>18.627037037037034</c:v>
                </c:pt>
                <c:pt idx="353">
                  <c:v>18.634567901234568</c:v>
                </c:pt>
                <c:pt idx="354">
                  <c:v>18.634567901234568</c:v>
                </c:pt>
                <c:pt idx="355">
                  <c:v>18.623209876543207</c:v>
                </c:pt>
                <c:pt idx="356">
                  <c:v>18.604444444444443</c:v>
                </c:pt>
                <c:pt idx="357">
                  <c:v>18.600617283950616</c:v>
                </c:pt>
                <c:pt idx="358">
                  <c:v>18.600617283950616</c:v>
                </c:pt>
                <c:pt idx="359">
                  <c:v>18.600617283950616</c:v>
                </c:pt>
                <c:pt idx="360">
                  <c:v>18.604444444444443</c:v>
                </c:pt>
                <c:pt idx="361">
                  <c:v>18.604444444444443</c:v>
                </c:pt>
                <c:pt idx="362">
                  <c:v>18.611975308641973</c:v>
                </c:pt>
                <c:pt idx="363">
                  <c:v>18.61567901234568</c:v>
                </c:pt>
                <c:pt idx="364">
                  <c:v>18.619506172839504</c:v>
                </c:pt>
                <c:pt idx="365">
                  <c:v>18.630740740740741</c:v>
                </c:pt>
                <c:pt idx="366">
                  <c:v>18.630740740740741</c:v>
                </c:pt>
                <c:pt idx="367">
                  <c:v>18.627037037037034</c:v>
                </c:pt>
                <c:pt idx="368">
                  <c:v>18.630740740740741</c:v>
                </c:pt>
                <c:pt idx="369">
                  <c:v>18.645802469135798</c:v>
                </c:pt>
                <c:pt idx="370">
                  <c:v>18.653456790123457</c:v>
                </c:pt>
                <c:pt idx="371">
                  <c:v>18.668518518518518</c:v>
                </c:pt>
                <c:pt idx="372">
                  <c:v>18.660987654320987</c:v>
                </c:pt>
                <c:pt idx="373">
                  <c:v>18.65716049382716</c:v>
                </c:pt>
                <c:pt idx="374">
                  <c:v>18.65716049382716</c:v>
                </c:pt>
                <c:pt idx="375">
                  <c:v>18.660987654320987</c:v>
                </c:pt>
                <c:pt idx="376">
                  <c:v>18.660987654320987</c:v>
                </c:pt>
                <c:pt idx="377">
                  <c:v>18.65716049382716</c:v>
                </c:pt>
                <c:pt idx="378">
                  <c:v>18.649629629629626</c:v>
                </c:pt>
                <c:pt idx="379">
                  <c:v>18.634567901234568</c:v>
                </c:pt>
                <c:pt idx="380">
                  <c:v>18.634567901234568</c:v>
                </c:pt>
                <c:pt idx="381">
                  <c:v>18.642098765432099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'20221210T210000'!$AL$11:$AL$500</c:f>
              <c:numCache>
                <c:formatCode>General</c:formatCode>
                <c:ptCount val="490"/>
                <c:pt idx="0">
                  <c:v>18.660987654320987</c:v>
                </c:pt>
                <c:pt idx="1">
                  <c:v>18.649629629629626</c:v>
                </c:pt>
                <c:pt idx="2">
                  <c:v>18.653456790123457</c:v>
                </c:pt>
                <c:pt idx="3">
                  <c:v>18.660987654320987</c:v>
                </c:pt>
                <c:pt idx="4">
                  <c:v>18.676049382716048</c:v>
                </c:pt>
                <c:pt idx="5">
                  <c:v>18.679753086419751</c:v>
                </c:pt>
                <c:pt idx="6">
                  <c:v>18.683580246913579</c:v>
                </c:pt>
                <c:pt idx="7">
                  <c:v>18.687283950617282</c:v>
                </c:pt>
                <c:pt idx="8">
                  <c:v>18.679753086419751</c:v>
                </c:pt>
                <c:pt idx="9">
                  <c:v>18.66469135802469</c:v>
                </c:pt>
                <c:pt idx="10">
                  <c:v>18.649629629629626</c:v>
                </c:pt>
                <c:pt idx="11">
                  <c:v>18.649629629629626</c:v>
                </c:pt>
                <c:pt idx="12">
                  <c:v>18.645802469135798</c:v>
                </c:pt>
                <c:pt idx="13">
                  <c:v>18.653456790123457</c:v>
                </c:pt>
                <c:pt idx="14">
                  <c:v>18.645802469135798</c:v>
                </c:pt>
                <c:pt idx="15">
                  <c:v>18.634567901234568</c:v>
                </c:pt>
                <c:pt idx="16">
                  <c:v>18.630740740740741</c:v>
                </c:pt>
                <c:pt idx="17">
                  <c:v>18.619506172839504</c:v>
                </c:pt>
                <c:pt idx="18">
                  <c:v>18.634567901234568</c:v>
                </c:pt>
                <c:pt idx="19">
                  <c:v>18.638271604938272</c:v>
                </c:pt>
                <c:pt idx="20">
                  <c:v>18.634567901234568</c:v>
                </c:pt>
                <c:pt idx="21">
                  <c:v>18.627037037037034</c:v>
                </c:pt>
                <c:pt idx="22">
                  <c:v>18.611975308641973</c:v>
                </c:pt>
                <c:pt idx="23">
                  <c:v>18.611975308641973</c:v>
                </c:pt>
                <c:pt idx="24">
                  <c:v>18.61567901234568</c:v>
                </c:pt>
                <c:pt idx="25">
                  <c:v>18.623209876543207</c:v>
                </c:pt>
                <c:pt idx="26">
                  <c:v>18.623209876543207</c:v>
                </c:pt>
                <c:pt idx="27">
                  <c:v>18.611975308641973</c:v>
                </c:pt>
                <c:pt idx="28">
                  <c:v>18.611975308641973</c:v>
                </c:pt>
                <c:pt idx="29">
                  <c:v>18.600617283950616</c:v>
                </c:pt>
                <c:pt idx="30">
                  <c:v>18.578024691358021</c:v>
                </c:pt>
                <c:pt idx="31">
                  <c:v>18.562962962962963</c:v>
                </c:pt>
                <c:pt idx="32">
                  <c:v>18.555432098765429</c:v>
                </c:pt>
                <c:pt idx="33">
                  <c:v>18.551728395061726</c:v>
                </c:pt>
                <c:pt idx="34">
                  <c:v>18.544197530864199</c:v>
                </c:pt>
                <c:pt idx="35">
                  <c:v>18.551728395061726</c:v>
                </c:pt>
                <c:pt idx="36">
                  <c:v>18.562962962962963</c:v>
                </c:pt>
                <c:pt idx="37">
                  <c:v>18.562962962962963</c:v>
                </c:pt>
                <c:pt idx="38">
                  <c:v>18.566790123456791</c:v>
                </c:pt>
                <c:pt idx="39">
                  <c:v>18.559259259259257</c:v>
                </c:pt>
                <c:pt idx="40">
                  <c:v>18.544197530864199</c:v>
                </c:pt>
                <c:pt idx="41">
                  <c:v>18.529012345679011</c:v>
                </c:pt>
                <c:pt idx="42">
                  <c:v>18.525308641975307</c:v>
                </c:pt>
                <c:pt idx="43">
                  <c:v>18.51395061728395</c:v>
                </c:pt>
                <c:pt idx="44">
                  <c:v>18.525308641975307</c:v>
                </c:pt>
                <c:pt idx="45">
                  <c:v>18.540370370370372</c:v>
                </c:pt>
                <c:pt idx="46">
                  <c:v>18.551728395061726</c:v>
                </c:pt>
                <c:pt idx="47">
                  <c:v>18.566790123456791</c:v>
                </c:pt>
                <c:pt idx="48">
                  <c:v>18.566790123456791</c:v>
                </c:pt>
                <c:pt idx="49">
                  <c:v>18.562962962962963</c:v>
                </c:pt>
                <c:pt idx="50">
                  <c:v>18.559259259259257</c:v>
                </c:pt>
                <c:pt idx="51">
                  <c:v>18.551728395061726</c:v>
                </c:pt>
                <c:pt idx="52">
                  <c:v>18.532839506172838</c:v>
                </c:pt>
                <c:pt idx="53">
                  <c:v>18.532839506172838</c:v>
                </c:pt>
                <c:pt idx="54">
                  <c:v>18.547901234567902</c:v>
                </c:pt>
                <c:pt idx="55">
                  <c:v>18.544197530864199</c:v>
                </c:pt>
                <c:pt idx="56">
                  <c:v>18.544197530864199</c:v>
                </c:pt>
                <c:pt idx="57">
                  <c:v>18.536543209876541</c:v>
                </c:pt>
                <c:pt idx="58">
                  <c:v>18.525308641975307</c:v>
                </c:pt>
                <c:pt idx="59">
                  <c:v>18.525308641975307</c:v>
                </c:pt>
                <c:pt idx="60">
                  <c:v>18.525308641975307</c:v>
                </c:pt>
                <c:pt idx="61">
                  <c:v>18.525308641975307</c:v>
                </c:pt>
                <c:pt idx="62">
                  <c:v>18.536543209876541</c:v>
                </c:pt>
                <c:pt idx="63">
                  <c:v>18.529012345679011</c:v>
                </c:pt>
                <c:pt idx="64">
                  <c:v>18.532839506172838</c:v>
                </c:pt>
                <c:pt idx="65">
                  <c:v>18.544197530864199</c:v>
                </c:pt>
                <c:pt idx="66">
                  <c:v>18.544197530864199</c:v>
                </c:pt>
                <c:pt idx="67">
                  <c:v>18.540370370370372</c:v>
                </c:pt>
                <c:pt idx="68">
                  <c:v>18.536543209876541</c:v>
                </c:pt>
                <c:pt idx="69">
                  <c:v>18.547901234567902</c:v>
                </c:pt>
                <c:pt idx="70">
                  <c:v>18.562962962962963</c:v>
                </c:pt>
                <c:pt idx="71">
                  <c:v>18.562962962962963</c:v>
                </c:pt>
                <c:pt idx="72">
                  <c:v>18.551728395061726</c:v>
                </c:pt>
                <c:pt idx="73">
                  <c:v>18.551728395061726</c:v>
                </c:pt>
                <c:pt idx="74">
                  <c:v>18.559259259259257</c:v>
                </c:pt>
                <c:pt idx="75">
                  <c:v>18.559259259259257</c:v>
                </c:pt>
                <c:pt idx="76">
                  <c:v>18.547901234567902</c:v>
                </c:pt>
                <c:pt idx="77">
                  <c:v>18.551728395061726</c:v>
                </c:pt>
                <c:pt idx="78">
                  <c:v>18.570493827160494</c:v>
                </c:pt>
                <c:pt idx="79">
                  <c:v>18.578024691358021</c:v>
                </c:pt>
                <c:pt idx="80">
                  <c:v>18.585555555555555</c:v>
                </c:pt>
                <c:pt idx="81">
                  <c:v>18.596913580246913</c:v>
                </c:pt>
                <c:pt idx="82">
                  <c:v>18.581851851851848</c:v>
                </c:pt>
                <c:pt idx="83">
                  <c:v>18.562962962962963</c:v>
                </c:pt>
                <c:pt idx="84">
                  <c:v>18.551728395061726</c:v>
                </c:pt>
                <c:pt idx="85">
                  <c:v>18.547901234567902</c:v>
                </c:pt>
                <c:pt idx="86">
                  <c:v>18.555432098765429</c:v>
                </c:pt>
                <c:pt idx="87">
                  <c:v>18.555432098765429</c:v>
                </c:pt>
                <c:pt idx="88">
                  <c:v>18.559259259259257</c:v>
                </c:pt>
                <c:pt idx="89">
                  <c:v>18.562962962962963</c:v>
                </c:pt>
                <c:pt idx="90">
                  <c:v>18.562962962962963</c:v>
                </c:pt>
                <c:pt idx="91">
                  <c:v>18.562962962962963</c:v>
                </c:pt>
                <c:pt idx="92">
                  <c:v>18.574320987654321</c:v>
                </c:pt>
                <c:pt idx="93">
                  <c:v>18.574320987654321</c:v>
                </c:pt>
                <c:pt idx="94">
                  <c:v>18.581851851851848</c:v>
                </c:pt>
                <c:pt idx="95">
                  <c:v>18.585555555555555</c:v>
                </c:pt>
                <c:pt idx="96">
                  <c:v>18.581851851851848</c:v>
                </c:pt>
                <c:pt idx="97">
                  <c:v>18.585555555555555</c:v>
                </c:pt>
                <c:pt idx="98">
                  <c:v>18.581851851851848</c:v>
                </c:pt>
                <c:pt idx="99">
                  <c:v>18.570493827160494</c:v>
                </c:pt>
                <c:pt idx="100">
                  <c:v>18.559259259259257</c:v>
                </c:pt>
                <c:pt idx="101">
                  <c:v>18.536543209876541</c:v>
                </c:pt>
                <c:pt idx="102">
                  <c:v>18.529012345679011</c:v>
                </c:pt>
                <c:pt idx="103">
                  <c:v>18.536543209876541</c:v>
                </c:pt>
                <c:pt idx="104">
                  <c:v>18.532839506172838</c:v>
                </c:pt>
                <c:pt idx="105">
                  <c:v>18.525308641975307</c:v>
                </c:pt>
                <c:pt idx="106">
                  <c:v>18.525308641975307</c:v>
                </c:pt>
                <c:pt idx="107">
                  <c:v>18.517777777777777</c:v>
                </c:pt>
                <c:pt idx="108">
                  <c:v>18.517777777777777</c:v>
                </c:pt>
                <c:pt idx="109">
                  <c:v>18.517777777777777</c:v>
                </c:pt>
                <c:pt idx="110">
                  <c:v>18.517777777777777</c:v>
                </c:pt>
                <c:pt idx="111">
                  <c:v>18.51395061728395</c:v>
                </c:pt>
                <c:pt idx="112">
                  <c:v>18.517777777777777</c:v>
                </c:pt>
                <c:pt idx="113">
                  <c:v>18.510246913580243</c:v>
                </c:pt>
                <c:pt idx="114">
                  <c:v>18.506419753086419</c:v>
                </c:pt>
                <c:pt idx="115">
                  <c:v>18.506419753086419</c:v>
                </c:pt>
                <c:pt idx="116">
                  <c:v>18.510246913580243</c:v>
                </c:pt>
                <c:pt idx="117">
                  <c:v>18.510246913580243</c:v>
                </c:pt>
                <c:pt idx="118">
                  <c:v>18.502716049382713</c:v>
                </c:pt>
                <c:pt idx="119">
                  <c:v>18.506419753086419</c:v>
                </c:pt>
                <c:pt idx="120">
                  <c:v>18.506419753086419</c:v>
                </c:pt>
                <c:pt idx="121">
                  <c:v>18.502716049382713</c:v>
                </c:pt>
                <c:pt idx="122">
                  <c:v>18.495185185185186</c:v>
                </c:pt>
                <c:pt idx="123">
                  <c:v>18.487654320987652</c:v>
                </c:pt>
                <c:pt idx="124">
                  <c:v>18.491358024691355</c:v>
                </c:pt>
                <c:pt idx="125">
                  <c:v>18.495185185185186</c:v>
                </c:pt>
                <c:pt idx="126">
                  <c:v>18.502716049382713</c:v>
                </c:pt>
                <c:pt idx="127">
                  <c:v>18.502716049382713</c:v>
                </c:pt>
                <c:pt idx="128">
                  <c:v>18.491358024691355</c:v>
                </c:pt>
                <c:pt idx="129">
                  <c:v>18.483827160493824</c:v>
                </c:pt>
                <c:pt idx="130">
                  <c:v>18.480123456790125</c:v>
                </c:pt>
                <c:pt idx="131">
                  <c:v>18.476296296296297</c:v>
                </c:pt>
                <c:pt idx="132">
                  <c:v>18.46506172839506</c:v>
                </c:pt>
                <c:pt idx="133">
                  <c:v>18.453703703703706</c:v>
                </c:pt>
                <c:pt idx="134">
                  <c:v>18.45753086419753</c:v>
                </c:pt>
                <c:pt idx="135">
                  <c:v>18.461234567901233</c:v>
                </c:pt>
                <c:pt idx="136">
                  <c:v>18.46506172839506</c:v>
                </c:pt>
                <c:pt idx="137">
                  <c:v>18.461234567901233</c:v>
                </c:pt>
                <c:pt idx="138">
                  <c:v>18.45</c:v>
                </c:pt>
                <c:pt idx="139">
                  <c:v>18.442469135802465</c:v>
                </c:pt>
                <c:pt idx="140">
                  <c:v>18.446172839506172</c:v>
                </c:pt>
                <c:pt idx="141">
                  <c:v>18.446172839506172</c:v>
                </c:pt>
                <c:pt idx="142">
                  <c:v>18.446172839506172</c:v>
                </c:pt>
                <c:pt idx="143">
                  <c:v>18.446172839506172</c:v>
                </c:pt>
                <c:pt idx="144">
                  <c:v>18.446172839506172</c:v>
                </c:pt>
                <c:pt idx="145">
                  <c:v>18.446172839506172</c:v>
                </c:pt>
                <c:pt idx="146">
                  <c:v>18.446172839506172</c:v>
                </c:pt>
                <c:pt idx="147">
                  <c:v>18.446172839506172</c:v>
                </c:pt>
                <c:pt idx="148">
                  <c:v>18.453703703703706</c:v>
                </c:pt>
                <c:pt idx="149">
                  <c:v>18.453703703703706</c:v>
                </c:pt>
                <c:pt idx="150">
                  <c:v>18.442469135802465</c:v>
                </c:pt>
                <c:pt idx="151">
                  <c:v>18.427283950617284</c:v>
                </c:pt>
                <c:pt idx="152">
                  <c:v>18.423580246913577</c:v>
                </c:pt>
                <c:pt idx="153">
                  <c:v>18.434938271604938</c:v>
                </c:pt>
                <c:pt idx="154">
                  <c:v>18.438641975308641</c:v>
                </c:pt>
                <c:pt idx="155">
                  <c:v>18.431111111111111</c:v>
                </c:pt>
                <c:pt idx="156">
                  <c:v>18.41975308641975</c:v>
                </c:pt>
                <c:pt idx="157">
                  <c:v>18.412222222222223</c:v>
                </c:pt>
                <c:pt idx="158">
                  <c:v>18.397160493827158</c:v>
                </c:pt>
                <c:pt idx="159">
                  <c:v>18.378395061728394</c:v>
                </c:pt>
                <c:pt idx="160">
                  <c:v>18.367037037037036</c:v>
                </c:pt>
                <c:pt idx="161">
                  <c:v>18.363333333333333</c:v>
                </c:pt>
                <c:pt idx="162">
                  <c:v>18.359506172839506</c:v>
                </c:pt>
                <c:pt idx="163">
                  <c:v>18.351975308641972</c:v>
                </c:pt>
                <c:pt idx="164">
                  <c:v>18.351975308641972</c:v>
                </c:pt>
                <c:pt idx="165">
                  <c:v>18.359506172839506</c:v>
                </c:pt>
                <c:pt idx="166">
                  <c:v>18.363333333333333</c:v>
                </c:pt>
                <c:pt idx="167">
                  <c:v>18.367037037037036</c:v>
                </c:pt>
                <c:pt idx="168">
                  <c:v>18.370864197530864</c:v>
                </c:pt>
                <c:pt idx="169">
                  <c:v>18.378395061728394</c:v>
                </c:pt>
                <c:pt idx="170">
                  <c:v>18.378395061728394</c:v>
                </c:pt>
                <c:pt idx="171">
                  <c:v>18.378395061728394</c:v>
                </c:pt>
                <c:pt idx="172">
                  <c:v>18.382098765432101</c:v>
                </c:pt>
                <c:pt idx="173">
                  <c:v>18.378395061728394</c:v>
                </c:pt>
                <c:pt idx="174">
                  <c:v>18.374567901234567</c:v>
                </c:pt>
                <c:pt idx="175">
                  <c:v>18.363333333333333</c:v>
                </c:pt>
                <c:pt idx="176">
                  <c:v>18.359506172839506</c:v>
                </c:pt>
                <c:pt idx="177">
                  <c:v>18.359506172839506</c:v>
                </c:pt>
                <c:pt idx="178">
                  <c:v>18.351975308641972</c:v>
                </c:pt>
                <c:pt idx="179">
                  <c:v>18.348271604938269</c:v>
                </c:pt>
                <c:pt idx="180">
                  <c:v>18.344444444444445</c:v>
                </c:pt>
                <c:pt idx="181">
                  <c:v>18.333209876543208</c:v>
                </c:pt>
                <c:pt idx="182">
                  <c:v>18.336913580246915</c:v>
                </c:pt>
                <c:pt idx="183">
                  <c:v>18.340740740740738</c:v>
                </c:pt>
                <c:pt idx="184">
                  <c:v>18.348271604938269</c:v>
                </c:pt>
                <c:pt idx="185">
                  <c:v>18.351975308641972</c:v>
                </c:pt>
                <c:pt idx="186">
                  <c:v>18.348271604938269</c:v>
                </c:pt>
                <c:pt idx="187">
                  <c:v>18.340740740740738</c:v>
                </c:pt>
                <c:pt idx="188">
                  <c:v>18.329382716049381</c:v>
                </c:pt>
                <c:pt idx="189">
                  <c:v>18.325679012345677</c:v>
                </c:pt>
                <c:pt idx="190">
                  <c:v>18.32185185185185</c:v>
                </c:pt>
                <c:pt idx="191">
                  <c:v>18.32185185185185</c:v>
                </c:pt>
                <c:pt idx="192">
                  <c:v>18.302962962962962</c:v>
                </c:pt>
                <c:pt idx="193">
                  <c:v>18.291728395061728</c:v>
                </c:pt>
                <c:pt idx="194">
                  <c:v>18.295432098765431</c:v>
                </c:pt>
                <c:pt idx="195">
                  <c:v>18.287901234567901</c:v>
                </c:pt>
                <c:pt idx="196">
                  <c:v>18.284197530864198</c:v>
                </c:pt>
                <c:pt idx="197">
                  <c:v>18.291728395061728</c:v>
                </c:pt>
                <c:pt idx="198">
                  <c:v>18.295432098765431</c:v>
                </c:pt>
                <c:pt idx="199">
                  <c:v>18.299259259259259</c:v>
                </c:pt>
                <c:pt idx="200">
                  <c:v>18.299259259259259</c:v>
                </c:pt>
                <c:pt idx="201">
                  <c:v>18.302962962962962</c:v>
                </c:pt>
                <c:pt idx="202">
                  <c:v>18.291728395061728</c:v>
                </c:pt>
                <c:pt idx="203">
                  <c:v>18.27283950617284</c:v>
                </c:pt>
                <c:pt idx="204">
                  <c:v>18.269135802469137</c:v>
                </c:pt>
                <c:pt idx="205">
                  <c:v>18.261604938271603</c:v>
                </c:pt>
                <c:pt idx="206">
                  <c:v>18.250246913580245</c:v>
                </c:pt>
                <c:pt idx="207">
                  <c:v>18.246543209876542</c:v>
                </c:pt>
                <c:pt idx="208">
                  <c:v>18.242716049382715</c:v>
                </c:pt>
                <c:pt idx="209">
                  <c:v>18.239012345679011</c:v>
                </c:pt>
                <c:pt idx="210">
                  <c:v>18.242716049382715</c:v>
                </c:pt>
                <c:pt idx="211">
                  <c:v>18.242716049382715</c:v>
                </c:pt>
                <c:pt idx="212">
                  <c:v>18.242716049382715</c:v>
                </c:pt>
                <c:pt idx="213">
                  <c:v>18.239012345679011</c:v>
                </c:pt>
                <c:pt idx="214">
                  <c:v>18.231481481481481</c:v>
                </c:pt>
                <c:pt idx="215">
                  <c:v>18.22395061728395</c:v>
                </c:pt>
                <c:pt idx="216">
                  <c:v>18.22012345679012</c:v>
                </c:pt>
                <c:pt idx="217">
                  <c:v>18.22012345679012</c:v>
                </c:pt>
                <c:pt idx="218">
                  <c:v>18.216296296296292</c:v>
                </c:pt>
                <c:pt idx="219">
                  <c:v>18.212592592592593</c:v>
                </c:pt>
                <c:pt idx="220">
                  <c:v>18.205061728395062</c:v>
                </c:pt>
                <c:pt idx="221">
                  <c:v>18.189999999999998</c:v>
                </c:pt>
                <c:pt idx="222">
                  <c:v>18.178641975308643</c:v>
                </c:pt>
                <c:pt idx="223">
                  <c:v>18.167407407407406</c:v>
                </c:pt>
                <c:pt idx="224">
                  <c:v>18.167407407407406</c:v>
                </c:pt>
                <c:pt idx="225">
                  <c:v>18.171111111111109</c:v>
                </c:pt>
                <c:pt idx="226">
                  <c:v>18.171111111111109</c:v>
                </c:pt>
                <c:pt idx="227">
                  <c:v>18.163580246913579</c:v>
                </c:pt>
                <c:pt idx="228">
                  <c:v>18.152345679012342</c:v>
                </c:pt>
                <c:pt idx="229">
                  <c:v>18.133456790123457</c:v>
                </c:pt>
                <c:pt idx="230">
                  <c:v>18.118395061728396</c:v>
                </c:pt>
                <c:pt idx="231">
                  <c:v>18.11469135802469</c:v>
                </c:pt>
                <c:pt idx="232">
                  <c:v>18.107037037037035</c:v>
                </c:pt>
                <c:pt idx="233">
                  <c:v>18.103333333333332</c:v>
                </c:pt>
                <c:pt idx="234">
                  <c:v>18.095802469135801</c:v>
                </c:pt>
                <c:pt idx="235">
                  <c:v>18.084444444444443</c:v>
                </c:pt>
                <c:pt idx="236">
                  <c:v>18.080740740740737</c:v>
                </c:pt>
                <c:pt idx="237">
                  <c:v>18.07320987654321</c:v>
                </c:pt>
                <c:pt idx="238">
                  <c:v>18.07320987654321</c:v>
                </c:pt>
                <c:pt idx="239">
                  <c:v>18.069382716049383</c:v>
                </c:pt>
                <c:pt idx="240">
                  <c:v>18.069382716049383</c:v>
                </c:pt>
                <c:pt idx="241">
                  <c:v>18.061851851851848</c:v>
                </c:pt>
                <c:pt idx="242">
                  <c:v>18.050617283950618</c:v>
                </c:pt>
                <c:pt idx="243">
                  <c:v>18.035555555555554</c:v>
                </c:pt>
                <c:pt idx="244">
                  <c:v>18.039259259259257</c:v>
                </c:pt>
                <c:pt idx="245">
                  <c:v>18.035555555555554</c:v>
                </c:pt>
                <c:pt idx="246">
                  <c:v>18.031728395061727</c:v>
                </c:pt>
                <c:pt idx="247">
                  <c:v>18.039259259259257</c:v>
                </c:pt>
                <c:pt idx="248">
                  <c:v>18.039259259259257</c:v>
                </c:pt>
                <c:pt idx="249">
                  <c:v>18.035555555555554</c:v>
                </c:pt>
                <c:pt idx="250">
                  <c:v>18.020493827160493</c:v>
                </c:pt>
                <c:pt idx="251">
                  <c:v>18.005432098765432</c:v>
                </c:pt>
                <c:pt idx="252">
                  <c:v>17.990246913580243</c:v>
                </c:pt>
                <c:pt idx="253">
                  <c:v>17.98654320987654</c:v>
                </c:pt>
                <c:pt idx="254">
                  <c:v>17.990246913580243</c:v>
                </c:pt>
                <c:pt idx="255">
                  <c:v>17.982716049382717</c:v>
                </c:pt>
                <c:pt idx="256">
                  <c:v>17.979012345679013</c:v>
                </c:pt>
                <c:pt idx="257">
                  <c:v>17.975185185185186</c:v>
                </c:pt>
                <c:pt idx="258">
                  <c:v>17.979012345679013</c:v>
                </c:pt>
                <c:pt idx="259">
                  <c:v>17.963950617283949</c:v>
                </c:pt>
                <c:pt idx="260">
                  <c:v>17.956419753086422</c:v>
                </c:pt>
                <c:pt idx="261">
                  <c:v>17.952592592592595</c:v>
                </c:pt>
                <c:pt idx="262">
                  <c:v>17.941358024691358</c:v>
                </c:pt>
                <c:pt idx="263">
                  <c:v>17.933827160493827</c:v>
                </c:pt>
                <c:pt idx="264">
                  <c:v>17.93</c:v>
                </c:pt>
                <c:pt idx="265">
                  <c:v>17.922469135802466</c:v>
                </c:pt>
                <c:pt idx="266">
                  <c:v>17.914938271604939</c:v>
                </c:pt>
                <c:pt idx="267">
                  <c:v>17.903703703703702</c:v>
                </c:pt>
                <c:pt idx="268">
                  <c:v>17.892345679012344</c:v>
                </c:pt>
                <c:pt idx="269">
                  <c:v>17.880987654320986</c:v>
                </c:pt>
                <c:pt idx="270">
                  <c:v>17.869753086419752</c:v>
                </c:pt>
                <c:pt idx="271">
                  <c:v>17.862222222222222</c:v>
                </c:pt>
                <c:pt idx="272">
                  <c:v>17.847160493827161</c:v>
                </c:pt>
                <c:pt idx="273">
                  <c:v>17.832098765432097</c:v>
                </c:pt>
                <c:pt idx="274">
                  <c:v>17.817037037037036</c:v>
                </c:pt>
                <c:pt idx="275">
                  <c:v>17.801975308641975</c:v>
                </c:pt>
                <c:pt idx="276">
                  <c:v>17.790617283950617</c:v>
                </c:pt>
                <c:pt idx="277">
                  <c:v>17.775555555555556</c:v>
                </c:pt>
                <c:pt idx="278">
                  <c:v>17.760493827160492</c:v>
                </c:pt>
                <c:pt idx="279">
                  <c:v>17.752962962962961</c:v>
                </c:pt>
                <c:pt idx="280">
                  <c:v>17.745432098765431</c:v>
                </c:pt>
                <c:pt idx="281">
                  <c:v>17.734074074074073</c:v>
                </c:pt>
                <c:pt idx="282">
                  <c:v>17.726543209876542</c:v>
                </c:pt>
                <c:pt idx="283">
                  <c:v>17.715308641975309</c:v>
                </c:pt>
                <c:pt idx="284">
                  <c:v>17.703950617283951</c:v>
                </c:pt>
                <c:pt idx="285">
                  <c:v>17.692716049382714</c:v>
                </c:pt>
                <c:pt idx="286">
                  <c:v>17.677530864197529</c:v>
                </c:pt>
                <c:pt idx="287">
                  <c:v>17.662469135802468</c:v>
                </c:pt>
                <c:pt idx="288">
                  <c:v>17.647407407407407</c:v>
                </c:pt>
                <c:pt idx="289">
                  <c:v>17.632345679012342</c:v>
                </c:pt>
                <c:pt idx="290">
                  <c:v>17.621111111111112</c:v>
                </c:pt>
                <c:pt idx="291">
                  <c:v>17.60222222222222</c:v>
                </c:pt>
                <c:pt idx="292">
                  <c:v>17.58716049382716</c:v>
                </c:pt>
                <c:pt idx="293">
                  <c:v>17.568271604938271</c:v>
                </c:pt>
                <c:pt idx="294">
                  <c:v>17.549506172839507</c:v>
                </c:pt>
                <c:pt idx="295">
                  <c:v>17.534444444444443</c:v>
                </c:pt>
                <c:pt idx="296">
                  <c:v>17.523086419753085</c:v>
                </c:pt>
                <c:pt idx="297">
                  <c:v>17.508024691358024</c:v>
                </c:pt>
                <c:pt idx="298">
                  <c:v>17.500493827160494</c:v>
                </c:pt>
                <c:pt idx="299">
                  <c:v>17.489259259259256</c:v>
                </c:pt>
                <c:pt idx="300">
                  <c:v>17.474197530864195</c:v>
                </c:pt>
                <c:pt idx="301">
                  <c:v>17.455308641975307</c:v>
                </c:pt>
                <c:pt idx="302">
                  <c:v>17.436419753086419</c:v>
                </c:pt>
                <c:pt idx="303">
                  <c:v>17.406296296296293</c:v>
                </c:pt>
                <c:pt idx="304">
                  <c:v>17.39506172839506</c:v>
                </c:pt>
                <c:pt idx="305">
                  <c:v>17.383703703703702</c:v>
                </c:pt>
                <c:pt idx="306">
                  <c:v>17.361111111111111</c:v>
                </c:pt>
                <c:pt idx="307">
                  <c:v>17.330987654320985</c:v>
                </c:pt>
                <c:pt idx="308">
                  <c:v>17.300864197530863</c:v>
                </c:pt>
                <c:pt idx="309">
                  <c:v>17.263209876543208</c:v>
                </c:pt>
                <c:pt idx="310">
                  <c:v>17.229259259259258</c:v>
                </c:pt>
                <c:pt idx="311">
                  <c:v>17.202839506172836</c:v>
                </c:pt>
                <c:pt idx="312">
                  <c:v>17.169012345679011</c:v>
                </c:pt>
                <c:pt idx="313">
                  <c:v>17.142592592592592</c:v>
                </c:pt>
                <c:pt idx="314">
                  <c:v>17.127530864197528</c:v>
                </c:pt>
                <c:pt idx="315">
                  <c:v>17.089876543209876</c:v>
                </c:pt>
                <c:pt idx="316">
                  <c:v>17.05975308641975</c:v>
                </c:pt>
                <c:pt idx="317">
                  <c:v>17.021975308641974</c:v>
                </c:pt>
                <c:pt idx="318">
                  <c:v>16.995679012345676</c:v>
                </c:pt>
                <c:pt idx="319">
                  <c:v>16.958024691358023</c:v>
                </c:pt>
                <c:pt idx="320">
                  <c:v>16.916543209876544</c:v>
                </c:pt>
                <c:pt idx="321">
                  <c:v>16.882592592592591</c:v>
                </c:pt>
                <c:pt idx="322">
                  <c:v>16.856296296296296</c:v>
                </c:pt>
                <c:pt idx="323">
                  <c:v>16.818518518518516</c:v>
                </c:pt>
                <c:pt idx="324">
                  <c:v>16.77333333333333</c:v>
                </c:pt>
                <c:pt idx="325">
                  <c:v>16.72444444444444</c:v>
                </c:pt>
                <c:pt idx="326">
                  <c:v>16.667901234567903</c:v>
                </c:pt>
                <c:pt idx="327">
                  <c:v>16.607530864197528</c:v>
                </c:pt>
                <c:pt idx="328">
                  <c:v>16.558641975308642</c:v>
                </c:pt>
                <c:pt idx="329">
                  <c:v>16.505925925925922</c:v>
                </c:pt>
                <c:pt idx="330">
                  <c:v>16.456913580246912</c:v>
                </c:pt>
                <c:pt idx="331">
                  <c:v>16.400370370370371</c:v>
                </c:pt>
                <c:pt idx="332">
                  <c:v>16.336296296296297</c:v>
                </c:pt>
                <c:pt idx="333">
                  <c:v>16.276049382716046</c:v>
                </c:pt>
                <c:pt idx="334">
                  <c:v>16.215802469135802</c:v>
                </c:pt>
                <c:pt idx="335">
                  <c:v>16.132839506172839</c:v>
                </c:pt>
                <c:pt idx="336">
                  <c:v>16.049999999999997</c:v>
                </c:pt>
                <c:pt idx="337">
                  <c:v>15.955802469135801</c:v>
                </c:pt>
                <c:pt idx="338">
                  <c:v>15.876666666666663</c:v>
                </c:pt>
                <c:pt idx="339">
                  <c:v>15.79</c:v>
                </c:pt>
                <c:pt idx="340">
                  <c:v>15.703333333333333</c:v>
                </c:pt>
                <c:pt idx="341">
                  <c:v>15.60543209876543</c:v>
                </c:pt>
                <c:pt idx="342">
                  <c:v>15.503703703703701</c:v>
                </c:pt>
                <c:pt idx="343">
                  <c:v>15.386913580246912</c:v>
                </c:pt>
                <c:pt idx="344">
                  <c:v>15.270123456790122</c:v>
                </c:pt>
                <c:pt idx="345">
                  <c:v>15.153333333333332</c:v>
                </c:pt>
                <c:pt idx="346">
                  <c:v>15.032716049382715</c:v>
                </c:pt>
                <c:pt idx="347">
                  <c:v>14.908395061728394</c:v>
                </c:pt>
                <c:pt idx="348">
                  <c:v>14.765185185185183</c:v>
                </c:pt>
                <c:pt idx="349">
                  <c:v>14.618271604938272</c:v>
                </c:pt>
                <c:pt idx="350">
                  <c:v>14.471358024691357</c:v>
                </c:pt>
                <c:pt idx="351">
                  <c:v>14.30185185185185</c:v>
                </c:pt>
                <c:pt idx="352">
                  <c:v>14.132222222222222</c:v>
                </c:pt>
                <c:pt idx="353">
                  <c:v>13.943950617283949</c:v>
                </c:pt>
                <c:pt idx="354">
                  <c:v>13.748024691358024</c:v>
                </c:pt>
                <c:pt idx="355">
                  <c:v>13.533209876543209</c:v>
                </c:pt>
                <c:pt idx="356">
                  <c:v>13.295925925925925</c:v>
                </c:pt>
                <c:pt idx="357">
                  <c:v>13.058518518518518</c:v>
                </c:pt>
                <c:pt idx="358">
                  <c:v>12.790987654320988</c:v>
                </c:pt>
                <c:pt idx="359">
                  <c:v>12.515925925925925</c:v>
                </c:pt>
                <c:pt idx="360">
                  <c:v>12.218333333333332</c:v>
                </c:pt>
                <c:pt idx="361">
                  <c:v>11.890555555555554</c:v>
                </c:pt>
                <c:pt idx="362">
                  <c:v>11.540160493827159</c:v>
                </c:pt>
                <c:pt idx="363">
                  <c:v>11.167172839506172</c:v>
                </c:pt>
                <c:pt idx="364">
                  <c:v>10.756506172839506</c:v>
                </c:pt>
                <c:pt idx="365">
                  <c:v>10.311925925925925</c:v>
                </c:pt>
                <c:pt idx="366">
                  <c:v>9.8522839506172843</c:v>
                </c:pt>
                <c:pt idx="367">
                  <c:v>9.3285802469135799</c:v>
                </c:pt>
                <c:pt idx="368">
                  <c:v>8.7446049382716033</c:v>
                </c:pt>
                <c:pt idx="369">
                  <c:v>8.1116419753086415</c:v>
                </c:pt>
                <c:pt idx="370">
                  <c:v>7.3920370370370376</c:v>
                </c:pt>
                <c:pt idx="371">
                  <c:v>6.6083703703703698</c:v>
                </c:pt>
                <c:pt idx="372">
                  <c:v>5.68795061728395</c:v>
                </c:pt>
                <c:pt idx="373">
                  <c:v>4.6782345679012334</c:v>
                </c:pt>
                <c:pt idx="374">
                  <c:v>3.4952098765432096</c:v>
                </c:pt>
                <c:pt idx="375">
                  <c:v>2.1433950617283952</c:v>
                </c:pt>
                <c:pt idx="376">
                  <c:v>0.5964493827160493</c:v>
                </c:pt>
                <c:pt idx="377">
                  <c:v>-1.1626814814814814</c:v>
                </c:pt>
                <c:pt idx="378">
                  <c:v>-3.1768395061728394</c:v>
                </c:pt>
                <c:pt idx="379">
                  <c:v>-5.3579012345679002</c:v>
                </c:pt>
                <c:pt idx="380">
                  <c:v>-7.7951728395061712</c:v>
                </c:pt>
                <c:pt idx="381">
                  <c:v>-10.394814814814813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007168"/>
        <c:axId val="106008960"/>
      </c:scatterChart>
      <c:valAx>
        <c:axId val="10600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008960"/>
        <c:crosses val="autoZero"/>
        <c:crossBetween val="midCat"/>
      </c:valAx>
      <c:valAx>
        <c:axId val="10600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007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'20221210T210000'!$AV$10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'20221210T210000'!$AQ$11:$AQ$398</c:f>
              <c:numCache>
                <c:formatCode>General</c:formatCode>
                <c:ptCount val="388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'20221210T210000'!$AV$11:$AV$398</c:f>
              <c:numCache>
                <c:formatCode>General</c:formatCode>
                <c:ptCount val="388"/>
                <c:pt idx="0">
                  <c:v>-8.1832345679012342</c:v>
                </c:pt>
                <c:pt idx="1">
                  <c:v>-5.6819259259259249</c:v>
                </c:pt>
                <c:pt idx="2">
                  <c:v>-3.3414814814814813</c:v>
                </c:pt>
                <c:pt idx="3">
                  <c:v>-1.3397654320987655</c:v>
                </c:pt>
                <c:pt idx="4">
                  <c:v>0.50971851851851857</c:v>
                </c:pt>
                <c:pt idx="5">
                  <c:v>2.1139999999999994</c:v>
                </c:pt>
                <c:pt idx="6">
                  <c:v>3.5230864197530858</c:v>
                </c:pt>
                <c:pt idx="7">
                  <c:v>4.7373827160493827</c:v>
                </c:pt>
                <c:pt idx="8">
                  <c:v>5.796074074074073</c:v>
                </c:pt>
                <c:pt idx="9">
                  <c:v>6.7100987654320994</c:v>
                </c:pt>
                <c:pt idx="10">
                  <c:v>7.5352098765432096</c:v>
                </c:pt>
                <c:pt idx="11">
                  <c:v>8.2472839506172839</c:v>
                </c:pt>
                <c:pt idx="12">
                  <c:v>8.8953086419753085</c:v>
                </c:pt>
                <c:pt idx="13">
                  <c:v>9.475518518518518</c:v>
                </c:pt>
                <c:pt idx="14">
                  <c:v>10.018049382716047</c:v>
                </c:pt>
                <c:pt idx="15">
                  <c:v>10.500308641975309</c:v>
                </c:pt>
                <c:pt idx="16">
                  <c:v>10.952419753086417</c:v>
                </c:pt>
                <c:pt idx="17">
                  <c:v>11.363086419753087</c:v>
                </c:pt>
                <c:pt idx="18">
                  <c:v>11.732308641975308</c:v>
                </c:pt>
                <c:pt idx="19">
                  <c:v>12.075160493827159</c:v>
                </c:pt>
                <c:pt idx="20">
                  <c:v>12.3879012345679</c:v>
                </c:pt>
                <c:pt idx="21">
                  <c:v>12.670493827160493</c:v>
                </c:pt>
                <c:pt idx="22">
                  <c:v>12.952962962962962</c:v>
                </c:pt>
                <c:pt idx="23">
                  <c:v>13.201728395061728</c:v>
                </c:pt>
                <c:pt idx="24">
                  <c:v>13.439012345679012</c:v>
                </c:pt>
                <c:pt idx="25">
                  <c:v>13.657530864197531</c:v>
                </c:pt>
                <c:pt idx="26">
                  <c:v>13.868518518518519</c:v>
                </c:pt>
                <c:pt idx="27">
                  <c:v>14.079506172839505</c:v>
                </c:pt>
                <c:pt idx="28">
                  <c:v>14.271728395061727</c:v>
                </c:pt>
                <c:pt idx="29">
                  <c:v>14.444938271604938</c:v>
                </c:pt>
                <c:pt idx="30">
                  <c:v>14.61074074074074</c:v>
                </c:pt>
                <c:pt idx="31">
                  <c:v>14.776543209876543</c:v>
                </c:pt>
                <c:pt idx="32">
                  <c:v>14.919753086419753</c:v>
                </c:pt>
                <c:pt idx="33">
                  <c:v>15.059135802469134</c:v>
                </c:pt>
                <c:pt idx="34">
                  <c:v>15.198518518518517</c:v>
                </c:pt>
                <c:pt idx="35">
                  <c:v>15.326666666666666</c:v>
                </c:pt>
                <c:pt idx="36">
                  <c:v>15.450987654320988</c:v>
                </c:pt>
                <c:pt idx="37">
                  <c:v>15.552716049382715</c:v>
                </c:pt>
                <c:pt idx="38">
                  <c:v>15.650617283950618</c:v>
                </c:pt>
                <c:pt idx="39">
                  <c:v>15.748518518518516</c:v>
                </c:pt>
                <c:pt idx="40">
                  <c:v>15.842716049382712</c:v>
                </c:pt>
                <c:pt idx="41">
                  <c:v>15.936913580246911</c:v>
                </c:pt>
                <c:pt idx="42">
                  <c:v>16.012345679012348</c:v>
                </c:pt>
                <c:pt idx="43">
                  <c:v>16.095185185185183</c:v>
                </c:pt>
                <c:pt idx="44">
                  <c:v>16.170493827160495</c:v>
                </c:pt>
                <c:pt idx="45">
                  <c:v>16.245925925925924</c:v>
                </c:pt>
                <c:pt idx="46">
                  <c:v>16.317530864197529</c:v>
                </c:pt>
                <c:pt idx="47">
                  <c:v>16.373950617283949</c:v>
                </c:pt>
                <c:pt idx="48">
                  <c:v>16.434320987654321</c:v>
                </c:pt>
                <c:pt idx="49">
                  <c:v>16.494567901234568</c:v>
                </c:pt>
                <c:pt idx="50">
                  <c:v>16.554814814814815</c:v>
                </c:pt>
                <c:pt idx="51">
                  <c:v>16.615185185185183</c:v>
                </c:pt>
                <c:pt idx="52">
                  <c:v>16.664074074074072</c:v>
                </c:pt>
                <c:pt idx="53">
                  <c:v>16.701728395061725</c:v>
                </c:pt>
                <c:pt idx="54">
                  <c:v>16.739506172839505</c:v>
                </c:pt>
                <c:pt idx="55">
                  <c:v>16.780864197530864</c:v>
                </c:pt>
                <c:pt idx="56">
                  <c:v>16.822345679012344</c:v>
                </c:pt>
                <c:pt idx="57">
                  <c:v>16.863827160493827</c:v>
                </c:pt>
                <c:pt idx="58">
                  <c:v>16.905185185185186</c:v>
                </c:pt>
                <c:pt idx="59">
                  <c:v>16.946666666666665</c:v>
                </c:pt>
                <c:pt idx="60">
                  <c:v>16.999382716049382</c:v>
                </c:pt>
                <c:pt idx="61">
                  <c:v>17.044691358024689</c:v>
                </c:pt>
                <c:pt idx="62">
                  <c:v>17.089876543209876</c:v>
                </c:pt>
                <c:pt idx="63">
                  <c:v>17.123703703703701</c:v>
                </c:pt>
                <c:pt idx="64">
                  <c:v>17.153950617283947</c:v>
                </c:pt>
                <c:pt idx="65">
                  <c:v>17.191604938271606</c:v>
                </c:pt>
                <c:pt idx="66">
                  <c:v>17.221728395061724</c:v>
                </c:pt>
                <c:pt idx="67">
                  <c:v>17.248024691358022</c:v>
                </c:pt>
                <c:pt idx="68">
                  <c:v>17.274444444444445</c:v>
                </c:pt>
                <c:pt idx="69">
                  <c:v>17.300864197530863</c:v>
                </c:pt>
                <c:pt idx="70">
                  <c:v>17.319629629629631</c:v>
                </c:pt>
                <c:pt idx="71">
                  <c:v>17.330987654320985</c:v>
                </c:pt>
                <c:pt idx="72">
                  <c:v>17.349753086419753</c:v>
                </c:pt>
                <c:pt idx="73">
                  <c:v>17.372469135802469</c:v>
                </c:pt>
                <c:pt idx="74">
                  <c:v>17.406296296296293</c:v>
                </c:pt>
                <c:pt idx="75">
                  <c:v>17.428888888888888</c:v>
                </c:pt>
                <c:pt idx="76">
                  <c:v>17.443950617283949</c:v>
                </c:pt>
                <c:pt idx="77">
                  <c:v>17.470370370370368</c:v>
                </c:pt>
                <c:pt idx="78">
                  <c:v>17.489259259259256</c:v>
                </c:pt>
                <c:pt idx="79">
                  <c:v>17.508024691358024</c:v>
                </c:pt>
                <c:pt idx="80">
                  <c:v>17.523086419753085</c:v>
                </c:pt>
                <c:pt idx="81">
                  <c:v>17.541975308641973</c:v>
                </c:pt>
                <c:pt idx="82">
                  <c:v>17.557037037037034</c:v>
                </c:pt>
                <c:pt idx="83">
                  <c:v>17.560740740740737</c:v>
                </c:pt>
                <c:pt idx="84">
                  <c:v>17.568271604938271</c:v>
                </c:pt>
                <c:pt idx="85">
                  <c:v>17.583456790123453</c:v>
                </c:pt>
                <c:pt idx="86">
                  <c:v>17.606049382716048</c:v>
                </c:pt>
                <c:pt idx="87">
                  <c:v>17.628641975308639</c:v>
                </c:pt>
                <c:pt idx="88">
                  <c:v>17.647407407407407</c:v>
                </c:pt>
                <c:pt idx="89">
                  <c:v>17.666296296296295</c:v>
                </c:pt>
                <c:pt idx="90">
                  <c:v>17.677530864197529</c:v>
                </c:pt>
                <c:pt idx="91">
                  <c:v>17.68888888888889</c:v>
                </c:pt>
                <c:pt idx="92">
                  <c:v>17.692716049382714</c:v>
                </c:pt>
                <c:pt idx="93">
                  <c:v>17.700246913580244</c:v>
                </c:pt>
                <c:pt idx="94">
                  <c:v>17.711481481481481</c:v>
                </c:pt>
                <c:pt idx="95">
                  <c:v>17.73037037037037</c:v>
                </c:pt>
                <c:pt idx="96">
                  <c:v>17.741604938271603</c:v>
                </c:pt>
                <c:pt idx="97">
                  <c:v>17.752962962962961</c:v>
                </c:pt>
                <c:pt idx="98">
                  <c:v>17.771728395061729</c:v>
                </c:pt>
                <c:pt idx="99">
                  <c:v>17.78679012345679</c:v>
                </c:pt>
                <c:pt idx="100">
                  <c:v>17.798148148148147</c:v>
                </c:pt>
                <c:pt idx="101">
                  <c:v>17.805679012345678</c:v>
                </c:pt>
                <c:pt idx="102">
                  <c:v>17.809506172839505</c:v>
                </c:pt>
                <c:pt idx="103">
                  <c:v>17.817037037037036</c:v>
                </c:pt>
                <c:pt idx="104">
                  <c:v>17.824567901234566</c:v>
                </c:pt>
                <c:pt idx="105">
                  <c:v>17.8358024691358</c:v>
                </c:pt>
                <c:pt idx="106">
                  <c:v>17.843333333333334</c:v>
                </c:pt>
                <c:pt idx="107">
                  <c:v>17.850864197530864</c:v>
                </c:pt>
                <c:pt idx="108">
                  <c:v>17.865925925925925</c:v>
                </c:pt>
                <c:pt idx="109">
                  <c:v>17.873456790123456</c:v>
                </c:pt>
                <c:pt idx="110">
                  <c:v>17.877283950617283</c:v>
                </c:pt>
                <c:pt idx="111">
                  <c:v>17.884814814814817</c:v>
                </c:pt>
                <c:pt idx="112">
                  <c:v>17.896049382716047</c:v>
                </c:pt>
                <c:pt idx="113">
                  <c:v>17.911234567901232</c:v>
                </c:pt>
                <c:pt idx="114">
                  <c:v>17.922469135802466</c:v>
                </c:pt>
                <c:pt idx="115">
                  <c:v>17.933827160493827</c:v>
                </c:pt>
                <c:pt idx="116">
                  <c:v>17.948888888888888</c:v>
                </c:pt>
                <c:pt idx="117">
                  <c:v>17.960123456790122</c:v>
                </c:pt>
                <c:pt idx="118">
                  <c:v>17.963950617283949</c:v>
                </c:pt>
                <c:pt idx="119">
                  <c:v>17.971481481481479</c:v>
                </c:pt>
                <c:pt idx="120">
                  <c:v>17.979012345679013</c:v>
                </c:pt>
                <c:pt idx="121">
                  <c:v>17.982716049382717</c:v>
                </c:pt>
                <c:pt idx="122">
                  <c:v>17.994074074074071</c:v>
                </c:pt>
                <c:pt idx="123">
                  <c:v>17.994074074074071</c:v>
                </c:pt>
                <c:pt idx="124">
                  <c:v>18.001604938271605</c:v>
                </c:pt>
                <c:pt idx="125">
                  <c:v>18.005432098765432</c:v>
                </c:pt>
                <c:pt idx="126">
                  <c:v>18.016666666666666</c:v>
                </c:pt>
                <c:pt idx="127">
                  <c:v>18.0241975308642</c:v>
                </c:pt>
                <c:pt idx="128">
                  <c:v>18.028024691358024</c:v>
                </c:pt>
                <c:pt idx="129">
                  <c:v>18.028024691358024</c:v>
                </c:pt>
                <c:pt idx="130">
                  <c:v>18.035555555555554</c:v>
                </c:pt>
                <c:pt idx="131">
                  <c:v>18.046790123456791</c:v>
                </c:pt>
                <c:pt idx="132">
                  <c:v>18.061851851851848</c:v>
                </c:pt>
                <c:pt idx="133">
                  <c:v>18.07320987654321</c:v>
                </c:pt>
                <c:pt idx="134">
                  <c:v>18.076913580246913</c:v>
                </c:pt>
                <c:pt idx="135">
                  <c:v>18.088271604938271</c:v>
                </c:pt>
                <c:pt idx="136">
                  <c:v>18.103333333333332</c:v>
                </c:pt>
                <c:pt idx="137">
                  <c:v>18.118395061728396</c:v>
                </c:pt>
                <c:pt idx="138">
                  <c:v>18.12222222222222</c:v>
                </c:pt>
                <c:pt idx="139">
                  <c:v>18.12975308641975</c:v>
                </c:pt>
                <c:pt idx="140">
                  <c:v>18.137283950617284</c:v>
                </c:pt>
                <c:pt idx="141">
                  <c:v>18.140987654320988</c:v>
                </c:pt>
                <c:pt idx="142">
                  <c:v>18.144814814814815</c:v>
                </c:pt>
                <c:pt idx="143">
                  <c:v>18.148518518518514</c:v>
                </c:pt>
                <c:pt idx="144">
                  <c:v>18.159876543209876</c:v>
                </c:pt>
                <c:pt idx="145">
                  <c:v>18.163580246913579</c:v>
                </c:pt>
                <c:pt idx="146">
                  <c:v>18.159876543209876</c:v>
                </c:pt>
                <c:pt idx="147">
                  <c:v>18.163580246913579</c:v>
                </c:pt>
                <c:pt idx="148">
                  <c:v>18.171111111111109</c:v>
                </c:pt>
                <c:pt idx="149">
                  <c:v>18.174938271604937</c:v>
                </c:pt>
                <c:pt idx="150">
                  <c:v>18.186172839506174</c:v>
                </c:pt>
                <c:pt idx="151">
                  <c:v>18.189999999999998</c:v>
                </c:pt>
                <c:pt idx="152">
                  <c:v>18.201234567901235</c:v>
                </c:pt>
                <c:pt idx="153">
                  <c:v>18.208765432098765</c:v>
                </c:pt>
                <c:pt idx="154">
                  <c:v>18.216296296296292</c:v>
                </c:pt>
                <c:pt idx="155">
                  <c:v>18.22012345679012</c:v>
                </c:pt>
                <c:pt idx="156">
                  <c:v>18.22395061728395</c:v>
                </c:pt>
                <c:pt idx="157">
                  <c:v>18.231481481481481</c:v>
                </c:pt>
                <c:pt idx="158">
                  <c:v>18.231481481481481</c:v>
                </c:pt>
                <c:pt idx="159">
                  <c:v>18.239012345679011</c:v>
                </c:pt>
                <c:pt idx="160">
                  <c:v>18.242716049382715</c:v>
                </c:pt>
                <c:pt idx="161">
                  <c:v>18.254074074074072</c:v>
                </c:pt>
                <c:pt idx="162">
                  <c:v>18.261604938271603</c:v>
                </c:pt>
                <c:pt idx="163">
                  <c:v>18.269135802469137</c:v>
                </c:pt>
                <c:pt idx="164">
                  <c:v>18.276666666666667</c:v>
                </c:pt>
                <c:pt idx="165">
                  <c:v>18.276666666666667</c:v>
                </c:pt>
                <c:pt idx="166">
                  <c:v>18.276666666666667</c:v>
                </c:pt>
                <c:pt idx="167">
                  <c:v>18.284197530864198</c:v>
                </c:pt>
                <c:pt idx="168">
                  <c:v>18.287901234567901</c:v>
                </c:pt>
                <c:pt idx="169">
                  <c:v>18.295432098765431</c:v>
                </c:pt>
                <c:pt idx="170">
                  <c:v>18.299259259259259</c:v>
                </c:pt>
                <c:pt idx="171">
                  <c:v>18.302962962962962</c:v>
                </c:pt>
                <c:pt idx="172">
                  <c:v>18.302962962962962</c:v>
                </c:pt>
                <c:pt idx="173">
                  <c:v>18.306790123456789</c:v>
                </c:pt>
                <c:pt idx="174">
                  <c:v>18.306790123456789</c:v>
                </c:pt>
                <c:pt idx="175">
                  <c:v>18.306790123456789</c:v>
                </c:pt>
                <c:pt idx="176">
                  <c:v>18.302962962962962</c:v>
                </c:pt>
                <c:pt idx="177">
                  <c:v>18.31432098765432</c:v>
                </c:pt>
                <c:pt idx="178">
                  <c:v>18.318024691358023</c:v>
                </c:pt>
                <c:pt idx="179">
                  <c:v>18.32185185185185</c:v>
                </c:pt>
                <c:pt idx="180">
                  <c:v>18.32185185185185</c:v>
                </c:pt>
                <c:pt idx="181">
                  <c:v>18.32185185185185</c:v>
                </c:pt>
                <c:pt idx="182">
                  <c:v>18.336913580246915</c:v>
                </c:pt>
                <c:pt idx="183">
                  <c:v>18.359506172839506</c:v>
                </c:pt>
                <c:pt idx="184">
                  <c:v>18.367037037037036</c:v>
                </c:pt>
                <c:pt idx="185">
                  <c:v>18.374567901234567</c:v>
                </c:pt>
                <c:pt idx="186">
                  <c:v>18.374567901234567</c:v>
                </c:pt>
                <c:pt idx="187">
                  <c:v>18.374567901234567</c:v>
                </c:pt>
                <c:pt idx="188">
                  <c:v>18.382098765432101</c:v>
                </c:pt>
                <c:pt idx="189">
                  <c:v>18.389629629629628</c:v>
                </c:pt>
                <c:pt idx="190">
                  <c:v>18.397160493827158</c:v>
                </c:pt>
                <c:pt idx="191">
                  <c:v>18.408518518518516</c:v>
                </c:pt>
                <c:pt idx="192">
                  <c:v>18.416049382716047</c:v>
                </c:pt>
                <c:pt idx="193">
                  <c:v>18.408518518518516</c:v>
                </c:pt>
                <c:pt idx="194">
                  <c:v>18.385925925925928</c:v>
                </c:pt>
                <c:pt idx="195">
                  <c:v>18.378395061728394</c:v>
                </c:pt>
                <c:pt idx="196">
                  <c:v>18.378395061728394</c:v>
                </c:pt>
                <c:pt idx="197">
                  <c:v>18.385925925925928</c:v>
                </c:pt>
                <c:pt idx="198">
                  <c:v>18.393456790123455</c:v>
                </c:pt>
                <c:pt idx="199">
                  <c:v>18.400987654320986</c:v>
                </c:pt>
                <c:pt idx="200">
                  <c:v>18.404691358024692</c:v>
                </c:pt>
                <c:pt idx="201">
                  <c:v>18.393456790123455</c:v>
                </c:pt>
                <c:pt idx="202">
                  <c:v>18.397160493827158</c:v>
                </c:pt>
                <c:pt idx="203">
                  <c:v>18.389629629629628</c:v>
                </c:pt>
                <c:pt idx="204">
                  <c:v>18.397160493827158</c:v>
                </c:pt>
                <c:pt idx="205">
                  <c:v>18.404691358024692</c:v>
                </c:pt>
                <c:pt idx="206">
                  <c:v>18.41975308641975</c:v>
                </c:pt>
                <c:pt idx="207">
                  <c:v>18.431111111111111</c:v>
                </c:pt>
                <c:pt idx="208">
                  <c:v>18.431111111111111</c:v>
                </c:pt>
                <c:pt idx="209">
                  <c:v>18.434938271604938</c:v>
                </c:pt>
                <c:pt idx="210">
                  <c:v>18.431111111111111</c:v>
                </c:pt>
                <c:pt idx="211">
                  <c:v>18.431111111111111</c:v>
                </c:pt>
                <c:pt idx="212">
                  <c:v>18.434938271604938</c:v>
                </c:pt>
                <c:pt idx="213">
                  <c:v>18.434938271604938</c:v>
                </c:pt>
                <c:pt idx="214">
                  <c:v>18.434938271604938</c:v>
                </c:pt>
                <c:pt idx="215">
                  <c:v>18.438641975308641</c:v>
                </c:pt>
                <c:pt idx="216">
                  <c:v>18.453703703703706</c:v>
                </c:pt>
                <c:pt idx="217">
                  <c:v>18.453703703703706</c:v>
                </c:pt>
                <c:pt idx="218">
                  <c:v>18.45753086419753</c:v>
                </c:pt>
                <c:pt idx="219">
                  <c:v>18.45753086419753</c:v>
                </c:pt>
                <c:pt idx="220">
                  <c:v>18.45753086419753</c:v>
                </c:pt>
                <c:pt idx="221">
                  <c:v>18.446172839506172</c:v>
                </c:pt>
                <c:pt idx="222">
                  <c:v>18.446172839506172</c:v>
                </c:pt>
                <c:pt idx="223">
                  <c:v>18.46506172839506</c:v>
                </c:pt>
                <c:pt idx="224">
                  <c:v>18.483827160493824</c:v>
                </c:pt>
                <c:pt idx="225">
                  <c:v>18.480123456790125</c:v>
                </c:pt>
                <c:pt idx="226">
                  <c:v>18.476296296296297</c:v>
                </c:pt>
                <c:pt idx="227">
                  <c:v>18.461234567901233</c:v>
                </c:pt>
                <c:pt idx="228">
                  <c:v>18.45</c:v>
                </c:pt>
                <c:pt idx="229">
                  <c:v>18.446172839506172</c:v>
                </c:pt>
                <c:pt idx="230">
                  <c:v>18.461234567901233</c:v>
                </c:pt>
                <c:pt idx="231">
                  <c:v>18.472592592592594</c:v>
                </c:pt>
                <c:pt idx="232">
                  <c:v>18.476296296296297</c:v>
                </c:pt>
                <c:pt idx="233">
                  <c:v>18.476296296296297</c:v>
                </c:pt>
                <c:pt idx="234">
                  <c:v>18.480123456790125</c:v>
                </c:pt>
                <c:pt idx="235">
                  <c:v>18.472592592592594</c:v>
                </c:pt>
                <c:pt idx="236">
                  <c:v>18.472592592592594</c:v>
                </c:pt>
                <c:pt idx="237">
                  <c:v>18.480123456790125</c:v>
                </c:pt>
                <c:pt idx="238">
                  <c:v>18.491358024691355</c:v>
                </c:pt>
                <c:pt idx="239">
                  <c:v>18.495185185185186</c:v>
                </c:pt>
                <c:pt idx="240">
                  <c:v>18.502716049382713</c:v>
                </c:pt>
                <c:pt idx="241">
                  <c:v>18.510246913580243</c:v>
                </c:pt>
                <c:pt idx="242">
                  <c:v>18.517777777777777</c:v>
                </c:pt>
                <c:pt idx="243">
                  <c:v>18.525308641975307</c:v>
                </c:pt>
                <c:pt idx="244">
                  <c:v>18.529012345679011</c:v>
                </c:pt>
                <c:pt idx="245">
                  <c:v>18.540370370370372</c:v>
                </c:pt>
                <c:pt idx="246">
                  <c:v>18.544197530864199</c:v>
                </c:pt>
                <c:pt idx="247">
                  <c:v>18.547901234567902</c:v>
                </c:pt>
                <c:pt idx="248">
                  <c:v>18.555432098765429</c:v>
                </c:pt>
                <c:pt idx="249">
                  <c:v>18.547901234567902</c:v>
                </c:pt>
                <c:pt idx="250">
                  <c:v>18.536543209876541</c:v>
                </c:pt>
                <c:pt idx="251">
                  <c:v>18.510246913580243</c:v>
                </c:pt>
                <c:pt idx="252">
                  <c:v>18.506419753086419</c:v>
                </c:pt>
                <c:pt idx="253">
                  <c:v>18.506419753086419</c:v>
                </c:pt>
                <c:pt idx="254">
                  <c:v>18.510246913580243</c:v>
                </c:pt>
                <c:pt idx="255">
                  <c:v>18.510246913580243</c:v>
                </c:pt>
                <c:pt idx="256">
                  <c:v>18.495185185185186</c:v>
                </c:pt>
                <c:pt idx="257">
                  <c:v>18.487654320987652</c:v>
                </c:pt>
                <c:pt idx="258">
                  <c:v>18.483827160493824</c:v>
                </c:pt>
                <c:pt idx="259">
                  <c:v>18.472592592592594</c:v>
                </c:pt>
                <c:pt idx="260">
                  <c:v>18.491358024691355</c:v>
                </c:pt>
                <c:pt idx="261">
                  <c:v>18.517777777777777</c:v>
                </c:pt>
                <c:pt idx="262">
                  <c:v>18.532839506172838</c:v>
                </c:pt>
                <c:pt idx="263">
                  <c:v>18.525308641975307</c:v>
                </c:pt>
                <c:pt idx="264">
                  <c:v>18.529012345679011</c:v>
                </c:pt>
                <c:pt idx="265">
                  <c:v>18.521481481481484</c:v>
                </c:pt>
                <c:pt idx="266">
                  <c:v>18.517777777777777</c:v>
                </c:pt>
                <c:pt idx="267">
                  <c:v>18.532839506172838</c:v>
                </c:pt>
                <c:pt idx="268">
                  <c:v>18.536543209876541</c:v>
                </c:pt>
                <c:pt idx="269">
                  <c:v>18.544197530864199</c:v>
                </c:pt>
                <c:pt idx="270">
                  <c:v>18.536543209876541</c:v>
                </c:pt>
                <c:pt idx="271">
                  <c:v>18.540370370370372</c:v>
                </c:pt>
                <c:pt idx="272">
                  <c:v>18.540370370370372</c:v>
                </c:pt>
                <c:pt idx="273">
                  <c:v>18.532839506172838</c:v>
                </c:pt>
                <c:pt idx="274">
                  <c:v>18.529012345679011</c:v>
                </c:pt>
                <c:pt idx="275">
                  <c:v>18.521481481481484</c:v>
                </c:pt>
                <c:pt idx="276">
                  <c:v>18.51395061728395</c:v>
                </c:pt>
                <c:pt idx="277">
                  <c:v>18.517777777777777</c:v>
                </c:pt>
                <c:pt idx="278">
                  <c:v>18.529012345679011</c:v>
                </c:pt>
                <c:pt idx="279">
                  <c:v>18.540370370370372</c:v>
                </c:pt>
                <c:pt idx="280">
                  <c:v>18.532839506172838</c:v>
                </c:pt>
                <c:pt idx="281">
                  <c:v>18.540370370370372</c:v>
                </c:pt>
                <c:pt idx="282">
                  <c:v>18.544197530864199</c:v>
                </c:pt>
                <c:pt idx="283">
                  <c:v>18.544197530864199</c:v>
                </c:pt>
                <c:pt idx="284">
                  <c:v>18.540370370370372</c:v>
                </c:pt>
                <c:pt idx="285">
                  <c:v>18.536543209876541</c:v>
                </c:pt>
                <c:pt idx="286">
                  <c:v>18.547901234567902</c:v>
                </c:pt>
                <c:pt idx="287">
                  <c:v>18.570493827160494</c:v>
                </c:pt>
                <c:pt idx="288">
                  <c:v>18.581851851851848</c:v>
                </c:pt>
                <c:pt idx="289">
                  <c:v>18.581851851851848</c:v>
                </c:pt>
                <c:pt idx="290">
                  <c:v>18.574320987654321</c:v>
                </c:pt>
                <c:pt idx="291">
                  <c:v>18.566790123456791</c:v>
                </c:pt>
                <c:pt idx="292">
                  <c:v>18.559259259259257</c:v>
                </c:pt>
                <c:pt idx="293">
                  <c:v>18.547901234567902</c:v>
                </c:pt>
                <c:pt idx="294">
                  <c:v>18.536543209876541</c:v>
                </c:pt>
                <c:pt idx="295">
                  <c:v>18.544197530864199</c:v>
                </c:pt>
                <c:pt idx="296">
                  <c:v>18.562962962962963</c:v>
                </c:pt>
                <c:pt idx="297">
                  <c:v>18.570493827160494</c:v>
                </c:pt>
                <c:pt idx="298">
                  <c:v>18.581851851851848</c:v>
                </c:pt>
                <c:pt idx="299">
                  <c:v>18.604444444444443</c:v>
                </c:pt>
                <c:pt idx="300">
                  <c:v>18.619506172839504</c:v>
                </c:pt>
                <c:pt idx="301">
                  <c:v>18.61567901234568</c:v>
                </c:pt>
                <c:pt idx="302">
                  <c:v>18.60814814814815</c:v>
                </c:pt>
                <c:pt idx="303">
                  <c:v>18.604444444444443</c:v>
                </c:pt>
                <c:pt idx="304">
                  <c:v>18.593086419753085</c:v>
                </c:pt>
                <c:pt idx="305">
                  <c:v>18.589382716049382</c:v>
                </c:pt>
                <c:pt idx="306">
                  <c:v>18.596913580246913</c:v>
                </c:pt>
                <c:pt idx="307">
                  <c:v>18.589382716049382</c:v>
                </c:pt>
                <c:pt idx="308">
                  <c:v>18.600617283950616</c:v>
                </c:pt>
                <c:pt idx="309">
                  <c:v>18.604444444444443</c:v>
                </c:pt>
                <c:pt idx="310">
                  <c:v>18.600617283950616</c:v>
                </c:pt>
                <c:pt idx="311">
                  <c:v>18.593086419753085</c:v>
                </c:pt>
                <c:pt idx="312">
                  <c:v>18.596913580246913</c:v>
                </c:pt>
                <c:pt idx="313">
                  <c:v>18.60814814814815</c:v>
                </c:pt>
                <c:pt idx="314">
                  <c:v>18.619506172839504</c:v>
                </c:pt>
                <c:pt idx="315">
                  <c:v>18.623209876543207</c:v>
                </c:pt>
                <c:pt idx="316">
                  <c:v>18.611975308641973</c:v>
                </c:pt>
                <c:pt idx="317">
                  <c:v>18.604444444444443</c:v>
                </c:pt>
                <c:pt idx="318">
                  <c:v>18.585555555555555</c:v>
                </c:pt>
                <c:pt idx="319">
                  <c:v>18.581851851851848</c:v>
                </c:pt>
                <c:pt idx="320">
                  <c:v>18.589382716049382</c:v>
                </c:pt>
                <c:pt idx="321">
                  <c:v>18.589382716049382</c:v>
                </c:pt>
                <c:pt idx="322">
                  <c:v>18.593086419753085</c:v>
                </c:pt>
                <c:pt idx="323">
                  <c:v>18.60814814814815</c:v>
                </c:pt>
                <c:pt idx="324">
                  <c:v>18.634567901234568</c:v>
                </c:pt>
                <c:pt idx="325">
                  <c:v>18.653456790123457</c:v>
                </c:pt>
                <c:pt idx="326">
                  <c:v>18.66469135802469</c:v>
                </c:pt>
                <c:pt idx="327">
                  <c:v>18.668518518518518</c:v>
                </c:pt>
                <c:pt idx="328">
                  <c:v>18.660987654320987</c:v>
                </c:pt>
                <c:pt idx="329">
                  <c:v>18.660987654320987</c:v>
                </c:pt>
                <c:pt idx="330">
                  <c:v>18.649629629629626</c:v>
                </c:pt>
                <c:pt idx="331">
                  <c:v>18.649629629629626</c:v>
                </c:pt>
                <c:pt idx="332">
                  <c:v>18.649629629629626</c:v>
                </c:pt>
                <c:pt idx="333">
                  <c:v>18.630740740740741</c:v>
                </c:pt>
                <c:pt idx="334">
                  <c:v>18.623209876543207</c:v>
                </c:pt>
                <c:pt idx="335">
                  <c:v>18.619506172839504</c:v>
                </c:pt>
                <c:pt idx="336">
                  <c:v>18.61567901234568</c:v>
                </c:pt>
                <c:pt idx="337">
                  <c:v>18.60814814814815</c:v>
                </c:pt>
                <c:pt idx="338">
                  <c:v>18.61567901234568</c:v>
                </c:pt>
                <c:pt idx="339">
                  <c:v>18.627037037037034</c:v>
                </c:pt>
                <c:pt idx="340">
                  <c:v>18.627037037037034</c:v>
                </c:pt>
                <c:pt idx="341">
                  <c:v>18.634567901234568</c:v>
                </c:pt>
                <c:pt idx="342">
                  <c:v>18.630740740740741</c:v>
                </c:pt>
                <c:pt idx="343">
                  <c:v>18.611975308641973</c:v>
                </c:pt>
                <c:pt idx="344">
                  <c:v>18.596913580246913</c:v>
                </c:pt>
                <c:pt idx="345">
                  <c:v>18.596913580246913</c:v>
                </c:pt>
                <c:pt idx="346">
                  <c:v>18.593086419753085</c:v>
                </c:pt>
                <c:pt idx="347">
                  <c:v>18.566790123456791</c:v>
                </c:pt>
                <c:pt idx="348">
                  <c:v>18.555432098765429</c:v>
                </c:pt>
                <c:pt idx="349">
                  <c:v>18.562962962962963</c:v>
                </c:pt>
                <c:pt idx="350">
                  <c:v>18.574320987654321</c:v>
                </c:pt>
                <c:pt idx="351">
                  <c:v>18.578024691358021</c:v>
                </c:pt>
                <c:pt idx="352">
                  <c:v>18.574320987654321</c:v>
                </c:pt>
                <c:pt idx="353">
                  <c:v>18.589382716049382</c:v>
                </c:pt>
                <c:pt idx="354">
                  <c:v>18.581851851851848</c:v>
                </c:pt>
                <c:pt idx="355">
                  <c:v>18.578024691358021</c:v>
                </c:pt>
                <c:pt idx="356">
                  <c:v>18.589382716049382</c:v>
                </c:pt>
                <c:pt idx="357">
                  <c:v>18.589382716049382</c:v>
                </c:pt>
                <c:pt idx="358">
                  <c:v>18.600617283950616</c:v>
                </c:pt>
                <c:pt idx="359">
                  <c:v>18.600617283950616</c:v>
                </c:pt>
                <c:pt idx="360">
                  <c:v>18.619506172839504</c:v>
                </c:pt>
                <c:pt idx="361">
                  <c:v>18.623209876543207</c:v>
                </c:pt>
                <c:pt idx="362">
                  <c:v>18.623209876543207</c:v>
                </c:pt>
                <c:pt idx="363">
                  <c:v>18.611975308641973</c:v>
                </c:pt>
                <c:pt idx="364">
                  <c:v>18.604444444444443</c:v>
                </c:pt>
                <c:pt idx="365">
                  <c:v>18.596913580246913</c:v>
                </c:pt>
                <c:pt idx="366">
                  <c:v>18.581851851851848</c:v>
                </c:pt>
                <c:pt idx="367">
                  <c:v>18.578024691358021</c:v>
                </c:pt>
                <c:pt idx="368">
                  <c:v>18.570493827160494</c:v>
                </c:pt>
                <c:pt idx="369">
                  <c:v>18.566790123456791</c:v>
                </c:pt>
                <c:pt idx="370">
                  <c:v>18.570493827160494</c:v>
                </c:pt>
                <c:pt idx="371">
                  <c:v>18.566790123456791</c:v>
                </c:pt>
                <c:pt idx="372">
                  <c:v>18.578024691358021</c:v>
                </c:pt>
                <c:pt idx="373">
                  <c:v>18.585555555555555</c:v>
                </c:pt>
                <c:pt idx="374">
                  <c:v>18.600617283950616</c:v>
                </c:pt>
                <c:pt idx="375">
                  <c:v>18.604444444444443</c:v>
                </c:pt>
                <c:pt idx="376">
                  <c:v>18.593086419753085</c:v>
                </c:pt>
                <c:pt idx="377">
                  <c:v>18.585555555555555</c:v>
                </c:pt>
                <c:pt idx="378">
                  <c:v>18.574320987654321</c:v>
                </c:pt>
                <c:pt idx="379">
                  <c:v>18.570493827160494</c:v>
                </c:pt>
                <c:pt idx="380">
                  <c:v>18.570493827160494</c:v>
                </c:pt>
                <c:pt idx="381">
                  <c:v>18.574320987654321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'20221210T210000'!$AY$11:$AY$500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'20221210T210000'!$BD$11:$BD$500</c:f>
              <c:numCache>
                <c:formatCode>General</c:formatCode>
                <c:ptCount val="490"/>
                <c:pt idx="0">
                  <c:v>18.581851851851848</c:v>
                </c:pt>
                <c:pt idx="1">
                  <c:v>18.589382716049382</c:v>
                </c:pt>
                <c:pt idx="2">
                  <c:v>18.596913580246913</c:v>
                </c:pt>
                <c:pt idx="3">
                  <c:v>18.589382716049382</c:v>
                </c:pt>
                <c:pt idx="4">
                  <c:v>18.578024691358021</c:v>
                </c:pt>
                <c:pt idx="5">
                  <c:v>18.581851851851848</c:v>
                </c:pt>
                <c:pt idx="6">
                  <c:v>18.596913580246913</c:v>
                </c:pt>
                <c:pt idx="7">
                  <c:v>18.596913580246913</c:v>
                </c:pt>
                <c:pt idx="8">
                  <c:v>18.593086419753085</c:v>
                </c:pt>
                <c:pt idx="9">
                  <c:v>18.589382716049382</c:v>
                </c:pt>
                <c:pt idx="10">
                  <c:v>18.593086419753085</c:v>
                </c:pt>
                <c:pt idx="11">
                  <c:v>18.593086419753085</c:v>
                </c:pt>
                <c:pt idx="12">
                  <c:v>18.604444444444443</c:v>
                </c:pt>
                <c:pt idx="13">
                  <c:v>18.604444444444443</c:v>
                </c:pt>
                <c:pt idx="14">
                  <c:v>18.596913580246913</c:v>
                </c:pt>
                <c:pt idx="15">
                  <c:v>18.600617283950616</c:v>
                </c:pt>
                <c:pt idx="16">
                  <c:v>18.604444444444443</c:v>
                </c:pt>
                <c:pt idx="17">
                  <c:v>18.604444444444443</c:v>
                </c:pt>
                <c:pt idx="18">
                  <c:v>18.611975308641973</c:v>
                </c:pt>
                <c:pt idx="19">
                  <c:v>18.611975308641973</c:v>
                </c:pt>
                <c:pt idx="20">
                  <c:v>18.619506172839504</c:v>
                </c:pt>
                <c:pt idx="21">
                  <c:v>18.611975308641973</c:v>
                </c:pt>
                <c:pt idx="22">
                  <c:v>18.61567901234568</c:v>
                </c:pt>
                <c:pt idx="23">
                  <c:v>18.61567901234568</c:v>
                </c:pt>
                <c:pt idx="24">
                  <c:v>18.60814814814815</c:v>
                </c:pt>
                <c:pt idx="25">
                  <c:v>18.600617283950616</c:v>
                </c:pt>
                <c:pt idx="26">
                  <c:v>18.585555555555555</c:v>
                </c:pt>
                <c:pt idx="27">
                  <c:v>18.570493827160494</c:v>
                </c:pt>
                <c:pt idx="28">
                  <c:v>18.551728395061726</c:v>
                </c:pt>
                <c:pt idx="29">
                  <c:v>18.555432098765429</c:v>
                </c:pt>
                <c:pt idx="30">
                  <c:v>18.559259259259257</c:v>
                </c:pt>
                <c:pt idx="31">
                  <c:v>18.570493827160494</c:v>
                </c:pt>
                <c:pt idx="32">
                  <c:v>18.581851851851848</c:v>
                </c:pt>
                <c:pt idx="33">
                  <c:v>18.585555555555555</c:v>
                </c:pt>
                <c:pt idx="34">
                  <c:v>18.600617283950616</c:v>
                </c:pt>
                <c:pt idx="35">
                  <c:v>18.593086419753085</c:v>
                </c:pt>
                <c:pt idx="36">
                  <c:v>18.585555555555555</c:v>
                </c:pt>
                <c:pt idx="37">
                  <c:v>18.562962962962963</c:v>
                </c:pt>
                <c:pt idx="38">
                  <c:v>18.551728395061726</c:v>
                </c:pt>
                <c:pt idx="39">
                  <c:v>18.544197530864199</c:v>
                </c:pt>
                <c:pt idx="40">
                  <c:v>18.544197530864199</c:v>
                </c:pt>
                <c:pt idx="41">
                  <c:v>18.544197530864199</c:v>
                </c:pt>
                <c:pt idx="42">
                  <c:v>18.547901234567902</c:v>
                </c:pt>
                <c:pt idx="43">
                  <c:v>18.544197530864199</c:v>
                </c:pt>
                <c:pt idx="44">
                  <c:v>18.555432098765429</c:v>
                </c:pt>
                <c:pt idx="45">
                  <c:v>18.555432098765429</c:v>
                </c:pt>
                <c:pt idx="46">
                  <c:v>18.547901234567902</c:v>
                </c:pt>
                <c:pt idx="47">
                  <c:v>18.536543209876541</c:v>
                </c:pt>
                <c:pt idx="48">
                  <c:v>18.521481481481484</c:v>
                </c:pt>
                <c:pt idx="49">
                  <c:v>18.529012345679011</c:v>
                </c:pt>
                <c:pt idx="50">
                  <c:v>18.529012345679011</c:v>
                </c:pt>
                <c:pt idx="51">
                  <c:v>18.536543209876541</c:v>
                </c:pt>
                <c:pt idx="52">
                  <c:v>18.540370370370372</c:v>
                </c:pt>
                <c:pt idx="53">
                  <c:v>18.536543209876541</c:v>
                </c:pt>
                <c:pt idx="54">
                  <c:v>18.544197530864199</c:v>
                </c:pt>
                <c:pt idx="55">
                  <c:v>18.559259259259257</c:v>
                </c:pt>
                <c:pt idx="56">
                  <c:v>18.562962962962963</c:v>
                </c:pt>
                <c:pt idx="57">
                  <c:v>18.562962962962963</c:v>
                </c:pt>
                <c:pt idx="58">
                  <c:v>18.555432098765429</c:v>
                </c:pt>
                <c:pt idx="59">
                  <c:v>18.547901234567902</c:v>
                </c:pt>
                <c:pt idx="60">
                  <c:v>18.529012345679011</c:v>
                </c:pt>
                <c:pt idx="61">
                  <c:v>18.532839506172838</c:v>
                </c:pt>
                <c:pt idx="62">
                  <c:v>18.536543209876541</c:v>
                </c:pt>
                <c:pt idx="63">
                  <c:v>18.544197530864199</c:v>
                </c:pt>
                <c:pt idx="64">
                  <c:v>18.540370370370372</c:v>
                </c:pt>
                <c:pt idx="65">
                  <c:v>18.544197530864199</c:v>
                </c:pt>
                <c:pt idx="66">
                  <c:v>18.551728395061726</c:v>
                </c:pt>
                <c:pt idx="67">
                  <c:v>18.562962962962963</c:v>
                </c:pt>
                <c:pt idx="68">
                  <c:v>18.589382716049382</c:v>
                </c:pt>
                <c:pt idx="69">
                  <c:v>18.604444444444443</c:v>
                </c:pt>
                <c:pt idx="70">
                  <c:v>18.604444444444443</c:v>
                </c:pt>
                <c:pt idx="71">
                  <c:v>18.60814814814815</c:v>
                </c:pt>
                <c:pt idx="72">
                  <c:v>18.604444444444443</c:v>
                </c:pt>
                <c:pt idx="73">
                  <c:v>18.596913580246913</c:v>
                </c:pt>
                <c:pt idx="74">
                  <c:v>18.581851851851848</c:v>
                </c:pt>
                <c:pt idx="75">
                  <c:v>18.578024691358021</c:v>
                </c:pt>
                <c:pt idx="76">
                  <c:v>18.570493827160494</c:v>
                </c:pt>
                <c:pt idx="77">
                  <c:v>18.559259259259257</c:v>
                </c:pt>
                <c:pt idx="78">
                  <c:v>18.562962962962963</c:v>
                </c:pt>
                <c:pt idx="79">
                  <c:v>18.559259259259257</c:v>
                </c:pt>
                <c:pt idx="80">
                  <c:v>18.559259259259257</c:v>
                </c:pt>
                <c:pt idx="81">
                  <c:v>18.562962962962963</c:v>
                </c:pt>
                <c:pt idx="82">
                  <c:v>18.566790123456791</c:v>
                </c:pt>
                <c:pt idx="83">
                  <c:v>18.566790123456791</c:v>
                </c:pt>
                <c:pt idx="84">
                  <c:v>18.566790123456791</c:v>
                </c:pt>
                <c:pt idx="85">
                  <c:v>18.570493827160494</c:v>
                </c:pt>
                <c:pt idx="86">
                  <c:v>18.566790123456791</c:v>
                </c:pt>
                <c:pt idx="87">
                  <c:v>18.570493827160494</c:v>
                </c:pt>
                <c:pt idx="88">
                  <c:v>18.578024691358021</c:v>
                </c:pt>
                <c:pt idx="89">
                  <c:v>18.585555555555555</c:v>
                </c:pt>
                <c:pt idx="90">
                  <c:v>18.596913580246913</c:v>
                </c:pt>
                <c:pt idx="91">
                  <c:v>18.604444444444443</c:v>
                </c:pt>
                <c:pt idx="92">
                  <c:v>18.61567901234568</c:v>
                </c:pt>
                <c:pt idx="93">
                  <c:v>18.619506172839504</c:v>
                </c:pt>
                <c:pt idx="94">
                  <c:v>18.61567901234568</c:v>
                </c:pt>
                <c:pt idx="95">
                  <c:v>18.61567901234568</c:v>
                </c:pt>
                <c:pt idx="96">
                  <c:v>18.611975308641973</c:v>
                </c:pt>
                <c:pt idx="97">
                  <c:v>18.61567901234568</c:v>
                </c:pt>
                <c:pt idx="98">
                  <c:v>18.619506172839504</c:v>
                </c:pt>
                <c:pt idx="99">
                  <c:v>18.611975308641973</c:v>
                </c:pt>
                <c:pt idx="100">
                  <c:v>18.604444444444443</c:v>
                </c:pt>
                <c:pt idx="101">
                  <c:v>18.596913580246913</c:v>
                </c:pt>
                <c:pt idx="102">
                  <c:v>18.600617283950616</c:v>
                </c:pt>
                <c:pt idx="103">
                  <c:v>18.600617283950616</c:v>
                </c:pt>
                <c:pt idx="104">
                  <c:v>18.61567901234568</c:v>
                </c:pt>
                <c:pt idx="105">
                  <c:v>18.623209876543207</c:v>
                </c:pt>
                <c:pt idx="106">
                  <c:v>18.627037037037034</c:v>
                </c:pt>
                <c:pt idx="107">
                  <c:v>18.623209876543207</c:v>
                </c:pt>
                <c:pt idx="108">
                  <c:v>18.619506172839504</c:v>
                </c:pt>
                <c:pt idx="109">
                  <c:v>18.623209876543207</c:v>
                </c:pt>
                <c:pt idx="110">
                  <c:v>18.634567901234568</c:v>
                </c:pt>
                <c:pt idx="111">
                  <c:v>18.653456790123457</c:v>
                </c:pt>
                <c:pt idx="112">
                  <c:v>18.660987654320987</c:v>
                </c:pt>
                <c:pt idx="113">
                  <c:v>18.653456790123457</c:v>
                </c:pt>
                <c:pt idx="114">
                  <c:v>18.645802469135798</c:v>
                </c:pt>
                <c:pt idx="115">
                  <c:v>18.638271604938272</c:v>
                </c:pt>
                <c:pt idx="116">
                  <c:v>18.623209876543207</c:v>
                </c:pt>
                <c:pt idx="117">
                  <c:v>18.61567901234568</c:v>
                </c:pt>
                <c:pt idx="118">
                  <c:v>18.60814814814815</c:v>
                </c:pt>
                <c:pt idx="119">
                  <c:v>18.604444444444443</c:v>
                </c:pt>
                <c:pt idx="120">
                  <c:v>18.600617283950616</c:v>
                </c:pt>
                <c:pt idx="121">
                  <c:v>18.585555555555555</c:v>
                </c:pt>
                <c:pt idx="122">
                  <c:v>18.570493827160494</c:v>
                </c:pt>
                <c:pt idx="123">
                  <c:v>18.574320987654321</c:v>
                </c:pt>
                <c:pt idx="124">
                  <c:v>18.578024691358021</c:v>
                </c:pt>
                <c:pt idx="125">
                  <c:v>18.593086419753085</c:v>
                </c:pt>
                <c:pt idx="126">
                  <c:v>18.604444444444443</c:v>
                </c:pt>
                <c:pt idx="127">
                  <c:v>18.611975308641973</c:v>
                </c:pt>
                <c:pt idx="128">
                  <c:v>18.611975308641973</c:v>
                </c:pt>
                <c:pt idx="129">
                  <c:v>18.604444444444443</c:v>
                </c:pt>
                <c:pt idx="130">
                  <c:v>18.574320987654321</c:v>
                </c:pt>
                <c:pt idx="131">
                  <c:v>18.559259259259257</c:v>
                </c:pt>
                <c:pt idx="132">
                  <c:v>18.555432098765429</c:v>
                </c:pt>
                <c:pt idx="133">
                  <c:v>18.547901234567902</c:v>
                </c:pt>
                <c:pt idx="134">
                  <c:v>18.544197530864199</c:v>
                </c:pt>
                <c:pt idx="135">
                  <c:v>18.544197530864199</c:v>
                </c:pt>
                <c:pt idx="136">
                  <c:v>18.544197530864199</c:v>
                </c:pt>
                <c:pt idx="137">
                  <c:v>18.532839506172838</c:v>
                </c:pt>
                <c:pt idx="138">
                  <c:v>18.521481481481484</c:v>
                </c:pt>
                <c:pt idx="139">
                  <c:v>18.517777777777777</c:v>
                </c:pt>
                <c:pt idx="140">
                  <c:v>18.51395061728395</c:v>
                </c:pt>
                <c:pt idx="141">
                  <c:v>18.510246913580243</c:v>
                </c:pt>
                <c:pt idx="142">
                  <c:v>18.510246913580243</c:v>
                </c:pt>
                <c:pt idx="143">
                  <c:v>18.502716049382713</c:v>
                </c:pt>
                <c:pt idx="144">
                  <c:v>18.495185185185186</c:v>
                </c:pt>
                <c:pt idx="145">
                  <c:v>18.495185185185186</c:v>
                </c:pt>
                <c:pt idx="146">
                  <c:v>18.483827160493824</c:v>
                </c:pt>
                <c:pt idx="147">
                  <c:v>18.480123456790125</c:v>
                </c:pt>
                <c:pt idx="148">
                  <c:v>18.480123456790125</c:v>
                </c:pt>
                <c:pt idx="149">
                  <c:v>18.472592592592594</c:v>
                </c:pt>
                <c:pt idx="150">
                  <c:v>18.472592592592594</c:v>
                </c:pt>
                <c:pt idx="151">
                  <c:v>18.468765432098763</c:v>
                </c:pt>
                <c:pt idx="152">
                  <c:v>18.46506172839506</c:v>
                </c:pt>
                <c:pt idx="153">
                  <c:v>18.453703703703706</c:v>
                </c:pt>
                <c:pt idx="154">
                  <c:v>18.45</c:v>
                </c:pt>
                <c:pt idx="155">
                  <c:v>18.442469135802465</c:v>
                </c:pt>
                <c:pt idx="156">
                  <c:v>18.434938271604938</c:v>
                </c:pt>
                <c:pt idx="157">
                  <c:v>18.434938271604938</c:v>
                </c:pt>
                <c:pt idx="158">
                  <c:v>18.431111111111111</c:v>
                </c:pt>
                <c:pt idx="159">
                  <c:v>18.438641975308641</c:v>
                </c:pt>
                <c:pt idx="160">
                  <c:v>18.442469135802465</c:v>
                </c:pt>
                <c:pt idx="161">
                  <c:v>18.446172839506172</c:v>
                </c:pt>
                <c:pt idx="162">
                  <c:v>18.434938271604938</c:v>
                </c:pt>
                <c:pt idx="163">
                  <c:v>18.423580246913577</c:v>
                </c:pt>
                <c:pt idx="164">
                  <c:v>18.404691358024692</c:v>
                </c:pt>
                <c:pt idx="165">
                  <c:v>18.382098765432101</c:v>
                </c:pt>
                <c:pt idx="166">
                  <c:v>18.382098765432101</c:v>
                </c:pt>
                <c:pt idx="167">
                  <c:v>18.385925925925928</c:v>
                </c:pt>
                <c:pt idx="168">
                  <c:v>18.385925925925928</c:v>
                </c:pt>
                <c:pt idx="169">
                  <c:v>18.393456790123455</c:v>
                </c:pt>
                <c:pt idx="170">
                  <c:v>18.400987654320986</c:v>
                </c:pt>
                <c:pt idx="171">
                  <c:v>18.400987654320986</c:v>
                </c:pt>
                <c:pt idx="172">
                  <c:v>18.404691358024692</c:v>
                </c:pt>
                <c:pt idx="173">
                  <c:v>18.408518518518516</c:v>
                </c:pt>
                <c:pt idx="174">
                  <c:v>18.408518518518516</c:v>
                </c:pt>
                <c:pt idx="175">
                  <c:v>18.397160493827158</c:v>
                </c:pt>
                <c:pt idx="176">
                  <c:v>18.385925925925928</c:v>
                </c:pt>
                <c:pt idx="177">
                  <c:v>18.367037037037036</c:v>
                </c:pt>
                <c:pt idx="178">
                  <c:v>18.355802469135799</c:v>
                </c:pt>
                <c:pt idx="179">
                  <c:v>18.355802469135799</c:v>
                </c:pt>
                <c:pt idx="180">
                  <c:v>18.351975308641972</c:v>
                </c:pt>
                <c:pt idx="181">
                  <c:v>18.355802469135799</c:v>
                </c:pt>
                <c:pt idx="182">
                  <c:v>18.355802469135799</c:v>
                </c:pt>
                <c:pt idx="183">
                  <c:v>18.363333333333333</c:v>
                </c:pt>
                <c:pt idx="184">
                  <c:v>18.363333333333333</c:v>
                </c:pt>
                <c:pt idx="185">
                  <c:v>18.355802469135799</c:v>
                </c:pt>
                <c:pt idx="186">
                  <c:v>18.351975308641972</c:v>
                </c:pt>
                <c:pt idx="187">
                  <c:v>18.351975308641972</c:v>
                </c:pt>
                <c:pt idx="188">
                  <c:v>18.348271604938269</c:v>
                </c:pt>
                <c:pt idx="189">
                  <c:v>18.344444444444445</c:v>
                </c:pt>
                <c:pt idx="190">
                  <c:v>18.336913580246915</c:v>
                </c:pt>
                <c:pt idx="191">
                  <c:v>18.333209876543208</c:v>
                </c:pt>
                <c:pt idx="192">
                  <c:v>18.329382716049381</c:v>
                </c:pt>
                <c:pt idx="193">
                  <c:v>18.333209876543208</c:v>
                </c:pt>
                <c:pt idx="194">
                  <c:v>18.32185185185185</c:v>
                </c:pt>
                <c:pt idx="195">
                  <c:v>18.31432098765432</c:v>
                </c:pt>
                <c:pt idx="196">
                  <c:v>18.318024691358023</c:v>
                </c:pt>
                <c:pt idx="197">
                  <c:v>18.333209876543208</c:v>
                </c:pt>
                <c:pt idx="198">
                  <c:v>18.340740740740738</c:v>
                </c:pt>
                <c:pt idx="199">
                  <c:v>18.336913580246915</c:v>
                </c:pt>
                <c:pt idx="200">
                  <c:v>18.336913580246915</c:v>
                </c:pt>
                <c:pt idx="201">
                  <c:v>18.325679012345677</c:v>
                </c:pt>
                <c:pt idx="202">
                  <c:v>18.31432098765432</c:v>
                </c:pt>
                <c:pt idx="203">
                  <c:v>18.31432098765432</c:v>
                </c:pt>
                <c:pt idx="204">
                  <c:v>18.31432098765432</c:v>
                </c:pt>
                <c:pt idx="205">
                  <c:v>18.310493827160489</c:v>
                </c:pt>
                <c:pt idx="206">
                  <c:v>18.299259259259259</c:v>
                </c:pt>
                <c:pt idx="207">
                  <c:v>18.284197530864198</c:v>
                </c:pt>
                <c:pt idx="208">
                  <c:v>18.276666666666667</c:v>
                </c:pt>
                <c:pt idx="209">
                  <c:v>18.27283950617284</c:v>
                </c:pt>
                <c:pt idx="210">
                  <c:v>18.265308641975306</c:v>
                </c:pt>
                <c:pt idx="211">
                  <c:v>18.261604938271603</c:v>
                </c:pt>
                <c:pt idx="212">
                  <c:v>18.265308641975306</c:v>
                </c:pt>
                <c:pt idx="213">
                  <c:v>18.269135802469137</c:v>
                </c:pt>
                <c:pt idx="214">
                  <c:v>18.276666666666667</c:v>
                </c:pt>
                <c:pt idx="215">
                  <c:v>18.269135802469137</c:v>
                </c:pt>
                <c:pt idx="216">
                  <c:v>18.265308641975306</c:v>
                </c:pt>
                <c:pt idx="217">
                  <c:v>18.261604938271603</c:v>
                </c:pt>
                <c:pt idx="218">
                  <c:v>18.242716049382715</c:v>
                </c:pt>
                <c:pt idx="219">
                  <c:v>18.239012345679011</c:v>
                </c:pt>
                <c:pt idx="220">
                  <c:v>18.235185185185184</c:v>
                </c:pt>
                <c:pt idx="221">
                  <c:v>18.231481481481481</c:v>
                </c:pt>
                <c:pt idx="222">
                  <c:v>18.22395061728395</c:v>
                </c:pt>
                <c:pt idx="223">
                  <c:v>18.216296296296292</c:v>
                </c:pt>
                <c:pt idx="224">
                  <c:v>18.208765432098765</c:v>
                </c:pt>
                <c:pt idx="225">
                  <c:v>18.201234567901235</c:v>
                </c:pt>
                <c:pt idx="226">
                  <c:v>18.197530864197528</c:v>
                </c:pt>
                <c:pt idx="227">
                  <c:v>18.189999999999998</c:v>
                </c:pt>
                <c:pt idx="228">
                  <c:v>18.189999999999998</c:v>
                </c:pt>
                <c:pt idx="229">
                  <c:v>18.197530864197528</c:v>
                </c:pt>
                <c:pt idx="230">
                  <c:v>18.193703703703704</c:v>
                </c:pt>
                <c:pt idx="231">
                  <c:v>18.189999999999998</c:v>
                </c:pt>
                <c:pt idx="232">
                  <c:v>18.178641975308643</c:v>
                </c:pt>
                <c:pt idx="233">
                  <c:v>18.167407407407406</c:v>
                </c:pt>
                <c:pt idx="234">
                  <c:v>18.159876543209876</c:v>
                </c:pt>
                <c:pt idx="235">
                  <c:v>18.152345679012342</c:v>
                </c:pt>
                <c:pt idx="236">
                  <c:v>18.148518518518514</c:v>
                </c:pt>
                <c:pt idx="237">
                  <c:v>18.144814814814815</c:v>
                </c:pt>
                <c:pt idx="238">
                  <c:v>18.133456790123457</c:v>
                </c:pt>
                <c:pt idx="239">
                  <c:v>18.12222222222222</c:v>
                </c:pt>
                <c:pt idx="240">
                  <c:v>18.11469135802469</c:v>
                </c:pt>
                <c:pt idx="241">
                  <c:v>18.110864197530866</c:v>
                </c:pt>
                <c:pt idx="242">
                  <c:v>18.103333333333332</c:v>
                </c:pt>
                <c:pt idx="243">
                  <c:v>18.103333333333332</c:v>
                </c:pt>
                <c:pt idx="244">
                  <c:v>18.099506172839504</c:v>
                </c:pt>
                <c:pt idx="245">
                  <c:v>18.088271604938271</c:v>
                </c:pt>
                <c:pt idx="246">
                  <c:v>18.080740740740737</c:v>
                </c:pt>
                <c:pt idx="247">
                  <c:v>18.07320987654321</c:v>
                </c:pt>
                <c:pt idx="248">
                  <c:v>18.069382716049383</c:v>
                </c:pt>
                <c:pt idx="249">
                  <c:v>18.069382716049383</c:v>
                </c:pt>
                <c:pt idx="250">
                  <c:v>18.065679012345679</c:v>
                </c:pt>
                <c:pt idx="251">
                  <c:v>18.054320987654318</c:v>
                </c:pt>
                <c:pt idx="252">
                  <c:v>18.054320987654318</c:v>
                </c:pt>
                <c:pt idx="253">
                  <c:v>18.050617283950618</c:v>
                </c:pt>
                <c:pt idx="254">
                  <c:v>18.043086419753088</c:v>
                </c:pt>
                <c:pt idx="255">
                  <c:v>18.031728395061727</c:v>
                </c:pt>
                <c:pt idx="256">
                  <c:v>18.0241975308642</c:v>
                </c:pt>
                <c:pt idx="257">
                  <c:v>18.016666666666666</c:v>
                </c:pt>
                <c:pt idx="258">
                  <c:v>18.012962962962959</c:v>
                </c:pt>
                <c:pt idx="259">
                  <c:v>18.001604938271605</c:v>
                </c:pt>
                <c:pt idx="260">
                  <c:v>17.997777777777777</c:v>
                </c:pt>
                <c:pt idx="261">
                  <c:v>17.98654320987654</c:v>
                </c:pt>
                <c:pt idx="262">
                  <c:v>17.967654320987652</c:v>
                </c:pt>
                <c:pt idx="263">
                  <c:v>17.960123456790122</c:v>
                </c:pt>
                <c:pt idx="264">
                  <c:v>17.945061728395061</c:v>
                </c:pt>
                <c:pt idx="265">
                  <c:v>17.93</c:v>
                </c:pt>
                <c:pt idx="266">
                  <c:v>17.914938271604939</c:v>
                </c:pt>
                <c:pt idx="267">
                  <c:v>17.907407407407408</c:v>
                </c:pt>
                <c:pt idx="268">
                  <c:v>17.899876543209874</c:v>
                </c:pt>
                <c:pt idx="269">
                  <c:v>17.892345679012344</c:v>
                </c:pt>
                <c:pt idx="270">
                  <c:v>17.888518518518516</c:v>
                </c:pt>
                <c:pt idx="271">
                  <c:v>17.880987654320986</c:v>
                </c:pt>
                <c:pt idx="272">
                  <c:v>17.877283950617283</c:v>
                </c:pt>
                <c:pt idx="273">
                  <c:v>17.865925925925925</c:v>
                </c:pt>
                <c:pt idx="274">
                  <c:v>17.854691358024692</c:v>
                </c:pt>
                <c:pt idx="275">
                  <c:v>17.843333333333334</c:v>
                </c:pt>
                <c:pt idx="276">
                  <c:v>17.828271604938269</c:v>
                </c:pt>
                <c:pt idx="277">
                  <c:v>17.820740740740739</c:v>
                </c:pt>
                <c:pt idx="278">
                  <c:v>17.809506172839505</c:v>
                </c:pt>
                <c:pt idx="279">
                  <c:v>17.801975308641975</c:v>
                </c:pt>
                <c:pt idx="280">
                  <c:v>17.798148148148147</c:v>
                </c:pt>
                <c:pt idx="281">
                  <c:v>17.790617283950617</c:v>
                </c:pt>
                <c:pt idx="282">
                  <c:v>17.783086419753086</c:v>
                </c:pt>
                <c:pt idx="283">
                  <c:v>17.771728395061729</c:v>
                </c:pt>
                <c:pt idx="284">
                  <c:v>17.756666666666668</c:v>
                </c:pt>
                <c:pt idx="285">
                  <c:v>17.741604938271603</c:v>
                </c:pt>
                <c:pt idx="286">
                  <c:v>17.722839506172836</c:v>
                </c:pt>
                <c:pt idx="287">
                  <c:v>17.703950617283951</c:v>
                </c:pt>
                <c:pt idx="288">
                  <c:v>17.692716049382714</c:v>
                </c:pt>
                <c:pt idx="289">
                  <c:v>17.68135802469136</c:v>
                </c:pt>
                <c:pt idx="290">
                  <c:v>17.662469135802468</c:v>
                </c:pt>
                <c:pt idx="291">
                  <c:v>17.651234567901231</c:v>
                </c:pt>
                <c:pt idx="292">
                  <c:v>17.643703703703704</c:v>
                </c:pt>
                <c:pt idx="293">
                  <c:v>17.632345679012342</c:v>
                </c:pt>
                <c:pt idx="294">
                  <c:v>17.613580246913582</c:v>
                </c:pt>
                <c:pt idx="295">
                  <c:v>17.594691358024694</c:v>
                </c:pt>
                <c:pt idx="296">
                  <c:v>17.575925925925926</c:v>
                </c:pt>
                <c:pt idx="297">
                  <c:v>17.553209876543207</c:v>
                </c:pt>
                <c:pt idx="298">
                  <c:v>17.534444444444443</c:v>
                </c:pt>
                <c:pt idx="299">
                  <c:v>17.519382716049382</c:v>
                </c:pt>
                <c:pt idx="300">
                  <c:v>17.500493827160494</c:v>
                </c:pt>
                <c:pt idx="301">
                  <c:v>17.477901234567902</c:v>
                </c:pt>
                <c:pt idx="302">
                  <c:v>17.462839506172838</c:v>
                </c:pt>
                <c:pt idx="303">
                  <c:v>17.443950617283949</c:v>
                </c:pt>
                <c:pt idx="304">
                  <c:v>17.413827160493828</c:v>
                </c:pt>
                <c:pt idx="305">
                  <c:v>17.38</c:v>
                </c:pt>
                <c:pt idx="306">
                  <c:v>17.35358024691358</c:v>
                </c:pt>
                <c:pt idx="307">
                  <c:v>17.327160493827162</c:v>
                </c:pt>
                <c:pt idx="308">
                  <c:v>17.308395061728394</c:v>
                </c:pt>
                <c:pt idx="309">
                  <c:v>17.285802469135803</c:v>
                </c:pt>
                <c:pt idx="310">
                  <c:v>17.255679012345677</c:v>
                </c:pt>
                <c:pt idx="311">
                  <c:v>17.232962962962961</c:v>
                </c:pt>
                <c:pt idx="312">
                  <c:v>17.21037037037037</c:v>
                </c:pt>
                <c:pt idx="313">
                  <c:v>17.180246913580245</c:v>
                </c:pt>
                <c:pt idx="314">
                  <c:v>17.150123456790123</c:v>
                </c:pt>
                <c:pt idx="315">
                  <c:v>17.12</c:v>
                </c:pt>
                <c:pt idx="316">
                  <c:v>17.089876543209876</c:v>
                </c:pt>
                <c:pt idx="317">
                  <c:v>17.05975308641975</c:v>
                </c:pt>
                <c:pt idx="318">
                  <c:v>17.021975308641974</c:v>
                </c:pt>
                <c:pt idx="319">
                  <c:v>16.984320987654321</c:v>
                </c:pt>
                <c:pt idx="320">
                  <c:v>16.939135802469135</c:v>
                </c:pt>
                <c:pt idx="321">
                  <c:v>16.890123456790121</c:v>
                </c:pt>
                <c:pt idx="322">
                  <c:v>16.848765432098766</c:v>
                </c:pt>
                <c:pt idx="323">
                  <c:v>16.810987654320986</c:v>
                </c:pt>
                <c:pt idx="324">
                  <c:v>16.76962962962963</c:v>
                </c:pt>
                <c:pt idx="325">
                  <c:v>16.728148148148147</c:v>
                </c:pt>
                <c:pt idx="326">
                  <c:v>16.679135802469133</c:v>
                </c:pt>
                <c:pt idx="327">
                  <c:v>16.626419753086417</c:v>
                </c:pt>
                <c:pt idx="328">
                  <c:v>16.569876543209876</c:v>
                </c:pt>
                <c:pt idx="329">
                  <c:v>16.509629629629632</c:v>
                </c:pt>
                <c:pt idx="330">
                  <c:v>16.456913580246912</c:v>
                </c:pt>
                <c:pt idx="331">
                  <c:v>16.396666666666665</c:v>
                </c:pt>
                <c:pt idx="332">
                  <c:v>16.336296296296297</c:v>
                </c:pt>
                <c:pt idx="333">
                  <c:v>16.260987654320989</c:v>
                </c:pt>
                <c:pt idx="334">
                  <c:v>16.185679012345677</c:v>
                </c:pt>
                <c:pt idx="335">
                  <c:v>16.117777777777775</c:v>
                </c:pt>
                <c:pt idx="336">
                  <c:v>16.04617283950617</c:v>
                </c:pt>
                <c:pt idx="337">
                  <c:v>15.982222222222221</c:v>
                </c:pt>
                <c:pt idx="338">
                  <c:v>15.903086419753087</c:v>
                </c:pt>
                <c:pt idx="339">
                  <c:v>15.816419753086418</c:v>
                </c:pt>
                <c:pt idx="340">
                  <c:v>15.710864197530865</c:v>
                </c:pt>
                <c:pt idx="341">
                  <c:v>15.60543209876543</c:v>
                </c:pt>
                <c:pt idx="342">
                  <c:v>15.503703703703701</c:v>
                </c:pt>
                <c:pt idx="343">
                  <c:v>15.386913580246912</c:v>
                </c:pt>
                <c:pt idx="344">
                  <c:v>15.270123456790122</c:v>
                </c:pt>
                <c:pt idx="345">
                  <c:v>15.149506172839505</c:v>
                </c:pt>
                <c:pt idx="346">
                  <c:v>15.01395061728395</c:v>
                </c:pt>
                <c:pt idx="347">
                  <c:v>14.881975308641973</c:v>
                </c:pt>
                <c:pt idx="348">
                  <c:v>14.742592592592592</c:v>
                </c:pt>
                <c:pt idx="349">
                  <c:v>14.603209876543209</c:v>
                </c:pt>
                <c:pt idx="350">
                  <c:v>14.444938271604938</c:v>
                </c:pt>
                <c:pt idx="351">
                  <c:v>14.29432098765432</c:v>
                </c:pt>
                <c:pt idx="352">
                  <c:v>14.117160493827161</c:v>
                </c:pt>
                <c:pt idx="353">
                  <c:v>13.936419753086419</c:v>
                </c:pt>
                <c:pt idx="354">
                  <c:v>13.736666666666666</c:v>
                </c:pt>
                <c:pt idx="355">
                  <c:v>13.510617283950616</c:v>
                </c:pt>
                <c:pt idx="356">
                  <c:v>13.273209876543209</c:v>
                </c:pt>
                <c:pt idx="357">
                  <c:v>13.013333333333332</c:v>
                </c:pt>
                <c:pt idx="358">
                  <c:v>12.753333333333332</c:v>
                </c:pt>
                <c:pt idx="359">
                  <c:v>12.478271604938271</c:v>
                </c:pt>
                <c:pt idx="360">
                  <c:v>12.173123456790123</c:v>
                </c:pt>
                <c:pt idx="361">
                  <c:v>11.856641975308643</c:v>
                </c:pt>
                <c:pt idx="362">
                  <c:v>11.506259259259258</c:v>
                </c:pt>
                <c:pt idx="363">
                  <c:v>11.125728395061728</c:v>
                </c:pt>
                <c:pt idx="364">
                  <c:v>10.70753086419753</c:v>
                </c:pt>
                <c:pt idx="365">
                  <c:v>10.240345679012346</c:v>
                </c:pt>
                <c:pt idx="366">
                  <c:v>9.7317160493827153</c:v>
                </c:pt>
                <c:pt idx="367">
                  <c:v>9.1929506172839499</c:v>
                </c:pt>
                <c:pt idx="368">
                  <c:v>8.6051975308641957</c:v>
                </c:pt>
                <c:pt idx="369">
                  <c:v>7.9232716049382708</c:v>
                </c:pt>
                <c:pt idx="370">
                  <c:v>7.1735185185185184</c:v>
                </c:pt>
                <c:pt idx="371">
                  <c:v>6.333333333333333</c:v>
                </c:pt>
                <c:pt idx="372">
                  <c:v>5.3563950617283949</c:v>
                </c:pt>
                <c:pt idx="373">
                  <c:v>4.2762345679012341</c:v>
                </c:pt>
                <c:pt idx="374">
                  <c:v>3.0140864197530863</c:v>
                </c:pt>
                <c:pt idx="375">
                  <c:v>1.5677037037037036</c:v>
                </c:pt>
                <c:pt idx="376">
                  <c:v>-0.14298024691358022</c:v>
                </c:pt>
                <c:pt idx="377">
                  <c:v>-2.0386543209876544</c:v>
                </c:pt>
                <c:pt idx="378">
                  <c:v>-4.1575432098765432</c:v>
                </c:pt>
                <c:pt idx="379">
                  <c:v>-6.4840493827160497</c:v>
                </c:pt>
                <c:pt idx="380">
                  <c:v>-9.0234074074074062</c:v>
                </c:pt>
                <c:pt idx="381">
                  <c:v>-11.754913580246914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92384"/>
        <c:axId val="118202368"/>
      </c:scatterChart>
      <c:valAx>
        <c:axId val="11819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202368"/>
        <c:crosses val="autoZero"/>
        <c:crossBetween val="midCat"/>
      </c:valAx>
      <c:valAx>
        <c:axId val="11820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19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581025</xdr:colOff>
      <xdr:row>12</xdr:row>
      <xdr:rowOff>60960</xdr:rowOff>
    </xdr:from>
    <xdr:to>
      <xdr:col>19</xdr:col>
      <xdr:colOff>276225</xdr:colOff>
      <xdr:row>27</xdr:row>
      <xdr:rowOff>60960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485775</xdr:colOff>
      <xdr:row>13</xdr:row>
      <xdr:rowOff>22860</xdr:rowOff>
    </xdr:from>
    <xdr:to>
      <xdr:col>35</xdr:col>
      <xdr:colOff>180975</xdr:colOff>
      <xdr:row>28</xdr:row>
      <xdr:rowOff>22860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428625</xdr:colOff>
      <xdr:row>12</xdr:row>
      <xdr:rowOff>156210</xdr:rowOff>
    </xdr:from>
    <xdr:to>
      <xdr:col>52</xdr:col>
      <xdr:colOff>123825</xdr:colOff>
      <xdr:row>27</xdr:row>
      <xdr:rowOff>156210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1412\stability\light-cycle\yt12U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9pm1012s"/>
      <sheetName val="9pm1012t"/>
      <sheetName val="9am1112"/>
      <sheetName val="9am1112t"/>
      <sheetName val="9pm1212s"/>
      <sheetName val="9pm1212t"/>
      <sheetName val="9pm1412s"/>
      <sheetName val="9pm1412t"/>
      <sheetName val="Sheet2"/>
      <sheetName val="yt12UV1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workbookViewId="0">
      <selection activeCell="BD11" sqref="BD11:BE39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1673.6127049177278</v>
      </c>
      <c r="H2" s="2"/>
      <c r="I2" s="6" t="s">
        <v>12</v>
      </c>
      <c r="J2" s="2"/>
      <c r="K2" s="7" t="s">
        <v>13</v>
      </c>
      <c r="L2" s="3">
        <f>L4*I6*L9/100*100</f>
        <v>25.718717129629631</v>
      </c>
      <c r="M2" s="8" t="s">
        <v>14</v>
      </c>
      <c r="N2" s="9"/>
      <c r="O2" s="2">
        <f>ABS(S7-S6)/ABS(T7-T6)*1000</f>
        <v>2636.9837419353435</v>
      </c>
      <c r="P2" s="2"/>
      <c r="Q2" s="6" t="s">
        <v>15</v>
      </c>
      <c r="R2" s="2"/>
      <c r="S2" s="7" t="s">
        <v>13</v>
      </c>
      <c r="T2" s="3">
        <f>T4*Q6*T9/100*100</f>
        <v>25.837377140740735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25.837377140740742</v>
      </c>
      <c r="AE2" s="8" t="s">
        <v>14</v>
      </c>
      <c r="AF2" s="9"/>
      <c r="AG2" s="2">
        <f>ABS(AK7-AK6)/ABS(AL7-AL6)*1000</f>
        <v>5446.4670000008909</v>
      </c>
      <c r="AH2" s="2"/>
      <c r="AI2" s="6" t="s">
        <v>15</v>
      </c>
      <c r="AJ2" s="2"/>
      <c r="AK2" s="7" t="s">
        <v>13</v>
      </c>
      <c r="AL2" s="3">
        <f>AL4*AI6*AL9/100*100</f>
        <v>25.784198490123455</v>
      </c>
      <c r="AM2" s="8" t="s">
        <v>14</v>
      </c>
      <c r="AP2" s="9"/>
      <c r="AQ2" s="2">
        <f>ABS(AU7-AU6)/ABS(AV7-AV6)*1000</f>
        <v>110083.05000001799</v>
      </c>
      <c r="AR2" s="2"/>
      <c r="AS2" s="6" t="s">
        <v>12</v>
      </c>
      <c r="AT2" s="2"/>
      <c r="AU2" s="7" t="s">
        <v>13</v>
      </c>
      <c r="AV2" s="3">
        <f>AV4*AS6*AV9/100*100</f>
        <v>25.890280011111109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1.79993</v>
      </c>
      <c r="J3" s="2"/>
      <c r="K3" s="10">
        <f>INDEX(L11:L1056,MATCH(I3,K11:K1056,0))</f>
        <v>-0.61788641975308634</v>
      </c>
      <c r="L3" s="26" t="s">
        <v>16</v>
      </c>
      <c r="M3" s="11">
        <f>M9</f>
        <v>25.718717129629631</v>
      </c>
      <c r="N3" s="9"/>
      <c r="O3" s="2" t="s">
        <v>44</v>
      </c>
      <c r="P3" s="2"/>
      <c r="Q3" s="2">
        <f>INDEX(S11:S1056,MATCH(0,T11:T1056,-1))</f>
        <v>1.79352</v>
      </c>
      <c r="R3" s="2"/>
      <c r="S3" s="10">
        <f>INDEX(T11:T1056,MATCH(Q3,S11:S1056,0))</f>
        <v>1.297567901234568</v>
      </c>
      <c r="T3" s="26" t="s">
        <v>16</v>
      </c>
      <c r="U3" s="11">
        <f>U9</f>
        <v>25.837377140740738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-0.42325185185185177</v>
      </c>
      <c r="AD3" s="26" t="s">
        <v>16</v>
      </c>
      <c r="AE3" s="11">
        <f>AE9</f>
        <v>25.837377140740738</v>
      </c>
      <c r="AF3" s="9"/>
      <c r="AG3" s="2" t="s">
        <v>44</v>
      </c>
      <c r="AH3" s="2"/>
      <c r="AI3" s="2">
        <f>INDEX(AK11:AK1056,MATCH(0,AL11:AL1056,-1))</f>
        <v>1.79779</v>
      </c>
      <c r="AJ3" s="2"/>
      <c r="AK3" s="10">
        <f>INDEX(AL11:AL1056,MATCH(AI3,AK11:AK1056,0))</f>
        <v>0.5964493827160493</v>
      </c>
      <c r="AL3" s="26" t="s">
        <v>16</v>
      </c>
      <c r="AM3" s="11">
        <f>AM9</f>
        <v>25.784198490123455</v>
      </c>
      <c r="AP3" s="9"/>
      <c r="AQ3" s="2" t="s">
        <v>44</v>
      </c>
      <c r="AR3" s="2"/>
      <c r="AS3" s="2">
        <f>INDEX(AU11:AU856,MATCH(0,AV11:AV856,1))</f>
        <v>1.79962</v>
      </c>
      <c r="AT3" s="2"/>
      <c r="AU3" s="10">
        <f>INDEX(AV11:AV1056,MATCH(AS3,AU11:AU1056,0))</f>
        <v>-1.3397654320987655</v>
      </c>
      <c r="AV3" s="26" t="s">
        <v>16</v>
      </c>
      <c r="AW3" s="11">
        <f>AW9</f>
        <v>25.890280011111109</v>
      </c>
      <c r="AX3" s="9"/>
      <c r="AY3" s="2" t="s">
        <v>44</v>
      </c>
      <c r="AZ3" s="2"/>
      <c r="BA3" s="2">
        <f>INDEX(BC11:BC1056,MATCH(0,BD11:BD1056,-1))</f>
        <v>1.7926</v>
      </c>
      <c r="BB3" s="2"/>
      <c r="BC3" s="10">
        <f>INDEX(BD11:BD1056,MATCH(BA3,BC11:BC1056,0))</f>
        <v>1.5677037037037036</v>
      </c>
      <c r="BD3" s="26" t="s">
        <v>16</v>
      </c>
      <c r="BE3" s="11">
        <f>BE9</f>
        <v>25.798716738271601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2.9215986612032649</v>
      </c>
      <c r="H4" s="2"/>
      <c r="I4" s="2">
        <f>INDEX(K11:K1000,1+MATCH(0,L11:L856,1))</f>
        <v>1.79474</v>
      </c>
      <c r="J4" s="2"/>
      <c r="K4" s="10">
        <f>INDEX(L11:L1056,MATCH(I4,K11:K1056,0))</f>
        <v>1.1585382716049382</v>
      </c>
      <c r="L4" s="25">
        <f>M3/(I6*L9)</f>
        <v>0.76559782350393701</v>
      </c>
      <c r="M4" s="8" t="s">
        <v>17</v>
      </c>
      <c r="N4" s="9"/>
      <c r="O4" s="2">
        <f>ABS(Q3-Q4)/ABS(S3-S4)*1000</f>
        <v>3.1903399470823524</v>
      </c>
      <c r="P4" s="2"/>
      <c r="Q4" s="2">
        <f>INDEX(S11:S856,1+MATCH(0,T11:T856,-1))</f>
        <v>1.79901</v>
      </c>
      <c r="R4" s="2"/>
      <c r="S4" s="10">
        <f>INDEX(T11:T856,MATCH(Q4,S11:S856,0))</f>
        <v>-0.42325185185185177</v>
      </c>
      <c r="T4" s="25">
        <f>U3/(Q6*T9)</f>
        <v>0.7725926176495892</v>
      </c>
      <c r="U4" s="8" t="s">
        <v>17</v>
      </c>
      <c r="X4" s="9"/>
      <c r="Y4" s="2">
        <f>ABS(AA3-AA4)/ABS(AC3-AC4)*1000</f>
        <v>3.1903399470823524</v>
      </c>
      <c r="Z4" s="2"/>
      <c r="AA4" s="2">
        <f>INDEX(AC11:AC1000,1+MATCH(0,AD11:AD856,1))</f>
        <v>1.79352</v>
      </c>
      <c r="AB4" s="2"/>
      <c r="AC4" s="10">
        <f>INDEX(AD11:AD1056,MATCH(AA4,AC11:AC1056,0))</f>
        <v>1.297567901234568</v>
      </c>
      <c r="AD4" s="25">
        <f>AE3/(AA6*AD9)</f>
        <v>0.7725458080302251</v>
      </c>
      <c r="AE4" s="8" t="s">
        <v>17</v>
      </c>
      <c r="AF4" s="9"/>
      <c r="AG4" s="2">
        <f>ABS(AI3-AI4)/ABS(AK3-AK4)*1000</f>
        <v>2.9503205848005911</v>
      </c>
      <c r="AH4" s="2"/>
      <c r="AI4" s="2">
        <f>INDEX(AK11:AK856,1+MATCH(0,AL11:AL856,-1))</f>
        <v>1.80298</v>
      </c>
      <c r="AJ4" s="2"/>
      <c r="AK4" s="10">
        <f>INDEX(AL11:AL856,MATCH(AI4,AK11:AK856,0))</f>
        <v>-1.1626814814814814</v>
      </c>
      <c r="AL4" s="25">
        <f>AM3/(AI6*AL9)</f>
        <v>0.76875286654108232</v>
      </c>
      <c r="AM4" s="8" t="s">
        <v>17</v>
      </c>
      <c r="AP4" s="9"/>
      <c r="AQ4" s="2">
        <f>ABS(AS3-AS4)/ABS(AU3-AU4)*1000</f>
        <v>2.6385738564377621</v>
      </c>
      <c r="AR4" s="2"/>
      <c r="AS4" s="2">
        <f>INDEX(AU11:AU1000,1+MATCH(0,AV11:AV856,1))</f>
        <v>1.79474</v>
      </c>
      <c r="AT4" s="2"/>
      <c r="AU4" s="10">
        <f>INDEX(AV11:AV1056,MATCH(AS4,AU11:AU1056,0))</f>
        <v>0.50971851851851857</v>
      </c>
      <c r="AV4" s="25">
        <f>AW3/(AS6*AV9)</f>
        <v>0.77406487509669974</v>
      </c>
      <c r="AW4" s="8" t="s">
        <v>17</v>
      </c>
      <c r="AX4" s="9"/>
      <c r="AY4" s="2">
        <f>ABS(BA3-BA4)/ABS(BC3-BC4)*1000</f>
        <v>2.8585058030360031</v>
      </c>
      <c r="AZ4" s="2"/>
      <c r="BA4" s="2">
        <f>INDEX(BC11:BC856,1+MATCH(0,BD11:BD856,-1))</f>
        <v>1.79749</v>
      </c>
      <c r="BB4" s="2"/>
      <c r="BC4" s="10">
        <f>INDEX(BD11:BD856,MATCH(BA4,BC11:BC856,0))</f>
        <v>-0.14298024691358022</v>
      </c>
      <c r="BD4" s="25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16.558641975308642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16.581234567901234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16.581234567901234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16.456913580246912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16.615185185185183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16.626419753086417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1.7981247838632737</v>
      </c>
      <c r="J6" s="25"/>
      <c r="K6" s="2">
        <f>INDEX(K11:K1056,MATCH(L6,L11:L1056,0))</f>
        <v>6.7169199999999998E-2</v>
      </c>
      <c r="L6" s="10">
        <f>INDEX(L11:L1056,MATCH(0,K11:K1056,-1))</f>
        <v>18.642098765432099</v>
      </c>
      <c r="M6" s="8" t="s">
        <v>22</v>
      </c>
      <c r="N6" s="9"/>
      <c r="O6" s="2"/>
      <c r="P6" s="2"/>
      <c r="Q6" s="27">
        <f>(Q3-Q4)/(S3-S4)*(-S4)+Q4</f>
        <v>1.7976596827093605</v>
      </c>
      <c r="R6" s="27"/>
      <c r="S6" s="2">
        <f>INDEX(S11:S1056,MATCH(T6,T11:T1056,0))</f>
        <v>-2.97241E-3</v>
      </c>
      <c r="T6" s="10">
        <f>INDEX(T11:T1056,MATCH(0,S11:S1056,1))</f>
        <v>18.604444444444443</v>
      </c>
      <c r="U6" s="8" t="s">
        <v>22</v>
      </c>
      <c r="X6" s="9"/>
      <c r="Y6" s="2"/>
      <c r="Z6" s="2"/>
      <c r="AA6" s="25">
        <f>(AA3-AA4)/(AC3-AC4)*(-AC4)+AA4</f>
        <v>1.7976596827093605</v>
      </c>
      <c r="AB6" s="25"/>
      <c r="AC6" s="2">
        <f>INDEX(AC11:AC1056,MATCH(AD6,AD11:AD1056,0))</f>
        <v>0.43978899999999999</v>
      </c>
      <c r="AD6" s="10">
        <f>INDEX(AD11:AD1056,MATCH(0,AC11:AC1056,-1))</f>
        <v>18.604444444444443</v>
      </c>
      <c r="AE6" s="8" t="s">
        <v>22</v>
      </c>
      <c r="AF6" s="9"/>
      <c r="AG6" s="2"/>
      <c r="AH6" s="2"/>
      <c r="AI6" s="27">
        <f>(AI3-AI4)/(AK3-AK4)*(-AK4)+AI4</f>
        <v>1.7995497168916188</v>
      </c>
      <c r="AJ6" s="27"/>
      <c r="AK6" s="2">
        <f>INDEX(AK11:AK1056,MATCH(AL6,AL11:AL1056,0))</f>
        <v>-1.95648E-2</v>
      </c>
      <c r="AL6" s="10">
        <f>INDEX(AL11:AL1056,MATCH(0,AK11:AK1056,1))</f>
        <v>18.634567901234568</v>
      </c>
      <c r="AM6" s="8" t="s">
        <v>22</v>
      </c>
      <c r="AP6" s="9"/>
      <c r="AQ6" s="2"/>
      <c r="AR6" s="2"/>
      <c r="AS6" s="25">
        <f>(AS3-AS4)/(AU3-AU4)*(-AU4)+AS4</f>
        <v>1.7960849299571051</v>
      </c>
      <c r="AT6" s="25"/>
      <c r="AU6" s="2">
        <f>INDEX(AU11:AU1056,MATCH(AV6,AV11:AV1056,0))</f>
        <v>0.30377199999999999</v>
      </c>
      <c r="AV6" s="10">
        <f>INDEX(AV11:AV1056,MATCH(0,AU11:AU1056,-1))</f>
        <v>18.619506172839504</v>
      </c>
      <c r="AW6" s="8" t="s">
        <v>22</v>
      </c>
      <c r="AX6" s="9"/>
      <c r="AY6" s="2"/>
      <c r="AZ6" s="2"/>
      <c r="BA6" s="27">
        <f>(BA3-BA4)/(BC3-BC4)*(-BC4)+BA4</f>
        <v>1.7970812901344781</v>
      </c>
      <c r="BB6" s="27"/>
      <c r="BC6" s="2">
        <f>INDEX(BC11:BC1056,MATCH(BD6,BD11:BD1056,0))</f>
        <v>-4.4860799999999999E-3</v>
      </c>
      <c r="BD6" s="10">
        <f>INDEX(BD11:BD1056,MATCH(0,BC11:BC1056,1))</f>
        <v>18.611975308641973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9.2376700000000006E-2</v>
      </c>
      <c r="L7" s="10">
        <f>INDEX(L11:L856,1+MATCH(0,K11:K856,-1))</f>
        <v>18.627037037037034</v>
      </c>
      <c r="M7" s="12">
        <f>INDEX(K11:K1056,MATCH(M9,M11:M1056,0))</f>
        <v>1.5527299999999999</v>
      </c>
      <c r="N7" s="9"/>
      <c r="O7" s="2"/>
      <c r="P7" s="2"/>
      <c r="Q7" s="2"/>
      <c r="R7" s="2"/>
      <c r="S7" s="2">
        <f>INDEX(S11:S1056,MATCH(T7,T11:T1056,0))</f>
        <v>7.1197500000000002E-3</v>
      </c>
      <c r="T7" s="10">
        <f>INDEX(T11:T1056,2+MATCH(0,S11:S1056,1))</f>
        <v>18.600617283950616</v>
      </c>
      <c r="U7" s="12">
        <f>INDEX(S11:S1056,MATCH(U9,U11:U1056,0))</f>
        <v>1.55731</v>
      </c>
      <c r="X7" s="9"/>
      <c r="Y7" s="2"/>
      <c r="Z7" s="2"/>
      <c r="AA7" s="2"/>
      <c r="AB7" s="2"/>
      <c r="AC7" s="2">
        <f>INDEX(AC11:AC856,MATCH(AD7,AD11:AD856,1))</f>
        <v>5.2185099999999998E-2</v>
      </c>
      <c r="AD7" s="10">
        <f>INDEX(AD11:AD856,1+MATCH(0,AC11:AC856,-1))</f>
        <v>18.604444444444443</v>
      </c>
      <c r="AE7" s="12">
        <f>INDEX(AC11:AC1056,MATCH(AE9,AE11:AE1056,0))</f>
        <v>1.55731</v>
      </c>
      <c r="AF7" s="9"/>
      <c r="AG7" s="2"/>
      <c r="AH7" s="2"/>
      <c r="AI7" s="2"/>
      <c r="AJ7" s="2"/>
      <c r="AK7" s="2">
        <f>INDEX(AK11:AK1056,MATCH(AL7,AL11:AL1056,0))</f>
        <v>6.0729999999999996E-4</v>
      </c>
      <c r="AL7" s="10">
        <f>INDEX(AL11:AL1056,1+MATCH(0,AK11:AK1056,1))</f>
        <v>18.638271604938272</v>
      </c>
      <c r="AM7" s="12">
        <f>INDEX(AK11:AK1056,MATCH(AM9,AM11:AM1056,0))</f>
        <v>1.56586</v>
      </c>
      <c r="AP7" s="9"/>
      <c r="AQ7" s="2"/>
      <c r="AR7" s="2"/>
      <c r="AS7" s="2"/>
      <c r="AT7" s="2"/>
      <c r="AU7" s="2">
        <f>INDEX(AU11:AU856,MATCH(AV7,AV11:AV856,1))</f>
        <v>-0.10394299999999999</v>
      </c>
      <c r="AV7" s="10">
        <f>INDEX(AV11:AV856,1+MATCH(0,AU11:AU856,-1))</f>
        <v>18.623209876543207</v>
      </c>
      <c r="AW7" s="12">
        <f>INDEX(AU11:AU1056,MATCH(AW9,AW11:AW1056,0))</f>
        <v>1.55731</v>
      </c>
      <c r="AX7" s="9"/>
      <c r="AY7" s="2"/>
      <c r="AZ7" s="2"/>
      <c r="BA7" s="2"/>
      <c r="BB7" s="2"/>
      <c r="BC7" s="2">
        <f>INDEX(BC11:BC1056,MATCH(BD7,BD11:BD1056,0))</f>
        <v>-4.4860799999999999E-3</v>
      </c>
      <c r="BD7" s="10">
        <f>INDEX(BD11:BD1056,1+MATCH(0,BC11:BC1056,1))</f>
        <v>18.611975308641973</v>
      </c>
      <c r="BE7" s="12">
        <f>INDEX(BC11:BC1056,MATCH(BE9,BE11:BE1056,0))</f>
        <v>1.5515099999999999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0.45925718568390828</v>
      </c>
      <c r="J9" s="2"/>
      <c r="K9" s="2"/>
      <c r="L9" s="3">
        <f>(L6-L7)/(K6-K7)*(-K7)+L7</f>
        <v>18.682233020987539</v>
      </c>
      <c r="M9" s="15">
        <f>MAX(M11:M1056)</f>
        <v>25.718717129629631</v>
      </c>
      <c r="N9" s="9"/>
      <c r="O9" s="2"/>
      <c r="P9" s="2"/>
      <c r="Q9" s="2"/>
      <c r="R9" s="2"/>
      <c r="S9" s="2"/>
      <c r="T9" s="3">
        <f>(T6-T7)/(S6-S7)*(-S7)+T7</f>
        <v>18.603317243714027</v>
      </c>
      <c r="U9" s="15">
        <f>MAX(U11:U1056)</f>
        <v>25.837377140740738</v>
      </c>
      <c r="X9" s="9"/>
      <c r="Y9" s="2"/>
      <c r="Z9" s="2"/>
      <c r="AA9" s="14">
        <f>(MAX(AD2,AL2)-MIN(AD2,AL2))/MAX(AD2,AL2)%</f>
        <v>0.20582062307491056</v>
      </c>
      <c r="AB9" s="2"/>
      <c r="AC9" s="2"/>
      <c r="AD9" s="3">
        <f>(AD6-AD7)/(AC6-AC7)*(-AC7)+AD7</f>
        <v>18.604444444444443</v>
      </c>
      <c r="AE9" s="15">
        <f>MAX(AE11:AE1056)</f>
        <v>25.837377140740738</v>
      </c>
      <c r="AF9" s="9"/>
      <c r="AG9" s="2"/>
      <c r="AH9" s="2"/>
      <c r="AI9" s="2"/>
      <c r="AJ9" s="2"/>
      <c r="AK9" s="2"/>
      <c r="AL9" s="3">
        <f>(AL6-AL7)/(AK6-AK7)*(-AK7)+AL7</f>
        <v>18.638160101462717</v>
      </c>
      <c r="AM9" s="15">
        <f>MAX(AM11:AM1056)</f>
        <v>25.784198490123455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18.622265653068293</v>
      </c>
      <c r="AW9" s="15">
        <f>MAX(AW11:AW1056)</f>
        <v>25.890280011111109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25.798716738271601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1.7981247838632737</v>
      </c>
      <c r="B11" s="18">
        <f>IFERROR(L9,0)</f>
        <v>18.682233020987539</v>
      </c>
      <c r="C11" s="19">
        <f>IFERROR(L4,0)</f>
        <v>0.76559782350393701</v>
      </c>
      <c r="D11" s="20">
        <f>IFERROR(L2,0)</f>
        <v>25.718717129629631</v>
      </c>
      <c r="E11" s="20">
        <f>IFERROR(I9,0)</f>
        <v>0.45925718568390828</v>
      </c>
      <c r="F11" s="9"/>
      <c r="G11" s="21">
        <v>1.8150299999999999</v>
      </c>
      <c r="H11" s="21">
        <v>5.0323900000000004</v>
      </c>
      <c r="I11" s="21">
        <v>6.1126699999999997E-3</v>
      </c>
      <c r="J11" s="21">
        <v>1</v>
      </c>
      <c r="K11" s="21">
        <v>1.81396</v>
      </c>
      <c r="L11">
        <f>-I11/$F$2*1000</f>
        <v>-7.5465061728395053</v>
      </c>
      <c r="M11">
        <f>L11*G11</f>
        <v>-13.697135098888888</v>
      </c>
      <c r="N11" s="9"/>
      <c r="O11" s="21">
        <v>-0.10345500000000001</v>
      </c>
      <c r="P11" s="21">
        <v>18.2837</v>
      </c>
      <c r="Q11" s="21">
        <v>-1.51001E-2</v>
      </c>
      <c r="R11" s="21">
        <v>382</v>
      </c>
      <c r="S11" s="21">
        <v>-0.103973</v>
      </c>
      <c r="T11">
        <f>-Q11/$F$2*1000</f>
        <v>18.642098765432099</v>
      </c>
      <c r="U11">
        <f>T11*O11</f>
        <v>-1.928618327777778</v>
      </c>
      <c r="V11" s="22"/>
      <c r="W11" s="23"/>
      <c r="X11" s="9"/>
      <c r="Y11" s="21">
        <v>1.8150299999999999</v>
      </c>
      <c r="Z11" s="21">
        <v>14.4466</v>
      </c>
      <c r="AA11" s="21">
        <v>5.48096E-3</v>
      </c>
      <c r="AB11" s="21">
        <v>1</v>
      </c>
      <c r="AC11" s="21">
        <v>1.8145800000000001</v>
      </c>
      <c r="AD11">
        <f>-AA11/$F$2*1000</f>
        <v>-6.766617283950616</v>
      </c>
      <c r="AE11">
        <f>AD11*Y11</f>
        <v>-12.281613368888886</v>
      </c>
      <c r="AF11" s="9"/>
      <c r="AG11" s="21">
        <v>-9.49097E-2</v>
      </c>
      <c r="AH11" s="21">
        <v>18.306100000000001</v>
      </c>
      <c r="AI11" s="21">
        <v>-1.5115399999999999E-2</v>
      </c>
      <c r="AJ11" s="21">
        <v>1</v>
      </c>
      <c r="AK11" s="21">
        <v>-9.5489500000000005E-2</v>
      </c>
      <c r="AL11">
        <f>-AI11/$F$2*1000</f>
        <v>18.660987654320987</v>
      </c>
      <c r="AM11">
        <f>AL11*AG11</f>
        <v>-1.7711087399753085</v>
      </c>
      <c r="AP11" s="9"/>
      <c r="AQ11" s="21">
        <v>1.8150299999999999</v>
      </c>
      <c r="AR11" s="21">
        <v>23.880800000000001</v>
      </c>
      <c r="AS11" s="21">
        <v>6.6284200000000003E-3</v>
      </c>
      <c r="AT11" s="21">
        <v>1</v>
      </c>
      <c r="AU11" s="21">
        <v>1.8145800000000001</v>
      </c>
      <c r="AV11">
        <f>-AS11/$F$2*1000</f>
        <v>-8.1832345679012342</v>
      </c>
      <c r="AW11">
        <f>AV11*AQ11</f>
        <v>-14.852816237777777</v>
      </c>
      <c r="AX11" s="9"/>
      <c r="AY11" s="21">
        <v>-9.49097E-2</v>
      </c>
      <c r="AZ11" s="21">
        <v>27.740300000000001</v>
      </c>
      <c r="BA11" s="21">
        <v>-1.50513E-2</v>
      </c>
      <c r="BB11" s="21">
        <v>1</v>
      </c>
      <c r="BC11" s="21">
        <v>-9.5397899999999994E-2</v>
      </c>
      <c r="BD11">
        <f>-BA11/$F$2*1000</f>
        <v>18.581851851851848</v>
      </c>
      <c r="BE11">
        <f>BD11*AY11</f>
        <v>-1.7635979847037033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1.7976596827093605</v>
      </c>
      <c r="B12" s="18">
        <f>IFERROR(T9,0)</f>
        <v>18.603317243714027</v>
      </c>
      <c r="C12" s="19">
        <f>IFERROR(T4,0)</f>
        <v>0.7725926176495892</v>
      </c>
      <c r="D12" s="20">
        <f>IFERROR(T2,0)</f>
        <v>25.837377140740735</v>
      </c>
      <c r="E12" s="20"/>
      <c r="F12" s="9"/>
      <c r="G12" s="21">
        <v>1.81</v>
      </c>
      <c r="H12" s="21">
        <v>5.0424600000000002</v>
      </c>
      <c r="I12" s="21">
        <v>4.02557E-3</v>
      </c>
      <c r="J12" s="21">
        <v>2</v>
      </c>
      <c r="K12" s="21">
        <v>1.8093900000000001</v>
      </c>
      <c r="L12">
        <f t="shared" ref="L12:L75" si="0">-I12/$F$2*1000</f>
        <v>-4.9698395061728391</v>
      </c>
      <c r="M12">
        <f t="shared" ref="M12:M75" si="1">L12*G12</f>
        <v>-8.9954095061728392</v>
      </c>
      <c r="N12" s="9"/>
      <c r="O12" s="21">
        <v>-9.8419199999999998E-2</v>
      </c>
      <c r="P12" s="21">
        <v>18.273599999999998</v>
      </c>
      <c r="Q12" s="21">
        <v>-1.5094E-2</v>
      </c>
      <c r="R12" s="21">
        <v>381</v>
      </c>
      <c r="S12" s="21">
        <v>-9.8937999999999998E-2</v>
      </c>
      <c r="T12">
        <f t="shared" ref="T12:T75" si="2">-Q12/$F$2*1000</f>
        <v>18.634567901234568</v>
      </c>
      <c r="U12">
        <f t="shared" ref="U12:U75" si="3">T12*O12</f>
        <v>-1.8339992651851853</v>
      </c>
      <c r="V12" s="22"/>
      <c r="W12" s="23"/>
      <c r="X12" s="9"/>
      <c r="Y12" s="21">
        <v>1.81</v>
      </c>
      <c r="Z12" s="21">
        <v>14.4567</v>
      </c>
      <c r="AA12" s="21">
        <v>3.5717800000000001E-3</v>
      </c>
      <c r="AB12" s="21">
        <v>2</v>
      </c>
      <c r="AC12" s="21">
        <v>1.8093900000000001</v>
      </c>
      <c r="AD12">
        <f t="shared" ref="AD12:AD75" si="4">-AA12/$F$2*1000</f>
        <v>-4.4096049382716043</v>
      </c>
      <c r="AE12">
        <f t="shared" ref="AE12:AE75" si="5">AD12*Y12</f>
        <v>-7.9813849382716038</v>
      </c>
      <c r="AF12" s="9"/>
      <c r="AG12" s="21">
        <v>-8.9874300000000004E-2</v>
      </c>
      <c r="AH12" s="21">
        <v>18.316099999999999</v>
      </c>
      <c r="AI12" s="21">
        <v>-1.51062E-2</v>
      </c>
      <c r="AJ12" s="21">
        <v>2</v>
      </c>
      <c r="AK12" s="21">
        <v>-9.0393100000000004E-2</v>
      </c>
      <c r="AL12">
        <f t="shared" ref="AL12:AL75" si="6">-AI12/$F$2*1000</f>
        <v>18.649629629629626</v>
      </c>
      <c r="AM12">
        <f t="shared" ref="AM12:AM75" si="7">AL12*AG12</f>
        <v>-1.6761224082222219</v>
      </c>
      <c r="AP12" s="9"/>
      <c r="AQ12" s="21">
        <v>1.81</v>
      </c>
      <c r="AR12" s="21">
        <v>23.890899999999998</v>
      </c>
      <c r="AS12" s="21">
        <v>4.6023599999999998E-3</v>
      </c>
      <c r="AT12" s="21">
        <v>2</v>
      </c>
      <c r="AU12" s="21">
        <v>1.8093900000000001</v>
      </c>
      <c r="AV12">
        <f t="shared" ref="AV12:AV75" si="8">-AS12/$F$2*1000</f>
        <v>-5.6819259259259249</v>
      </c>
      <c r="AW12">
        <f t="shared" ref="AW12:AW75" si="9">AV12*AQ12</f>
        <v>-10.284285925925925</v>
      </c>
      <c r="AX12" s="9"/>
      <c r="AY12" s="21">
        <v>-8.9874300000000004E-2</v>
      </c>
      <c r="AZ12" s="21">
        <v>27.750399999999999</v>
      </c>
      <c r="BA12" s="21">
        <v>-1.50574E-2</v>
      </c>
      <c r="BB12" s="21">
        <v>2</v>
      </c>
      <c r="BC12" s="21">
        <v>-9.0362499999999998E-2</v>
      </c>
      <c r="BD12">
        <f t="shared" ref="BD12:BD75" si="10">-BA12/$F$2*1000</f>
        <v>18.589382716049382</v>
      </c>
      <c r="BE12">
        <f t="shared" ref="BE12:BE75" si="11">BD12*AY12</f>
        <v>-1.6707077590370372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1.7976596827093605</v>
      </c>
      <c r="B13" s="18">
        <f>IFERROR(AD9,0)</f>
        <v>18.604444444444443</v>
      </c>
      <c r="C13" s="19">
        <f>IFERROR(AD4,0)</f>
        <v>0.7725458080302251</v>
      </c>
      <c r="D13" s="20">
        <f>IFERROR(AD2,0)</f>
        <v>25.837377140740742</v>
      </c>
      <c r="E13" s="20">
        <f>IFERROR(AA9,0)</f>
        <v>0.20582062307491056</v>
      </c>
      <c r="F13" s="9"/>
      <c r="G13" s="21">
        <v>1.8049599999999999</v>
      </c>
      <c r="H13" s="21">
        <v>5.05253</v>
      </c>
      <c r="I13" s="21">
        <v>2.1536300000000001E-3</v>
      </c>
      <c r="J13" s="21">
        <v>3</v>
      </c>
      <c r="K13" s="21">
        <v>1.8042</v>
      </c>
      <c r="L13">
        <f t="shared" si="0"/>
        <v>-2.6588024691358023</v>
      </c>
      <c r="M13">
        <f t="shared" si="1"/>
        <v>-4.7990321046913573</v>
      </c>
      <c r="N13" s="9"/>
      <c r="O13" s="21">
        <v>-9.3383800000000003E-2</v>
      </c>
      <c r="P13" s="21">
        <v>18.263500000000001</v>
      </c>
      <c r="Q13" s="21">
        <v>-1.5094E-2</v>
      </c>
      <c r="R13" s="21">
        <v>380</v>
      </c>
      <c r="S13" s="21">
        <v>-9.3902600000000003E-2</v>
      </c>
      <c r="T13">
        <f t="shared" si="2"/>
        <v>18.634567901234568</v>
      </c>
      <c r="U13">
        <f t="shared" si="3"/>
        <v>-1.7401667619753087</v>
      </c>
      <c r="V13" s="22"/>
      <c r="W13" s="23"/>
      <c r="X13" s="9"/>
      <c r="Y13" s="21">
        <v>1.8049599999999999</v>
      </c>
      <c r="Z13" s="21">
        <v>14.466699999999999</v>
      </c>
      <c r="AA13" s="21">
        <v>1.8573000000000001E-3</v>
      </c>
      <c r="AB13" s="21">
        <v>3</v>
      </c>
      <c r="AC13" s="21">
        <v>1.8045</v>
      </c>
      <c r="AD13">
        <f t="shared" si="4"/>
        <v>-2.2929629629629629</v>
      </c>
      <c r="AE13">
        <f t="shared" si="5"/>
        <v>-4.1387064296296296</v>
      </c>
      <c r="AF13" s="9"/>
      <c r="AG13" s="21">
        <v>-8.4838899999999995E-2</v>
      </c>
      <c r="AH13" s="21">
        <v>18.3262</v>
      </c>
      <c r="AI13" s="21">
        <v>-1.5109300000000001E-2</v>
      </c>
      <c r="AJ13" s="21">
        <v>3</v>
      </c>
      <c r="AK13" s="21">
        <v>-8.5388199999999997E-2</v>
      </c>
      <c r="AL13">
        <f t="shared" si="6"/>
        <v>18.653456790123457</v>
      </c>
      <c r="AM13">
        <f t="shared" si="7"/>
        <v>-1.5825387552716048</v>
      </c>
      <c r="AP13" s="9"/>
      <c r="AQ13" s="21">
        <v>1.8049599999999999</v>
      </c>
      <c r="AR13" s="21">
        <v>23.901</v>
      </c>
      <c r="AS13" s="21">
        <v>2.7066E-3</v>
      </c>
      <c r="AT13" s="21">
        <v>3</v>
      </c>
      <c r="AU13" s="21">
        <v>1.80481</v>
      </c>
      <c r="AV13">
        <f t="shared" si="8"/>
        <v>-3.3414814814814813</v>
      </c>
      <c r="AW13">
        <f t="shared" si="9"/>
        <v>-6.031240414814814</v>
      </c>
      <c r="AX13" s="9"/>
      <c r="AY13" s="21">
        <v>-8.4838899999999995E-2</v>
      </c>
      <c r="AZ13" s="21">
        <v>27.7605</v>
      </c>
      <c r="BA13" s="21">
        <v>-1.5063500000000001E-2</v>
      </c>
      <c r="BB13" s="21">
        <v>3</v>
      </c>
      <c r="BC13" s="21">
        <v>-8.5388199999999997E-2</v>
      </c>
      <c r="BD13">
        <f t="shared" si="10"/>
        <v>18.596913580246913</v>
      </c>
      <c r="BE13">
        <f t="shared" si="11"/>
        <v>-1.5777416915432096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1.7995497168916188</v>
      </c>
      <c r="B14" s="18">
        <f>IFERROR(AL9,0)</f>
        <v>18.638160101462717</v>
      </c>
      <c r="C14" s="19">
        <f>IFERROR(AL4,0)</f>
        <v>0.76875286654108232</v>
      </c>
      <c r="D14" s="20">
        <f>IFERROR(AL2,0)</f>
        <v>25.784198490123455</v>
      </c>
      <c r="E14" s="20"/>
      <c r="F14" s="9"/>
      <c r="G14" s="21">
        <v>1.79993</v>
      </c>
      <c r="H14" s="21">
        <v>5.0625999999999998</v>
      </c>
      <c r="I14" s="21">
        <v>5.00488E-4</v>
      </c>
      <c r="J14" s="21">
        <v>4</v>
      </c>
      <c r="K14" s="21">
        <v>1.79993</v>
      </c>
      <c r="L14">
        <f t="shared" si="0"/>
        <v>-0.61788641975308634</v>
      </c>
      <c r="M14">
        <f t="shared" si="1"/>
        <v>-1.1121523035061727</v>
      </c>
      <c r="N14" s="9"/>
      <c r="O14" s="21">
        <v>-8.8348399999999994E-2</v>
      </c>
      <c r="P14" s="21">
        <v>18.253399999999999</v>
      </c>
      <c r="Q14" s="21">
        <v>-1.51062E-2</v>
      </c>
      <c r="R14" s="21">
        <v>379</v>
      </c>
      <c r="S14" s="21">
        <v>-8.8836700000000005E-2</v>
      </c>
      <c r="T14">
        <f t="shared" si="2"/>
        <v>18.649629629629626</v>
      </c>
      <c r="U14">
        <f t="shared" si="3"/>
        <v>-1.6476649383703699</v>
      </c>
      <c r="V14" s="22"/>
      <c r="W14" s="23"/>
      <c r="X14" s="9"/>
      <c r="Y14" s="21">
        <v>1.79993</v>
      </c>
      <c r="Z14" s="21">
        <v>14.476800000000001</v>
      </c>
      <c r="AA14" s="21">
        <v>3.4283399999999998E-4</v>
      </c>
      <c r="AB14" s="21">
        <v>4</v>
      </c>
      <c r="AC14" s="21">
        <v>1.79901</v>
      </c>
      <c r="AD14">
        <f t="shared" si="4"/>
        <v>-0.42325185185185177</v>
      </c>
      <c r="AE14">
        <f t="shared" si="5"/>
        <v>-0.76182370570370361</v>
      </c>
      <c r="AF14" s="9"/>
      <c r="AG14" s="21">
        <v>-7.9803499999999999E-2</v>
      </c>
      <c r="AH14" s="21">
        <v>18.336300000000001</v>
      </c>
      <c r="AI14" s="21">
        <v>-1.5115399999999999E-2</v>
      </c>
      <c r="AJ14" s="21">
        <v>4</v>
      </c>
      <c r="AK14" s="21">
        <v>-8.0322299999999999E-2</v>
      </c>
      <c r="AL14">
        <f t="shared" si="6"/>
        <v>18.660987654320987</v>
      </c>
      <c r="AM14">
        <f t="shared" si="7"/>
        <v>-1.4892121282716049</v>
      </c>
      <c r="AP14" s="9"/>
      <c r="AQ14" s="21">
        <v>1.79993</v>
      </c>
      <c r="AR14" s="21">
        <v>23.911000000000001</v>
      </c>
      <c r="AS14" s="21">
        <v>1.0852100000000001E-3</v>
      </c>
      <c r="AT14" s="21">
        <v>4</v>
      </c>
      <c r="AU14" s="21">
        <v>1.79962</v>
      </c>
      <c r="AV14">
        <f t="shared" si="8"/>
        <v>-1.3397654320987655</v>
      </c>
      <c r="AW14">
        <f t="shared" si="9"/>
        <v>-2.411483994197531</v>
      </c>
      <c r="AX14" s="9"/>
      <c r="AY14" s="21">
        <v>-7.9803499999999999E-2</v>
      </c>
      <c r="AZ14" s="21">
        <v>27.770499999999998</v>
      </c>
      <c r="BA14" s="21">
        <v>-1.50574E-2</v>
      </c>
      <c r="BB14" s="21">
        <v>4</v>
      </c>
      <c r="BC14" s="21">
        <v>-8.0322299999999999E-2</v>
      </c>
      <c r="BD14">
        <f t="shared" si="10"/>
        <v>18.589382716049382</v>
      </c>
      <c r="BE14">
        <f t="shared" si="11"/>
        <v>-1.4834978035802469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1.7960849299571051</v>
      </c>
      <c r="B15" s="18">
        <f>IFERROR(AV9,0)</f>
        <v>18.622265653068293</v>
      </c>
      <c r="C15" s="19">
        <f>IFERROR(AV4,0)</f>
        <v>0.77406487509669974</v>
      </c>
      <c r="D15" s="20">
        <f>IFERROR(AV2,0)</f>
        <v>25.890280011111109</v>
      </c>
      <c r="E15" s="20">
        <f>IFERROR(AS9,0)</f>
        <v>0</v>
      </c>
      <c r="F15" s="9"/>
      <c r="G15" s="21">
        <v>1.7948900000000001</v>
      </c>
      <c r="H15" s="21">
        <v>5.0726699999999996</v>
      </c>
      <c r="I15" s="21">
        <v>-9.3841599999999997E-4</v>
      </c>
      <c r="J15" s="21">
        <v>5</v>
      </c>
      <c r="K15" s="21">
        <v>1.79474</v>
      </c>
      <c r="L15">
        <f t="shared" si="0"/>
        <v>1.1585382716049382</v>
      </c>
      <c r="M15">
        <f t="shared" si="1"/>
        <v>2.0794487583209875</v>
      </c>
      <c r="N15" s="9"/>
      <c r="O15" s="21">
        <v>-8.3312999999999998E-2</v>
      </c>
      <c r="P15" s="21">
        <v>18.243400000000001</v>
      </c>
      <c r="Q15" s="21">
        <v>-1.51123E-2</v>
      </c>
      <c r="R15" s="21">
        <v>378</v>
      </c>
      <c r="S15" s="21">
        <v>-8.3953899999999998E-2</v>
      </c>
      <c r="T15">
        <f t="shared" si="2"/>
        <v>18.65716049382716</v>
      </c>
      <c r="U15">
        <f t="shared" si="3"/>
        <v>-1.5543840122222221</v>
      </c>
      <c r="V15" s="22"/>
      <c r="W15" s="23"/>
      <c r="X15" s="9"/>
      <c r="Y15" s="21">
        <v>1.7948900000000001</v>
      </c>
      <c r="Z15" s="21">
        <v>14.4869</v>
      </c>
      <c r="AA15" s="21">
        <v>-1.0510300000000001E-3</v>
      </c>
      <c r="AB15" s="21">
        <v>5</v>
      </c>
      <c r="AC15" s="21">
        <v>1.79352</v>
      </c>
      <c r="AD15">
        <f t="shared" si="4"/>
        <v>1.297567901234568</v>
      </c>
      <c r="AE15">
        <f t="shared" si="5"/>
        <v>2.3289916502469139</v>
      </c>
      <c r="AF15" s="9"/>
      <c r="AG15" s="21">
        <v>-7.4768100000000004E-2</v>
      </c>
      <c r="AH15" s="21">
        <v>18.346399999999999</v>
      </c>
      <c r="AI15" s="21">
        <v>-1.51276E-2</v>
      </c>
      <c r="AJ15" s="21">
        <v>5</v>
      </c>
      <c r="AK15" s="21">
        <v>-7.5256299999999998E-2</v>
      </c>
      <c r="AL15">
        <f t="shared" si="6"/>
        <v>18.676049382716048</v>
      </c>
      <c r="AM15">
        <f t="shared" si="7"/>
        <v>-1.3963727278518518</v>
      </c>
      <c r="AP15" s="9"/>
      <c r="AQ15" s="21">
        <v>1.7948900000000001</v>
      </c>
      <c r="AR15" s="21">
        <v>23.921099999999999</v>
      </c>
      <c r="AS15" s="21">
        <v>-4.12872E-4</v>
      </c>
      <c r="AT15" s="21">
        <v>5</v>
      </c>
      <c r="AU15" s="21">
        <v>1.79474</v>
      </c>
      <c r="AV15">
        <f t="shared" si="8"/>
        <v>0.50971851851851857</v>
      </c>
      <c r="AW15">
        <f t="shared" si="9"/>
        <v>0.9148886717037038</v>
      </c>
      <c r="AX15" s="9"/>
      <c r="AY15" s="21">
        <v>-7.4768100000000004E-2</v>
      </c>
      <c r="AZ15" s="21">
        <v>27.7806</v>
      </c>
      <c r="BA15" s="21">
        <v>-1.5048199999999999E-2</v>
      </c>
      <c r="BB15" s="21">
        <v>5</v>
      </c>
      <c r="BC15" s="21">
        <v>-7.5225799999999995E-2</v>
      </c>
      <c r="BD15">
        <f t="shared" si="10"/>
        <v>18.578024691358021</v>
      </c>
      <c r="BE15">
        <f t="shared" si="11"/>
        <v>-1.3890436079259256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1.7970812901344781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1.78986</v>
      </c>
      <c r="H16" s="21">
        <v>5.0827400000000003</v>
      </c>
      <c r="I16" s="21">
        <v>-2.1829200000000001E-3</v>
      </c>
      <c r="J16" s="21">
        <v>6</v>
      </c>
      <c r="K16" s="21">
        <v>1.78894</v>
      </c>
      <c r="L16">
        <f t="shared" si="0"/>
        <v>2.694962962962963</v>
      </c>
      <c r="M16">
        <f t="shared" si="1"/>
        <v>4.8236064088888888</v>
      </c>
      <c r="N16" s="9"/>
      <c r="O16" s="21">
        <v>-7.8277600000000003E-2</v>
      </c>
      <c r="P16" s="21">
        <v>18.2333</v>
      </c>
      <c r="Q16" s="21">
        <v>-1.5115399999999999E-2</v>
      </c>
      <c r="R16" s="21">
        <v>377</v>
      </c>
      <c r="S16" s="21">
        <v>-7.8857399999999994E-2</v>
      </c>
      <c r="T16">
        <f t="shared" si="2"/>
        <v>18.660987654320987</v>
      </c>
      <c r="U16">
        <f t="shared" si="3"/>
        <v>-1.4607373272098765</v>
      </c>
      <c r="V16" s="22"/>
      <c r="W16" s="23"/>
      <c r="X16" s="9"/>
      <c r="Y16" s="21">
        <v>1.78986</v>
      </c>
      <c r="Z16" s="21">
        <v>14.497</v>
      </c>
      <c r="AA16" s="21">
        <v>-2.2335800000000002E-3</v>
      </c>
      <c r="AB16" s="21">
        <v>6</v>
      </c>
      <c r="AC16" s="21">
        <v>1.78894</v>
      </c>
      <c r="AD16">
        <f t="shared" si="4"/>
        <v>2.7575061728395065</v>
      </c>
      <c r="AE16">
        <f t="shared" si="5"/>
        <v>4.9355499985185194</v>
      </c>
      <c r="AF16" s="9"/>
      <c r="AG16" s="21">
        <v>-6.9732699999999995E-2</v>
      </c>
      <c r="AH16" s="21">
        <v>18.356400000000001</v>
      </c>
      <c r="AI16" s="21">
        <v>-1.5130599999999999E-2</v>
      </c>
      <c r="AJ16" s="21">
        <v>6</v>
      </c>
      <c r="AK16" s="21">
        <v>-7.0281999999999997E-2</v>
      </c>
      <c r="AL16">
        <f t="shared" si="6"/>
        <v>18.679753086419751</v>
      </c>
      <c r="AM16">
        <f t="shared" si="7"/>
        <v>-1.3025896180493826</v>
      </c>
      <c r="AP16" s="9"/>
      <c r="AQ16" s="21">
        <v>1.78986</v>
      </c>
      <c r="AR16" s="21">
        <v>23.9312</v>
      </c>
      <c r="AS16" s="21">
        <v>-1.7123399999999999E-3</v>
      </c>
      <c r="AT16" s="21">
        <v>6</v>
      </c>
      <c r="AU16" s="21">
        <v>1.78925</v>
      </c>
      <c r="AV16">
        <f t="shared" si="8"/>
        <v>2.1139999999999994</v>
      </c>
      <c r="AW16">
        <f t="shared" si="9"/>
        <v>3.783764039999999</v>
      </c>
      <c r="AX16" s="9"/>
      <c r="AY16" s="21">
        <v>-6.9732699999999995E-2</v>
      </c>
      <c r="AZ16" s="21">
        <v>27.790700000000001</v>
      </c>
      <c r="BA16" s="21">
        <v>-1.50513E-2</v>
      </c>
      <c r="BB16" s="21">
        <v>6</v>
      </c>
      <c r="BC16" s="21">
        <v>-7.0281999999999997E-2</v>
      </c>
      <c r="BD16">
        <f t="shared" si="10"/>
        <v>18.581851851851848</v>
      </c>
      <c r="BE16">
        <f t="shared" si="11"/>
        <v>-1.2957627006296293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1.7848200000000001</v>
      </c>
      <c r="H17" s="21">
        <v>5.0928199999999997</v>
      </c>
      <c r="I17" s="21">
        <v>-3.2830799999999999E-3</v>
      </c>
      <c r="J17" s="21">
        <v>7</v>
      </c>
      <c r="K17" s="21">
        <v>1.78406</v>
      </c>
      <c r="L17">
        <f t="shared" si="0"/>
        <v>4.0531851851851846</v>
      </c>
      <c r="M17">
        <f t="shared" si="1"/>
        <v>7.2342059822222211</v>
      </c>
      <c r="N17" s="9"/>
      <c r="O17" s="21">
        <v>-7.3242199999999993E-2</v>
      </c>
      <c r="P17" s="21">
        <v>18.223199999999999</v>
      </c>
      <c r="Q17" s="21">
        <v>-1.5115399999999999E-2</v>
      </c>
      <c r="R17" s="21">
        <v>376</v>
      </c>
      <c r="S17" s="21">
        <v>-7.3821999999999999E-2</v>
      </c>
      <c r="T17">
        <f t="shared" si="2"/>
        <v>18.660987654320987</v>
      </c>
      <c r="U17">
        <f t="shared" si="3"/>
        <v>-1.3667717899753085</v>
      </c>
      <c r="V17" s="22"/>
      <c r="W17" s="23"/>
      <c r="X17" s="9"/>
      <c r="Y17" s="21">
        <v>1.7848200000000001</v>
      </c>
      <c r="Z17" s="21">
        <v>14.507</v>
      </c>
      <c r="AA17" s="21">
        <v>-3.2702600000000001E-3</v>
      </c>
      <c r="AB17" s="21">
        <v>7</v>
      </c>
      <c r="AC17" s="21">
        <v>1.78406</v>
      </c>
      <c r="AD17">
        <f t="shared" si="4"/>
        <v>4.0373580246913576</v>
      </c>
      <c r="AE17">
        <f t="shared" si="5"/>
        <v>7.205957349629629</v>
      </c>
      <c r="AF17" s="9"/>
      <c r="AG17" s="21">
        <v>-6.4697299999999999E-2</v>
      </c>
      <c r="AH17" s="21">
        <v>18.366499999999998</v>
      </c>
      <c r="AI17" s="21">
        <v>-1.51337E-2</v>
      </c>
      <c r="AJ17" s="21">
        <v>7</v>
      </c>
      <c r="AK17" s="21">
        <v>-6.5155000000000005E-2</v>
      </c>
      <c r="AL17">
        <f t="shared" si="6"/>
        <v>18.683580246913579</v>
      </c>
      <c r="AM17">
        <f t="shared" si="7"/>
        <v>-1.2087771963086418</v>
      </c>
      <c r="AP17" s="9"/>
      <c r="AQ17" s="21">
        <v>1.7848200000000001</v>
      </c>
      <c r="AR17" s="21">
        <v>23.941299999999998</v>
      </c>
      <c r="AS17" s="21">
        <v>-2.8536999999999998E-3</v>
      </c>
      <c r="AT17" s="21">
        <v>7</v>
      </c>
      <c r="AU17" s="21">
        <v>1.78406</v>
      </c>
      <c r="AV17">
        <f t="shared" si="8"/>
        <v>3.5230864197530858</v>
      </c>
      <c r="AW17">
        <f t="shared" si="9"/>
        <v>6.2880751037037026</v>
      </c>
      <c r="AX17" s="9"/>
      <c r="AY17" s="21">
        <v>-6.4697299999999999E-2</v>
      </c>
      <c r="AZ17" s="21">
        <v>27.800699999999999</v>
      </c>
      <c r="BA17" s="21">
        <v>-1.5063500000000001E-2</v>
      </c>
      <c r="BB17" s="21">
        <v>7</v>
      </c>
      <c r="BC17" s="21">
        <v>-6.5216099999999999E-2</v>
      </c>
      <c r="BD17">
        <f t="shared" si="10"/>
        <v>18.596913580246913</v>
      </c>
      <c r="BE17">
        <f t="shared" si="11"/>
        <v>-1.2031700969753085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1.77979</v>
      </c>
      <c r="H18" s="21">
        <v>5.1028900000000004</v>
      </c>
      <c r="I18" s="21">
        <v>-4.2111199999999996E-3</v>
      </c>
      <c r="J18" s="21">
        <v>8</v>
      </c>
      <c r="K18" s="21">
        <v>1.77887</v>
      </c>
      <c r="L18">
        <f t="shared" si="0"/>
        <v>5.1989135802469129</v>
      </c>
      <c r="M18">
        <f t="shared" si="1"/>
        <v>9.2529744009876538</v>
      </c>
      <c r="N18" s="9"/>
      <c r="O18" s="21">
        <v>-6.8206799999999998E-2</v>
      </c>
      <c r="P18" s="21">
        <v>18.213200000000001</v>
      </c>
      <c r="Q18" s="21">
        <v>-1.51123E-2</v>
      </c>
      <c r="R18" s="21">
        <v>375</v>
      </c>
      <c r="S18" s="21">
        <v>-6.8786600000000003E-2</v>
      </c>
      <c r="T18">
        <f t="shared" si="2"/>
        <v>18.65716049382716</v>
      </c>
      <c r="U18">
        <f t="shared" si="3"/>
        <v>-1.2725452143703704</v>
      </c>
      <c r="V18" s="22"/>
      <c r="W18" s="23"/>
      <c r="X18" s="9"/>
      <c r="Y18" s="21">
        <v>1.77979</v>
      </c>
      <c r="Z18" s="21">
        <v>14.517099999999999</v>
      </c>
      <c r="AA18" s="21">
        <v>-4.1677900000000002E-3</v>
      </c>
      <c r="AB18" s="21">
        <v>8</v>
      </c>
      <c r="AC18" s="21">
        <v>1.7791699999999999</v>
      </c>
      <c r="AD18">
        <f t="shared" si="4"/>
        <v>5.1454197530864194</v>
      </c>
      <c r="AE18">
        <f t="shared" si="5"/>
        <v>9.1577666223456777</v>
      </c>
      <c r="AF18" s="9"/>
      <c r="AG18" s="21">
        <v>-5.9661899999999997E-2</v>
      </c>
      <c r="AH18" s="21">
        <v>18.3766</v>
      </c>
      <c r="AI18" s="21">
        <v>-1.5136699999999999E-2</v>
      </c>
      <c r="AJ18" s="21">
        <v>8</v>
      </c>
      <c r="AK18" s="21">
        <v>-6.0180699999999997E-2</v>
      </c>
      <c r="AL18">
        <f t="shared" si="6"/>
        <v>18.687283950617282</v>
      </c>
      <c r="AM18">
        <f t="shared" si="7"/>
        <v>-1.1149188663333331</v>
      </c>
      <c r="AP18" s="9"/>
      <c r="AQ18" s="21">
        <v>1.77979</v>
      </c>
      <c r="AR18" s="21">
        <v>23.9513</v>
      </c>
      <c r="AS18" s="21">
        <v>-3.8372800000000002E-3</v>
      </c>
      <c r="AT18" s="21">
        <v>8</v>
      </c>
      <c r="AU18" s="21">
        <v>1.7791699999999999</v>
      </c>
      <c r="AV18">
        <f t="shared" si="8"/>
        <v>4.7373827160493827</v>
      </c>
      <c r="AW18">
        <f t="shared" si="9"/>
        <v>8.4315463841975316</v>
      </c>
      <c r="AX18" s="9"/>
      <c r="AY18" s="21">
        <v>-5.9661899999999997E-2</v>
      </c>
      <c r="AZ18" s="21">
        <v>27.8108</v>
      </c>
      <c r="BA18" s="21">
        <v>-1.5063500000000001E-2</v>
      </c>
      <c r="BB18" s="21">
        <v>8</v>
      </c>
      <c r="BC18" s="21">
        <v>-6.0150099999999998E-2</v>
      </c>
      <c r="BD18">
        <f t="shared" si="10"/>
        <v>18.596913580246913</v>
      </c>
      <c r="BE18">
        <f t="shared" si="11"/>
        <v>-1.1095271983333332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1.77475</v>
      </c>
      <c r="H19" s="21">
        <v>5.1129600000000002</v>
      </c>
      <c r="I19" s="21">
        <v>-5.0170900000000001E-3</v>
      </c>
      <c r="J19" s="21">
        <v>9</v>
      </c>
      <c r="K19" s="21">
        <v>1.7742899999999999</v>
      </c>
      <c r="L19">
        <f t="shared" si="0"/>
        <v>6.1939382716049378</v>
      </c>
      <c r="M19">
        <f t="shared" si="1"/>
        <v>10.992691947530863</v>
      </c>
      <c r="N19" s="9"/>
      <c r="O19" s="21">
        <v>-6.3171400000000003E-2</v>
      </c>
      <c r="P19" s="21">
        <v>18.203099999999999</v>
      </c>
      <c r="Q19" s="21">
        <v>-1.51123E-2</v>
      </c>
      <c r="R19" s="21">
        <v>374</v>
      </c>
      <c r="S19" s="21">
        <v>-6.3598600000000005E-2</v>
      </c>
      <c r="T19">
        <f t="shared" si="2"/>
        <v>18.65716049382716</v>
      </c>
      <c r="U19">
        <f t="shared" si="3"/>
        <v>-1.178598948419753</v>
      </c>
      <c r="V19" s="22"/>
      <c r="W19" s="23"/>
      <c r="X19" s="9"/>
      <c r="Y19" s="21">
        <v>1.77475</v>
      </c>
      <c r="Z19" s="21">
        <v>14.527200000000001</v>
      </c>
      <c r="AA19" s="21">
        <v>-4.9725300000000002E-3</v>
      </c>
      <c r="AB19" s="21">
        <v>9</v>
      </c>
      <c r="AC19" s="21">
        <v>1.77399</v>
      </c>
      <c r="AD19">
        <f t="shared" si="4"/>
        <v>6.1389259259259266</v>
      </c>
      <c r="AE19">
        <f t="shared" si="5"/>
        <v>10.895058787037039</v>
      </c>
      <c r="AF19" s="9"/>
      <c r="AG19" s="21">
        <v>-5.4626500000000001E-2</v>
      </c>
      <c r="AH19" s="21">
        <v>18.386600000000001</v>
      </c>
      <c r="AI19" s="21">
        <v>-1.5130599999999999E-2</v>
      </c>
      <c r="AJ19" s="21">
        <v>9</v>
      </c>
      <c r="AK19" s="21">
        <v>-5.5145300000000001E-2</v>
      </c>
      <c r="AL19">
        <f t="shared" si="6"/>
        <v>18.679753086419751</v>
      </c>
      <c r="AM19">
        <f t="shared" si="7"/>
        <v>-1.0204095319753086</v>
      </c>
      <c r="AP19" s="9"/>
      <c r="AQ19" s="21">
        <v>1.77475</v>
      </c>
      <c r="AR19" s="21">
        <v>23.961400000000001</v>
      </c>
      <c r="AS19" s="21">
        <v>-4.6948199999999997E-3</v>
      </c>
      <c r="AT19" s="21">
        <v>9</v>
      </c>
      <c r="AU19" s="21">
        <v>1.7742899999999999</v>
      </c>
      <c r="AV19">
        <f t="shared" si="8"/>
        <v>5.796074074074073</v>
      </c>
      <c r="AW19">
        <f t="shared" si="9"/>
        <v>10.286582462962961</v>
      </c>
      <c r="AX19" s="9"/>
      <c r="AY19" s="21">
        <v>-5.4626500000000001E-2</v>
      </c>
      <c r="AZ19" s="21">
        <v>27.820900000000002</v>
      </c>
      <c r="BA19" s="21">
        <v>-1.50604E-2</v>
      </c>
      <c r="BB19" s="21">
        <v>9</v>
      </c>
      <c r="BC19" s="21">
        <v>-5.4992699999999999E-2</v>
      </c>
      <c r="BD19">
        <f t="shared" si="10"/>
        <v>18.593086419753085</v>
      </c>
      <c r="BE19">
        <f t="shared" si="11"/>
        <v>-1.015675235308642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1.7697099999999999</v>
      </c>
      <c r="H20" s="21">
        <v>5.12303</v>
      </c>
      <c r="I20" s="21">
        <v>-5.7403599999999999E-3</v>
      </c>
      <c r="J20" s="21">
        <v>10</v>
      </c>
      <c r="K20" s="21">
        <v>1.7694099999999999</v>
      </c>
      <c r="L20">
        <f t="shared" si="0"/>
        <v>7.0868641975308631</v>
      </c>
      <c r="M20">
        <f t="shared" si="1"/>
        <v>12.541694439012343</v>
      </c>
      <c r="N20" s="9"/>
      <c r="O20" s="21">
        <v>-5.8136E-2</v>
      </c>
      <c r="P20" s="21">
        <v>18.193000000000001</v>
      </c>
      <c r="Q20" s="21">
        <v>-1.5115399999999999E-2</v>
      </c>
      <c r="R20" s="21">
        <v>373</v>
      </c>
      <c r="S20" s="21">
        <v>-5.86548E-2</v>
      </c>
      <c r="T20">
        <f t="shared" si="2"/>
        <v>18.660987654320987</v>
      </c>
      <c r="U20">
        <f t="shared" si="3"/>
        <v>-1.0848751782716048</v>
      </c>
      <c r="V20" s="22"/>
      <c r="W20" s="23"/>
      <c r="X20" s="9"/>
      <c r="Y20" s="21">
        <v>1.7697099999999999</v>
      </c>
      <c r="Z20" s="21">
        <v>14.5372</v>
      </c>
      <c r="AA20" s="21">
        <v>-5.6518599999999999E-3</v>
      </c>
      <c r="AB20" s="21">
        <v>10</v>
      </c>
      <c r="AC20" s="21">
        <v>1.7690999999999999</v>
      </c>
      <c r="AD20">
        <f t="shared" si="4"/>
        <v>6.9776049382716048</v>
      </c>
      <c r="AE20">
        <f t="shared" si="5"/>
        <v>12.348337235308641</v>
      </c>
      <c r="AF20" s="9"/>
      <c r="AG20" s="21">
        <v>-4.9591099999999999E-2</v>
      </c>
      <c r="AH20" s="21">
        <v>18.396699999999999</v>
      </c>
      <c r="AI20" s="21">
        <v>-1.5118400000000001E-2</v>
      </c>
      <c r="AJ20" s="21">
        <v>10</v>
      </c>
      <c r="AK20" s="21">
        <v>-5.0048799999999997E-2</v>
      </c>
      <c r="AL20">
        <f t="shared" si="6"/>
        <v>18.66469135802469</v>
      </c>
      <c r="AM20">
        <f t="shared" si="7"/>
        <v>-0.92560257560493819</v>
      </c>
      <c r="AP20" s="9"/>
      <c r="AQ20" s="21">
        <v>1.7697099999999999</v>
      </c>
      <c r="AR20" s="21">
        <v>23.971499999999999</v>
      </c>
      <c r="AS20" s="21">
        <v>-5.4351800000000004E-3</v>
      </c>
      <c r="AT20" s="21">
        <v>10</v>
      </c>
      <c r="AU20" s="21">
        <v>1.7690999999999999</v>
      </c>
      <c r="AV20">
        <f t="shared" si="8"/>
        <v>6.7100987654320994</v>
      </c>
      <c r="AW20">
        <f t="shared" si="9"/>
        <v>11.874928886172841</v>
      </c>
      <c r="AX20" s="9"/>
      <c r="AY20" s="21">
        <v>-4.9591099999999999E-2</v>
      </c>
      <c r="AZ20" s="21">
        <v>27.8309</v>
      </c>
      <c r="BA20" s="21">
        <v>-1.50574E-2</v>
      </c>
      <c r="BB20" s="21">
        <v>10</v>
      </c>
      <c r="BC20" s="21">
        <v>-5.0140400000000002E-2</v>
      </c>
      <c r="BD20">
        <f t="shared" si="10"/>
        <v>18.589382716049382</v>
      </c>
      <c r="BE20">
        <f t="shared" si="11"/>
        <v>-0.92186793720987648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1.76468</v>
      </c>
      <c r="H21" s="21">
        <v>5.1330999999999998</v>
      </c>
      <c r="I21" s="21">
        <v>-6.3507099999999999E-3</v>
      </c>
      <c r="J21" s="21">
        <v>11</v>
      </c>
      <c r="K21" s="21">
        <v>1.7639199999999999</v>
      </c>
      <c r="L21">
        <f t="shared" si="0"/>
        <v>7.8403827160493833</v>
      </c>
      <c r="M21">
        <f t="shared" si="1"/>
        <v>13.835766571358025</v>
      </c>
      <c r="N21" s="9"/>
      <c r="O21" s="21">
        <v>-5.3100599999999998E-2</v>
      </c>
      <c r="P21" s="21">
        <v>18.1829</v>
      </c>
      <c r="Q21" s="21">
        <v>-1.51215E-2</v>
      </c>
      <c r="R21" s="21">
        <v>372</v>
      </c>
      <c r="S21" s="21">
        <v>-5.3558300000000003E-2</v>
      </c>
      <c r="T21">
        <f t="shared" si="2"/>
        <v>18.668518518518518</v>
      </c>
      <c r="U21">
        <f t="shared" si="3"/>
        <v>-0.99130953444444436</v>
      </c>
      <c r="V21" s="22"/>
      <c r="W21" s="23"/>
      <c r="X21" s="9"/>
      <c r="Y21" s="21">
        <v>1.76468</v>
      </c>
      <c r="Z21" s="21">
        <v>14.5473</v>
      </c>
      <c r="AA21" s="21">
        <v>-6.29578E-3</v>
      </c>
      <c r="AB21" s="21">
        <v>11</v>
      </c>
      <c r="AC21" s="21">
        <v>1.7636099999999999</v>
      </c>
      <c r="AD21">
        <f t="shared" si="4"/>
        <v>7.7725679012345674</v>
      </c>
      <c r="AE21">
        <f t="shared" si="5"/>
        <v>13.716095123950616</v>
      </c>
      <c r="AF21" s="9"/>
      <c r="AG21" s="21">
        <v>-4.4555699999999997E-2</v>
      </c>
      <c r="AH21" s="21">
        <v>18.4068</v>
      </c>
      <c r="AI21" s="21">
        <v>-1.51062E-2</v>
      </c>
      <c r="AJ21" s="21">
        <v>11</v>
      </c>
      <c r="AK21" s="21">
        <v>-4.49127E-2</v>
      </c>
      <c r="AL21">
        <f t="shared" si="6"/>
        <v>18.649629629629626</v>
      </c>
      <c r="AM21">
        <f t="shared" si="7"/>
        <v>-0.83094730288888863</v>
      </c>
      <c r="AP21" s="9"/>
      <c r="AQ21" s="21">
        <v>1.76468</v>
      </c>
      <c r="AR21" s="21">
        <v>23.9815</v>
      </c>
      <c r="AS21" s="21">
        <v>-6.1035200000000003E-3</v>
      </c>
      <c r="AT21" s="21">
        <v>11</v>
      </c>
      <c r="AU21" s="21">
        <v>1.7639199999999999</v>
      </c>
      <c r="AV21">
        <f t="shared" si="8"/>
        <v>7.5352098765432096</v>
      </c>
      <c r="AW21">
        <f t="shared" si="9"/>
        <v>13.297234164938271</v>
      </c>
      <c r="AX21" s="9"/>
      <c r="AY21" s="21">
        <v>-4.4555699999999997E-2</v>
      </c>
      <c r="AZ21" s="21">
        <v>27.841000000000001</v>
      </c>
      <c r="BA21" s="21">
        <v>-1.50604E-2</v>
      </c>
      <c r="BB21" s="21">
        <v>11</v>
      </c>
      <c r="BC21" s="21">
        <v>-4.4879200000000001E-2</v>
      </c>
      <c r="BD21">
        <f t="shared" si="10"/>
        <v>18.593086419753085</v>
      </c>
      <c r="BE21">
        <f t="shared" si="11"/>
        <v>-0.82842798059259248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1.7596400000000001</v>
      </c>
      <c r="H22" s="21">
        <v>5.1431699999999996</v>
      </c>
      <c r="I22" s="21">
        <v>-6.8817100000000001E-3</v>
      </c>
      <c r="J22" s="21">
        <v>12</v>
      </c>
      <c r="K22" s="21">
        <v>1.7593399999999999</v>
      </c>
      <c r="L22">
        <f t="shared" si="0"/>
        <v>8.4959382716049383</v>
      </c>
      <c r="M22">
        <f t="shared" si="1"/>
        <v>14.949792820246914</v>
      </c>
      <c r="N22" s="9"/>
      <c r="O22" s="21">
        <v>-4.8065200000000002E-2</v>
      </c>
      <c r="P22" s="21">
        <v>18.172899999999998</v>
      </c>
      <c r="Q22" s="21">
        <v>-1.5109300000000001E-2</v>
      </c>
      <c r="R22" s="21">
        <v>371</v>
      </c>
      <c r="S22" s="21">
        <v>-4.84039E-2</v>
      </c>
      <c r="T22">
        <f t="shared" si="2"/>
        <v>18.653456790123457</v>
      </c>
      <c r="U22">
        <f t="shared" si="3"/>
        <v>-0.89658213130864206</v>
      </c>
      <c r="V22" s="22"/>
      <c r="W22" s="23"/>
      <c r="X22" s="9"/>
      <c r="Y22" s="21">
        <v>1.7596400000000001</v>
      </c>
      <c r="Z22" s="21">
        <v>14.557399999999999</v>
      </c>
      <c r="AA22" s="21">
        <v>-6.8420399999999998E-3</v>
      </c>
      <c r="AB22" s="21">
        <v>12</v>
      </c>
      <c r="AC22" s="21">
        <v>1.7593399999999999</v>
      </c>
      <c r="AD22">
        <f t="shared" si="4"/>
        <v>8.4469629629629619</v>
      </c>
      <c r="AE22">
        <f t="shared" si="5"/>
        <v>14.863613908148148</v>
      </c>
      <c r="AF22" s="9"/>
      <c r="AG22" s="21">
        <v>-3.9520300000000001E-2</v>
      </c>
      <c r="AH22" s="21">
        <v>18.416899999999998</v>
      </c>
      <c r="AI22" s="21">
        <v>-1.51062E-2</v>
      </c>
      <c r="AJ22" s="21">
        <v>12</v>
      </c>
      <c r="AK22" s="21">
        <v>-3.9889500000000001E-2</v>
      </c>
      <c r="AL22">
        <f t="shared" si="6"/>
        <v>18.649629629629626</v>
      </c>
      <c r="AM22">
        <f t="shared" si="7"/>
        <v>-0.73703895785185169</v>
      </c>
      <c r="AP22" s="9"/>
      <c r="AQ22" s="21">
        <v>1.7596400000000001</v>
      </c>
      <c r="AR22" s="21">
        <v>23.991599999999998</v>
      </c>
      <c r="AS22" s="21">
        <v>-6.6803000000000001E-3</v>
      </c>
      <c r="AT22" s="21">
        <v>12</v>
      </c>
      <c r="AU22" s="21">
        <v>1.7590300000000001</v>
      </c>
      <c r="AV22">
        <f t="shared" si="8"/>
        <v>8.2472839506172839</v>
      </c>
      <c r="AW22">
        <f t="shared" si="9"/>
        <v>14.512250730864197</v>
      </c>
      <c r="AX22" s="9"/>
      <c r="AY22" s="21">
        <v>-3.9520300000000001E-2</v>
      </c>
      <c r="AZ22" s="21">
        <v>27.851099999999999</v>
      </c>
      <c r="BA22" s="21">
        <v>-1.50604E-2</v>
      </c>
      <c r="BB22" s="21">
        <v>12</v>
      </c>
      <c r="BC22" s="21">
        <v>-3.9852899999999997E-2</v>
      </c>
      <c r="BD22">
        <f t="shared" si="10"/>
        <v>18.593086419753085</v>
      </c>
      <c r="BE22">
        <f t="shared" si="11"/>
        <v>-0.73480435323456783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1.75461</v>
      </c>
      <c r="H23" s="21">
        <v>5.1532400000000003</v>
      </c>
      <c r="I23" s="21">
        <v>-7.3852500000000003E-3</v>
      </c>
      <c r="J23" s="21">
        <v>13</v>
      </c>
      <c r="K23" s="21">
        <v>1.7535400000000001</v>
      </c>
      <c r="L23">
        <f t="shared" si="0"/>
        <v>9.117592592592592</v>
      </c>
      <c r="M23">
        <f t="shared" si="1"/>
        <v>15.997819138888888</v>
      </c>
      <c r="N23" s="9"/>
      <c r="O23" s="21">
        <v>-4.30298E-2</v>
      </c>
      <c r="P23" s="21">
        <v>18.162800000000001</v>
      </c>
      <c r="Q23" s="21">
        <v>-1.51031E-2</v>
      </c>
      <c r="R23" s="21">
        <v>370</v>
      </c>
      <c r="S23" s="21">
        <v>-4.3344100000000003E-2</v>
      </c>
      <c r="T23">
        <f t="shared" si="2"/>
        <v>18.645802469135798</v>
      </c>
      <c r="U23">
        <f t="shared" si="3"/>
        <v>-0.80232515108641955</v>
      </c>
      <c r="V23" s="22"/>
      <c r="W23" s="23"/>
      <c r="X23" s="9"/>
      <c r="Y23" s="21">
        <v>1.75461</v>
      </c>
      <c r="Z23" s="21">
        <v>14.567500000000001</v>
      </c>
      <c r="AA23" s="21">
        <v>-7.3516800000000002E-3</v>
      </c>
      <c r="AB23" s="21">
        <v>13</v>
      </c>
      <c r="AC23" s="21">
        <v>1.7535400000000001</v>
      </c>
      <c r="AD23">
        <f t="shared" si="4"/>
        <v>9.0761481481481479</v>
      </c>
      <c r="AE23">
        <f t="shared" si="5"/>
        <v>15.925100302222221</v>
      </c>
      <c r="AF23" s="9"/>
      <c r="AG23" s="21">
        <v>-3.4484899999999999E-2</v>
      </c>
      <c r="AH23" s="21">
        <v>18.4269</v>
      </c>
      <c r="AI23" s="21">
        <v>-1.51031E-2</v>
      </c>
      <c r="AJ23" s="21">
        <v>13</v>
      </c>
      <c r="AK23" s="21">
        <v>-3.4762599999999998E-2</v>
      </c>
      <c r="AL23">
        <f t="shared" si="6"/>
        <v>18.645802469135798</v>
      </c>
      <c r="AM23">
        <f t="shared" si="7"/>
        <v>-0.6429986335679011</v>
      </c>
      <c r="AP23" s="9"/>
      <c r="AQ23" s="21">
        <v>1.75461</v>
      </c>
      <c r="AR23" s="21">
        <v>24.0017</v>
      </c>
      <c r="AS23" s="21">
        <v>-7.2052000000000001E-3</v>
      </c>
      <c r="AT23" s="21">
        <v>13</v>
      </c>
      <c r="AU23" s="21">
        <v>1.7544599999999999</v>
      </c>
      <c r="AV23">
        <f t="shared" si="8"/>
        <v>8.8953086419753085</v>
      </c>
      <c r="AW23">
        <f t="shared" si="9"/>
        <v>15.607797496296296</v>
      </c>
      <c r="AX23" s="9"/>
      <c r="AY23" s="21">
        <v>-3.4484899999999999E-2</v>
      </c>
      <c r="AZ23" s="21">
        <v>27.8612</v>
      </c>
      <c r="BA23" s="21">
        <v>-1.5069600000000001E-2</v>
      </c>
      <c r="BB23" s="21">
        <v>13</v>
      </c>
      <c r="BC23" s="21">
        <v>-3.4747300000000002E-2</v>
      </c>
      <c r="BD23">
        <f t="shared" si="10"/>
        <v>18.604444444444443</v>
      </c>
      <c r="BE23">
        <f t="shared" si="11"/>
        <v>-0.64157240622222211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1.7495700000000001</v>
      </c>
      <c r="H24" s="21">
        <v>5.1633100000000001</v>
      </c>
      <c r="I24" s="21">
        <v>-7.8277599999999996E-3</v>
      </c>
      <c r="J24" s="21">
        <v>14</v>
      </c>
      <c r="K24" s="21">
        <v>1.7486600000000001</v>
      </c>
      <c r="L24">
        <f t="shared" si="0"/>
        <v>9.6639012345679003</v>
      </c>
      <c r="M24">
        <f t="shared" si="1"/>
        <v>16.907671682962963</v>
      </c>
      <c r="N24" s="9"/>
      <c r="O24" s="21">
        <v>-3.7994399999999998E-2</v>
      </c>
      <c r="P24" s="21">
        <v>18.152699999999999</v>
      </c>
      <c r="Q24" s="21">
        <v>-1.5090900000000001E-2</v>
      </c>
      <c r="R24" s="21">
        <v>369</v>
      </c>
      <c r="S24" s="21">
        <v>-3.83545E-2</v>
      </c>
      <c r="T24">
        <f t="shared" si="2"/>
        <v>18.630740740740741</v>
      </c>
      <c r="U24">
        <f t="shared" si="3"/>
        <v>-0.70786381599999992</v>
      </c>
      <c r="V24" s="22"/>
      <c r="W24" s="23"/>
      <c r="X24" s="9"/>
      <c r="Y24" s="21">
        <v>1.7495700000000001</v>
      </c>
      <c r="Z24" s="21">
        <v>14.577500000000001</v>
      </c>
      <c r="AA24" s="21">
        <v>-7.8063999999999998E-3</v>
      </c>
      <c r="AB24" s="21">
        <v>14</v>
      </c>
      <c r="AC24" s="21">
        <v>1.7489600000000001</v>
      </c>
      <c r="AD24">
        <f t="shared" si="4"/>
        <v>9.6375308641975295</v>
      </c>
      <c r="AE24">
        <f t="shared" si="5"/>
        <v>16.861534874074071</v>
      </c>
      <c r="AF24" s="9"/>
      <c r="AG24" s="21">
        <v>-2.94495E-2</v>
      </c>
      <c r="AH24" s="21">
        <v>18.437000000000001</v>
      </c>
      <c r="AI24" s="21">
        <v>-1.5109300000000001E-2</v>
      </c>
      <c r="AJ24" s="21">
        <v>14</v>
      </c>
      <c r="AK24" s="21">
        <v>-2.9748500000000001E-2</v>
      </c>
      <c r="AL24">
        <f t="shared" si="6"/>
        <v>18.653456790123457</v>
      </c>
      <c r="AM24">
        <f t="shared" si="7"/>
        <v>-0.54933497574074075</v>
      </c>
      <c r="AP24" s="9"/>
      <c r="AQ24" s="21">
        <v>1.7495700000000001</v>
      </c>
      <c r="AR24" s="21">
        <v>24.011800000000001</v>
      </c>
      <c r="AS24" s="21">
        <v>-7.6751700000000003E-3</v>
      </c>
      <c r="AT24" s="21">
        <v>14</v>
      </c>
      <c r="AU24" s="21">
        <v>1.7492700000000001</v>
      </c>
      <c r="AV24">
        <f t="shared" si="8"/>
        <v>9.475518518518518</v>
      </c>
      <c r="AW24">
        <f t="shared" si="9"/>
        <v>16.578082934444446</v>
      </c>
      <c r="AX24" s="9"/>
      <c r="AY24" s="21">
        <v>-2.94495E-2</v>
      </c>
      <c r="AZ24" s="21">
        <v>27.871200000000002</v>
      </c>
      <c r="BA24" s="21">
        <v>-1.5069600000000001E-2</v>
      </c>
      <c r="BB24" s="21">
        <v>14</v>
      </c>
      <c r="BC24" s="21">
        <v>-2.97363E-2</v>
      </c>
      <c r="BD24">
        <f t="shared" si="10"/>
        <v>18.604444444444443</v>
      </c>
      <c r="BE24">
        <f t="shared" si="11"/>
        <v>-0.5478915866666666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1.74454</v>
      </c>
      <c r="H25" s="21">
        <v>5.1733799999999999</v>
      </c>
      <c r="I25" s="21">
        <v>-8.2458500000000007E-3</v>
      </c>
      <c r="J25" s="21">
        <v>15</v>
      </c>
      <c r="K25" s="21">
        <v>1.74377</v>
      </c>
      <c r="L25">
        <f t="shared" si="0"/>
        <v>10.180061728395062</v>
      </c>
      <c r="M25">
        <f t="shared" si="1"/>
        <v>17.759524887654322</v>
      </c>
      <c r="N25" s="9"/>
      <c r="O25" s="21">
        <v>-3.2959000000000002E-2</v>
      </c>
      <c r="P25" s="21">
        <v>18.142700000000001</v>
      </c>
      <c r="Q25" s="21">
        <v>-1.50879E-2</v>
      </c>
      <c r="R25" s="21">
        <v>368</v>
      </c>
      <c r="S25" s="21">
        <v>-3.3255E-2</v>
      </c>
      <c r="T25">
        <f t="shared" si="2"/>
        <v>18.627037037037034</v>
      </c>
      <c r="U25">
        <f t="shared" si="3"/>
        <v>-0.6139285137037036</v>
      </c>
      <c r="V25" s="22"/>
      <c r="W25" s="23"/>
      <c r="X25" s="9"/>
      <c r="Y25" s="21">
        <v>1.74454</v>
      </c>
      <c r="Z25" s="21">
        <v>14.5876</v>
      </c>
      <c r="AA25" s="21">
        <v>-8.2183800000000008E-3</v>
      </c>
      <c r="AB25" s="21">
        <v>15</v>
      </c>
      <c r="AC25" s="21">
        <v>1.74377</v>
      </c>
      <c r="AD25">
        <f t="shared" si="4"/>
        <v>10.146148148148148</v>
      </c>
      <c r="AE25">
        <f t="shared" si="5"/>
        <v>17.70036129037037</v>
      </c>
      <c r="AF25" s="9"/>
      <c r="AG25" s="21">
        <v>-2.4414100000000001E-2</v>
      </c>
      <c r="AH25" s="21">
        <v>18.447099999999999</v>
      </c>
      <c r="AI25" s="21">
        <v>-1.51031E-2</v>
      </c>
      <c r="AJ25" s="21">
        <v>15</v>
      </c>
      <c r="AK25" s="21">
        <v>-2.4710099999999999E-2</v>
      </c>
      <c r="AL25">
        <f t="shared" si="6"/>
        <v>18.645802469135798</v>
      </c>
      <c r="AM25">
        <f t="shared" si="7"/>
        <v>-0.45522048606172832</v>
      </c>
      <c r="AP25" s="9"/>
      <c r="AQ25" s="21">
        <v>1.74454</v>
      </c>
      <c r="AR25" s="21">
        <v>24.021799999999999</v>
      </c>
      <c r="AS25" s="21">
        <v>-8.1146199999999995E-3</v>
      </c>
      <c r="AT25" s="21">
        <v>15</v>
      </c>
      <c r="AU25" s="21">
        <v>1.7440800000000001</v>
      </c>
      <c r="AV25">
        <f t="shared" si="8"/>
        <v>10.018049382716047</v>
      </c>
      <c r="AW25">
        <f t="shared" si="9"/>
        <v>17.476887870123452</v>
      </c>
      <c r="AX25" s="9"/>
      <c r="AY25" s="21">
        <v>-2.4414100000000001E-2</v>
      </c>
      <c r="AZ25" s="21">
        <v>27.8813</v>
      </c>
      <c r="BA25" s="21">
        <v>-1.5063500000000001E-2</v>
      </c>
      <c r="BB25" s="21">
        <v>15</v>
      </c>
      <c r="BC25" s="21">
        <v>-2.4707E-2</v>
      </c>
      <c r="BD25">
        <f t="shared" si="10"/>
        <v>18.596913580246913</v>
      </c>
      <c r="BE25">
        <f t="shared" si="11"/>
        <v>-0.45402690783950617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1.7395</v>
      </c>
      <c r="H26" s="21">
        <v>5.1834499999999997</v>
      </c>
      <c r="I26" s="21">
        <v>-8.6120599999999995E-3</v>
      </c>
      <c r="J26" s="21">
        <v>16</v>
      </c>
      <c r="K26" s="21">
        <v>1.73828</v>
      </c>
      <c r="L26">
        <f t="shared" si="0"/>
        <v>10.632172839506172</v>
      </c>
      <c r="M26">
        <f t="shared" si="1"/>
        <v>18.494664654320985</v>
      </c>
      <c r="N26" s="9"/>
      <c r="O26" s="21">
        <v>-2.79236E-2</v>
      </c>
      <c r="P26" s="21">
        <v>18.1326</v>
      </c>
      <c r="Q26" s="21">
        <v>-1.5090900000000001E-2</v>
      </c>
      <c r="R26" s="21">
        <v>367</v>
      </c>
      <c r="S26" s="21">
        <v>-2.82379E-2</v>
      </c>
      <c r="T26">
        <f t="shared" si="2"/>
        <v>18.630740740740741</v>
      </c>
      <c r="U26">
        <f t="shared" si="3"/>
        <v>-0.52023735214814815</v>
      </c>
      <c r="V26" s="22"/>
      <c r="W26" s="23"/>
      <c r="X26" s="9"/>
      <c r="Y26" s="21">
        <v>1.7395</v>
      </c>
      <c r="Z26" s="21">
        <v>14.5977</v>
      </c>
      <c r="AA26" s="21">
        <v>-8.5937500000000007E-3</v>
      </c>
      <c r="AB26" s="21">
        <v>16</v>
      </c>
      <c r="AC26" s="21">
        <v>1.73889</v>
      </c>
      <c r="AD26">
        <f t="shared" si="4"/>
        <v>10.609567901234568</v>
      </c>
      <c r="AE26">
        <f t="shared" si="5"/>
        <v>18.455343364197532</v>
      </c>
      <c r="AF26" s="9"/>
      <c r="AG26" s="21">
        <v>-1.9378699999999999E-2</v>
      </c>
      <c r="AH26" s="21">
        <v>18.457100000000001</v>
      </c>
      <c r="AI26" s="21">
        <v>-1.5094E-2</v>
      </c>
      <c r="AJ26" s="21">
        <v>16</v>
      </c>
      <c r="AK26" s="21">
        <v>-1.95648E-2</v>
      </c>
      <c r="AL26">
        <f t="shared" si="6"/>
        <v>18.634567901234568</v>
      </c>
      <c r="AM26">
        <f t="shared" si="7"/>
        <v>-0.36111370098765433</v>
      </c>
      <c r="AP26" s="9"/>
      <c r="AQ26" s="21">
        <v>1.7395</v>
      </c>
      <c r="AR26" s="21">
        <v>24.0319</v>
      </c>
      <c r="AS26" s="21">
        <v>-8.5052500000000007E-3</v>
      </c>
      <c r="AT26" s="21">
        <v>16</v>
      </c>
      <c r="AU26" s="21">
        <v>1.7385900000000001</v>
      </c>
      <c r="AV26">
        <f t="shared" si="8"/>
        <v>10.500308641975309</v>
      </c>
      <c r="AW26">
        <f t="shared" si="9"/>
        <v>18.265286882716051</v>
      </c>
      <c r="AX26" s="9"/>
      <c r="AY26" s="21">
        <v>-1.9378699999999999E-2</v>
      </c>
      <c r="AZ26" s="21">
        <v>27.891400000000001</v>
      </c>
      <c r="BA26" s="21">
        <v>-1.50665E-2</v>
      </c>
      <c r="BB26" s="21">
        <v>16</v>
      </c>
      <c r="BC26" s="21">
        <v>-1.9583099999999999E-2</v>
      </c>
      <c r="BD26">
        <f t="shared" si="10"/>
        <v>18.600617283950616</v>
      </c>
      <c r="BE26">
        <f t="shared" si="11"/>
        <v>-0.36045578216049379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1.73447</v>
      </c>
      <c r="H27" s="21">
        <v>5.19353</v>
      </c>
      <c r="I27" s="21">
        <v>-8.9416500000000006E-3</v>
      </c>
      <c r="J27" s="21">
        <v>17</v>
      </c>
      <c r="K27" s="21">
        <v>1.7337</v>
      </c>
      <c r="L27">
        <f t="shared" si="0"/>
        <v>11.039074074074074</v>
      </c>
      <c r="M27">
        <f t="shared" si="1"/>
        <v>19.146942809259258</v>
      </c>
      <c r="N27" s="9"/>
      <c r="O27" s="21">
        <v>-2.2888200000000001E-2</v>
      </c>
      <c r="P27" s="21">
        <v>18.122499999999999</v>
      </c>
      <c r="Q27" s="21">
        <v>-1.5090900000000001E-2</v>
      </c>
      <c r="R27" s="21">
        <v>366</v>
      </c>
      <c r="S27" s="21">
        <v>-2.3153699999999999E-2</v>
      </c>
      <c r="T27">
        <f t="shared" si="2"/>
        <v>18.630740740740741</v>
      </c>
      <c r="U27">
        <f t="shared" si="3"/>
        <v>-0.42642412022222226</v>
      </c>
      <c r="X27" s="9"/>
      <c r="Y27" s="21">
        <v>1.73447</v>
      </c>
      <c r="Z27" s="21">
        <v>14.607699999999999</v>
      </c>
      <c r="AA27" s="21">
        <v>-8.9416500000000006E-3</v>
      </c>
      <c r="AB27" s="21">
        <v>17</v>
      </c>
      <c r="AC27" s="21">
        <v>1.7337</v>
      </c>
      <c r="AD27">
        <f t="shared" si="4"/>
        <v>11.039074074074074</v>
      </c>
      <c r="AE27">
        <f t="shared" si="5"/>
        <v>19.146942809259258</v>
      </c>
      <c r="AF27" s="9"/>
      <c r="AG27" s="21">
        <v>-1.43433E-2</v>
      </c>
      <c r="AH27" s="21">
        <v>18.467199999999998</v>
      </c>
      <c r="AI27" s="21">
        <v>-1.5090900000000001E-2</v>
      </c>
      <c r="AJ27" s="21">
        <v>17</v>
      </c>
      <c r="AK27" s="21">
        <v>-1.45874E-2</v>
      </c>
      <c r="AL27">
        <f t="shared" si="6"/>
        <v>18.630740740740741</v>
      </c>
      <c r="AM27">
        <f t="shared" si="7"/>
        <v>-0.26722630366666666</v>
      </c>
      <c r="AP27" s="9"/>
      <c r="AQ27" s="21">
        <v>1.73447</v>
      </c>
      <c r="AR27" s="21">
        <v>24.042000000000002</v>
      </c>
      <c r="AS27" s="21">
        <v>-8.8714599999999994E-3</v>
      </c>
      <c r="AT27" s="21">
        <v>17</v>
      </c>
      <c r="AU27" s="21">
        <v>1.73431</v>
      </c>
      <c r="AV27">
        <f t="shared" si="8"/>
        <v>10.952419753086417</v>
      </c>
      <c r="AW27">
        <f t="shared" si="9"/>
        <v>18.996643489135799</v>
      </c>
      <c r="AX27" s="9"/>
      <c r="AY27" s="21">
        <v>-1.43433E-2</v>
      </c>
      <c r="AZ27" s="21">
        <v>27.901399999999999</v>
      </c>
      <c r="BA27" s="21">
        <v>-1.5069600000000001E-2</v>
      </c>
      <c r="BB27" s="21">
        <v>17</v>
      </c>
      <c r="BC27" s="21">
        <v>-1.4584400000000001E-2</v>
      </c>
      <c r="BD27">
        <f t="shared" si="10"/>
        <v>18.604444444444443</v>
      </c>
      <c r="BE27">
        <f t="shared" si="11"/>
        <v>-0.26684912799999999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1.72943</v>
      </c>
      <c r="H28" s="21">
        <v>5.2035999999999998</v>
      </c>
      <c r="I28" s="21">
        <v>-9.2590299999999997E-3</v>
      </c>
      <c r="J28" s="21">
        <v>18</v>
      </c>
      <c r="K28" s="21">
        <v>1.72882</v>
      </c>
      <c r="L28">
        <f t="shared" si="0"/>
        <v>11.4309012345679</v>
      </c>
      <c r="M28">
        <f t="shared" si="1"/>
        <v>19.768943522098763</v>
      </c>
      <c r="N28" s="9"/>
      <c r="O28" s="21">
        <v>-1.7852799999999999E-2</v>
      </c>
      <c r="P28" s="21">
        <v>18.112400000000001</v>
      </c>
      <c r="Q28" s="21">
        <v>-1.5081799999999999E-2</v>
      </c>
      <c r="R28" s="21">
        <v>365</v>
      </c>
      <c r="S28" s="21">
        <v>-1.8020600000000001E-2</v>
      </c>
      <c r="T28">
        <f t="shared" si="2"/>
        <v>18.619506172839504</v>
      </c>
      <c r="U28">
        <f t="shared" si="3"/>
        <v>-0.33241031980246905</v>
      </c>
      <c r="X28" s="9"/>
      <c r="Y28" s="21">
        <v>1.72943</v>
      </c>
      <c r="Z28" s="21">
        <v>14.617800000000001</v>
      </c>
      <c r="AA28" s="21">
        <v>-9.2590299999999997E-3</v>
      </c>
      <c r="AB28" s="21">
        <v>18</v>
      </c>
      <c r="AC28" s="21">
        <v>1.72882</v>
      </c>
      <c r="AD28">
        <f t="shared" si="4"/>
        <v>11.4309012345679</v>
      </c>
      <c r="AE28">
        <f t="shared" si="5"/>
        <v>19.768943522098763</v>
      </c>
      <c r="AF28" s="9"/>
      <c r="AG28" s="21">
        <v>-9.3078599999999994E-3</v>
      </c>
      <c r="AH28" s="21">
        <v>18.4773</v>
      </c>
      <c r="AI28" s="21">
        <v>-1.5081799999999999E-2</v>
      </c>
      <c r="AJ28" s="21">
        <v>18</v>
      </c>
      <c r="AK28" s="21">
        <v>-9.5336899999999992E-3</v>
      </c>
      <c r="AL28">
        <f t="shared" si="6"/>
        <v>18.619506172839504</v>
      </c>
      <c r="AM28">
        <f t="shared" si="7"/>
        <v>-0.17330775672592588</v>
      </c>
      <c r="AP28" s="9"/>
      <c r="AQ28" s="21">
        <v>1.72943</v>
      </c>
      <c r="AR28" s="21">
        <v>24.052</v>
      </c>
      <c r="AS28" s="21">
        <v>-9.2040999999999998E-3</v>
      </c>
      <c r="AT28" s="21">
        <v>18</v>
      </c>
      <c r="AU28" s="21">
        <v>1.72882</v>
      </c>
      <c r="AV28">
        <f t="shared" si="8"/>
        <v>11.363086419753087</v>
      </c>
      <c r="AW28">
        <f t="shared" si="9"/>
        <v>19.651662546913581</v>
      </c>
      <c r="AX28" s="9"/>
      <c r="AY28" s="21">
        <v>-9.3078599999999994E-3</v>
      </c>
      <c r="AZ28" s="21">
        <v>27.9115</v>
      </c>
      <c r="BA28" s="21">
        <v>-1.5069600000000001E-2</v>
      </c>
      <c r="BB28" s="21">
        <v>18</v>
      </c>
      <c r="BC28" s="21">
        <v>-9.5519999999999997E-3</v>
      </c>
      <c r="BD28">
        <f t="shared" si="10"/>
        <v>18.604444444444443</v>
      </c>
      <c r="BE28">
        <f t="shared" si="11"/>
        <v>-0.17316756426666663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1.7243999999999999</v>
      </c>
      <c r="H29" s="21">
        <v>5.2136699999999996</v>
      </c>
      <c r="I29" s="21">
        <v>-9.5489500000000005E-3</v>
      </c>
      <c r="J29" s="21">
        <v>19</v>
      </c>
      <c r="K29" s="21">
        <v>1.72394</v>
      </c>
      <c r="L29">
        <f t="shared" si="0"/>
        <v>11.788827160493826</v>
      </c>
      <c r="M29">
        <f t="shared" si="1"/>
        <v>20.328653555555551</v>
      </c>
      <c r="N29" s="9"/>
      <c r="O29" s="21">
        <v>-1.28174E-2</v>
      </c>
      <c r="P29" s="21">
        <v>18.102399999999999</v>
      </c>
      <c r="Q29" s="21">
        <v>-1.50787E-2</v>
      </c>
      <c r="R29" s="21">
        <v>364</v>
      </c>
      <c r="S29" s="21">
        <v>-1.3119499999999999E-2</v>
      </c>
      <c r="T29">
        <f t="shared" si="2"/>
        <v>18.61567901234568</v>
      </c>
      <c r="U29">
        <f t="shared" si="3"/>
        <v>-0.23860460417283952</v>
      </c>
      <c r="X29" s="9"/>
      <c r="Y29" s="21">
        <v>1.7243999999999999</v>
      </c>
      <c r="Z29" s="21">
        <v>14.6279</v>
      </c>
      <c r="AA29" s="21">
        <v>-9.5458999999999995E-3</v>
      </c>
      <c r="AB29" s="21">
        <v>19</v>
      </c>
      <c r="AC29" s="21">
        <v>1.72333</v>
      </c>
      <c r="AD29">
        <f t="shared" si="4"/>
        <v>11.78506172839506</v>
      </c>
      <c r="AE29">
        <f t="shared" si="5"/>
        <v>20.322160444444442</v>
      </c>
      <c r="AF29" s="9"/>
      <c r="AG29" s="21">
        <v>-4.2724599999999996E-3</v>
      </c>
      <c r="AH29" s="21">
        <v>18.487400000000001</v>
      </c>
      <c r="AI29" s="21">
        <v>-1.5094E-2</v>
      </c>
      <c r="AJ29" s="21">
        <v>19</v>
      </c>
      <c r="AK29" s="21">
        <v>-4.57764E-3</v>
      </c>
      <c r="AL29">
        <f t="shared" si="6"/>
        <v>18.634567901234568</v>
      </c>
      <c r="AM29">
        <f t="shared" si="7"/>
        <v>-7.9615445975308632E-2</v>
      </c>
      <c r="AP29" s="9"/>
      <c r="AQ29" s="21">
        <v>1.7243999999999999</v>
      </c>
      <c r="AR29" s="21">
        <v>24.062100000000001</v>
      </c>
      <c r="AS29" s="21">
        <v>-9.50317E-3</v>
      </c>
      <c r="AT29" s="21">
        <v>19</v>
      </c>
      <c r="AU29" s="21">
        <v>1.72363</v>
      </c>
      <c r="AV29">
        <f t="shared" si="8"/>
        <v>11.732308641975308</v>
      </c>
      <c r="AW29">
        <f t="shared" si="9"/>
        <v>20.231193022222222</v>
      </c>
      <c r="AX29" s="9"/>
      <c r="AY29" s="21">
        <v>-4.2724599999999996E-3</v>
      </c>
      <c r="AZ29" s="21">
        <v>27.921600000000002</v>
      </c>
      <c r="BA29" s="21">
        <v>-1.5075699999999999E-2</v>
      </c>
      <c r="BB29" s="21">
        <v>19</v>
      </c>
      <c r="BC29" s="21">
        <v>-4.4860799999999999E-3</v>
      </c>
      <c r="BD29">
        <f t="shared" si="10"/>
        <v>18.611975308641973</v>
      </c>
      <c r="BE29">
        <f t="shared" si="11"/>
        <v>-7.9518920027160475E-2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1.71936</v>
      </c>
      <c r="H30" s="21">
        <v>5.2237400000000003</v>
      </c>
      <c r="I30" s="21">
        <v>-9.8052999999999994E-3</v>
      </c>
      <c r="J30" s="21">
        <v>20</v>
      </c>
      <c r="K30" s="21">
        <v>1.71906</v>
      </c>
      <c r="L30">
        <f t="shared" si="0"/>
        <v>12.105308641975306</v>
      </c>
      <c r="M30">
        <f t="shared" si="1"/>
        <v>20.813383466666661</v>
      </c>
      <c r="N30" s="9"/>
      <c r="O30" s="21">
        <v>-7.78198E-3</v>
      </c>
      <c r="P30" s="21">
        <v>18.092300000000002</v>
      </c>
      <c r="Q30" s="21">
        <v>-1.5075699999999999E-2</v>
      </c>
      <c r="R30" s="21">
        <v>363</v>
      </c>
      <c r="S30" s="21">
        <v>-8.0718999999999999E-3</v>
      </c>
      <c r="T30">
        <f t="shared" si="2"/>
        <v>18.611975308641973</v>
      </c>
      <c r="U30">
        <f t="shared" si="3"/>
        <v>-0.14483801961234566</v>
      </c>
      <c r="X30" s="9"/>
      <c r="Y30" s="21">
        <v>1.71936</v>
      </c>
      <c r="Z30" s="21">
        <v>14.638</v>
      </c>
      <c r="AA30" s="21">
        <v>-9.8174999999999998E-3</v>
      </c>
      <c r="AB30" s="21">
        <v>20</v>
      </c>
      <c r="AC30" s="21">
        <v>1.71844</v>
      </c>
      <c r="AD30">
        <f t="shared" si="4"/>
        <v>12.12037037037037</v>
      </c>
      <c r="AE30">
        <f t="shared" si="5"/>
        <v>20.839279999999999</v>
      </c>
      <c r="AF30" s="9"/>
      <c r="AG30" s="21">
        <v>7.6293900000000002E-4</v>
      </c>
      <c r="AH30" s="21">
        <v>18.497399999999999</v>
      </c>
      <c r="AI30" s="21">
        <v>-1.5096999999999999E-2</v>
      </c>
      <c r="AJ30" s="21">
        <v>20</v>
      </c>
      <c r="AK30" s="21">
        <v>6.0729999999999996E-4</v>
      </c>
      <c r="AL30">
        <f t="shared" si="6"/>
        <v>18.638271604938272</v>
      </c>
      <c r="AM30">
        <f t="shared" si="7"/>
        <v>1.4219864300000001E-2</v>
      </c>
      <c r="AP30" s="9"/>
      <c r="AQ30" s="21">
        <v>1.71936</v>
      </c>
      <c r="AR30" s="21">
        <v>24.072199999999999</v>
      </c>
      <c r="AS30" s="21">
        <v>-9.7808800000000005E-3</v>
      </c>
      <c r="AT30" s="21">
        <v>20</v>
      </c>
      <c r="AU30" s="21">
        <v>1.71906</v>
      </c>
      <c r="AV30">
        <f t="shared" si="8"/>
        <v>12.075160493827159</v>
      </c>
      <c r="AW30">
        <f t="shared" si="9"/>
        <v>20.761547946666663</v>
      </c>
      <c r="AX30" s="9"/>
      <c r="AY30" s="21">
        <v>7.6293900000000002E-4</v>
      </c>
      <c r="AZ30" s="21">
        <v>27.931699999999999</v>
      </c>
      <c r="BA30" s="21">
        <v>-1.5075699999999999E-2</v>
      </c>
      <c r="BB30" s="21">
        <v>20</v>
      </c>
      <c r="BC30" s="21">
        <v>6.0119600000000002E-4</v>
      </c>
      <c r="BD30">
        <f t="shared" si="10"/>
        <v>18.611975308641973</v>
      </c>
      <c r="BE30">
        <f t="shared" si="11"/>
        <v>1.4199801829999999E-2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1.7143200000000001</v>
      </c>
      <c r="H31" s="21">
        <v>5.2338100000000001</v>
      </c>
      <c r="I31" s="21">
        <v>-1.00494E-2</v>
      </c>
      <c r="J31" s="21">
        <v>21</v>
      </c>
      <c r="K31" s="21">
        <v>1.71387</v>
      </c>
      <c r="L31">
        <f t="shared" si="0"/>
        <v>12.406666666666666</v>
      </c>
      <c r="M31">
        <f t="shared" si="1"/>
        <v>21.2689968</v>
      </c>
      <c r="N31" s="9"/>
      <c r="O31" s="21">
        <v>-2.7465800000000002E-3</v>
      </c>
      <c r="P31" s="21">
        <v>18.0822</v>
      </c>
      <c r="Q31" s="21">
        <v>-1.5069600000000001E-2</v>
      </c>
      <c r="R31" s="21">
        <v>362</v>
      </c>
      <c r="S31" s="21">
        <v>-2.97241E-3</v>
      </c>
      <c r="T31">
        <f t="shared" si="2"/>
        <v>18.604444444444443</v>
      </c>
      <c r="U31">
        <f t="shared" si="3"/>
        <v>-5.1098595022222221E-2</v>
      </c>
      <c r="X31" s="9"/>
      <c r="Y31" s="21">
        <v>1.7143200000000001</v>
      </c>
      <c r="Z31" s="21">
        <v>14.648</v>
      </c>
      <c r="AA31" s="21">
        <v>-1.0083E-2</v>
      </c>
      <c r="AB31" s="21">
        <v>21</v>
      </c>
      <c r="AC31" s="21">
        <v>1.71326</v>
      </c>
      <c r="AD31">
        <f t="shared" si="4"/>
        <v>12.448148148148148</v>
      </c>
      <c r="AE31">
        <f t="shared" si="5"/>
        <v>21.340109333333334</v>
      </c>
      <c r="AF31" s="9"/>
      <c r="AG31" s="21">
        <v>5.7983399999999999E-3</v>
      </c>
      <c r="AH31" s="21">
        <v>18.5075</v>
      </c>
      <c r="AI31" s="21">
        <v>-1.5094E-2</v>
      </c>
      <c r="AJ31" s="21">
        <v>21</v>
      </c>
      <c r="AK31" s="21">
        <v>5.6732199999999997E-3</v>
      </c>
      <c r="AL31">
        <f t="shared" si="6"/>
        <v>18.634567901234568</v>
      </c>
      <c r="AM31">
        <f t="shared" si="7"/>
        <v>0.10804956044444444</v>
      </c>
      <c r="AP31" s="9"/>
      <c r="AQ31" s="21">
        <v>1.7143200000000001</v>
      </c>
      <c r="AR31" s="21">
        <v>24.0823</v>
      </c>
      <c r="AS31" s="21">
        <v>-1.00342E-2</v>
      </c>
      <c r="AT31" s="21">
        <v>21</v>
      </c>
      <c r="AU31" s="21">
        <v>1.71326</v>
      </c>
      <c r="AV31">
        <f t="shared" si="8"/>
        <v>12.3879012345679</v>
      </c>
      <c r="AW31">
        <f t="shared" si="9"/>
        <v>21.236826844444444</v>
      </c>
      <c r="AX31" s="9"/>
      <c r="AY31" s="21">
        <v>5.7983399999999999E-3</v>
      </c>
      <c r="AZ31" s="21">
        <v>27.941700000000001</v>
      </c>
      <c r="BA31" s="21">
        <v>-1.5081799999999999E-2</v>
      </c>
      <c r="BB31" s="21">
        <v>21</v>
      </c>
      <c r="BC31" s="21">
        <v>5.6091300000000004E-3</v>
      </c>
      <c r="BD31">
        <f t="shared" si="10"/>
        <v>18.619506172839504</v>
      </c>
      <c r="BE31">
        <f t="shared" si="11"/>
        <v>0.10796222742222221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1.70929</v>
      </c>
      <c r="H32" s="21">
        <v>5.2438799999999999</v>
      </c>
      <c r="I32" s="21">
        <v>-1.0278300000000001E-2</v>
      </c>
      <c r="J32" s="21">
        <v>22</v>
      </c>
      <c r="K32" s="21">
        <v>1.7083699999999999</v>
      </c>
      <c r="L32">
        <f t="shared" si="0"/>
        <v>12.689259259259259</v>
      </c>
      <c r="M32">
        <f t="shared" si="1"/>
        <v>21.689623959259258</v>
      </c>
      <c r="N32" s="9"/>
      <c r="O32" s="21">
        <v>2.28882E-3</v>
      </c>
      <c r="P32" s="21">
        <v>18.072199999999999</v>
      </c>
      <c r="Q32" s="21">
        <v>-1.5069600000000001E-2</v>
      </c>
      <c r="R32" s="21">
        <v>361</v>
      </c>
      <c r="S32" s="21">
        <v>2.1392799999999999E-3</v>
      </c>
      <c r="T32">
        <f t="shared" si="2"/>
        <v>18.604444444444443</v>
      </c>
      <c r="U32">
        <f t="shared" si="3"/>
        <v>4.2582224533333331E-2</v>
      </c>
      <c r="X32" s="9"/>
      <c r="Y32" s="21">
        <v>1.70929</v>
      </c>
      <c r="Z32" s="21">
        <v>14.658099999999999</v>
      </c>
      <c r="AA32" s="21">
        <v>-1.03149E-2</v>
      </c>
      <c r="AB32" s="21">
        <v>22</v>
      </c>
      <c r="AC32" s="21">
        <v>1.7089799999999999</v>
      </c>
      <c r="AD32">
        <f t="shared" si="4"/>
        <v>12.734444444444444</v>
      </c>
      <c r="AE32">
        <f t="shared" si="5"/>
        <v>21.766858544444442</v>
      </c>
      <c r="AF32" s="9"/>
      <c r="AG32" s="21">
        <v>1.08337E-2</v>
      </c>
      <c r="AH32" s="21">
        <v>18.517600000000002</v>
      </c>
      <c r="AI32" s="21">
        <v>-1.50879E-2</v>
      </c>
      <c r="AJ32" s="21">
        <v>22</v>
      </c>
      <c r="AK32" s="21">
        <v>1.05743E-2</v>
      </c>
      <c r="AL32">
        <f t="shared" si="6"/>
        <v>18.627037037037034</v>
      </c>
      <c r="AM32">
        <f t="shared" si="7"/>
        <v>0.20179973114814811</v>
      </c>
      <c r="AP32" s="9"/>
      <c r="AQ32" s="21">
        <v>1.70929</v>
      </c>
      <c r="AR32" s="21">
        <v>24.092300000000002</v>
      </c>
      <c r="AS32" s="21">
        <v>-1.0263100000000001E-2</v>
      </c>
      <c r="AT32" s="21">
        <v>22</v>
      </c>
      <c r="AU32" s="21">
        <v>1.70868</v>
      </c>
      <c r="AV32">
        <f t="shared" si="8"/>
        <v>12.670493827160493</v>
      </c>
      <c r="AW32">
        <f t="shared" si="9"/>
        <v>21.65754839382716</v>
      </c>
      <c r="AX32" s="9"/>
      <c r="AY32" s="21">
        <v>1.08337E-2</v>
      </c>
      <c r="AZ32" s="21">
        <v>27.951799999999999</v>
      </c>
      <c r="BA32" s="21">
        <v>-1.5075699999999999E-2</v>
      </c>
      <c r="BB32" s="21">
        <v>22</v>
      </c>
      <c r="BC32" s="21">
        <v>1.06964E-2</v>
      </c>
      <c r="BD32">
        <f t="shared" si="10"/>
        <v>18.611975308641973</v>
      </c>
      <c r="BE32">
        <f t="shared" si="11"/>
        <v>0.20163655690123455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1.70425</v>
      </c>
      <c r="H33" s="21">
        <v>5.2539499999999997</v>
      </c>
      <c r="I33" s="21">
        <v>-1.0488900000000001E-2</v>
      </c>
      <c r="J33" s="21">
        <v>23</v>
      </c>
      <c r="K33" s="21">
        <v>1.7038</v>
      </c>
      <c r="L33">
        <f t="shared" si="0"/>
        <v>12.949259259259259</v>
      </c>
      <c r="M33">
        <f t="shared" si="1"/>
        <v>22.068775092592592</v>
      </c>
      <c r="N33" s="9"/>
      <c r="O33" s="21">
        <v>7.3242200000000002E-3</v>
      </c>
      <c r="P33" s="21">
        <v>18.062100000000001</v>
      </c>
      <c r="Q33" s="21">
        <v>-1.50665E-2</v>
      </c>
      <c r="R33" s="21">
        <v>360</v>
      </c>
      <c r="S33" s="21">
        <v>7.1197500000000002E-3</v>
      </c>
      <c r="T33">
        <f t="shared" si="2"/>
        <v>18.600617283950616</v>
      </c>
      <c r="U33">
        <f t="shared" si="3"/>
        <v>0.13623501312345679</v>
      </c>
      <c r="X33" s="9"/>
      <c r="Y33" s="21">
        <v>1.70425</v>
      </c>
      <c r="Z33" s="21">
        <v>14.668200000000001</v>
      </c>
      <c r="AA33" s="21">
        <v>-1.0537700000000001E-2</v>
      </c>
      <c r="AB33" s="21">
        <v>23</v>
      </c>
      <c r="AC33" s="21">
        <v>1.70319</v>
      </c>
      <c r="AD33">
        <f t="shared" si="4"/>
        <v>13.009506172839506</v>
      </c>
      <c r="AE33">
        <f t="shared" si="5"/>
        <v>22.171450895061728</v>
      </c>
      <c r="AF33" s="9"/>
      <c r="AG33" s="21">
        <v>1.5869100000000001E-2</v>
      </c>
      <c r="AH33" s="21">
        <v>18.5276</v>
      </c>
      <c r="AI33" s="21">
        <v>-1.5075699999999999E-2</v>
      </c>
      <c r="AJ33" s="21">
        <v>23</v>
      </c>
      <c r="AK33" s="21">
        <v>1.5710399999999999E-2</v>
      </c>
      <c r="AL33">
        <f t="shared" si="6"/>
        <v>18.611975308641973</v>
      </c>
      <c r="AM33">
        <f t="shared" si="7"/>
        <v>0.29535529737037036</v>
      </c>
      <c r="AP33" s="9"/>
      <c r="AQ33" s="21">
        <v>1.70425</v>
      </c>
      <c r="AR33" s="21">
        <v>24.102399999999999</v>
      </c>
      <c r="AS33" s="21">
        <v>-1.04919E-2</v>
      </c>
      <c r="AT33" s="21">
        <v>23</v>
      </c>
      <c r="AU33" s="21">
        <v>1.70319</v>
      </c>
      <c r="AV33">
        <f t="shared" si="8"/>
        <v>12.952962962962962</v>
      </c>
      <c r="AW33">
        <f t="shared" si="9"/>
        <v>22.07508712962963</v>
      </c>
      <c r="AX33" s="9"/>
      <c r="AY33" s="21">
        <v>1.5869100000000001E-2</v>
      </c>
      <c r="AZ33" s="21">
        <v>27.9619</v>
      </c>
      <c r="BA33" s="21">
        <v>-1.50787E-2</v>
      </c>
      <c r="BB33" s="21">
        <v>23</v>
      </c>
      <c r="BC33" s="21">
        <v>1.57898E-2</v>
      </c>
      <c r="BD33">
        <f t="shared" si="10"/>
        <v>18.61567901234568</v>
      </c>
      <c r="BE33">
        <f t="shared" si="11"/>
        <v>0.29541407181481483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1.69922</v>
      </c>
      <c r="H34" s="21">
        <v>5.2640200000000004</v>
      </c>
      <c r="I34" s="21">
        <v>-1.06842E-2</v>
      </c>
      <c r="J34" s="21">
        <v>24</v>
      </c>
      <c r="K34" s="21">
        <v>1.69861</v>
      </c>
      <c r="L34">
        <f t="shared" si="0"/>
        <v>13.190370370370371</v>
      </c>
      <c r="M34">
        <f t="shared" si="1"/>
        <v>22.413341140740741</v>
      </c>
      <c r="N34" s="9"/>
      <c r="O34" s="21">
        <v>1.23596E-2</v>
      </c>
      <c r="P34" s="21">
        <v>18.052</v>
      </c>
      <c r="Q34" s="21">
        <v>-1.50665E-2</v>
      </c>
      <c r="R34" s="21">
        <v>359</v>
      </c>
      <c r="S34" s="21">
        <v>1.21552E-2</v>
      </c>
      <c r="T34">
        <f t="shared" si="2"/>
        <v>18.600617283950616</v>
      </c>
      <c r="U34">
        <f t="shared" si="3"/>
        <v>0.22989618938271603</v>
      </c>
      <c r="X34" s="9"/>
      <c r="Y34" s="21">
        <v>1.69922</v>
      </c>
      <c r="Z34" s="21">
        <v>14.6782</v>
      </c>
      <c r="AA34" s="21">
        <v>-1.07361E-2</v>
      </c>
      <c r="AB34" s="21">
        <v>24</v>
      </c>
      <c r="AC34" s="21">
        <v>1.6982999999999999</v>
      </c>
      <c r="AD34">
        <f t="shared" si="4"/>
        <v>13.254444444444443</v>
      </c>
      <c r="AE34">
        <f t="shared" si="5"/>
        <v>22.522217088888887</v>
      </c>
      <c r="AF34" s="9"/>
      <c r="AG34" s="21">
        <v>2.0904499999999999E-2</v>
      </c>
      <c r="AH34" s="21">
        <v>18.537700000000001</v>
      </c>
      <c r="AI34" s="21">
        <v>-1.5075699999999999E-2</v>
      </c>
      <c r="AJ34" s="21">
        <v>24</v>
      </c>
      <c r="AK34" s="21">
        <v>2.07672E-2</v>
      </c>
      <c r="AL34">
        <f t="shared" si="6"/>
        <v>18.611975308641973</v>
      </c>
      <c r="AM34">
        <f t="shared" si="7"/>
        <v>0.38907403783950611</v>
      </c>
      <c r="AP34" s="9"/>
      <c r="AQ34" s="21">
        <v>1.69922</v>
      </c>
      <c r="AR34" s="21">
        <v>24.112500000000001</v>
      </c>
      <c r="AS34" s="21">
        <v>-1.06934E-2</v>
      </c>
      <c r="AT34" s="21">
        <v>24</v>
      </c>
      <c r="AU34" s="21">
        <v>1.69861</v>
      </c>
      <c r="AV34">
        <f t="shared" si="8"/>
        <v>13.201728395061728</v>
      </c>
      <c r="AW34">
        <f t="shared" si="9"/>
        <v>22.432640923456791</v>
      </c>
      <c r="AX34" s="9"/>
      <c r="AY34" s="21">
        <v>2.0904499999999999E-2</v>
      </c>
      <c r="AZ34" s="21">
        <v>27.971900000000002</v>
      </c>
      <c r="BA34" s="21">
        <v>-1.50787E-2</v>
      </c>
      <c r="BB34" s="21">
        <v>24</v>
      </c>
      <c r="BC34" s="21">
        <v>2.0809899999999999E-2</v>
      </c>
      <c r="BD34">
        <f t="shared" si="10"/>
        <v>18.61567901234568</v>
      </c>
      <c r="BE34">
        <f t="shared" si="11"/>
        <v>0.38915146191358024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1.69418</v>
      </c>
      <c r="H35" s="21">
        <v>5.2740900000000002</v>
      </c>
      <c r="I35" s="21">
        <v>-1.08673E-2</v>
      </c>
      <c r="J35" s="21">
        <v>25</v>
      </c>
      <c r="K35" s="21">
        <v>1.69373</v>
      </c>
      <c r="L35">
        <f t="shared" si="0"/>
        <v>13.416419753086419</v>
      </c>
      <c r="M35">
        <f t="shared" si="1"/>
        <v>22.729830017283952</v>
      </c>
      <c r="N35" s="9"/>
      <c r="O35" s="21">
        <v>1.7395000000000001E-2</v>
      </c>
      <c r="P35" s="21">
        <v>18.042000000000002</v>
      </c>
      <c r="Q35" s="21">
        <v>-1.50665E-2</v>
      </c>
      <c r="R35" s="21">
        <v>358</v>
      </c>
      <c r="S35" s="21">
        <v>1.7312600000000001E-2</v>
      </c>
      <c r="T35">
        <f t="shared" si="2"/>
        <v>18.600617283950616</v>
      </c>
      <c r="U35">
        <f t="shared" si="3"/>
        <v>0.323557737654321</v>
      </c>
      <c r="X35" s="9"/>
      <c r="Y35" s="21">
        <v>1.69418</v>
      </c>
      <c r="Z35" s="21">
        <v>14.6883</v>
      </c>
      <c r="AA35" s="21">
        <v>-1.09222E-2</v>
      </c>
      <c r="AB35" s="21">
        <v>25</v>
      </c>
      <c r="AC35" s="21">
        <v>1.6934199999999999</v>
      </c>
      <c r="AD35">
        <f t="shared" si="4"/>
        <v>13.484197530864197</v>
      </c>
      <c r="AE35">
        <f t="shared" si="5"/>
        <v>22.844657772839504</v>
      </c>
      <c r="AF35" s="9"/>
      <c r="AG35" s="21">
        <v>2.5939899999999998E-2</v>
      </c>
      <c r="AH35" s="21">
        <v>18.547799999999999</v>
      </c>
      <c r="AI35" s="21">
        <v>-1.50787E-2</v>
      </c>
      <c r="AJ35" s="21">
        <v>25</v>
      </c>
      <c r="AK35" s="21">
        <v>2.5811799999999999E-2</v>
      </c>
      <c r="AL35">
        <f t="shared" si="6"/>
        <v>18.61567901234568</v>
      </c>
      <c r="AM35">
        <f t="shared" si="7"/>
        <v>0.48288885201234566</v>
      </c>
      <c r="AP35" s="9"/>
      <c r="AQ35" s="21">
        <v>1.69418</v>
      </c>
      <c r="AR35" s="21">
        <v>24.122499999999999</v>
      </c>
      <c r="AS35" s="21">
        <v>-1.08856E-2</v>
      </c>
      <c r="AT35" s="21">
        <v>25</v>
      </c>
      <c r="AU35" s="21">
        <v>1.69312</v>
      </c>
      <c r="AV35">
        <f t="shared" si="8"/>
        <v>13.439012345679012</v>
      </c>
      <c r="AW35">
        <f t="shared" si="9"/>
        <v>22.76810593580247</v>
      </c>
      <c r="AX35" s="9"/>
      <c r="AY35" s="21">
        <v>2.5939899999999998E-2</v>
      </c>
      <c r="AZ35" s="21">
        <v>27.981999999999999</v>
      </c>
      <c r="BA35" s="21">
        <v>-1.50726E-2</v>
      </c>
      <c r="BB35" s="21">
        <v>25</v>
      </c>
      <c r="BC35" s="21">
        <v>2.5845300000000002E-2</v>
      </c>
      <c r="BD35">
        <f t="shared" si="10"/>
        <v>18.60814814814815</v>
      </c>
      <c r="BE35">
        <f t="shared" si="11"/>
        <v>0.48269350214814816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1.6891499999999999</v>
      </c>
      <c r="H36" s="21">
        <v>5.28416</v>
      </c>
      <c r="I36" s="21">
        <v>-1.1047400000000001E-2</v>
      </c>
      <c r="J36" s="21">
        <v>26</v>
      </c>
      <c r="K36" s="21">
        <v>1.6882299999999999</v>
      </c>
      <c r="L36">
        <f t="shared" si="0"/>
        <v>13.638765432098765</v>
      </c>
      <c r="M36">
        <f t="shared" si="1"/>
        <v>23.037920629629628</v>
      </c>
      <c r="N36" s="9"/>
      <c r="O36" s="21">
        <v>2.24304E-2</v>
      </c>
      <c r="P36" s="21">
        <v>18.0319</v>
      </c>
      <c r="Q36" s="21">
        <v>-1.5069600000000001E-2</v>
      </c>
      <c r="R36" s="21">
        <v>357</v>
      </c>
      <c r="S36" s="21">
        <v>2.2299200000000002E-2</v>
      </c>
      <c r="T36">
        <f t="shared" si="2"/>
        <v>18.604444444444443</v>
      </c>
      <c r="U36">
        <f t="shared" si="3"/>
        <v>0.41730513066666663</v>
      </c>
      <c r="X36" s="9"/>
      <c r="Y36" s="21">
        <v>1.6891499999999999</v>
      </c>
      <c r="Z36" s="21">
        <v>14.698399999999999</v>
      </c>
      <c r="AA36" s="21">
        <v>-1.1096200000000001E-2</v>
      </c>
      <c r="AB36" s="21">
        <v>26</v>
      </c>
      <c r="AC36" s="21">
        <v>1.6888399999999999</v>
      </c>
      <c r="AD36">
        <f t="shared" si="4"/>
        <v>13.699012345679012</v>
      </c>
      <c r="AE36">
        <f t="shared" si="5"/>
        <v>23.139686703703703</v>
      </c>
      <c r="AF36" s="9"/>
      <c r="AG36" s="21">
        <v>3.0975300000000001E-2</v>
      </c>
      <c r="AH36" s="21">
        <v>18.5579</v>
      </c>
      <c r="AI36" s="21">
        <v>-1.5084800000000001E-2</v>
      </c>
      <c r="AJ36" s="21">
        <v>26</v>
      </c>
      <c r="AK36" s="21">
        <v>3.0850200000000001E-2</v>
      </c>
      <c r="AL36">
        <f t="shared" si="6"/>
        <v>18.623209876543207</v>
      </c>
      <c r="AM36">
        <f t="shared" si="7"/>
        <v>0.57685951288888881</v>
      </c>
      <c r="AP36" s="9"/>
      <c r="AQ36" s="21">
        <v>1.6891499999999999</v>
      </c>
      <c r="AR36" s="21">
        <v>24.1326</v>
      </c>
      <c r="AS36" s="21">
        <v>-1.1062600000000001E-2</v>
      </c>
      <c r="AT36" s="21">
        <v>26</v>
      </c>
      <c r="AU36" s="21">
        <v>1.6888399999999999</v>
      </c>
      <c r="AV36">
        <f t="shared" si="8"/>
        <v>13.657530864197531</v>
      </c>
      <c r="AW36">
        <f t="shared" si="9"/>
        <v>23.069618259259258</v>
      </c>
      <c r="AX36" s="9"/>
      <c r="AY36" s="21">
        <v>3.0975300000000001E-2</v>
      </c>
      <c r="AZ36" s="21">
        <v>27.992100000000001</v>
      </c>
      <c r="BA36" s="21">
        <v>-1.50665E-2</v>
      </c>
      <c r="BB36" s="21">
        <v>26</v>
      </c>
      <c r="BC36" s="21">
        <v>3.08411E-2</v>
      </c>
      <c r="BD36">
        <f t="shared" si="10"/>
        <v>18.600617283950616</v>
      </c>
      <c r="BE36">
        <f t="shared" si="11"/>
        <v>0.57615970055555554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1.68411</v>
      </c>
      <c r="H37" s="21">
        <v>5.2942400000000003</v>
      </c>
      <c r="I37" s="21">
        <v>-1.12183E-2</v>
      </c>
      <c r="J37" s="21">
        <v>27</v>
      </c>
      <c r="K37" s="21">
        <v>1.6830400000000001</v>
      </c>
      <c r="L37">
        <f t="shared" si="0"/>
        <v>13.849753086419753</v>
      </c>
      <c r="M37">
        <f t="shared" si="1"/>
        <v>23.32450767037037</v>
      </c>
      <c r="N37" s="9"/>
      <c r="O37" s="21">
        <v>2.7465799999999999E-2</v>
      </c>
      <c r="P37" s="21">
        <v>18.021799999999999</v>
      </c>
      <c r="Q37" s="21">
        <v>-1.5084800000000001E-2</v>
      </c>
      <c r="R37" s="21">
        <v>356</v>
      </c>
      <c r="S37" s="21">
        <v>2.7276600000000002E-2</v>
      </c>
      <c r="T37">
        <f t="shared" si="2"/>
        <v>18.623209876543207</v>
      </c>
      <c r="U37">
        <f t="shared" si="3"/>
        <v>0.51150135782716044</v>
      </c>
      <c r="X37" s="9"/>
      <c r="Y37" s="21">
        <v>1.68411</v>
      </c>
      <c r="Z37" s="21">
        <v>14.708500000000001</v>
      </c>
      <c r="AA37" s="21">
        <v>-1.1261E-2</v>
      </c>
      <c r="AB37" s="21">
        <v>27</v>
      </c>
      <c r="AC37" s="21">
        <v>1.6833499999999999</v>
      </c>
      <c r="AD37">
        <f t="shared" si="4"/>
        <v>13.90246913580247</v>
      </c>
      <c r="AE37">
        <f t="shared" si="5"/>
        <v>23.413287296296296</v>
      </c>
      <c r="AF37" s="9"/>
      <c r="AG37" s="21">
        <v>3.60107E-2</v>
      </c>
      <c r="AH37" s="21">
        <v>18.567900000000002</v>
      </c>
      <c r="AI37" s="21">
        <v>-1.5084800000000001E-2</v>
      </c>
      <c r="AJ37" s="21">
        <v>27</v>
      </c>
      <c r="AK37" s="21">
        <v>3.5879500000000002E-2</v>
      </c>
      <c r="AL37">
        <f t="shared" si="6"/>
        <v>18.623209876543207</v>
      </c>
      <c r="AM37">
        <f t="shared" si="7"/>
        <v>0.67063482390123441</v>
      </c>
      <c r="AP37" s="9"/>
      <c r="AQ37" s="21">
        <v>1.68411</v>
      </c>
      <c r="AR37" s="21">
        <v>24.142700000000001</v>
      </c>
      <c r="AS37" s="21">
        <v>-1.12335E-2</v>
      </c>
      <c r="AT37" s="21">
        <v>27</v>
      </c>
      <c r="AU37" s="21">
        <v>1.6836500000000001</v>
      </c>
      <c r="AV37">
        <f t="shared" si="8"/>
        <v>13.868518518518519</v>
      </c>
      <c r="AW37">
        <f t="shared" si="9"/>
        <v>23.356110722222223</v>
      </c>
      <c r="AX37" s="9"/>
      <c r="AY37" s="21">
        <v>3.60107E-2</v>
      </c>
      <c r="AZ37" s="21">
        <v>28.002199999999998</v>
      </c>
      <c r="BA37" s="21">
        <v>-1.50543E-2</v>
      </c>
      <c r="BB37" s="21">
        <v>27</v>
      </c>
      <c r="BC37" s="21">
        <v>3.5907000000000001E-2</v>
      </c>
      <c r="BD37">
        <f t="shared" si="10"/>
        <v>18.585555555555555</v>
      </c>
      <c r="BE37">
        <f t="shared" si="11"/>
        <v>0.66927886544444437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1.6790799999999999</v>
      </c>
      <c r="H38" s="21">
        <v>5.3043100000000001</v>
      </c>
      <c r="I38" s="21">
        <v>-1.1377E-2</v>
      </c>
      <c r="J38" s="21">
        <v>28</v>
      </c>
      <c r="K38" s="21">
        <v>1.6784699999999999</v>
      </c>
      <c r="L38">
        <f t="shared" si="0"/>
        <v>14.045679012345678</v>
      </c>
      <c r="M38">
        <f t="shared" si="1"/>
        <v>23.583818716049379</v>
      </c>
      <c r="N38" s="9"/>
      <c r="O38" s="21">
        <v>3.2501200000000001E-2</v>
      </c>
      <c r="P38" s="21">
        <v>18.011700000000001</v>
      </c>
      <c r="Q38" s="21">
        <v>-1.5094E-2</v>
      </c>
      <c r="R38" s="21">
        <v>355</v>
      </c>
      <c r="S38" s="21">
        <v>3.2385299999999999E-2</v>
      </c>
      <c r="T38">
        <f t="shared" si="2"/>
        <v>18.634567901234568</v>
      </c>
      <c r="U38">
        <f t="shared" si="3"/>
        <v>0.60564581827160502</v>
      </c>
      <c r="X38" s="9"/>
      <c r="Y38" s="21">
        <v>1.6790799999999999</v>
      </c>
      <c r="Z38" s="21">
        <v>14.718500000000001</v>
      </c>
      <c r="AA38" s="21">
        <v>-1.14197E-2</v>
      </c>
      <c r="AB38" s="21">
        <v>28</v>
      </c>
      <c r="AC38" s="21">
        <v>1.6784699999999999</v>
      </c>
      <c r="AD38">
        <f t="shared" si="4"/>
        <v>14.098395061728393</v>
      </c>
      <c r="AE38">
        <f t="shared" si="5"/>
        <v>23.672333180246909</v>
      </c>
      <c r="AF38" s="9"/>
      <c r="AG38" s="21">
        <v>4.1046100000000002E-2</v>
      </c>
      <c r="AH38" s="21">
        <v>18.577999999999999</v>
      </c>
      <c r="AI38" s="21">
        <v>-1.5075699999999999E-2</v>
      </c>
      <c r="AJ38" s="21">
        <v>28</v>
      </c>
      <c r="AK38" s="21">
        <v>4.0920999999999999E-2</v>
      </c>
      <c r="AL38">
        <f t="shared" si="6"/>
        <v>18.611975308641973</v>
      </c>
      <c r="AM38">
        <f t="shared" si="7"/>
        <v>0.76394899971604935</v>
      </c>
      <c r="AP38" s="9"/>
      <c r="AQ38" s="21">
        <v>1.6790799999999999</v>
      </c>
      <c r="AR38" s="21">
        <v>24.152799999999999</v>
      </c>
      <c r="AS38" s="21">
        <v>-1.14044E-2</v>
      </c>
      <c r="AT38" s="21">
        <v>28</v>
      </c>
      <c r="AU38" s="21">
        <v>1.6787700000000001</v>
      </c>
      <c r="AV38">
        <f t="shared" si="8"/>
        <v>14.079506172839505</v>
      </c>
      <c r="AW38">
        <f t="shared" si="9"/>
        <v>23.640617224691354</v>
      </c>
      <c r="AX38" s="9"/>
      <c r="AY38" s="21">
        <v>4.1046100000000002E-2</v>
      </c>
      <c r="AZ38" s="21">
        <v>28.0122</v>
      </c>
      <c r="BA38" s="21">
        <v>-1.5042099999999999E-2</v>
      </c>
      <c r="BB38" s="21">
        <v>28</v>
      </c>
      <c r="BC38" s="21">
        <v>4.0951500000000002E-2</v>
      </c>
      <c r="BD38">
        <f t="shared" si="10"/>
        <v>18.570493827160494</v>
      </c>
      <c r="BE38">
        <f t="shared" si="11"/>
        <v>0.76224634667901237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1.67404</v>
      </c>
      <c r="H39" s="21">
        <v>5.3143799999999999</v>
      </c>
      <c r="I39" s="21">
        <v>-1.15204E-2</v>
      </c>
      <c r="J39" s="21">
        <v>29</v>
      </c>
      <c r="K39" s="21">
        <v>1.6735800000000001</v>
      </c>
      <c r="L39">
        <f t="shared" si="0"/>
        <v>14.222716049382715</v>
      </c>
      <c r="M39">
        <f t="shared" si="1"/>
        <v>23.809395575308638</v>
      </c>
      <c r="N39" s="9"/>
      <c r="O39" s="21">
        <v>3.7536600000000003E-2</v>
      </c>
      <c r="P39" s="21">
        <v>18.0017</v>
      </c>
      <c r="Q39" s="21">
        <v>-1.5094E-2</v>
      </c>
      <c r="R39" s="21">
        <v>354</v>
      </c>
      <c r="S39" s="21">
        <v>3.74817E-2</v>
      </c>
      <c r="T39">
        <f t="shared" si="2"/>
        <v>18.634567901234568</v>
      </c>
      <c r="U39">
        <f t="shared" si="3"/>
        <v>0.69947832148148159</v>
      </c>
      <c r="X39" s="9"/>
      <c r="Y39" s="21">
        <v>1.67404</v>
      </c>
      <c r="Z39" s="21">
        <v>14.7286</v>
      </c>
      <c r="AA39" s="21">
        <v>-1.15753E-2</v>
      </c>
      <c r="AB39" s="21">
        <v>29</v>
      </c>
      <c r="AC39" s="21">
        <v>1.6732800000000001</v>
      </c>
      <c r="AD39">
        <f t="shared" si="4"/>
        <v>14.290493827160493</v>
      </c>
      <c r="AE39">
        <f t="shared" si="5"/>
        <v>23.92285828641975</v>
      </c>
      <c r="AF39" s="9"/>
      <c r="AG39" s="21">
        <v>4.6081499999999997E-2</v>
      </c>
      <c r="AH39" s="21">
        <v>18.588100000000001</v>
      </c>
      <c r="AI39" s="21">
        <v>-1.5075699999999999E-2</v>
      </c>
      <c r="AJ39" s="21">
        <v>29</v>
      </c>
      <c r="AK39" s="21">
        <v>4.6063199999999999E-2</v>
      </c>
      <c r="AL39">
        <f t="shared" si="6"/>
        <v>18.611975308641973</v>
      </c>
      <c r="AM39">
        <f t="shared" si="7"/>
        <v>0.8576677401851851</v>
      </c>
      <c r="AP39" s="9"/>
      <c r="AQ39" s="21">
        <v>1.67404</v>
      </c>
      <c r="AR39" s="21">
        <v>24.162800000000001</v>
      </c>
      <c r="AS39" s="21">
        <v>-1.15601E-2</v>
      </c>
      <c r="AT39" s="21">
        <v>29</v>
      </c>
      <c r="AU39" s="21">
        <v>1.6741900000000001</v>
      </c>
      <c r="AV39">
        <f t="shared" si="8"/>
        <v>14.271728395061727</v>
      </c>
      <c r="AW39">
        <f t="shared" si="9"/>
        <v>23.891444202469131</v>
      </c>
      <c r="AX39" s="9"/>
      <c r="AY39" s="21">
        <v>4.6081499999999997E-2</v>
      </c>
      <c r="AZ39" s="21">
        <v>28.022300000000001</v>
      </c>
      <c r="BA39" s="21">
        <v>-1.5026899999999999E-2</v>
      </c>
      <c r="BB39" s="21">
        <v>29</v>
      </c>
      <c r="BC39" s="21">
        <v>4.5968599999999998E-2</v>
      </c>
      <c r="BD39">
        <f t="shared" si="10"/>
        <v>18.551728395061726</v>
      </c>
      <c r="BE39">
        <f t="shared" si="11"/>
        <v>0.85489147203703686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1.6690100000000001</v>
      </c>
      <c r="H40" s="21">
        <v>5.3244499999999997</v>
      </c>
      <c r="I40" s="21">
        <v>-1.16577E-2</v>
      </c>
      <c r="J40" s="21">
        <v>30</v>
      </c>
      <c r="K40" s="21">
        <v>1.6680900000000001</v>
      </c>
      <c r="L40">
        <f t="shared" si="0"/>
        <v>14.392222222222221</v>
      </c>
      <c r="M40">
        <f t="shared" si="1"/>
        <v>24.020762811111112</v>
      </c>
      <c r="N40" s="9"/>
      <c r="O40" s="21">
        <v>4.2571999999999999E-2</v>
      </c>
      <c r="P40" s="21">
        <v>17.991599999999998</v>
      </c>
      <c r="Q40" s="21">
        <v>-1.50879E-2</v>
      </c>
      <c r="R40" s="21">
        <v>353</v>
      </c>
      <c r="S40" s="21">
        <v>4.2379800000000002E-2</v>
      </c>
      <c r="T40">
        <f t="shared" si="2"/>
        <v>18.627037037037034</v>
      </c>
      <c r="U40">
        <f t="shared" si="3"/>
        <v>0.79299022074074066</v>
      </c>
      <c r="X40" s="9"/>
      <c r="Y40" s="21">
        <v>1.6690100000000001</v>
      </c>
      <c r="Z40" s="21">
        <v>14.7387</v>
      </c>
      <c r="AA40" s="21">
        <v>-1.17126E-2</v>
      </c>
      <c r="AB40" s="21">
        <v>30</v>
      </c>
      <c r="AC40" s="21">
        <v>1.6680900000000001</v>
      </c>
      <c r="AD40">
        <f t="shared" si="4"/>
        <v>14.459999999999999</v>
      </c>
      <c r="AE40">
        <f t="shared" si="5"/>
        <v>24.133884599999998</v>
      </c>
      <c r="AF40" s="9"/>
      <c r="AG40" s="21">
        <v>5.11169E-2</v>
      </c>
      <c r="AH40" s="21">
        <v>18.598099999999999</v>
      </c>
      <c r="AI40" s="21">
        <v>-1.50665E-2</v>
      </c>
      <c r="AJ40" s="21">
        <v>30</v>
      </c>
      <c r="AK40" s="21">
        <v>5.0994900000000003E-2</v>
      </c>
      <c r="AL40">
        <f t="shared" si="6"/>
        <v>18.600617283950616</v>
      </c>
      <c r="AM40">
        <f t="shared" si="7"/>
        <v>0.95080589364197521</v>
      </c>
      <c r="AP40" s="9"/>
      <c r="AQ40" s="21">
        <v>1.6690100000000001</v>
      </c>
      <c r="AR40" s="21">
        <v>24.172899999999998</v>
      </c>
      <c r="AS40" s="21">
        <v>-1.17004E-2</v>
      </c>
      <c r="AT40" s="21">
        <v>30</v>
      </c>
      <c r="AU40" s="21">
        <v>1.6684000000000001</v>
      </c>
      <c r="AV40">
        <f t="shared" si="8"/>
        <v>14.444938271604938</v>
      </c>
      <c r="AW40">
        <f t="shared" si="9"/>
        <v>24.108746424691358</v>
      </c>
      <c r="AX40" s="9"/>
      <c r="AY40" s="21">
        <v>5.11169E-2</v>
      </c>
      <c r="AZ40" s="21">
        <v>28.032399999999999</v>
      </c>
      <c r="BA40" s="21">
        <v>-1.5029900000000001E-2</v>
      </c>
      <c r="BB40" s="21">
        <v>30</v>
      </c>
      <c r="BC40" s="21">
        <v>5.0537100000000001E-2</v>
      </c>
      <c r="BD40">
        <f t="shared" si="10"/>
        <v>18.555432098765429</v>
      </c>
      <c r="BE40">
        <f t="shared" si="11"/>
        <v>0.94849616704938255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1.6639699999999999</v>
      </c>
      <c r="H41" s="21">
        <v>5.3345200000000004</v>
      </c>
      <c r="I41" s="21">
        <v>-1.17859E-2</v>
      </c>
      <c r="J41" s="21">
        <v>31</v>
      </c>
      <c r="K41" s="21">
        <v>1.66351</v>
      </c>
      <c r="L41">
        <f t="shared" si="0"/>
        <v>14.550493827160492</v>
      </c>
      <c r="M41">
        <f t="shared" si="1"/>
        <v>24.211585213580243</v>
      </c>
      <c r="N41" s="9"/>
      <c r="O41" s="21">
        <v>4.7607400000000001E-2</v>
      </c>
      <c r="P41" s="21">
        <v>17.9815</v>
      </c>
      <c r="Q41" s="21">
        <v>-1.5075699999999999E-2</v>
      </c>
      <c r="R41" s="21">
        <v>352</v>
      </c>
      <c r="S41" s="21">
        <v>4.7463999999999999E-2</v>
      </c>
      <c r="T41">
        <f t="shared" si="2"/>
        <v>18.611975308641973</v>
      </c>
      <c r="U41">
        <f t="shared" si="3"/>
        <v>0.88606775330864196</v>
      </c>
      <c r="X41" s="9"/>
      <c r="Y41" s="21">
        <v>1.6639699999999999</v>
      </c>
      <c r="Z41" s="21">
        <v>14.748699999999999</v>
      </c>
      <c r="AA41" s="21">
        <v>-1.18469E-2</v>
      </c>
      <c r="AB41" s="21">
        <v>31</v>
      </c>
      <c r="AC41" s="21">
        <v>1.66351</v>
      </c>
      <c r="AD41">
        <f t="shared" si="4"/>
        <v>14.625802469135802</v>
      </c>
      <c r="AE41">
        <f t="shared" si="5"/>
        <v>24.336896534567899</v>
      </c>
      <c r="AF41" s="9"/>
      <c r="AG41" s="21">
        <v>5.6152300000000002E-2</v>
      </c>
      <c r="AH41" s="21">
        <v>18.6082</v>
      </c>
      <c r="AI41" s="21">
        <v>-1.5048199999999999E-2</v>
      </c>
      <c r="AJ41" s="21">
        <v>31</v>
      </c>
      <c r="AK41" s="21">
        <v>5.5603E-2</v>
      </c>
      <c r="AL41">
        <f t="shared" si="6"/>
        <v>18.578024691358021</v>
      </c>
      <c r="AM41">
        <f t="shared" si="7"/>
        <v>1.0431988158765431</v>
      </c>
      <c r="AP41" s="9"/>
      <c r="AQ41" s="21">
        <v>1.6639699999999999</v>
      </c>
      <c r="AR41" s="21">
        <v>24.183</v>
      </c>
      <c r="AS41" s="21">
        <v>-1.18347E-2</v>
      </c>
      <c r="AT41" s="21">
        <v>31</v>
      </c>
      <c r="AU41" s="21">
        <v>1.6629</v>
      </c>
      <c r="AV41">
        <f t="shared" si="8"/>
        <v>14.61074074074074</v>
      </c>
      <c r="AW41">
        <f t="shared" si="9"/>
        <v>24.311834270370369</v>
      </c>
      <c r="AX41" s="9"/>
      <c r="AY41" s="21">
        <v>5.6152300000000002E-2</v>
      </c>
      <c r="AZ41" s="21">
        <v>28.042400000000001</v>
      </c>
      <c r="BA41" s="21">
        <v>-1.5032999999999999E-2</v>
      </c>
      <c r="BB41" s="21">
        <v>31</v>
      </c>
      <c r="BC41" s="21">
        <v>5.5542000000000001E-2</v>
      </c>
      <c r="BD41">
        <f t="shared" si="10"/>
        <v>18.559259259259257</v>
      </c>
      <c r="BE41">
        <f t="shared" si="11"/>
        <v>1.0421450937037036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1.6589400000000001</v>
      </c>
      <c r="H42" s="21">
        <v>5.3445900000000002</v>
      </c>
      <c r="I42" s="21">
        <v>-1.19049E-2</v>
      </c>
      <c r="J42" s="21">
        <v>32</v>
      </c>
      <c r="K42" s="21">
        <v>1.65802</v>
      </c>
      <c r="L42">
        <f t="shared" si="0"/>
        <v>14.697407407407406</v>
      </c>
      <c r="M42">
        <f t="shared" si="1"/>
        <v>24.382117044444442</v>
      </c>
      <c r="N42" s="9"/>
      <c r="O42" s="21">
        <v>5.2642799999999997E-2</v>
      </c>
      <c r="P42" s="21">
        <v>17.971499999999999</v>
      </c>
      <c r="Q42" s="21">
        <v>-1.5063500000000001E-2</v>
      </c>
      <c r="R42" s="21">
        <v>351</v>
      </c>
      <c r="S42" s="21">
        <v>5.2185099999999998E-2</v>
      </c>
      <c r="T42">
        <f t="shared" si="2"/>
        <v>18.596913580246913</v>
      </c>
      <c r="U42">
        <f t="shared" si="3"/>
        <v>0.97899360222222209</v>
      </c>
      <c r="X42" s="9"/>
      <c r="Y42" s="21">
        <v>1.6589400000000001</v>
      </c>
      <c r="Z42" s="21">
        <v>14.758800000000001</v>
      </c>
      <c r="AA42" s="21">
        <v>-1.1972E-2</v>
      </c>
      <c r="AB42" s="21">
        <v>32</v>
      </c>
      <c r="AC42" s="21">
        <v>1.6583300000000001</v>
      </c>
      <c r="AD42">
        <f t="shared" si="4"/>
        <v>14.780246913580246</v>
      </c>
      <c r="AE42">
        <f t="shared" si="5"/>
        <v>24.519542814814816</v>
      </c>
      <c r="AF42" s="9"/>
      <c r="AG42" s="21">
        <v>6.1187699999999998E-2</v>
      </c>
      <c r="AH42" s="21">
        <v>18.618300000000001</v>
      </c>
      <c r="AI42" s="21">
        <v>-1.5036000000000001E-2</v>
      </c>
      <c r="AJ42" s="21">
        <v>32</v>
      </c>
      <c r="AK42" s="21">
        <v>6.0699500000000003E-2</v>
      </c>
      <c r="AL42">
        <f t="shared" si="6"/>
        <v>18.562962962962963</v>
      </c>
      <c r="AM42">
        <f t="shared" si="7"/>
        <v>1.1358250088888888</v>
      </c>
      <c r="AP42" s="9"/>
      <c r="AQ42" s="21">
        <v>1.6589400000000001</v>
      </c>
      <c r="AR42" s="21">
        <v>24.193000000000001</v>
      </c>
      <c r="AS42" s="21">
        <v>-1.1969E-2</v>
      </c>
      <c r="AT42" s="21">
        <v>32</v>
      </c>
      <c r="AU42" s="21">
        <v>1.65802</v>
      </c>
      <c r="AV42">
        <f t="shared" si="8"/>
        <v>14.776543209876543</v>
      </c>
      <c r="AW42">
        <f t="shared" si="9"/>
        <v>24.513398592592594</v>
      </c>
      <c r="AX42" s="9"/>
      <c r="AY42" s="21">
        <v>6.1187699999999998E-2</v>
      </c>
      <c r="AZ42" s="21">
        <v>28.052499999999998</v>
      </c>
      <c r="BA42" s="21">
        <v>-1.5042099999999999E-2</v>
      </c>
      <c r="BB42" s="21">
        <v>32</v>
      </c>
      <c r="BC42" s="21">
        <v>6.0546900000000001E-2</v>
      </c>
      <c r="BD42">
        <f t="shared" si="10"/>
        <v>18.570493827160494</v>
      </c>
      <c r="BE42">
        <f t="shared" si="11"/>
        <v>1.1362858051481481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1.6538999999999999</v>
      </c>
      <c r="H43" s="21">
        <v>5.35466</v>
      </c>
      <c r="I43" s="21">
        <v>-1.2026999999999999E-2</v>
      </c>
      <c r="J43" s="21">
        <v>33</v>
      </c>
      <c r="K43" s="21">
        <v>1.6537500000000001</v>
      </c>
      <c r="L43">
        <f t="shared" si="0"/>
        <v>14.848148148148146</v>
      </c>
      <c r="M43">
        <f t="shared" si="1"/>
        <v>24.557352222222217</v>
      </c>
      <c r="N43" s="9"/>
      <c r="O43" s="21">
        <v>5.7678199999999999E-2</v>
      </c>
      <c r="P43" s="21">
        <v>17.961400000000001</v>
      </c>
      <c r="Q43" s="21">
        <v>-1.5063500000000001E-2</v>
      </c>
      <c r="R43" s="21">
        <v>350</v>
      </c>
      <c r="S43" s="21">
        <v>5.7128900000000003E-2</v>
      </c>
      <c r="T43">
        <f t="shared" si="2"/>
        <v>18.596913580246913</v>
      </c>
      <c r="U43">
        <f t="shared" si="3"/>
        <v>1.0726365008641974</v>
      </c>
      <c r="X43" s="9"/>
      <c r="Y43" s="21">
        <v>1.6538999999999999</v>
      </c>
      <c r="Z43" s="21">
        <v>14.7689</v>
      </c>
      <c r="AA43" s="21">
        <v>-1.20819E-2</v>
      </c>
      <c r="AB43" s="21">
        <v>33</v>
      </c>
      <c r="AC43" s="21">
        <v>1.6531400000000001</v>
      </c>
      <c r="AD43">
        <f t="shared" si="4"/>
        <v>14.915925925925924</v>
      </c>
      <c r="AE43">
        <f t="shared" si="5"/>
        <v>24.669449888888884</v>
      </c>
      <c r="AF43" s="9"/>
      <c r="AG43" s="21">
        <v>6.6223099999999993E-2</v>
      </c>
      <c r="AH43" s="21">
        <v>18.628299999999999</v>
      </c>
      <c r="AI43" s="21">
        <v>-1.5029900000000001E-2</v>
      </c>
      <c r="AJ43" s="21">
        <v>33</v>
      </c>
      <c r="AK43" s="21">
        <v>6.5704299999999993E-2</v>
      </c>
      <c r="AL43">
        <f t="shared" si="6"/>
        <v>18.555432098765429</v>
      </c>
      <c r="AM43">
        <f t="shared" si="7"/>
        <v>1.2287982354197529</v>
      </c>
      <c r="AP43" s="9"/>
      <c r="AQ43" s="21">
        <v>1.6538999999999999</v>
      </c>
      <c r="AR43" s="21">
        <v>24.203099999999999</v>
      </c>
      <c r="AS43" s="21">
        <v>-1.2085E-2</v>
      </c>
      <c r="AT43" s="21">
        <v>33</v>
      </c>
      <c r="AU43" s="21">
        <v>1.6531400000000001</v>
      </c>
      <c r="AV43">
        <f t="shared" si="8"/>
        <v>14.919753086419753</v>
      </c>
      <c r="AW43">
        <f t="shared" si="9"/>
        <v>24.675779629629627</v>
      </c>
      <c r="AX43" s="9"/>
      <c r="AY43" s="21">
        <v>6.6223099999999993E-2</v>
      </c>
      <c r="AZ43" s="21">
        <v>28.0626</v>
      </c>
      <c r="BA43" s="21">
        <v>-1.50513E-2</v>
      </c>
      <c r="BB43" s="21">
        <v>33</v>
      </c>
      <c r="BC43" s="21">
        <v>6.5765400000000002E-2</v>
      </c>
      <c r="BD43">
        <f t="shared" si="10"/>
        <v>18.581851851851848</v>
      </c>
      <c r="BE43">
        <f t="shared" si="11"/>
        <v>1.2305478333703699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1.64886</v>
      </c>
      <c r="H44" s="21">
        <v>5.3647299999999998</v>
      </c>
      <c r="I44" s="21">
        <v>-1.21429E-2</v>
      </c>
      <c r="J44" s="21">
        <v>34</v>
      </c>
      <c r="K44" s="21">
        <v>1.64825</v>
      </c>
      <c r="L44">
        <f t="shared" si="0"/>
        <v>14.991234567901234</v>
      </c>
      <c r="M44">
        <f t="shared" si="1"/>
        <v>24.71844702962963</v>
      </c>
      <c r="N44" s="9"/>
      <c r="O44" s="21">
        <v>6.2713599999999994E-2</v>
      </c>
      <c r="P44" s="21">
        <v>17.9513</v>
      </c>
      <c r="Q44" s="21">
        <v>-1.5042099999999999E-2</v>
      </c>
      <c r="R44" s="21">
        <v>349</v>
      </c>
      <c r="S44" s="21">
        <v>6.21033E-2</v>
      </c>
      <c r="T44">
        <f t="shared" si="2"/>
        <v>18.570493827160494</v>
      </c>
      <c r="U44">
        <f t="shared" si="3"/>
        <v>1.1646225216790123</v>
      </c>
      <c r="X44" s="9"/>
      <c r="Y44" s="21">
        <v>1.64886</v>
      </c>
      <c r="Z44" s="21">
        <v>14.7789</v>
      </c>
      <c r="AA44" s="21">
        <v>-1.21887E-2</v>
      </c>
      <c r="AB44" s="21">
        <v>34</v>
      </c>
      <c r="AC44" s="21">
        <v>1.64764</v>
      </c>
      <c r="AD44">
        <f t="shared" si="4"/>
        <v>15.047777777777776</v>
      </c>
      <c r="AE44">
        <f t="shared" si="5"/>
        <v>24.811678866666664</v>
      </c>
      <c r="AF44" s="9"/>
      <c r="AG44" s="21">
        <v>7.1258500000000002E-2</v>
      </c>
      <c r="AH44" s="21">
        <v>18.638400000000001</v>
      </c>
      <c r="AI44" s="21">
        <v>-1.5026899999999999E-2</v>
      </c>
      <c r="AJ44" s="21">
        <v>34</v>
      </c>
      <c r="AK44" s="21">
        <v>7.0648199999999994E-2</v>
      </c>
      <c r="AL44">
        <f t="shared" si="6"/>
        <v>18.551728395061726</v>
      </c>
      <c r="AM44">
        <f t="shared" si="7"/>
        <v>1.321968337839506</v>
      </c>
      <c r="AP44" s="9"/>
      <c r="AQ44" s="21">
        <v>1.64886</v>
      </c>
      <c r="AR44" s="21">
        <v>24.213200000000001</v>
      </c>
      <c r="AS44" s="21">
        <v>-1.2197899999999999E-2</v>
      </c>
      <c r="AT44" s="21">
        <v>34</v>
      </c>
      <c r="AU44" s="21">
        <v>1.64734</v>
      </c>
      <c r="AV44">
        <f t="shared" si="8"/>
        <v>15.059135802469134</v>
      </c>
      <c r="AW44">
        <f t="shared" si="9"/>
        <v>24.830406659259257</v>
      </c>
      <c r="AX44" s="9"/>
      <c r="AY44" s="21">
        <v>7.1258500000000002E-2</v>
      </c>
      <c r="AZ44" s="21">
        <v>28.072700000000001</v>
      </c>
      <c r="BA44" s="21">
        <v>-1.50543E-2</v>
      </c>
      <c r="BB44" s="21">
        <v>34</v>
      </c>
      <c r="BC44" s="21">
        <v>7.0678699999999997E-2</v>
      </c>
      <c r="BD44">
        <f t="shared" si="10"/>
        <v>18.585555555555555</v>
      </c>
      <c r="BE44">
        <f t="shared" si="11"/>
        <v>1.3243788105555556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1.6438299999999999</v>
      </c>
      <c r="H45" s="21">
        <v>5.3747999999999996</v>
      </c>
      <c r="I45" s="21">
        <v>-1.22437E-2</v>
      </c>
      <c r="J45" s="21">
        <v>35</v>
      </c>
      <c r="K45" s="21">
        <v>1.64307</v>
      </c>
      <c r="L45">
        <f t="shared" si="0"/>
        <v>15.115679012345678</v>
      </c>
      <c r="M45">
        <f t="shared" si="1"/>
        <v>24.847606630864195</v>
      </c>
      <c r="N45" s="9"/>
      <c r="O45" s="21">
        <v>6.7749000000000004E-2</v>
      </c>
      <c r="P45" s="21">
        <v>17.941199999999998</v>
      </c>
      <c r="Q45" s="21">
        <v>-1.5029900000000001E-2</v>
      </c>
      <c r="R45" s="21">
        <v>348</v>
      </c>
      <c r="S45" s="21">
        <v>6.7230200000000004E-2</v>
      </c>
      <c r="T45">
        <f t="shared" si="2"/>
        <v>18.555432098765429</v>
      </c>
      <c r="U45">
        <f t="shared" si="3"/>
        <v>1.2571119692592592</v>
      </c>
      <c r="X45" s="9"/>
      <c r="Y45" s="21">
        <v>1.6438299999999999</v>
      </c>
      <c r="Z45" s="21">
        <v>14.789</v>
      </c>
      <c r="AA45" s="21">
        <v>-1.2289400000000001E-2</v>
      </c>
      <c r="AB45" s="21">
        <v>35</v>
      </c>
      <c r="AC45" s="21">
        <v>1.64337</v>
      </c>
      <c r="AD45">
        <f t="shared" si="4"/>
        <v>15.172098765432098</v>
      </c>
      <c r="AE45">
        <f t="shared" si="5"/>
        <v>24.940351113580245</v>
      </c>
      <c r="AF45" s="9"/>
      <c r="AG45" s="21">
        <v>7.6293899999999998E-2</v>
      </c>
      <c r="AH45" s="21">
        <v>18.648499999999999</v>
      </c>
      <c r="AI45" s="21">
        <v>-1.5020800000000001E-2</v>
      </c>
      <c r="AJ45" s="21">
        <v>35</v>
      </c>
      <c r="AK45" s="21">
        <v>7.5744599999999995E-2</v>
      </c>
      <c r="AL45">
        <f t="shared" si="6"/>
        <v>18.544197530864199</v>
      </c>
      <c r="AM45">
        <f t="shared" si="7"/>
        <v>1.4148091520000001</v>
      </c>
      <c r="AP45" s="9"/>
      <c r="AQ45" s="21">
        <v>1.6438299999999999</v>
      </c>
      <c r="AR45" s="21">
        <v>24.223199999999999</v>
      </c>
      <c r="AS45" s="21">
        <v>-1.23108E-2</v>
      </c>
      <c r="AT45" s="21">
        <v>35</v>
      </c>
      <c r="AU45" s="21">
        <v>1.64337</v>
      </c>
      <c r="AV45">
        <f t="shared" si="8"/>
        <v>15.198518518518517</v>
      </c>
      <c r="AW45">
        <f t="shared" si="9"/>
        <v>24.983780696296293</v>
      </c>
      <c r="AX45" s="9"/>
      <c r="AY45" s="21">
        <v>7.6293899999999998E-2</v>
      </c>
      <c r="AZ45" s="21">
        <v>28.082699999999999</v>
      </c>
      <c r="BA45" s="21">
        <v>-1.50665E-2</v>
      </c>
      <c r="BB45" s="21">
        <v>35</v>
      </c>
      <c r="BC45" s="21">
        <v>7.5683600000000004E-2</v>
      </c>
      <c r="BD45">
        <f t="shared" si="10"/>
        <v>18.600617283950616</v>
      </c>
      <c r="BE45">
        <f t="shared" si="11"/>
        <v>1.4191136349999998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1.63879</v>
      </c>
      <c r="H46" s="21">
        <v>5.3848700000000003</v>
      </c>
      <c r="I46" s="21">
        <v>-1.2341299999999999E-2</v>
      </c>
      <c r="J46" s="21">
        <v>36</v>
      </c>
      <c r="K46" s="21">
        <v>1.63849</v>
      </c>
      <c r="L46">
        <f t="shared" si="0"/>
        <v>15.236172839506171</v>
      </c>
      <c r="M46">
        <f t="shared" si="1"/>
        <v>24.968887687654316</v>
      </c>
      <c r="N46" s="9"/>
      <c r="O46" s="21">
        <v>7.2784399999999999E-2</v>
      </c>
      <c r="P46" s="21">
        <v>17.9312</v>
      </c>
      <c r="Q46" s="21">
        <v>-1.5026899999999999E-2</v>
      </c>
      <c r="R46" s="21">
        <v>347</v>
      </c>
      <c r="S46" s="21">
        <v>7.2174100000000005E-2</v>
      </c>
      <c r="T46">
        <f t="shared" si="2"/>
        <v>18.551728395061726</v>
      </c>
      <c r="U46">
        <f t="shared" si="3"/>
        <v>1.3502764201975306</v>
      </c>
      <c r="X46" s="9"/>
      <c r="Y46" s="21">
        <v>1.63879</v>
      </c>
      <c r="Z46" s="21">
        <v>14.799099999999999</v>
      </c>
      <c r="AA46" s="21">
        <v>-1.2390099999999999E-2</v>
      </c>
      <c r="AB46" s="21">
        <v>36</v>
      </c>
      <c r="AC46" s="21">
        <v>1.63849</v>
      </c>
      <c r="AD46">
        <f t="shared" si="4"/>
        <v>15.296419753086418</v>
      </c>
      <c r="AE46">
        <f t="shared" si="5"/>
        <v>25.067619727160491</v>
      </c>
      <c r="AF46" s="9"/>
      <c r="AG46" s="21">
        <v>8.1329299999999993E-2</v>
      </c>
      <c r="AH46" s="21">
        <v>18.6586</v>
      </c>
      <c r="AI46" s="21">
        <v>-1.5026899999999999E-2</v>
      </c>
      <c r="AJ46" s="21">
        <v>36</v>
      </c>
      <c r="AK46" s="21">
        <v>8.0902100000000005E-2</v>
      </c>
      <c r="AL46">
        <f t="shared" si="6"/>
        <v>18.551728395061726</v>
      </c>
      <c r="AM46">
        <f t="shared" si="7"/>
        <v>1.5087990841604935</v>
      </c>
      <c r="AP46" s="9"/>
      <c r="AQ46" s="21">
        <v>1.63879</v>
      </c>
      <c r="AR46" s="21">
        <v>24.2333</v>
      </c>
      <c r="AS46" s="21">
        <v>-1.24146E-2</v>
      </c>
      <c r="AT46" s="21">
        <v>36</v>
      </c>
      <c r="AU46" s="21">
        <v>1.63788</v>
      </c>
      <c r="AV46">
        <f t="shared" si="8"/>
        <v>15.326666666666666</v>
      </c>
      <c r="AW46">
        <f t="shared" si="9"/>
        <v>25.117188066666664</v>
      </c>
      <c r="AX46" s="9"/>
      <c r="AY46" s="21">
        <v>8.1329299999999993E-2</v>
      </c>
      <c r="AZ46" s="21">
        <v>28.0928</v>
      </c>
      <c r="BA46" s="21">
        <v>-1.50604E-2</v>
      </c>
      <c r="BB46" s="21">
        <v>36</v>
      </c>
      <c r="BC46" s="21">
        <v>8.0780000000000005E-2</v>
      </c>
      <c r="BD46">
        <f t="shared" si="10"/>
        <v>18.593086419753085</v>
      </c>
      <c r="BE46">
        <f t="shared" si="11"/>
        <v>1.5121627033580245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1.6337600000000001</v>
      </c>
      <c r="H47" s="21">
        <v>5.3949499999999997</v>
      </c>
      <c r="I47" s="21">
        <v>-1.24268E-2</v>
      </c>
      <c r="J47" s="21">
        <v>37</v>
      </c>
      <c r="K47" s="21">
        <v>1.633</v>
      </c>
      <c r="L47">
        <f t="shared" si="0"/>
        <v>15.341728395061727</v>
      </c>
      <c r="M47">
        <f t="shared" si="1"/>
        <v>25.064702182716047</v>
      </c>
      <c r="N47" s="9"/>
      <c r="O47" s="21">
        <v>7.7819799999999995E-2</v>
      </c>
      <c r="P47" s="21">
        <v>17.921099999999999</v>
      </c>
      <c r="Q47" s="21">
        <v>-1.5020800000000001E-2</v>
      </c>
      <c r="R47" s="21">
        <v>346</v>
      </c>
      <c r="S47" s="21">
        <v>7.72095E-2</v>
      </c>
      <c r="T47">
        <f t="shared" si="2"/>
        <v>18.544197530864199</v>
      </c>
      <c r="U47">
        <f t="shared" si="3"/>
        <v>1.4431057430123457</v>
      </c>
      <c r="X47" s="9"/>
      <c r="Y47" s="21">
        <v>1.6337600000000001</v>
      </c>
      <c r="Z47" s="21">
        <v>14.809200000000001</v>
      </c>
      <c r="AA47" s="21">
        <v>-1.24756E-2</v>
      </c>
      <c r="AB47" s="21">
        <v>37</v>
      </c>
      <c r="AC47" s="21">
        <v>1.633</v>
      </c>
      <c r="AD47">
        <f t="shared" si="4"/>
        <v>15.401975308641974</v>
      </c>
      <c r="AE47">
        <f t="shared" si="5"/>
        <v>25.163131180246914</v>
      </c>
      <c r="AF47" s="9"/>
      <c r="AG47" s="21">
        <v>8.6364700000000003E-2</v>
      </c>
      <c r="AH47" s="21">
        <v>18.668600000000001</v>
      </c>
      <c r="AI47" s="21">
        <v>-1.5036000000000001E-2</v>
      </c>
      <c r="AJ47" s="21">
        <v>37</v>
      </c>
      <c r="AK47" s="21">
        <v>8.5906999999999997E-2</v>
      </c>
      <c r="AL47">
        <f t="shared" si="6"/>
        <v>18.562962962962963</v>
      </c>
      <c r="AM47">
        <f t="shared" si="7"/>
        <v>1.6031847274074076</v>
      </c>
      <c r="AP47" s="9"/>
      <c r="AQ47" s="21">
        <v>1.6337600000000001</v>
      </c>
      <c r="AR47" s="21">
        <v>24.243400000000001</v>
      </c>
      <c r="AS47" s="21">
        <v>-1.25153E-2</v>
      </c>
      <c r="AT47" s="21">
        <v>37</v>
      </c>
      <c r="AU47" s="21">
        <v>1.6333</v>
      </c>
      <c r="AV47">
        <f t="shared" si="8"/>
        <v>15.450987654320988</v>
      </c>
      <c r="AW47">
        <f t="shared" si="9"/>
        <v>25.243205590123459</v>
      </c>
      <c r="AX47" s="9"/>
      <c r="AY47" s="21">
        <v>8.6364700000000003E-2</v>
      </c>
      <c r="AZ47" s="21">
        <v>28.102900000000002</v>
      </c>
      <c r="BA47" s="21">
        <v>-1.50543E-2</v>
      </c>
      <c r="BB47" s="21">
        <v>37</v>
      </c>
      <c r="BC47" s="21">
        <v>8.5845900000000003E-2</v>
      </c>
      <c r="BD47">
        <f t="shared" si="10"/>
        <v>18.585555555555555</v>
      </c>
      <c r="BE47">
        <f t="shared" si="11"/>
        <v>1.6051359298888888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1.6287199999999999</v>
      </c>
      <c r="H48" s="21">
        <v>5.4050200000000004</v>
      </c>
      <c r="I48" s="21">
        <v>-1.25092E-2</v>
      </c>
      <c r="J48" s="21">
        <v>38</v>
      </c>
      <c r="K48" s="21">
        <v>1.6281099999999999</v>
      </c>
      <c r="L48">
        <f t="shared" si="0"/>
        <v>15.443456790123456</v>
      </c>
      <c r="M48">
        <f t="shared" si="1"/>
        <v>25.153066943209875</v>
      </c>
      <c r="N48" s="9"/>
      <c r="O48" s="21">
        <v>8.2855200000000004E-2</v>
      </c>
      <c r="P48" s="21">
        <v>17.911000000000001</v>
      </c>
      <c r="Q48" s="21">
        <v>-1.50177E-2</v>
      </c>
      <c r="R48" s="21">
        <v>345</v>
      </c>
      <c r="S48" s="21">
        <v>8.2366900000000007E-2</v>
      </c>
      <c r="T48">
        <f t="shared" si="2"/>
        <v>18.540370370370372</v>
      </c>
      <c r="U48">
        <f t="shared" si="3"/>
        <v>1.5361660951111114</v>
      </c>
      <c r="X48" s="9"/>
      <c r="Y48" s="21">
        <v>1.6287199999999999</v>
      </c>
      <c r="Z48" s="21">
        <v>14.8192</v>
      </c>
      <c r="AA48" s="21">
        <v>-1.25702E-2</v>
      </c>
      <c r="AB48" s="21">
        <v>38</v>
      </c>
      <c r="AC48" s="21">
        <v>1.6281099999999999</v>
      </c>
      <c r="AD48">
        <f t="shared" si="4"/>
        <v>15.518765432098766</v>
      </c>
      <c r="AE48">
        <f t="shared" si="5"/>
        <v>25.2757236345679</v>
      </c>
      <c r="AF48" s="9"/>
      <c r="AG48" s="21">
        <v>9.1400099999999998E-2</v>
      </c>
      <c r="AH48" s="21">
        <v>18.678699999999999</v>
      </c>
      <c r="AI48" s="21">
        <v>-1.5036000000000001E-2</v>
      </c>
      <c r="AJ48" s="21">
        <v>38</v>
      </c>
      <c r="AK48" s="21">
        <v>9.0881299999999998E-2</v>
      </c>
      <c r="AL48">
        <f t="shared" si="6"/>
        <v>18.562962962962963</v>
      </c>
      <c r="AM48">
        <f t="shared" si="7"/>
        <v>1.6966566711111111</v>
      </c>
      <c r="AP48" s="9"/>
      <c r="AQ48" s="21">
        <v>1.6287199999999999</v>
      </c>
      <c r="AR48" s="21">
        <v>24.253499999999999</v>
      </c>
      <c r="AS48" s="21">
        <v>-1.25977E-2</v>
      </c>
      <c r="AT48" s="21">
        <v>38</v>
      </c>
      <c r="AU48" s="21">
        <v>1.62842</v>
      </c>
      <c r="AV48">
        <f t="shared" si="8"/>
        <v>15.552716049382715</v>
      </c>
      <c r="AW48">
        <f t="shared" si="9"/>
        <v>25.331019683950615</v>
      </c>
      <c r="AX48" s="9"/>
      <c r="AY48" s="21">
        <v>9.1400099999999998E-2</v>
      </c>
      <c r="AZ48" s="21">
        <v>28.1129</v>
      </c>
      <c r="BA48" s="21">
        <v>-1.5036000000000001E-2</v>
      </c>
      <c r="BB48" s="21">
        <v>38</v>
      </c>
      <c r="BC48" s="21">
        <v>9.0881299999999998E-2</v>
      </c>
      <c r="BD48">
        <f t="shared" si="10"/>
        <v>18.562962962962963</v>
      </c>
      <c r="BE48">
        <f t="shared" si="11"/>
        <v>1.6966566711111111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1.6236900000000001</v>
      </c>
      <c r="H49" s="21">
        <v>5.4150900000000002</v>
      </c>
      <c r="I49" s="21">
        <v>-1.2588500000000001E-2</v>
      </c>
      <c r="J49" s="21">
        <v>39</v>
      </c>
      <c r="K49" s="21">
        <v>1.6229199999999999</v>
      </c>
      <c r="L49">
        <f t="shared" si="0"/>
        <v>15.541358024691359</v>
      </c>
      <c r="M49">
        <f t="shared" si="1"/>
        <v>25.234347611111115</v>
      </c>
      <c r="N49" s="9"/>
      <c r="O49" s="21">
        <v>8.7890599999999999E-2</v>
      </c>
      <c r="P49" s="21">
        <v>17.901</v>
      </c>
      <c r="Q49" s="21">
        <v>-1.50391E-2</v>
      </c>
      <c r="R49" s="21">
        <v>344</v>
      </c>
      <c r="S49" s="21">
        <v>8.7371799999999999E-2</v>
      </c>
      <c r="T49">
        <f t="shared" si="2"/>
        <v>18.566790123456791</v>
      </c>
      <c r="U49">
        <f t="shared" si="3"/>
        <v>1.6318463240246914</v>
      </c>
      <c r="X49" s="9"/>
      <c r="Y49" s="21">
        <v>1.6236900000000001</v>
      </c>
      <c r="Z49" s="21">
        <v>14.8293</v>
      </c>
      <c r="AA49" s="21">
        <v>-1.2655599999999999E-2</v>
      </c>
      <c r="AB49" s="21">
        <v>39</v>
      </c>
      <c r="AC49" s="21">
        <v>1.6223099999999999</v>
      </c>
      <c r="AD49">
        <f t="shared" si="4"/>
        <v>15.624197530864196</v>
      </c>
      <c r="AE49">
        <f t="shared" si="5"/>
        <v>25.368853288888886</v>
      </c>
      <c r="AF49" s="9"/>
      <c r="AG49" s="21">
        <v>9.6435499999999993E-2</v>
      </c>
      <c r="AH49" s="21">
        <v>18.688800000000001</v>
      </c>
      <c r="AI49" s="21">
        <v>-1.50391E-2</v>
      </c>
      <c r="AJ49" s="21">
        <v>39</v>
      </c>
      <c r="AK49" s="21">
        <v>9.5855700000000002E-2</v>
      </c>
      <c r="AL49">
        <f t="shared" si="6"/>
        <v>18.566790123456791</v>
      </c>
      <c r="AM49">
        <f t="shared" si="7"/>
        <v>1.7904976889506172</v>
      </c>
      <c r="AP49" s="9"/>
      <c r="AQ49" s="21">
        <v>1.6236900000000001</v>
      </c>
      <c r="AR49" s="21">
        <v>24.263500000000001</v>
      </c>
      <c r="AS49" s="21">
        <v>-1.2677000000000001E-2</v>
      </c>
      <c r="AT49" s="21">
        <v>39</v>
      </c>
      <c r="AU49" s="21">
        <v>1.6229199999999999</v>
      </c>
      <c r="AV49">
        <f t="shared" si="8"/>
        <v>15.650617283950618</v>
      </c>
      <c r="AW49">
        <f t="shared" si="9"/>
        <v>25.41175077777778</v>
      </c>
      <c r="AX49" s="9"/>
      <c r="AY49" s="21">
        <v>9.6435499999999993E-2</v>
      </c>
      <c r="AZ49" s="21">
        <v>28.123000000000001</v>
      </c>
      <c r="BA49" s="21">
        <v>-1.5026899999999999E-2</v>
      </c>
      <c r="BB49" s="21">
        <v>39</v>
      </c>
      <c r="BC49" s="21">
        <v>9.5947299999999999E-2</v>
      </c>
      <c r="BD49">
        <f t="shared" si="10"/>
        <v>18.551728395061726</v>
      </c>
      <c r="BE49">
        <f t="shared" si="11"/>
        <v>1.7890452036419751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1.6186499999999999</v>
      </c>
      <c r="H50" s="21">
        <v>5.42516</v>
      </c>
      <c r="I50" s="21">
        <v>-1.26587E-2</v>
      </c>
      <c r="J50" s="21">
        <v>40</v>
      </c>
      <c r="K50" s="21">
        <v>1.61774</v>
      </c>
      <c r="L50">
        <f t="shared" si="0"/>
        <v>15.628024691358023</v>
      </c>
      <c r="M50">
        <f t="shared" si="1"/>
        <v>25.296302166666663</v>
      </c>
      <c r="N50" s="9"/>
      <c r="O50" s="21">
        <v>9.2925999999999995E-2</v>
      </c>
      <c r="P50" s="21">
        <v>17.890899999999998</v>
      </c>
      <c r="Q50" s="21">
        <v>-1.5048199999999999E-2</v>
      </c>
      <c r="R50" s="21">
        <v>343</v>
      </c>
      <c r="S50" s="21">
        <v>9.2346200000000003E-2</v>
      </c>
      <c r="T50">
        <f t="shared" si="2"/>
        <v>18.578024691358021</v>
      </c>
      <c r="U50">
        <f t="shared" si="3"/>
        <v>1.7263815224691352</v>
      </c>
      <c r="X50" s="9"/>
      <c r="Y50" s="21">
        <v>1.6186499999999999</v>
      </c>
      <c r="Z50" s="21">
        <v>14.839399999999999</v>
      </c>
      <c r="AA50" s="21">
        <v>-1.2731900000000001E-2</v>
      </c>
      <c r="AB50" s="21">
        <v>40</v>
      </c>
      <c r="AC50" s="21">
        <v>1.6180399999999999</v>
      </c>
      <c r="AD50">
        <f t="shared" si="4"/>
        <v>15.718395061728396</v>
      </c>
      <c r="AE50">
        <f t="shared" si="5"/>
        <v>25.442580166666666</v>
      </c>
      <c r="AF50" s="9"/>
      <c r="AG50" s="21">
        <v>0.10147100000000001</v>
      </c>
      <c r="AH50" s="21">
        <v>18.698799999999999</v>
      </c>
      <c r="AI50" s="21">
        <v>-1.5032999999999999E-2</v>
      </c>
      <c r="AJ50" s="21">
        <v>40</v>
      </c>
      <c r="AK50" s="21">
        <v>0.10089099999999999</v>
      </c>
      <c r="AL50">
        <f t="shared" si="6"/>
        <v>18.559259259259257</v>
      </c>
      <c r="AM50">
        <f t="shared" si="7"/>
        <v>1.8832265962962962</v>
      </c>
      <c r="AP50" s="9"/>
      <c r="AQ50" s="21">
        <v>1.6186499999999999</v>
      </c>
      <c r="AR50" s="21">
        <v>24.273599999999998</v>
      </c>
      <c r="AS50" s="21">
        <v>-1.27563E-2</v>
      </c>
      <c r="AT50" s="21">
        <v>40</v>
      </c>
      <c r="AU50" s="21">
        <v>1.6180399999999999</v>
      </c>
      <c r="AV50">
        <f t="shared" si="8"/>
        <v>15.748518518518516</v>
      </c>
      <c r="AW50">
        <f t="shared" si="9"/>
        <v>25.491339499999995</v>
      </c>
      <c r="AX50" s="9"/>
      <c r="AY50" s="21">
        <v>0.10147100000000001</v>
      </c>
      <c r="AZ50" s="21">
        <v>28.133099999999999</v>
      </c>
      <c r="BA50" s="21">
        <v>-1.5020800000000001E-2</v>
      </c>
      <c r="BB50" s="21">
        <v>40</v>
      </c>
      <c r="BC50" s="21">
        <v>0.100922</v>
      </c>
      <c r="BD50">
        <f t="shared" si="10"/>
        <v>18.544197530864199</v>
      </c>
      <c r="BE50">
        <f t="shared" si="11"/>
        <v>1.8816982676543212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1.6136200000000001</v>
      </c>
      <c r="H51" s="21">
        <v>5.4352299999999998</v>
      </c>
      <c r="I51" s="21">
        <v>-1.2737999999999999E-2</v>
      </c>
      <c r="J51" s="21">
        <v>41</v>
      </c>
      <c r="K51" s="21">
        <v>1.6131599999999999</v>
      </c>
      <c r="L51">
        <f t="shared" si="0"/>
        <v>15.725925925925925</v>
      </c>
      <c r="M51">
        <f t="shared" si="1"/>
        <v>25.375668592592593</v>
      </c>
      <c r="N51" s="9"/>
      <c r="O51" s="21">
        <v>9.7961400000000004E-2</v>
      </c>
      <c r="P51" s="21">
        <v>17.880800000000001</v>
      </c>
      <c r="Q51" s="21">
        <v>-1.5042099999999999E-2</v>
      </c>
      <c r="R51" s="21">
        <v>342</v>
      </c>
      <c r="S51" s="21">
        <v>9.7381599999999999E-2</v>
      </c>
      <c r="T51">
        <f t="shared" si="2"/>
        <v>18.570493827160494</v>
      </c>
      <c r="U51">
        <f t="shared" si="3"/>
        <v>1.819191574</v>
      </c>
      <c r="X51" s="9"/>
      <c r="Y51" s="21">
        <v>1.6136200000000001</v>
      </c>
      <c r="Z51" s="21">
        <v>14.849399999999999</v>
      </c>
      <c r="AA51" s="21">
        <v>-1.28082E-2</v>
      </c>
      <c r="AB51" s="21">
        <v>41</v>
      </c>
      <c r="AC51" s="21">
        <v>1.6128499999999999</v>
      </c>
      <c r="AD51">
        <f t="shared" si="4"/>
        <v>15.812592592592594</v>
      </c>
      <c r="AE51">
        <f t="shared" si="5"/>
        <v>25.515515659259261</v>
      </c>
      <c r="AF51" s="9"/>
      <c r="AG51" s="21">
        <v>0.106506</v>
      </c>
      <c r="AH51" s="21">
        <v>18.7089</v>
      </c>
      <c r="AI51" s="21">
        <v>-1.5020800000000001E-2</v>
      </c>
      <c r="AJ51" s="21">
        <v>41</v>
      </c>
      <c r="AK51" s="21">
        <v>0.105988</v>
      </c>
      <c r="AL51">
        <f t="shared" si="6"/>
        <v>18.544197530864199</v>
      </c>
      <c r="AM51">
        <f t="shared" si="7"/>
        <v>1.9750683022222224</v>
      </c>
      <c r="AP51" s="9"/>
      <c r="AQ51" s="21">
        <v>1.6136200000000001</v>
      </c>
      <c r="AR51" s="21">
        <v>24.2837</v>
      </c>
      <c r="AS51" s="21">
        <v>-1.28326E-2</v>
      </c>
      <c r="AT51" s="21">
        <v>41</v>
      </c>
      <c r="AU51" s="21">
        <v>1.6119399999999999</v>
      </c>
      <c r="AV51">
        <f t="shared" si="8"/>
        <v>15.842716049382712</v>
      </c>
      <c r="AW51">
        <f t="shared" si="9"/>
        <v>25.564123471604933</v>
      </c>
      <c r="AX51" s="9"/>
      <c r="AY51" s="21">
        <v>0.106506</v>
      </c>
      <c r="AZ51" s="21">
        <v>28.1431</v>
      </c>
      <c r="BA51" s="21">
        <v>-1.5020800000000001E-2</v>
      </c>
      <c r="BB51" s="21">
        <v>41</v>
      </c>
      <c r="BC51" s="21">
        <v>0.106018</v>
      </c>
      <c r="BD51">
        <f t="shared" si="10"/>
        <v>18.544197530864199</v>
      </c>
      <c r="BE51">
        <f t="shared" si="11"/>
        <v>1.9750683022222224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1.6085799999999999</v>
      </c>
      <c r="H52" s="21">
        <v>5.4452999999999996</v>
      </c>
      <c r="I52" s="21">
        <v>-1.2805199999999999E-2</v>
      </c>
      <c r="J52" s="21">
        <v>42</v>
      </c>
      <c r="K52" s="21">
        <v>1.6082799999999999</v>
      </c>
      <c r="L52">
        <f t="shared" si="0"/>
        <v>15.808888888888886</v>
      </c>
      <c r="M52">
        <f t="shared" si="1"/>
        <v>25.429862488888883</v>
      </c>
      <c r="N52" s="9"/>
      <c r="O52" s="21">
        <v>0.10299700000000001</v>
      </c>
      <c r="P52" s="21">
        <v>17.870699999999999</v>
      </c>
      <c r="Q52" s="21">
        <v>-1.5042099999999999E-2</v>
      </c>
      <c r="R52" s="21">
        <v>341</v>
      </c>
      <c r="S52" s="21">
        <v>0.102509</v>
      </c>
      <c r="T52">
        <f t="shared" si="2"/>
        <v>18.570493827160494</v>
      </c>
      <c r="U52">
        <f t="shared" si="3"/>
        <v>1.9127051527160495</v>
      </c>
      <c r="X52" s="9"/>
      <c r="Y52" s="21">
        <v>1.6085799999999999</v>
      </c>
      <c r="Z52" s="21">
        <v>14.859500000000001</v>
      </c>
      <c r="AA52" s="21">
        <v>-1.28784E-2</v>
      </c>
      <c r="AB52" s="21">
        <v>42</v>
      </c>
      <c r="AC52" s="21">
        <v>1.6079699999999999</v>
      </c>
      <c r="AD52">
        <f t="shared" si="4"/>
        <v>15.899259259259258</v>
      </c>
      <c r="AE52">
        <f t="shared" si="5"/>
        <v>25.575230459259256</v>
      </c>
      <c r="AF52" s="9"/>
      <c r="AG52" s="21">
        <v>0.111542</v>
      </c>
      <c r="AH52" s="21">
        <v>18.719000000000001</v>
      </c>
      <c r="AI52" s="21">
        <v>-1.5008499999999999E-2</v>
      </c>
      <c r="AJ52" s="21">
        <v>42</v>
      </c>
      <c r="AK52" s="21">
        <v>0.11099199999999999</v>
      </c>
      <c r="AL52">
        <f t="shared" si="6"/>
        <v>18.529012345679011</v>
      </c>
      <c r="AM52">
        <f t="shared" si="7"/>
        <v>2.0667630950617282</v>
      </c>
      <c r="AP52" s="9"/>
      <c r="AQ52" s="21">
        <v>1.6085799999999999</v>
      </c>
      <c r="AR52" s="21">
        <v>24.293700000000001</v>
      </c>
      <c r="AS52" s="21">
        <v>-1.2908899999999999E-2</v>
      </c>
      <c r="AT52" s="21">
        <v>42</v>
      </c>
      <c r="AU52" s="21">
        <v>1.6079699999999999</v>
      </c>
      <c r="AV52">
        <f t="shared" si="8"/>
        <v>15.936913580246911</v>
      </c>
      <c r="AW52">
        <f t="shared" si="9"/>
        <v>25.635800446913574</v>
      </c>
      <c r="AX52" s="9"/>
      <c r="AY52" s="21">
        <v>0.111542</v>
      </c>
      <c r="AZ52" s="21">
        <v>28.153199999999998</v>
      </c>
      <c r="BA52" s="21">
        <v>-1.5020800000000001E-2</v>
      </c>
      <c r="BB52" s="21">
        <v>42</v>
      </c>
      <c r="BC52" s="21">
        <v>0.110931</v>
      </c>
      <c r="BD52">
        <f t="shared" si="10"/>
        <v>18.544197530864199</v>
      </c>
      <c r="BE52">
        <f t="shared" si="11"/>
        <v>2.0684568809876547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1.60355</v>
      </c>
      <c r="H53" s="21">
        <v>5.4553700000000003</v>
      </c>
      <c r="I53" s="21">
        <v>-1.28693E-2</v>
      </c>
      <c r="J53" s="21">
        <v>43</v>
      </c>
      <c r="K53" s="21">
        <v>1.6030899999999999</v>
      </c>
      <c r="L53">
        <f t="shared" si="0"/>
        <v>15.888024691358023</v>
      </c>
      <c r="M53">
        <f t="shared" si="1"/>
        <v>25.477241993827157</v>
      </c>
      <c r="N53" s="9"/>
      <c r="O53" s="21">
        <v>0.108032</v>
      </c>
      <c r="P53" s="21">
        <v>17.860700000000001</v>
      </c>
      <c r="Q53" s="21">
        <v>-1.5032999999999999E-2</v>
      </c>
      <c r="R53" s="21">
        <v>340</v>
      </c>
      <c r="S53" s="21">
        <v>0.107483</v>
      </c>
      <c r="T53">
        <f t="shared" si="2"/>
        <v>18.559259259259257</v>
      </c>
      <c r="U53">
        <f t="shared" si="3"/>
        <v>2.0049938962962961</v>
      </c>
      <c r="X53" s="9"/>
      <c r="Y53" s="21">
        <v>1.60355</v>
      </c>
      <c r="Z53" s="21">
        <v>14.8696</v>
      </c>
      <c r="AA53" s="21">
        <v>-1.2942499999999999E-2</v>
      </c>
      <c r="AB53" s="21">
        <v>43</v>
      </c>
      <c r="AC53" s="21">
        <v>1.6024799999999999</v>
      </c>
      <c r="AD53">
        <f t="shared" si="4"/>
        <v>15.978395061728392</v>
      </c>
      <c r="AE53">
        <f t="shared" si="5"/>
        <v>25.622155401234565</v>
      </c>
      <c r="AF53" s="9"/>
      <c r="AG53" s="21">
        <v>0.116577</v>
      </c>
      <c r="AH53" s="21">
        <v>18.729099999999999</v>
      </c>
      <c r="AI53" s="21">
        <v>-1.50055E-2</v>
      </c>
      <c r="AJ53" s="21">
        <v>43</v>
      </c>
      <c r="AK53" s="21">
        <v>0.116119</v>
      </c>
      <c r="AL53">
        <f t="shared" si="6"/>
        <v>18.525308641975307</v>
      </c>
      <c r="AM53">
        <f t="shared" si="7"/>
        <v>2.1596249055555554</v>
      </c>
      <c r="AP53" s="9"/>
      <c r="AQ53" s="21">
        <v>1.60355</v>
      </c>
      <c r="AR53" s="21">
        <v>24.303799999999999</v>
      </c>
      <c r="AS53" s="21">
        <v>-1.2970000000000001E-2</v>
      </c>
      <c r="AT53" s="21">
        <v>43</v>
      </c>
      <c r="AU53" s="21">
        <v>1.6027800000000001</v>
      </c>
      <c r="AV53">
        <f t="shared" si="8"/>
        <v>16.012345679012348</v>
      </c>
      <c r="AW53">
        <f t="shared" si="9"/>
        <v>25.676596913580251</v>
      </c>
      <c r="AX53" s="9"/>
      <c r="AY53" s="21">
        <v>0.116577</v>
      </c>
      <c r="AZ53" s="21">
        <v>28.1633</v>
      </c>
      <c r="BA53" s="21">
        <v>-1.50238E-2</v>
      </c>
      <c r="BB53" s="21">
        <v>43</v>
      </c>
      <c r="BC53" s="21">
        <v>0.11605799999999999</v>
      </c>
      <c r="BD53">
        <f t="shared" si="10"/>
        <v>18.547901234567902</v>
      </c>
      <c r="BE53">
        <f t="shared" si="11"/>
        <v>2.1622586822222223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1.5985100000000001</v>
      </c>
      <c r="H54" s="21">
        <v>5.4654400000000001</v>
      </c>
      <c r="I54" s="21">
        <v>-1.2936400000000001E-2</v>
      </c>
      <c r="J54" s="21">
        <v>44</v>
      </c>
      <c r="K54" s="21">
        <v>1.5979000000000001</v>
      </c>
      <c r="L54">
        <f t="shared" si="0"/>
        <v>15.970864197530865</v>
      </c>
      <c r="M54">
        <f t="shared" si="1"/>
        <v>25.529586128395064</v>
      </c>
      <c r="N54" s="9"/>
      <c r="O54" s="21">
        <v>0.113068</v>
      </c>
      <c r="P54" s="21">
        <v>17.8506</v>
      </c>
      <c r="Q54" s="21">
        <v>-1.5032999999999999E-2</v>
      </c>
      <c r="R54" s="21">
        <v>339</v>
      </c>
      <c r="S54" s="21">
        <v>0.11251800000000001</v>
      </c>
      <c r="T54">
        <f t="shared" si="2"/>
        <v>18.559259259259257</v>
      </c>
      <c r="U54">
        <f t="shared" si="3"/>
        <v>2.0984583259259257</v>
      </c>
      <c r="X54" s="9"/>
      <c r="Y54" s="21">
        <v>1.5985100000000001</v>
      </c>
      <c r="Z54" s="21">
        <v>14.8797</v>
      </c>
      <c r="AA54" s="21">
        <v>-1.30005E-2</v>
      </c>
      <c r="AB54" s="21">
        <v>44</v>
      </c>
      <c r="AC54" s="21">
        <v>1.5972900000000001</v>
      </c>
      <c r="AD54">
        <f t="shared" si="4"/>
        <v>16.049999999999997</v>
      </c>
      <c r="AE54">
        <f t="shared" si="5"/>
        <v>25.656085499999996</v>
      </c>
      <c r="AF54" s="9"/>
      <c r="AG54" s="21">
        <v>0.121613</v>
      </c>
      <c r="AH54" s="21">
        <v>18.739100000000001</v>
      </c>
      <c r="AI54" s="21">
        <v>-1.4996300000000001E-2</v>
      </c>
      <c r="AJ54" s="21">
        <v>44</v>
      </c>
      <c r="AK54" s="21">
        <v>0.12109399999999999</v>
      </c>
      <c r="AL54">
        <f t="shared" si="6"/>
        <v>18.51395061728395</v>
      </c>
      <c r="AM54">
        <f t="shared" si="7"/>
        <v>2.2515370764197531</v>
      </c>
      <c r="AP54" s="9"/>
      <c r="AQ54" s="21">
        <v>1.5985100000000001</v>
      </c>
      <c r="AR54" s="21">
        <v>24.3139</v>
      </c>
      <c r="AS54" s="21">
        <v>-1.3037099999999999E-2</v>
      </c>
      <c r="AT54" s="21">
        <v>44</v>
      </c>
      <c r="AU54" s="21">
        <v>1.5975999999999999</v>
      </c>
      <c r="AV54">
        <f t="shared" si="8"/>
        <v>16.095185185185183</v>
      </c>
      <c r="AW54">
        <f t="shared" si="9"/>
        <v>25.728314470370368</v>
      </c>
      <c r="AX54" s="9"/>
      <c r="AY54" s="21">
        <v>0.121613</v>
      </c>
      <c r="AZ54" s="21">
        <v>28.173400000000001</v>
      </c>
      <c r="BA54" s="21">
        <v>-1.5020800000000001E-2</v>
      </c>
      <c r="BB54" s="21">
        <v>44</v>
      </c>
      <c r="BC54" s="21">
        <v>0.121033</v>
      </c>
      <c r="BD54">
        <f t="shared" si="10"/>
        <v>18.544197530864199</v>
      </c>
      <c r="BE54">
        <f t="shared" si="11"/>
        <v>2.2552154943209879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1.59348</v>
      </c>
      <c r="H55" s="21">
        <v>5.4755099999999999</v>
      </c>
      <c r="I55" s="21">
        <v>-1.30005E-2</v>
      </c>
      <c r="J55" s="21">
        <v>45</v>
      </c>
      <c r="K55" s="21">
        <v>1.5921000000000001</v>
      </c>
      <c r="L55">
        <f t="shared" si="0"/>
        <v>16.049999999999997</v>
      </c>
      <c r="M55">
        <f t="shared" si="1"/>
        <v>25.575353999999997</v>
      </c>
      <c r="N55" s="9"/>
      <c r="O55" s="21">
        <v>0.118103</v>
      </c>
      <c r="P55" s="21">
        <v>17.840499999999999</v>
      </c>
      <c r="Q55" s="21">
        <v>-1.5042099999999999E-2</v>
      </c>
      <c r="R55" s="21">
        <v>338</v>
      </c>
      <c r="S55" s="21">
        <v>0.11758399999999999</v>
      </c>
      <c r="T55">
        <f t="shared" si="2"/>
        <v>18.570493827160494</v>
      </c>
      <c r="U55">
        <f t="shared" si="3"/>
        <v>2.1932310324691358</v>
      </c>
      <c r="X55" s="9"/>
      <c r="Y55" s="21">
        <v>1.59348</v>
      </c>
      <c r="Z55" s="21">
        <v>14.889699999999999</v>
      </c>
      <c r="AA55" s="21">
        <v>-1.30615E-2</v>
      </c>
      <c r="AB55" s="21">
        <v>45</v>
      </c>
      <c r="AC55" s="21">
        <v>1.5927100000000001</v>
      </c>
      <c r="AD55">
        <f t="shared" si="4"/>
        <v>16.125308641975309</v>
      </c>
      <c r="AE55">
        <f t="shared" si="5"/>
        <v>25.695356814814815</v>
      </c>
      <c r="AF55" s="9"/>
      <c r="AG55" s="21">
        <v>0.12664800000000001</v>
      </c>
      <c r="AH55" s="21">
        <v>18.749199999999998</v>
      </c>
      <c r="AI55" s="21">
        <v>-1.50055E-2</v>
      </c>
      <c r="AJ55" s="21">
        <v>45</v>
      </c>
      <c r="AK55" s="21">
        <v>0.12606800000000001</v>
      </c>
      <c r="AL55">
        <f t="shared" si="6"/>
        <v>18.525308641975307</v>
      </c>
      <c r="AM55">
        <f t="shared" si="7"/>
        <v>2.3461932888888888</v>
      </c>
      <c r="AP55" s="9"/>
      <c r="AQ55" s="21">
        <v>1.59348</v>
      </c>
      <c r="AR55" s="21">
        <v>24.324000000000002</v>
      </c>
      <c r="AS55" s="21">
        <v>-1.30981E-2</v>
      </c>
      <c r="AT55" s="21">
        <v>45</v>
      </c>
      <c r="AU55" s="21">
        <v>1.5927100000000001</v>
      </c>
      <c r="AV55">
        <f t="shared" si="8"/>
        <v>16.170493827160495</v>
      </c>
      <c r="AW55">
        <f t="shared" si="9"/>
        <v>25.767358503703704</v>
      </c>
      <c r="AX55" s="9"/>
      <c r="AY55" s="21">
        <v>0.12664800000000001</v>
      </c>
      <c r="AZ55" s="21">
        <v>28.183399999999999</v>
      </c>
      <c r="BA55" s="21">
        <v>-1.5029900000000001E-2</v>
      </c>
      <c r="BB55" s="21">
        <v>45</v>
      </c>
      <c r="BC55" s="21">
        <v>0.12612899999999999</v>
      </c>
      <c r="BD55">
        <f t="shared" si="10"/>
        <v>18.555432098765429</v>
      </c>
      <c r="BE55">
        <f t="shared" si="11"/>
        <v>2.3500083644444443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1.5884400000000001</v>
      </c>
      <c r="H56" s="21">
        <v>5.4855799999999997</v>
      </c>
      <c r="I56" s="21">
        <v>-1.3064600000000001E-2</v>
      </c>
      <c r="J56" s="21">
        <v>46</v>
      </c>
      <c r="K56" s="21">
        <v>1.58813</v>
      </c>
      <c r="L56">
        <f t="shared" si="0"/>
        <v>16.129135802469136</v>
      </c>
      <c r="M56">
        <f t="shared" si="1"/>
        <v>25.620164474074077</v>
      </c>
      <c r="N56" s="9"/>
      <c r="O56" s="21">
        <v>0.123138</v>
      </c>
      <c r="P56" s="21">
        <v>17.830500000000001</v>
      </c>
      <c r="Q56" s="21">
        <v>-1.50452E-2</v>
      </c>
      <c r="R56" s="21">
        <v>337</v>
      </c>
      <c r="S56" s="21">
        <v>0.12265</v>
      </c>
      <c r="T56">
        <f t="shared" si="2"/>
        <v>18.574320987654321</v>
      </c>
      <c r="U56">
        <f t="shared" si="3"/>
        <v>2.2872047377777776</v>
      </c>
      <c r="X56" s="9"/>
      <c r="Y56" s="21">
        <v>1.5884400000000001</v>
      </c>
      <c r="Z56" s="21">
        <v>14.899800000000001</v>
      </c>
      <c r="AA56" s="21">
        <v>-1.31226E-2</v>
      </c>
      <c r="AB56" s="21">
        <v>46</v>
      </c>
      <c r="AC56" s="21">
        <v>1.5872200000000001</v>
      </c>
      <c r="AD56">
        <f t="shared" si="4"/>
        <v>16.200740740740741</v>
      </c>
      <c r="AE56">
        <f t="shared" si="5"/>
        <v>25.733904622222223</v>
      </c>
      <c r="AF56" s="9"/>
      <c r="AG56" s="21">
        <v>0.13168299999999999</v>
      </c>
      <c r="AH56" s="21">
        <v>18.7593</v>
      </c>
      <c r="AI56" s="21">
        <v>-1.50177E-2</v>
      </c>
      <c r="AJ56" s="21">
        <v>46</v>
      </c>
      <c r="AK56" s="21">
        <v>0.13119500000000001</v>
      </c>
      <c r="AL56">
        <f t="shared" si="6"/>
        <v>18.540370370370372</v>
      </c>
      <c r="AM56">
        <f t="shared" si="7"/>
        <v>2.4414515914814814</v>
      </c>
      <c r="AP56" s="9"/>
      <c r="AQ56" s="21">
        <v>1.5884400000000001</v>
      </c>
      <c r="AR56" s="21">
        <v>24.334</v>
      </c>
      <c r="AS56" s="21">
        <v>-1.3159199999999999E-2</v>
      </c>
      <c r="AT56" s="21">
        <v>46</v>
      </c>
      <c r="AU56" s="21">
        <v>1.5878300000000001</v>
      </c>
      <c r="AV56">
        <f t="shared" si="8"/>
        <v>16.245925925925924</v>
      </c>
      <c r="AW56">
        <f t="shared" si="9"/>
        <v>25.805678577777776</v>
      </c>
      <c r="AX56" s="9"/>
      <c r="AY56" s="21">
        <v>0.13168299999999999</v>
      </c>
      <c r="AZ56" s="21">
        <v>28.1935</v>
      </c>
      <c r="BA56" s="21">
        <v>-1.5029900000000001E-2</v>
      </c>
      <c r="BB56" s="21">
        <v>46</v>
      </c>
      <c r="BC56" s="21">
        <v>0.131073</v>
      </c>
      <c r="BD56">
        <f t="shared" si="10"/>
        <v>18.555432098765429</v>
      </c>
      <c r="BE56">
        <f t="shared" si="11"/>
        <v>2.4434349650617277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1.5833999999999999</v>
      </c>
      <c r="H57" s="21">
        <v>5.49566</v>
      </c>
      <c r="I57" s="21">
        <v>-1.3119499999999999E-2</v>
      </c>
      <c r="J57" s="21">
        <v>47</v>
      </c>
      <c r="K57" s="21">
        <v>1.58264</v>
      </c>
      <c r="L57">
        <f t="shared" si="0"/>
        <v>16.19691358024691</v>
      </c>
      <c r="M57">
        <f t="shared" si="1"/>
        <v>25.646192962962957</v>
      </c>
      <c r="N57" s="9"/>
      <c r="O57" s="21">
        <v>0.12817400000000001</v>
      </c>
      <c r="P57" s="21">
        <v>17.820399999999999</v>
      </c>
      <c r="Q57" s="21">
        <v>-1.50574E-2</v>
      </c>
      <c r="R57" s="21">
        <v>336</v>
      </c>
      <c r="S57" s="21">
        <v>0.12765499999999999</v>
      </c>
      <c r="T57">
        <f t="shared" si="2"/>
        <v>18.589382716049382</v>
      </c>
      <c r="U57">
        <f t="shared" si="3"/>
        <v>2.3826755402469137</v>
      </c>
      <c r="X57" s="9"/>
      <c r="Y57" s="21">
        <v>1.5833999999999999</v>
      </c>
      <c r="Z57" s="21">
        <v>14.9099</v>
      </c>
      <c r="AA57" s="21">
        <v>-1.31805E-2</v>
      </c>
      <c r="AB57" s="21">
        <v>47</v>
      </c>
      <c r="AC57" s="21">
        <v>1.5829500000000001</v>
      </c>
      <c r="AD57">
        <f t="shared" si="4"/>
        <v>16.272222222222219</v>
      </c>
      <c r="AE57">
        <f t="shared" si="5"/>
        <v>25.765436666666659</v>
      </c>
      <c r="AF57" s="9"/>
      <c r="AG57" s="21">
        <v>0.13671900000000001</v>
      </c>
      <c r="AH57" s="21">
        <v>18.769300000000001</v>
      </c>
      <c r="AI57" s="21">
        <v>-1.5026899999999999E-2</v>
      </c>
      <c r="AJ57" s="21">
        <v>47</v>
      </c>
      <c r="AK57" s="21">
        <v>0.13626099999999999</v>
      </c>
      <c r="AL57">
        <f t="shared" si="6"/>
        <v>18.551728395061726</v>
      </c>
      <c r="AM57">
        <f t="shared" si="7"/>
        <v>2.5363737544444445</v>
      </c>
      <c r="AP57" s="9"/>
      <c r="AQ57" s="21">
        <v>1.5833999999999999</v>
      </c>
      <c r="AR57" s="21">
        <v>24.344100000000001</v>
      </c>
      <c r="AS57" s="21">
        <v>-1.32172E-2</v>
      </c>
      <c r="AT57" s="21">
        <v>47</v>
      </c>
      <c r="AU57" s="21">
        <v>1.5829500000000001</v>
      </c>
      <c r="AV57">
        <f t="shared" si="8"/>
        <v>16.317530864197529</v>
      </c>
      <c r="AW57">
        <f t="shared" si="9"/>
        <v>25.837178370370367</v>
      </c>
      <c r="AX57" s="9"/>
      <c r="AY57" s="21">
        <v>0.13671900000000001</v>
      </c>
      <c r="AZ57" s="21">
        <v>28.203600000000002</v>
      </c>
      <c r="BA57" s="21">
        <v>-1.50238E-2</v>
      </c>
      <c r="BB57" s="21">
        <v>47</v>
      </c>
      <c r="BC57" s="21">
        <v>0.13616900000000001</v>
      </c>
      <c r="BD57">
        <f t="shared" si="10"/>
        <v>18.547901234567902</v>
      </c>
      <c r="BE57">
        <f t="shared" si="11"/>
        <v>2.5358505088888892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1.5783700000000001</v>
      </c>
      <c r="H58" s="21">
        <v>5.5057299999999998</v>
      </c>
      <c r="I58" s="21">
        <v>-1.31714E-2</v>
      </c>
      <c r="J58" s="21">
        <v>48</v>
      </c>
      <c r="K58" s="21">
        <v>1.5777600000000001</v>
      </c>
      <c r="L58">
        <f t="shared" si="0"/>
        <v>16.260987654320989</v>
      </c>
      <c r="M58">
        <f t="shared" si="1"/>
        <v>25.665855083950621</v>
      </c>
      <c r="N58" s="9"/>
      <c r="O58" s="21">
        <v>0.13320899999999999</v>
      </c>
      <c r="P58" s="21">
        <v>17.810300000000002</v>
      </c>
      <c r="Q58" s="21">
        <v>-1.50665E-2</v>
      </c>
      <c r="R58" s="21">
        <v>335</v>
      </c>
      <c r="S58" s="21">
        <v>0.13284299999999999</v>
      </c>
      <c r="T58">
        <f t="shared" si="2"/>
        <v>18.600617283950616</v>
      </c>
      <c r="U58">
        <f t="shared" si="3"/>
        <v>2.4777696277777777</v>
      </c>
      <c r="X58" s="9"/>
      <c r="Y58" s="21">
        <v>1.5783700000000001</v>
      </c>
      <c r="Z58" s="21">
        <v>14.9199</v>
      </c>
      <c r="AA58" s="21">
        <v>-1.3229400000000001E-2</v>
      </c>
      <c r="AB58" s="21">
        <v>48</v>
      </c>
      <c r="AC58" s="21">
        <v>1.5777600000000001</v>
      </c>
      <c r="AD58">
        <f t="shared" si="4"/>
        <v>16.332592592592594</v>
      </c>
      <c r="AE58">
        <f t="shared" si="5"/>
        <v>25.778874170370372</v>
      </c>
      <c r="AF58" s="9"/>
      <c r="AG58" s="21">
        <v>0.14175399999999999</v>
      </c>
      <c r="AH58" s="21">
        <v>18.779399999999999</v>
      </c>
      <c r="AI58" s="21">
        <v>-1.50391E-2</v>
      </c>
      <c r="AJ58" s="21">
        <v>48</v>
      </c>
      <c r="AK58" s="21">
        <v>0.14117399999999999</v>
      </c>
      <c r="AL58">
        <f t="shared" si="6"/>
        <v>18.566790123456791</v>
      </c>
      <c r="AM58">
        <f t="shared" si="7"/>
        <v>2.6319167671604937</v>
      </c>
      <c r="AP58" s="9"/>
      <c r="AQ58" s="21">
        <v>1.5783700000000001</v>
      </c>
      <c r="AR58" s="21">
        <v>24.354199999999999</v>
      </c>
      <c r="AS58" s="21">
        <v>-1.3262899999999999E-2</v>
      </c>
      <c r="AT58" s="21">
        <v>48</v>
      </c>
      <c r="AU58" s="21">
        <v>1.57806</v>
      </c>
      <c r="AV58">
        <f t="shared" si="8"/>
        <v>16.373950617283949</v>
      </c>
      <c r="AW58">
        <f t="shared" si="9"/>
        <v>25.844152435802467</v>
      </c>
      <c r="AX58" s="9"/>
      <c r="AY58" s="21">
        <v>0.14175399999999999</v>
      </c>
      <c r="AZ58" s="21">
        <v>28.2136</v>
      </c>
      <c r="BA58" s="21">
        <v>-1.5014599999999999E-2</v>
      </c>
      <c r="BB58" s="21">
        <v>48</v>
      </c>
      <c r="BC58" s="21">
        <v>0.141205</v>
      </c>
      <c r="BD58">
        <f t="shared" si="10"/>
        <v>18.536543209876541</v>
      </c>
      <c r="BE58">
        <f t="shared" si="11"/>
        <v>2.6276291461728389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1.5733299999999999</v>
      </c>
      <c r="H59" s="21">
        <v>5.5157999999999996</v>
      </c>
      <c r="I59" s="21">
        <v>-1.32263E-2</v>
      </c>
      <c r="J59" s="21">
        <v>49</v>
      </c>
      <c r="K59" s="21">
        <v>1.57257</v>
      </c>
      <c r="L59">
        <f t="shared" si="0"/>
        <v>16.328765432098766</v>
      </c>
      <c r="M59">
        <f t="shared" si="1"/>
        <v>25.690536517283949</v>
      </c>
      <c r="N59" s="9"/>
      <c r="O59" s="21">
        <v>0.13824500000000001</v>
      </c>
      <c r="P59" s="21">
        <v>17.8002</v>
      </c>
      <c r="Q59" s="21">
        <v>-1.50665E-2</v>
      </c>
      <c r="R59" s="21">
        <v>334</v>
      </c>
      <c r="S59" s="21">
        <v>0.13778699999999999</v>
      </c>
      <c r="T59">
        <f t="shared" si="2"/>
        <v>18.600617283950616</v>
      </c>
      <c r="U59">
        <f t="shared" si="3"/>
        <v>2.5714423364197532</v>
      </c>
      <c r="X59" s="9"/>
      <c r="Y59" s="21">
        <v>1.5733299999999999</v>
      </c>
      <c r="Z59" s="21">
        <v>14.93</v>
      </c>
      <c r="AA59" s="21">
        <v>-1.32782E-2</v>
      </c>
      <c r="AB59" s="21">
        <v>49</v>
      </c>
      <c r="AC59" s="21">
        <v>1.57196</v>
      </c>
      <c r="AD59">
        <f t="shared" si="4"/>
        <v>16.392839506172837</v>
      </c>
      <c r="AE59">
        <f t="shared" si="5"/>
        <v>25.791346180246908</v>
      </c>
      <c r="AF59" s="9"/>
      <c r="AG59" s="21">
        <v>0.14679</v>
      </c>
      <c r="AH59" s="21">
        <v>18.7895</v>
      </c>
      <c r="AI59" s="21">
        <v>-1.50391E-2</v>
      </c>
      <c r="AJ59" s="21">
        <v>49</v>
      </c>
      <c r="AK59" s="21">
        <v>0.14621000000000001</v>
      </c>
      <c r="AL59">
        <f t="shared" si="6"/>
        <v>18.566790123456791</v>
      </c>
      <c r="AM59">
        <f t="shared" si="7"/>
        <v>2.7254191222222222</v>
      </c>
      <c r="AP59" s="9"/>
      <c r="AQ59" s="21">
        <v>1.5733299999999999</v>
      </c>
      <c r="AR59" s="21">
        <v>24.3642</v>
      </c>
      <c r="AS59" s="21">
        <v>-1.33118E-2</v>
      </c>
      <c r="AT59" s="21">
        <v>49</v>
      </c>
      <c r="AU59" s="21">
        <v>1.5722700000000001</v>
      </c>
      <c r="AV59">
        <f t="shared" si="8"/>
        <v>16.434320987654321</v>
      </c>
      <c r="AW59">
        <f t="shared" si="9"/>
        <v>25.856610239506171</v>
      </c>
      <c r="AX59" s="9"/>
      <c r="AY59" s="21">
        <v>0.14679</v>
      </c>
      <c r="AZ59" s="21">
        <v>28.223700000000001</v>
      </c>
      <c r="BA59" s="21">
        <v>-1.5002400000000001E-2</v>
      </c>
      <c r="BB59" s="21">
        <v>49</v>
      </c>
      <c r="BC59" s="21">
        <v>0.14630099999999999</v>
      </c>
      <c r="BD59">
        <f t="shared" si="10"/>
        <v>18.521481481481484</v>
      </c>
      <c r="BE59">
        <f t="shared" si="11"/>
        <v>2.7187682666666673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1.5683</v>
      </c>
      <c r="H60" s="21">
        <v>5.5258700000000003</v>
      </c>
      <c r="I60" s="21">
        <v>-1.32721E-2</v>
      </c>
      <c r="J60" s="21">
        <v>50</v>
      </c>
      <c r="K60" s="21">
        <v>1.56738</v>
      </c>
      <c r="L60">
        <f t="shared" si="0"/>
        <v>16.385308641975307</v>
      </c>
      <c r="M60">
        <f t="shared" si="1"/>
        <v>25.697079543209874</v>
      </c>
      <c r="N60" s="9"/>
      <c r="O60" s="21">
        <v>0.14327999999999999</v>
      </c>
      <c r="P60" s="21">
        <v>17.790199999999999</v>
      </c>
      <c r="Q60" s="21">
        <v>-1.50665E-2</v>
      </c>
      <c r="R60" s="21">
        <v>333</v>
      </c>
      <c r="S60" s="21">
        <v>0.142792</v>
      </c>
      <c r="T60">
        <f t="shared" si="2"/>
        <v>18.600617283950616</v>
      </c>
      <c r="U60">
        <f t="shared" si="3"/>
        <v>2.665096444444444</v>
      </c>
      <c r="X60" s="9"/>
      <c r="Y60" s="21">
        <v>1.5683</v>
      </c>
      <c r="Z60" s="21">
        <v>14.940099999999999</v>
      </c>
      <c r="AA60" s="21">
        <v>-1.3333100000000001E-2</v>
      </c>
      <c r="AB60" s="21">
        <v>50</v>
      </c>
      <c r="AC60" s="21">
        <v>1.56738</v>
      </c>
      <c r="AD60">
        <f t="shared" si="4"/>
        <v>16.460617283950615</v>
      </c>
      <c r="AE60">
        <f t="shared" si="5"/>
        <v>25.81518608641975</v>
      </c>
      <c r="AF60" s="9"/>
      <c r="AG60" s="21">
        <v>0.15182499999999999</v>
      </c>
      <c r="AH60" s="21">
        <v>18.799600000000002</v>
      </c>
      <c r="AI60" s="21">
        <v>-1.5036000000000001E-2</v>
      </c>
      <c r="AJ60" s="21">
        <v>50</v>
      </c>
      <c r="AK60" s="21">
        <v>0.15121499999999999</v>
      </c>
      <c r="AL60">
        <f t="shared" si="6"/>
        <v>18.562962962962963</v>
      </c>
      <c r="AM60">
        <f t="shared" si="7"/>
        <v>2.8183218518518518</v>
      </c>
      <c r="AP60" s="9"/>
      <c r="AQ60" s="21">
        <v>1.5683</v>
      </c>
      <c r="AR60" s="21">
        <v>24.374300000000002</v>
      </c>
      <c r="AS60" s="21">
        <v>-1.33606E-2</v>
      </c>
      <c r="AT60" s="21">
        <v>50</v>
      </c>
      <c r="AU60" s="21">
        <v>1.56769</v>
      </c>
      <c r="AV60">
        <f t="shared" si="8"/>
        <v>16.494567901234568</v>
      </c>
      <c r="AW60">
        <f t="shared" si="9"/>
        <v>25.868430839506175</v>
      </c>
      <c r="AX60" s="9"/>
      <c r="AY60" s="21">
        <v>0.15182499999999999</v>
      </c>
      <c r="AZ60" s="21">
        <v>28.233799999999999</v>
      </c>
      <c r="BA60" s="21">
        <v>-1.5008499999999999E-2</v>
      </c>
      <c r="BB60" s="21">
        <v>50</v>
      </c>
      <c r="BC60" s="21">
        <v>0.15127599999999999</v>
      </c>
      <c r="BD60">
        <f t="shared" si="10"/>
        <v>18.529012345679011</v>
      </c>
      <c r="BE60">
        <f t="shared" si="11"/>
        <v>2.8131672993827155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1.5632600000000001</v>
      </c>
      <c r="H61" s="21">
        <v>5.5359400000000001</v>
      </c>
      <c r="I61" s="21">
        <v>-1.3317900000000001E-2</v>
      </c>
      <c r="J61" s="21">
        <v>51</v>
      </c>
      <c r="K61" s="21">
        <v>1.5625</v>
      </c>
      <c r="L61">
        <f t="shared" si="0"/>
        <v>16.441851851851851</v>
      </c>
      <c r="M61">
        <f t="shared" si="1"/>
        <v>25.702889325925927</v>
      </c>
      <c r="N61" s="9"/>
      <c r="O61" s="21">
        <v>0.148315</v>
      </c>
      <c r="P61" s="21">
        <v>17.780100000000001</v>
      </c>
      <c r="Q61" s="21">
        <v>-1.5063500000000001E-2</v>
      </c>
      <c r="R61" s="21">
        <v>332</v>
      </c>
      <c r="S61" s="21">
        <v>0.14776600000000001</v>
      </c>
      <c r="T61">
        <f t="shared" si="2"/>
        <v>18.596913580246913</v>
      </c>
      <c r="U61">
        <f t="shared" si="3"/>
        <v>2.7582012376543208</v>
      </c>
      <c r="X61" s="9"/>
      <c r="Y61" s="21">
        <v>1.5632600000000001</v>
      </c>
      <c r="Z61" s="21">
        <v>14.950200000000001</v>
      </c>
      <c r="AA61" s="21">
        <v>-1.3382E-2</v>
      </c>
      <c r="AB61" s="21">
        <v>51</v>
      </c>
      <c r="AC61" s="21">
        <v>1.5625</v>
      </c>
      <c r="AD61">
        <f t="shared" si="4"/>
        <v>16.520987654320987</v>
      </c>
      <c r="AE61">
        <f t="shared" si="5"/>
        <v>25.826599160493828</v>
      </c>
      <c r="AF61" s="9"/>
      <c r="AG61" s="21">
        <v>0.15686</v>
      </c>
      <c r="AH61" s="21">
        <v>18.8096</v>
      </c>
      <c r="AI61" s="21">
        <v>-1.5032999999999999E-2</v>
      </c>
      <c r="AJ61" s="21">
        <v>51</v>
      </c>
      <c r="AK61" s="21">
        <v>0.15631100000000001</v>
      </c>
      <c r="AL61">
        <f t="shared" si="6"/>
        <v>18.559259259259257</v>
      </c>
      <c r="AM61">
        <f t="shared" si="7"/>
        <v>2.9112054074074072</v>
      </c>
      <c r="AP61" s="9"/>
      <c r="AQ61" s="21">
        <v>1.5632600000000001</v>
      </c>
      <c r="AR61" s="21">
        <v>24.384399999999999</v>
      </c>
      <c r="AS61" s="21">
        <v>-1.34094E-2</v>
      </c>
      <c r="AT61" s="21">
        <v>51</v>
      </c>
      <c r="AU61" s="21">
        <v>1.5625</v>
      </c>
      <c r="AV61">
        <f t="shared" si="8"/>
        <v>16.554814814814815</v>
      </c>
      <c r="AW61">
        <f t="shared" si="9"/>
        <v>25.87947980740741</v>
      </c>
      <c r="AX61" s="9"/>
      <c r="AY61" s="21">
        <v>0.15686</v>
      </c>
      <c r="AZ61" s="21">
        <v>28.2439</v>
      </c>
      <c r="BA61" s="21">
        <v>-1.5008499999999999E-2</v>
      </c>
      <c r="BB61" s="21">
        <v>51</v>
      </c>
      <c r="BC61" s="21">
        <v>0.15618899999999999</v>
      </c>
      <c r="BD61">
        <f t="shared" si="10"/>
        <v>18.529012345679011</v>
      </c>
      <c r="BE61">
        <f t="shared" si="11"/>
        <v>2.9064608765432096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1.55823</v>
      </c>
      <c r="H62" s="21">
        <v>5.5460099999999999</v>
      </c>
      <c r="I62" s="21">
        <v>-1.33636E-2</v>
      </c>
      <c r="J62" s="21">
        <v>52</v>
      </c>
      <c r="K62" s="21">
        <v>1.55792</v>
      </c>
      <c r="L62">
        <f t="shared" si="0"/>
        <v>16.498271604938271</v>
      </c>
      <c r="M62">
        <f t="shared" si="1"/>
        <v>25.708101762962961</v>
      </c>
      <c r="N62" s="9"/>
      <c r="O62" s="21">
        <v>0.15335099999999999</v>
      </c>
      <c r="P62" s="21">
        <v>17.77</v>
      </c>
      <c r="Q62" s="21">
        <v>-1.50543E-2</v>
      </c>
      <c r="R62" s="21">
        <v>331</v>
      </c>
      <c r="S62" s="21">
        <v>0.15271000000000001</v>
      </c>
      <c r="T62">
        <f t="shared" si="2"/>
        <v>18.585555555555555</v>
      </c>
      <c r="U62">
        <f t="shared" si="3"/>
        <v>2.8501135299999998</v>
      </c>
      <c r="X62" s="9"/>
      <c r="Y62" s="21">
        <v>1.55823</v>
      </c>
      <c r="Z62" s="21">
        <v>14.9602</v>
      </c>
      <c r="AA62" s="21">
        <v>-1.34308E-2</v>
      </c>
      <c r="AB62" s="21">
        <v>52</v>
      </c>
      <c r="AC62" s="21">
        <v>1.55731</v>
      </c>
      <c r="AD62">
        <f t="shared" si="4"/>
        <v>16.581234567901234</v>
      </c>
      <c r="AE62">
        <f t="shared" si="5"/>
        <v>25.837377140740738</v>
      </c>
      <c r="AF62" s="9"/>
      <c r="AG62" s="21">
        <v>0.16189600000000001</v>
      </c>
      <c r="AH62" s="21">
        <v>18.819700000000001</v>
      </c>
      <c r="AI62" s="21">
        <v>-1.5026899999999999E-2</v>
      </c>
      <c r="AJ62" s="21">
        <v>52</v>
      </c>
      <c r="AK62" s="21">
        <v>0.16137699999999999</v>
      </c>
      <c r="AL62">
        <f t="shared" si="6"/>
        <v>18.551728395061726</v>
      </c>
      <c r="AM62">
        <f t="shared" si="7"/>
        <v>3.0034506202469133</v>
      </c>
      <c r="AP62" s="9"/>
      <c r="AQ62" s="21">
        <v>1.55823</v>
      </c>
      <c r="AR62" s="21">
        <v>24.394500000000001</v>
      </c>
      <c r="AS62" s="21">
        <v>-1.3458299999999999E-2</v>
      </c>
      <c r="AT62" s="21">
        <v>52</v>
      </c>
      <c r="AU62" s="21">
        <v>1.55731</v>
      </c>
      <c r="AV62">
        <f t="shared" si="8"/>
        <v>16.615185185185183</v>
      </c>
      <c r="AW62">
        <f t="shared" si="9"/>
        <v>25.890280011111109</v>
      </c>
      <c r="AX62" s="9"/>
      <c r="AY62" s="21">
        <v>0.16189600000000001</v>
      </c>
      <c r="AZ62" s="21">
        <v>28.253900000000002</v>
      </c>
      <c r="BA62" s="21">
        <v>-1.5014599999999999E-2</v>
      </c>
      <c r="BB62" s="21">
        <v>52</v>
      </c>
      <c r="BC62" s="21">
        <v>0.16128500000000001</v>
      </c>
      <c r="BD62">
        <f t="shared" si="10"/>
        <v>18.536543209876541</v>
      </c>
      <c r="BE62">
        <f t="shared" si="11"/>
        <v>3.0009921995061726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1.5531900000000001</v>
      </c>
      <c r="H63" s="21">
        <v>5.5560799999999997</v>
      </c>
      <c r="I63" s="21">
        <v>-1.3412500000000001E-2</v>
      </c>
      <c r="J63" s="21">
        <v>53</v>
      </c>
      <c r="K63" s="21">
        <v>1.5527299999999999</v>
      </c>
      <c r="L63">
        <f t="shared" si="0"/>
        <v>16.558641975308642</v>
      </c>
      <c r="M63">
        <f t="shared" si="1"/>
        <v>25.718717129629631</v>
      </c>
      <c r="N63" s="9"/>
      <c r="O63" s="21">
        <v>0.158386</v>
      </c>
      <c r="P63" s="21">
        <v>17.760000000000002</v>
      </c>
      <c r="Q63" s="21">
        <v>-1.50391E-2</v>
      </c>
      <c r="R63" s="21">
        <v>330</v>
      </c>
      <c r="S63" s="21">
        <v>0.157776</v>
      </c>
      <c r="T63">
        <f t="shared" si="2"/>
        <v>18.566790123456791</v>
      </c>
      <c r="U63">
        <f t="shared" si="3"/>
        <v>2.9407196204938271</v>
      </c>
      <c r="X63" s="9"/>
      <c r="Y63" s="21">
        <v>1.5531900000000001</v>
      </c>
      <c r="Z63" s="21">
        <v>14.9703</v>
      </c>
      <c r="AA63" s="21">
        <v>-1.34705E-2</v>
      </c>
      <c r="AB63" s="21">
        <v>53</v>
      </c>
      <c r="AC63" s="21">
        <v>1.5527299999999999</v>
      </c>
      <c r="AD63">
        <f t="shared" si="4"/>
        <v>16.630246913580244</v>
      </c>
      <c r="AE63">
        <f t="shared" si="5"/>
        <v>25.8299332037037</v>
      </c>
      <c r="AF63" s="9"/>
      <c r="AG63" s="21">
        <v>0.166931</v>
      </c>
      <c r="AH63" s="21">
        <v>18.829799999999999</v>
      </c>
      <c r="AI63" s="21">
        <v>-1.50116E-2</v>
      </c>
      <c r="AJ63" s="21">
        <v>53</v>
      </c>
      <c r="AK63" s="21">
        <v>0.166382</v>
      </c>
      <c r="AL63">
        <f t="shared" si="6"/>
        <v>18.532839506172838</v>
      </c>
      <c r="AM63">
        <f t="shared" si="7"/>
        <v>3.0937054316049379</v>
      </c>
      <c r="AP63" s="9"/>
      <c r="AQ63" s="21">
        <v>1.5531900000000001</v>
      </c>
      <c r="AR63" s="21">
        <v>24.404499999999999</v>
      </c>
      <c r="AS63" s="21">
        <v>-1.34979E-2</v>
      </c>
      <c r="AT63" s="21">
        <v>53</v>
      </c>
      <c r="AU63" s="21">
        <v>1.55182</v>
      </c>
      <c r="AV63">
        <f t="shared" si="8"/>
        <v>16.664074074074072</v>
      </c>
      <c r="AW63">
        <f t="shared" si="9"/>
        <v>25.882473211111108</v>
      </c>
      <c r="AX63" s="9"/>
      <c r="AY63" s="21">
        <v>0.166931</v>
      </c>
      <c r="AZ63" s="21">
        <v>28.263999999999999</v>
      </c>
      <c r="BA63" s="21">
        <v>-1.50177E-2</v>
      </c>
      <c r="BB63" s="21">
        <v>53</v>
      </c>
      <c r="BC63" s="21">
        <v>0.16644300000000001</v>
      </c>
      <c r="BD63">
        <f t="shared" si="10"/>
        <v>18.540370370370372</v>
      </c>
      <c r="BE63">
        <f t="shared" si="11"/>
        <v>3.0949625662962963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1.54816</v>
      </c>
      <c r="H64" s="21">
        <v>5.5661500000000004</v>
      </c>
      <c r="I64" s="21">
        <v>-1.3446E-2</v>
      </c>
      <c r="J64" s="21">
        <v>54</v>
      </c>
      <c r="K64" s="21">
        <v>1.54755</v>
      </c>
      <c r="L64">
        <f t="shared" si="0"/>
        <v>16.599999999999998</v>
      </c>
      <c r="M64">
        <f t="shared" si="1"/>
        <v>25.699455999999998</v>
      </c>
      <c r="N64" s="9"/>
      <c r="O64" s="21">
        <v>0.16342200000000001</v>
      </c>
      <c r="P64" s="21">
        <v>17.7499</v>
      </c>
      <c r="Q64" s="21">
        <v>-1.50391E-2</v>
      </c>
      <c r="R64" s="21">
        <v>329</v>
      </c>
      <c r="S64" s="21">
        <v>0.16278100000000001</v>
      </c>
      <c r="T64">
        <f t="shared" si="2"/>
        <v>18.566790123456791</v>
      </c>
      <c r="U64">
        <f t="shared" si="3"/>
        <v>3.034221975555556</v>
      </c>
      <c r="X64" s="9"/>
      <c r="Y64" s="21">
        <v>1.54816</v>
      </c>
      <c r="Z64" s="21">
        <v>14.980399999999999</v>
      </c>
      <c r="AA64" s="21">
        <v>-1.3510100000000001E-2</v>
      </c>
      <c r="AB64" s="21">
        <v>54</v>
      </c>
      <c r="AC64" s="21">
        <v>1.5472399999999999</v>
      </c>
      <c r="AD64">
        <f t="shared" si="4"/>
        <v>16.679135802469133</v>
      </c>
      <c r="AE64">
        <f t="shared" si="5"/>
        <v>25.821970883950613</v>
      </c>
      <c r="AF64" s="9"/>
      <c r="AG64" s="21">
        <v>0.17196700000000001</v>
      </c>
      <c r="AH64" s="21">
        <v>18.8398</v>
      </c>
      <c r="AI64" s="21">
        <v>-1.50116E-2</v>
      </c>
      <c r="AJ64" s="21">
        <v>54</v>
      </c>
      <c r="AK64" s="21">
        <v>0.17138700000000001</v>
      </c>
      <c r="AL64">
        <f t="shared" si="6"/>
        <v>18.532839506172838</v>
      </c>
      <c r="AM64">
        <f t="shared" si="7"/>
        <v>3.1870368113580247</v>
      </c>
      <c r="AP64" s="9"/>
      <c r="AQ64" s="21">
        <v>1.54816</v>
      </c>
      <c r="AR64" s="21">
        <v>24.4146</v>
      </c>
      <c r="AS64" s="21">
        <v>-1.3528399999999999E-2</v>
      </c>
      <c r="AT64" s="21">
        <v>54</v>
      </c>
      <c r="AU64" s="21">
        <v>1.5478499999999999</v>
      </c>
      <c r="AV64">
        <f t="shared" si="8"/>
        <v>16.701728395061725</v>
      </c>
      <c r="AW64">
        <f t="shared" si="9"/>
        <v>25.856947832098758</v>
      </c>
      <c r="AX64" s="9"/>
      <c r="AY64" s="21">
        <v>0.17196700000000001</v>
      </c>
      <c r="AZ64" s="21">
        <v>28.274100000000001</v>
      </c>
      <c r="BA64" s="21">
        <v>-1.5014599999999999E-2</v>
      </c>
      <c r="BB64" s="21">
        <v>54</v>
      </c>
      <c r="BC64" s="21">
        <v>0.17141700000000001</v>
      </c>
      <c r="BD64">
        <f t="shared" si="10"/>
        <v>18.536543209876541</v>
      </c>
      <c r="BE64">
        <f t="shared" si="11"/>
        <v>3.1876737261728394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1.54312</v>
      </c>
      <c r="H65" s="21">
        <v>5.5762200000000002</v>
      </c>
      <c r="I65" s="21">
        <v>-1.34888E-2</v>
      </c>
      <c r="J65" s="21">
        <v>55</v>
      </c>
      <c r="K65" s="21">
        <v>1.54236</v>
      </c>
      <c r="L65">
        <f t="shared" si="0"/>
        <v>16.652839506172839</v>
      </c>
      <c r="M65">
        <f t="shared" si="1"/>
        <v>25.697329698765433</v>
      </c>
      <c r="N65" s="9"/>
      <c r="O65" s="21">
        <v>0.168457</v>
      </c>
      <c r="P65" s="21">
        <v>17.739799999999999</v>
      </c>
      <c r="Q65" s="21">
        <v>-1.5036000000000001E-2</v>
      </c>
      <c r="R65" s="21">
        <v>328</v>
      </c>
      <c r="S65" s="21">
        <v>0.167938</v>
      </c>
      <c r="T65">
        <f t="shared" si="2"/>
        <v>18.562962962962963</v>
      </c>
      <c r="U65">
        <f t="shared" si="3"/>
        <v>3.127061051851852</v>
      </c>
      <c r="X65" s="9"/>
      <c r="Y65" s="21">
        <v>1.54312</v>
      </c>
      <c r="Z65" s="21">
        <v>14.990399999999999</v>
      </c>
      <c r="AA65" s="21">
        <v>-1.3546799999999999E-2</v>
      </c>
      <c r="AB65" s="21">
        <v>55</v>
      </c>
      <c r="AC65" s="21">
        <v>1.54297</v>
      </c>
      <c r="AD65">
        <f t="shared" si="4"/>
        <v>16.72444444444444</v>
      </c>
      <c r="AE65">
        <f t="shared" si="5"/>
        <v>25.807824711111106</v>
      </c>
      <c r="AF65" s="9"/>
      <c r="AG65" s="21">
        <v>0.17700199999999999</v>
      </c>
      <c r="AH65" s="21">
        <v>18.849900000000002</v>
      </c>
      <c r="AI65" s="21">
        <v>-1.50238E-2</v>
      </c>
      <c r="AJ65" s="21">
        <v>55</v>
      </c>
      <c r="AK65" s="21">
        <v>0.17633099999999999</v>
      </c>
      <c r="AL65">
        <f t="shared" si="6"/>
        <v>18.547901234567902</v>
      </c>
      <c r="AM65">
        <f t="shared" si="7"/>
        <v>3.2830156143209877</v>
      </c>
      <c r="AP65" s="9"/>
      <c r="AQ65" s="21">
        <v>1.54312</v>
      </c>
      <c r="AR65" s="21">
        <v>24.424700000000001</v>
      </c>
      <c r="AS65" s="21">
        <v>-1.3559E-2</v>
      </c>
      <c r="AT65" s="21">
        <v>55</v>
      </c>
      <c r="AU65" s="21">
        <v>1.5420499999999999</v>
      </c>
      <c r="AV65">
        <f t="shared" si="8"/>
        <v>16.739506172839505</v>
      </c>
      <c r="AW65">
        <f t="shared" si="9"/>
        <v>25.831066765432098</v>
      </c>
      <c r="AX65" s="9"/>
      <c r="AY65" s="21">
        <v>0.17700199999999999</v>
      </c>
      <c r="AZ65" s="21">
        <v>28.284099999999999</v>
      </c>
      <c r="BA65" s="21">
        <v>-1.5020800000000001E-2</v>
      </c>
      <c r="BB65" s="21">
        <v>55</v>
      </c>
      <c r="BC65" s="21">
        <v>0.176422</v>
      </c>
      <c r="BD65">
        <f t="shared" si="10"/>
        <v>18.544197530864199</v>
      </c>
      <c r="BE65">
        <f t="shared" si="11"/>
        <v>3.2823600513580247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1.53809</v>
      </c>
      <c r="H66" s="21">
        <v>5.58629</v>
      </c>
      <c r="I66" s="21">
        <v>-1.3522299999999999E-2</v>
      </c>
      <c r="J66" s="21">
        <v>56</v>
      </c>
      <c r="K66" s="21">
        <v>1.53748</v>
      </c>
      <c r="L66">
        <f t="shared" si="0"/>
        <v>16.694197530864194</v>
      </c>
      <c r="M66">
        <f t="shared" si="1"/>
        <v>25.677178280246906</v>
      </c>
      <c r="N66" s="9"/>
      <c r="O66" s="21">
        <v>0.17349200000000001</v>
      </c>
      <c r="P66" s="21">
        <v>17.729800000000001</v>
      </c>
      <c r="Q66" s="21">
        <v>-1.50391E-2</v>
      </c>
      <c r="R66" s="21">
        <v>327</v>
      </c>
      <c r="S66" s="21">
        <v>0.17300399999999999</v>
      </c>
      <c r="T66">
        <f t="shared" si="2"/>
        <v>18.566790123456791</v>
      </c>
      <c r="U66">
        <f t="shared" si="3"/>
        <v>3.2211895520987657</v>
      </c>
      <c r="X66" s="9"/>
      <c r="Y66" s="21">
        <v>1.53809</v>
      </c>
      <c r="Z66" s="21">
        <v>15.000500000000001</v>
      </c>
      <c r="AA66" s="21">
        <v>-1.35773E-2</v>
      </c>
      <c r="AB66" s="21">
        <v>56</v>
      </c>
      <c r="AC66" s="21">
        <v>1.53687</v>
      </c>
      <c r="AD66">
        <f t="shared" si="4"/>
        <v>16.7620987654321</v>
      </c>
      <c r="AE66">
        <f t="shared" si="5"/>
        <v>25.781616490123458</v>
      </c>
      <c r="AF66" s="9"/>
      <c r="AG66" s="21">
        <v>0.182037</v>
      </c>
      <c r="AH66" s="21">
        <v>18.86</v>
      </c>
      <c r="AI66" s="21">
        <v>-1.5020800000000001E-2</v>
      </c>
      <c r="AJ66" s="21">
        <v>56</v>
      </c>
      <c r="AK66" s="21">
        <v>0.18148800000000001</v>
      </c>
      <c r="AL66">
        <f t="shared" si="6"/>
        <v>18.544197530864199</v>
      </c>
      <c r="AM66">
        <f t="shared" si="7"/>
        <v>3.3757300859259263</v>
      </c>
      <c r="AP66" s="9"/>
      <c r="AQ66" s="21">
        <v>1.53809</v>
      </c>
      <c r="AR66" s="21">
        <v>24.434699999999999</v>
      </c>
      <c r="AS66" s="21">
        <v>-1.35925E-2</v>
      </c>
      <c r="AT66" s="21">
        <v>56</v>
      </c>
      <c r="AU66" s="21">
        <v>1.53748</v>
      </c>
      <c r="AV66">
        <f t="shared" si="8"/>
        <v>16.780864197530864</v>
      </c>
      <c r="AW66">
        <f t="shared" si="9"/>
        <v>25.810479413580246</v>
      </c>
      <c r="AX66" s="9"/>
      <c r="AY66" s="21">
        <v>0.182037</v>
      </c>
      <c r="AZ66" s="21">
        <v>28.2942</v>
      </c>
      <c r="BA66" s="21">
        <v>-1.5032999999999999E-2</v>
      </c>
      <c r="BB66" s="21">
        <v>56</v>
      </c>
      <c r="BC66" s="21">
        <v>0.181427</v>
      </c>
      <c r="BD66">
        <f t="shared" si="10"/>
        <v>18.559259259259257</v>
      </c>
      <c r="BE66">
        <f t="shared" si="11"/>
        <v>3.3784718777777774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1.53305</v>
      </c>
      <c r="H67" s="21">
        <v>5.5963700000000003</v>
      </c>
      <c r="I67" s="21">
        <v>-1.3559E-2</v>
      </c>
      <c r="J67" s="21">
        <v>57</v>
      </c>
      <c r="K67" s="21">
        <v>1.5322899999999999</v>
      </c>
      <c r="L67">
        <f t="shared" si="0"/>
        <v>16.739506172839505</v>
      </c>
      <c r="M67">
        <f t="shared" si="1"/>
        <v>25.662499938271605</v>
      </c>
      <c r="N67" s="9"/>
      <c r="O67" s="21">
        <v>0.17852799999999999</v>
      </c>
      <c r="P67" s="21">
        <v>17.7197</v>
      </c>
      <c r="Q67" s="21">
        <v>-1.5029900000000001E-2</v>
      </c>
      <c r="R67" s="21">
        <v>326</v>
      </c>
      <c r="S67" s="21">
        <v>0.17788699999999999</v>
      </c>
      <c r="T67">
        <f t="shared" si="2"/>
        <v>18.555432098765429</v>
      </c>
      <c r="U67">
        <f t="shared" si="3"/>
        <v>3.3126641817283944</v>
      </c>
      <c r="X67" s="9"/>
      <c r="Y67" s="21">
        <v>1.53305</v>
      </c>
      <c r="Z67" s="21">
        <v>15.0106</v>
      </c>
      <c r="AA67" s="21">
        <v>-1.36139E-2</v>
      </c>
      <c r="AB67" s="21">
        <v>57</v>
      </c>
      <c r="AC67" s="21">
        <v>1.5328999999999999</v>
      </c>
      <c r="AD67">
        <f t="shared" si="4"/>
        <v>16.807283950617283</v>
      </c>
      <c r="AE67">
        <f t="shared" si="5"/>
        <v>25.766406660493825</v>
      </c>
      <c r="AF67" s="9"/>
      <c r="AG67" s="21">
        <v>0.18707299999999999</v>
      </c>
      <c r="AH67" s="21">
        <v>18.870100000000001</v>
      </c>
      <c r="AI67" s="21">
        <v>-1.5020800000000001E-2</v>
      </c>
      <c r="AJ67" s="21">
        <v>57</v>
      </c>
      <c r="AK67" s="21">
        <v>0.18652299999999999</v>
      </c>
      <c r="AL67">
        <f t="shared" si="6"/>
        <v>18.544197530864199</v>
      </c>
      <c r="AM67">
        <f t="shared" si="7"/>
        <v>3.4691186646913583</v>
      </c>
      <c r="AP67" s="9"/>
      <c r="AQ67" s="21">
        <v>1.53305</v>
      </c>
      <c r="AR67" s="21">
        <v>24.444800000000001</v>
      </c>
      <c r="AS67" s="21">
        <v>-1.36261E-2</v>
      </c>
      <c r="AT67" s="21">
        <v>57</v>
      </c>
      <c r="AU67" s="21">
        <v>1.5319799999999999</v>
      </c>
      <c r="AV67">
        <f t="shared" si="8"/>
        <v>16.822345679012344</v>
      </c>
      <c r="AW67">
        <f t="shared" si="9"/>
        <v>25.789497043209874</v>
      </c>
      <c r="AX67" s="9"/>
      <c r="AY67" s="21">
        <v>0.18707299999999999</v>
      </c>
      <c r="AZ67" s="21">
        <v>28.304300000000001</v>
      </c>
      <c r="BA67" s="21">
        <v>-1.5036000000000001E-2</v>
      </c>
      <c r="BB67" s="21">
        <v>57</v>
      </c>
      <c r="BC67" s="21">
        <v>0.18652299999999999</v>
      </c>
      <c r="BD67">
        <f t="shared" si="10"/>
        <v>18.562962962962963</v>
      </c>
      <c r="BE67">
        <f t="shared" si="11"/>
        <v>3.4726291703703702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1.5280199999999999</v>
      </c>
      <c r="H68" s="21">
        <v>5.6064400000000001</v>
      </c>
      <c r="I68" s="21">
        <v>-1.36017E-2</v>
      </c>
      <c r="J68" s="21">
        <v>58</v>
      </c>
      <c r="K68" s="21">
        <v>1.5267900000000001</v>
      </c>
      <c r="L68">
        <f t="shared" si="0"/>
        <v>16.792222222222222</v>
      </c>
      <c r="M68">
        <f t="shared" si="1"/>
        <v>25.6588514</v>
      </c>
      <c r="N68" s="9"/>
      <c r="O68" s="21">
        <v>0.183563</v>
      </c>
      <c r="P68" s="21">
        <v>17.709599999999998</v>
      </c>
      <c r="Q68" s="21">
        <v>-1.5026899999999999E-2</v>
      </c>
      <c r="R68" s="21">
        <v>325</v>
      </c>
      <c r="S68" s="21">
        <v>0.18301400000000001</v>
      </c>
      <c r="T68">
        <f t="shared" si="2"/>
        <v>18.551728395061726</v>
      </c>
      <c r="U68">
        <f t="shared" si="3"/>
        <v>3.4054109193827156</v>
      </c>
      <c r="X68" s="9"/>
      <c r="Y68" s="21">
        <v>1.5280199999999999</v>
      </c>
      <c r="Z68" s="21">
        <v>15.0207</v>
      </c>
      <c r="AA68" s="21">
        <v>-1.36536E-2</v>
      </c>
      <c r="AB68" s="21">
        <v>58</v>
      </c>
      <c r="AC68" s="21">
        <v>1.5280199999999999</v>
      </c>
      <c r="AD68">
        <f t="shared" si="4"/>
        <v>16.856296296296296</v>
      </c>
      <c r="AE68">
        <f t="shared" si="5"/>
        <v>25.756757866666664</v>
      </c>
      <c r="AF68" s="9"/>
      <c r="AG68" s="21">
        <v>0.192108</v>
      </c>
      <c r="AH68" s="21">
        <v>18.880099999999999</v>
      </c>
      <c r="AI68" s="21">
        <v>-1.5014599999999999E-2</v>
      </c>
      <c r="AJ68" s="21">
        <v>58</v>
      </c>
      <c r="AK68" s="21">
        <v>0.19155900000000001</v>
      </c>
      <c r="AL68">
        <f t="shared" si="6"/>
        <v>18.536543209876541</v>
      </c>
      <c r="AM68">
        <f t="shared" si="7"/>
        <v>3.5610182429629624</v>
      </c>
      <c r="AP68" s="9"/>
      <c r="AQ68" s="21">
        <v>1.5280199999999999</v>
      </c>
      <c r="AR68" s="21">
        <v>24.454899999999999</v>
      </c>
      <c r="AS68" s="21">
        <v>-1.36597E-2</v>
      </c>
      <c r="AT68" s="21">
        <v>58</v>
      </c>
      <c r="AU68" s="21">
        <v>1.5277099999999999</v>
      </c>
      <c r="AV68">
        <f t="shared" si="8"/>
        <v>16.863827160493827</v>
      </c>
      <c r="AW68">
        <f t="shared" si="9"/>
        <v>25.768265177777778</v>
      </c>
      <c r="AX68" s="9"/>
      <c r="AY68" s="21">
        <v>0.192108</v>
      </c>
      <c r="AZ68" s="21">
        <v>28.314399999999999</v>
      </c>
      <c r="BA68" s="21">
        <v>-1.5036000000000001E-2</v>
      </c>
      <c r="BB68" s="21">
        <v>58</v>
      </c>
      <c r="BC68" s="21">
        <v>0.19158900000000001</v>
      </c>
      <c r="BD68">
        <f t="shared" si="10"/>
        <v>18.562962962962963</v>
      </c>
      <c r="BE68">
        <f t="shared" si="11"/>
        <v>3.566093688888889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1.52298</v>
      </c>
      <c r="H69" s="21">
        <v>5.6165099999999999</v>
      </c>
      <c r="I69" s="21">
        <v>-1.36353E-2</v>
      </c>
      <c r="J69" s="21">
        <v>59</v>
      </c>
      <c r="K69" s="21">
        <v>1.5222199999999999</v>
      </c>
      <c r="L69">
        <f t="shared" si="0"/>
        <v>16.833703703703701</v>
      </c>
      <c r="M69">
        <f t="shared" si="1"/>
        <v>25.637394066666662</v>
      </c>
      <c r="N69" s="9"/>
      <c r="O69" s="21">
        <v>0.18859899999999999</v>
      </c>
      <c r="P69" s="21">
        <v>17.6995</v>
      </c>
      <c r="Q69" s="21">
        <v>-1.5029900000000001E-2</v>
      </c>
      <c r="R69" s="21">
        <v>324</v>
      </c>
      <c r="S69" s="21">
        <v>0.18808</v>
      </c>
      <c r="T69">
        <f t="shared" si="2"/>
        <v>18.555432098765429</v>
      </c>
      <c r="U69">
        <f t="shared" si="3"/>
        <v>3.4995359383950611</v>
      </c>
      <c r="X69" s="9"/>
      <c r="Y69" s="21">
        <v>1.52298</v>
      </c>
      <c r="Z69" s="21">
        <v>15.0307</v>
      </c>
      <c r="AA69" s="21">
        <v>-1.36963E-2</v>
      </c>
      <c r="AB69" s="21">
        <v>59</v>
      </c>
      <c r="AC69" s="21">
        <v>1.5222199999999999</v>
      </c>
      <c r="AD69">
        <f t="shared" si="4"/>
        <v>16.90901234567901</v>
      </c>
      <c r="AE69">
        <f t="shared" si="5"/>
        <v>25.752087622222216</v>
      </c>
      <c r="AF69" s="9"/>
      <c r="AG69" s="21">
        <v>0.19714400000000001</v>
      </c>
      <c r="AH69" s="21">
        <v>18.8902</v>
      </c>
      <c r="AI69" s="21">
        <v>-1.50055E-2</v>
      </c>
      <c r="AJ69" s="21">
        <v>59</v>
      </c>
      <c r="AK69" s="21">
        <v>0.19659399999999999</v>
      </c>
      <c r="AL69">
        <f t="shared" si="6"/>
        <v>18.525308641975307</v>
      </c>
      <c r="AM69">
        <f t="shared" si="7"/>
        <v>3.6521534469135801</v>
      </c>
      <c r="AP69" s="9"/>
      <c r="AQ69" s="21">
        <v>1.52298</v>
      </c>
      <c r="AR69" s="21">
        <v>24.465</v>
      </c>
      <c r="AS69" s="21">
        <v>-1.3693200000000001E-2</v>
      </c>
      <c r="AT69" s="21">
        <v>59</v>
      </c>
      <c r="AU69" s="21">
        <v>1.5225200000000001</v>
      </c>
      <c r="AV69">
        <f t="shared" si="8"/>
        <v>16.905185185185186</v>
      </c>
      <c r="AW69">
        <f t="shared" si="9"/>
        <v>25.746258933333333</v>
      </c>
      <c r="AX69" s="9"/>
      <c r="AY69" s="21">
        <v>0.19714400000000001</v>
      </c>
      <c r="AZ69" s="21">
        <v>28.324400000000001</v>
      </c>
      <c r="BA69" s="21">
        <v>-1.5029900000000001E-2</v>
      </c>
      <c r="BB69" s="21">
        <v>59</v>
      </c>
      <c r="BC69" s="21">
        <v>0.19659399999999999</v>
      </c>
      <c r="BD69">
        <f t="shared" si="10"/>
        <v>18.555432098765429</v>
      </c>
      <c r="BE69">
        <f t="shared" si="11"/>
        <v>3.6580921056790121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1.5179400000000001</v>
      </c>
      <c r="H70" s="21">
        <v>5.6265799999999997</v>
      </c>
      <c r="I70" s="21">
        <v>-1.3665800000000001E-2</v>
      </c>
      <c r="J70" s="21">
        <v>60</v>
      </c>
      <c r="K70" s="21">
        <v>1.5170300000000001</v>
      </c>
      <c r="L70">
        <f t="shared" si="0"/>
        <v>16.871358024691357</v>
      </c>
      <c r="M70">
        <f t="shared" si="1"/>
        <v>25.609709200000001</v>
      </c>
      <c r="N70" s="9"/>
      <c r="O70" s="21">
        <v>0.193634</v>
      </c>
      <c r="P70" s="21">
        <v>17.689499999999999</v>
      </c>
      <c r="Q70" s="21">
        <v>-1.5032999999999999E-2</v>
      </c>
      <c r="R70" s="21">
        <v>323</v>
      </c>
      <c r="S70" s="21">
        <v>0.193054</v>
      </c>
      <c r="T70">
        <f t="shared" si="2"/>
        <v>18.559259259259257</v>
      </c>
      <c r="U70">
        <f t="shared" si="3"/>
        <v>3.5937036074074071</v>
      </c>
      <c r="X70" s="9"/>
      <c r="Y70" s="21">
        <v>1.5179400000000001</v>
      </c>
      <c r="Z70" s="21">
        <v>15.040800000000001</v>
      </c>
      <c r="AA70" s="21">
        <v>-1.37238E-2</v>
      </c>
      <c r="AB70" s="21">
        <v>60</v>
      </c>
      <c r="AC70" s="21">
        <v>1.5170300000000001</v>
      </c>
      <c r="AD70">
        <f t="shared" si="4"/>
        <v>16.942962962962962</v>
      </c>
      <c r="AE70">
        <f t="shared" si="5"/>
        <v>25.718401199999999</v>
      </c>
      <c r="AF70" s="9"/>
      <c r="AG70" s="21">
        <v>0.202179</v>
      </c>
      <c r="AH70" s="21">
        <v>18.900300000000001</v>
      </c>
      <c r="AI70" s="21">
        <v>-1.50055E-2</v>
      </c>
      <c r="AJ70" s="21">
        <v>60</v>
      </c>
      <c r="AK70" s="21">
        <v>0.201599</v>
      </c>
      <c r="AL70">
        <f t="shared" si="6"/>
        <v>18.525308641975307</v>
      </c>
      <c r="AM70">
        <f t="shared" si="7"/>
        <v>3.7454283759259255</v>
      </c>
      <c r="AP70" s="9"/>
      <c r="AQ70" s="21">
        <v>1.5179400000000001</v>
      </c>
      <c r="AR70" s="21">
        <v>24.475000000000001</v>
      </c>
      <c r="AS70" s="21">
        <v>-1.3726800000000001E-2</v>
      </c>
      <c r="AT70" s="21">
        <v>60</v>
      </c>
      <c r="AU70" s="21">
        <v>1.5170300000000001</v>
      </c>
      <c r="AV70">
        <f t="shared" si="8"/>
        <v>16.946666666666665</v>
      </c>
      <c r="AW70">
        <f t="shared" si="9"/>
        <v>25.724023199999998</v>
      </c>
      <c r="AX70" s="9"/>
      <c r="AY70" s="21">
        <v>0.202179</v>
      </c>
      <c r="AZ70" s="21">
        <v>28.334499999999998</v>
      </c>
      <c r="BA70" s="21">
        <v>-1.50238E-2</v>
      </c>
      <c r="BB70" s="21">
        <v>60</v>
      </c>
      <c r="BC70" s="21">
        <v>0.20169100000000001</v>
      </c>
      <c r="BD70">
        <f t="shared" si="10"/>
        <v>18.547901234567902</v>
      </c>
      <c r="BE70">
        <f t="shared" si="11"/>
        <v>3.7499961237037041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1.51291</v>
      </c>
      <c r="H71" s="21">
        <v>5.6366500000000004</v>
      </c>
      <c r="I71" s="21">
        <v>-1.36902E-2</v>
      </c>
      <c r="J71" s="21">
        <v>61</v>
      </c>
      <c r="K71" s="21">
        <v>1.5115400000000001</v>
      </c>
      <c r="L71">
        <f t="shared" si="0"/>
        <v>16.901481481481479</v>
      </c>
      <c r="M71">
        <f t="shared" si="1"/>
        <v>25.570420348148144</v>
      </c>
      <c r="N71" s="9"/>
      <c r="O71" s="21">
        <v>0.19866900000000001</v>
      </c>
      <c r="P71" s="21">
        <v>17.679400000000001</v>
      </c>
      <c r="Q71" s="21">
        <v>-1.50238E-2</v>
      </c>
      <c r="R71" s="21">
        <v>322</v>
      </c>
      <c r="S71" s="21">
        <v>0.19815099999999999</v>
      </c>
      <c r="T71">
        <f t="shared" si="2"/>
        <v>18.547901234567902</v>
      </c>
      <c r="U71">
        <f t="shared" si="3"/>
        <v>3.6848929903703707</v>
      </c>
      <c r="X71" s="9"/>
      <c r="Y71" s="21">
        <v>1.51291</v>
      </c>
      <c r="Z71" s="21">
        <v>15.0509</v>
      </c>
      <c r="AA71" s="21">
        <v>-1.37634E-2</v>
      </c>
      <c r="AB71" s="21">
        <v>61</v>
      </c>
      <c r="AC71" s="21">
        <v>1.5124500000000001</v>
      </c>
      <c r="AD71">
        <f t="shared" si="4"/>
        <v>16.991851851851852</v>
      </c>
      <c r="AE71">
        <f t="shared" si="5"/>
        <v>25.707142585185185</v>
      </c>
      <c r="AF71" s="9"/>
      <c r="AG71" s="21">
        <v>0.20721400000000001</v>
      </c>
      <c r="AH71" s="21">
        <v>18.910299999999999</v>
      </c>
      <c r="AI71" s="21">
        <v>-1.50055E-2</v>
      </c>
      <c r="AJ71" s="21">
        <v>61</v>
      </c>
      <c r="AK71" s="21">
        <v>0.20666499999999999</v>
      </c>
      <c r="AL71">
        <f t="shared" si="6"/>
        <v>18.525308641975307</v>
      </c>
      <c r="AM71">
        <f t="shared" si="7"/>
        <v>3.8387033049382717</v>
      </c>
      <c r="AP71" s="9"/>
      <c r="AQ71" s="21">
        <v>1.51291</v>
      </c>
      <c r="AR71" s="21">
        <v>24.485099999999999</v>
      </c>
      <c r="AS71" s="21">
        <v>-1.37695E-2</v>
      </c>
      <c r="AT71" s="21">
        <v>61</v>
      </c>
      <c r="AU71" s="21">
        <v>1.5124500000000001</v>
      </c>
      <c r="AV71">
        <f t="shared" si="8"/>
        <v>16.999382716049382</v>
      </c>
      <c r="AW71">
        <f t="shared" si="9"/>
        <v>25.71853610493827</v>
      </c>
      <c r="AX71" s="9"/>
      <c r="AY71" s="21">
        <v>0.20721400000000001</v>
      </c>
      <c r="AZ71" s="21">
        <v>28.3446</v>
      </c>
      <c r="BA71" s="21">
        <v>-1.5008499999999999E-2</v>
      </c>
      <c r="BB71" s="21">
        <v>61</v>
      </c>
      <c r="BC71" s="21">
        <v>0.20672599999999999</v>
      </c>
      <c r="BD71">
        <f t="shared" si="10"/>
        <v>18.529012345679011</v>
      </c>
      <c r="BE71">
        <f t="shared" si="11"/>
        <v>3.8394707641975305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1.50787</v>
      </c>
      <c r="H72" s="21">
        <v>5.6467200000000002</v>
      </c>
      <c r="I72" s="21">
        <v>-1.37146E-2</v>
      </c>
      <c r="J72" s="21">
        <v>62</v>
      </c>
      <c r="K72" s="21">
        <v>1.5069600000000001</v>
      </c>
      <c r="L72">
        <f t="shared" si="0"/>
        <v>16.931604938271605</v>
      </c>
      <c r="M72">
        <f t="shared" si="1"/>
        <v>25.530659138271606</v>
      </c>
      <c r="N72" s="9"/>
      <c r="O72" s="21">
        <v>0.203705</v>
      </c>
      <c r="P72" s="21">
        <v>17.6693</v>
      </c>
      <c r="Q72" s="21">
        <v>-1.5008499999999999E-2</v>
      </c>
      <c r="R72" s="21">
        <v>321</v>
      </c>
      <c r="S72" s="21">
        <v>0.20318600000000001</v>
      </c>
      <c r="T72">
        <f t="shared" si="2"/>
        <v>18.529012345679011</v>
      </c>
      <c r="U72">
        <f t="shared" si="3"/>
        <v>3.7744524598765428</v>
      </c>
      <c r="X72" s="9"/>
      <c r="Y72" s="21">
        <v>1.50787</v>
      </c>
      <c r="Z72" s="21">
        <v>15.0609</v>
      </c>
      <c r="AA72" s="21">
        <v>-1.38E-2</v>
      </c>
      <c r="AB72" s="21">
        <v>62</v>
      </c>
      <c r="AC72" s="21">
        <v>1.5069600000000001</v>
      </c>
      <c r="AD72">
        <f t="shared" si="4"/>
        <v>17.037037037037035</v>
      </c>
      <c r="AE72">
        <f t="shared" si="5"/>
        <v>25.689637037037034</v>
      </c>
      <c r="AF72" s="9"/>
      <c r="AG72" s="21">
        <v>0.21224999999999999</v>
      </c>
      <c r="AH72" s="21">
        <v>18.920400000000001</v>
      </c>
      <c r="AI72" s="21">
        <v>-1.50055E-2</v>
      </c>
      <c r="AJ72" s="21">
        <v>62</v>
      </c>
      <c r="AK72" s="21">
        <v>0.21163899999999999</v>
      </c>
      <c r="AL72">
        <f t="shared" si="6"/>
        <v>18.525308641975307</v>
      </c>
      <c r="AM72">
        <f t="shared" si="7"/>
        <v>3.9319967592592588</v>
      </c>
      <c r="AP72" s="9"/>
      <c r="AQ72" s="21">
        <v>1.50787</v>
      </c>
      <c r="AR72" s="21">
        <v>24.495200000000001</v>
      </c>
      <c r="AS72" s="21">
        <v>-1.3806199999999999E-2</v>
      </c>
      <c r="AT72" s="21">
        <v>62</v>
      </c>
      <c r="AU72" s="21">
        <v>1.5063500000000001</v>
      </c>
      <c r="AV72">
        <f t="shared" si="8"/>
        <v>17.044691358024689</v>
      </c>
      <c r="AW72">
        <f t="shared" si="9"/>
        <v>25.701178758024689</v>
      </c>
      <c r="AX72" s="9"/>
      <c r="AY72" s="21">
        <v>0.21224999999999999</v>
      </c>
      <c r="AZ72" s="21">
        <v>28.354600000000001</v>
      </c>
      <c r="BA72" s="21">
        <v>-1.50116E-2</v>
      </c>
      <c r="BB72" s="21">
        <v>62</v>
      </c>
      <c r="BC72" s="21">
        <v>0.2117</v>
      </c>
      <c r="BD72">
        <f t="shared" si="10"/>
        <v>18.532839506172838</v>
      </c>
      <c r="BE72">
        <f t="shared" si="11"/>
        <v>3.9335951851851849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1.50284</v>
      </c>
      <c r="H73" s="21">
        <v>5.65679</v>
      </c>
      <c r="I73" s="21">
        <v>-1.3738999999999999E-2</v>
      </c>
      <c r="J73" s="21">
        <v>63</v>
      </c>
      <c r="K73" s="21">
        <v>1.50238</v>
      </c>
      <c r="L73">
        <f t="shared" si="0"/>
        <v>16.961728395061726</v>
      </c>
      <c r="M73">
        <f t="shared" si="1"/>
        <v>25.490763901234565</v>
      </c>
      <c r="N73" s="9"/>
      <c r="O73" s="21">
        <v>0.20874000000000001</v>
      </c>
      <c r="P73" s="21">
        <v>17.659300000000002</v>
      </c>
      <c r="Q73" s="21">
        <v>-1.50116E-2</v>
      </c>
      <c r="R73" s="21">
        <v>320</v>
      </c>
      <c r="S73" s="21">
        <v>0.20813000000000001</v>
      </c>
      <c r="T73">
        <f t="shared" si="2"/>
        <v>18.532839506172838</v>
      </c>
      <c r="U73">
        <f t="shared" si="3"/>
        <v>3.8685449185185186</v>
      </c>
      <c r="X73" s="9"/>
      <c r="Y73" s="21">
        <v>1.50284</v>
      </c>
      <c r="Z73" s="21">
        <v>15.071</v>
      </c>
      <c r="AA73" s="21">
        <v>-1.38306E-2</v>
      </c>
      <c r="AB73" s="21">
        <v>63</v>
      </c>
      <c r="AC73" s="21">
        <v>1.5020800000000001</v>
      </c>
      <c r="AD73">
        <f t="shared" si="4"/>
        <v>17.074814814814815</v>
      </c>
      <c r="AE73">
        <f t="shared" si="5"/>
        <v>25.660714696296296</v>
      </c>
      <c r="AF73" s="9"/>
      <c r="AG73" s="21">
        <v>0.21728500000000001</v>
      </c>
      <c r="AH73" s="21">
        <v>18.930499999999999</v>
      </c>
      <c r="AI73" s="21">
        <v>-1.5014599999999999E-2</v>
      </c>
      <c r="AJ73" s="21">
        <v>63</v>
      </c>
      <c r="AK73" s="21">
        <v>0.216614</v>
      </c>
      <c r="AL73">
        <f t="shared" si="6"/>
        <v>18.536543209876541</v>
      </c>
      <c r="AM73">
        <f t="shared" si="7"/>
        <v>4.0277127913580246</v>
      </c>
      <c r="AP73" s="9"/>
      <c r="AQ73" s="21">
        <v>1.50284</v>
      </c>
      <c r="AR73" s="21">
        <v>24.505199999999999</v>
      </c>
      <c r="AS73" s="21">
        <v>-1.3842800000000001E-2</v>
      </c>
      <c r="AT73" s="21">
        <v>63</v>
      </c>
      <c r="AU73" s="21">
        <v>1.5020800000000001</v>
      </c>
      <c r="AV73">
        <f t="shared" si="8"/>
        <v>17.089876543209876</v>
      </c>
      <c r="AW73">
        <f t="shared" si="9"/>
        <v>25.68335006419753</v>
      </c>
      <c r="AX73" s="9"/>
      <c r="AY73" s="21">
        <v>0.21728500000000001</v>
      </c>
      <c r="AZ73" s="21">
        <v>28.364699999999999</v>
      </c>
      <c r="BA73" s="21">
        <v>-1.5014599999999999E-2</v>
      </c>
      <c r="BB73" s="21">
        <v>63</v>
      </c>
      <c r="BC73" s="21">
        <v>0.21667500000000001</v>
      </c>
      <c r="BD73">
        <f t="shared" si="10"/>
        <v>18.536543209876541</v>
      </c>
      <c r="BE73">
        <f t="shared" si="11"/>
        <v>4.0277127913580246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1.4978</v>
      </c>
      <c r="H74" s="21">
        <v>5.6668599999999998</v>
      </c>
      <c r="I74" s="21">
        <v>-1.3766499999999999E-2</v>
      </c>
      <c r="J74" s="21">
        <v>64</v>
      </c>
      <c r="K74" s="21">
        <v>1.49658</v>
      </c>
      <c r="L74">
        <f t="shared" si="0"/>
        <v>16.995679012345676</v>
      </c>
      <c r="M74">
        <f t="shared" si="1"/>
        <v>25.456128024691353</v>
      </c>
      <c r="N74" s="9"/>
      <c r="O74" s="21">
        <v>0.21377599999999999</v>
      </c>
      <c r="P74" s="21">
        <v>17.6492</v>
      </c>
      <c r="Q74" s="21">
        <v>-1.50238E-2</v>
      </c>
      <c r="R74" s="21">
        <v>319</v>
      </c>
      <c r="S74" s="21">
        <v>0.213196</v>
      </c>
      <c r="T74">
        <f t="shared" si="2"/>
        <v>18.547901234567902</v>
      </c>
      <c r="U74">
        <f t="shared" si="3"/>
        <v>3.9650961343209876</v>
      </c>
      <c r="X74" s="9"/>
      <c r="Y74" s="21">
        <v>1.4978</v>
      </c>
      <c r="Z74" s="21">
        <v>15.081099999999999</v>
      </c>
      <c r="AA74" s="21">
        <v>-1.3854999999999999E-2</v>
      </c>
      <c r="AB74" s="21">
        <v>64</v>
      </c>
      <c r="AC74" s="21">
        <v>1.4968900000000001</v>
      </c>
      <c r="AD74">
        <f t="shared" si="4"/>
        <v>17.104938271604937</v>
      </c>
      <c r="AE74">
        <f t="shared" si="5"/>
        <v>25.619776543209873</v>
      </c>
      <c r="AF74" s="9"/>
      <c r="AG74" s="21">
        <v>0.22232099999999999</v>
      </c>
      <c r="AH74" s="21">
        <v>18.9405</v>
      </c>
      <c r="AI74" s="21">
        <v>-1.5008499999999999E-2</v>
      </c>
      <c r="AJ74" s="21">
        <v>64</v>
      </c>
      <c r="AK74" s="21">
        <v>0.22174099999999999</v>
      </c>
      <c r="AL74">
        <f t="shared" si="6"/>
        <v>18.529012345679011</v>
      </c>
      <c r="AM74">
        <f t="shared" si="7"/>
        <v>4.1193885537037032</v>
      </c>
      <c r="AP74" s="9"/>
      <c r="AQ74" s="21">
        <v>1.4978</v>
      </c>
      <c r="AR74" s="21">
        <v>24.5153</v>
      </c>
      <c r="AS74" s="21">
        <v>-1.3870199999999999E-2</v>
      </c>
      <c r="AT74" s="21">
        <v>64</v>
      </c>
      <c r="AU74" s="21">
        <v>1.49719</v>
      </c>
      <c r="AV74">
        <f t="shared" si="8"/>
        <v>17.123703703703701</v>
      </c>
      <c r="AW74">
        <f t="shared" si="9"/>
        <v>25.647883407407402</v>
      </c>
      <c r="AX74" s="9"/>
      <c r="AY74" s="21">
        <v>0.22232099999999999</v>
      </c>
      <c r="AZ74" s="21">
        <v>28.3748</v>
      </c>
      <c r="BA74" s="21">
        <v>-1.5020800000000001E-2</v>
      </c>
      <c r="BB74" s="21">
        <v>64</v>
      </c>
      <c r="BC74" s="21">
        <v>0.221771</v>
      </c>
      <c r="BD74">
        <f t="shared" si="10"/>
        <v>18.544197530864199</v>
      </c>
      <c r="BE74">
        <f t="shared" si="11"/>
        <v>4.1227645392592596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1.4927699999999999</v>
      </c>
      <c r="H75" s="21">
        <v>5.6769299999999996</v>
      </c>
      <c r="I75" s="21">
        <v>-1.37939E-2</v>
      </c>
      <c r="J75" s="21">
        <v>65</v>
      </c>
      <c r="K75" s="21">
        <v>1.49231</v>
      </c>
      <c r="L75">
        <f t="shared" si="0"/>
        <v>17.029506172839504</v>
      </c>
      <c r="M75">
        <f t="shared" si="1"/>
        <v>25.421135929629624</v>
      </c>
      <c r="N75" s="9"/>
      <c r="O75" s="21">
        <v>0.21881100000000001</v>
      </c>
      <c r="P75" s="21">
        <v>17.639099999999999</v>
      </c>
      <c r="Q75" s="21">
        <v>-1.5029900000000001E-2</v>
      </c>
      <c r="R75" s="21">
        <v>318</v>
      </c>
      <c r="S75" s="21">
        <v>0.21823100000000001</v>
      </c>
      <c r="T75">
        <f t="shared" si="2"/>
        <v>18.555432098765429</v>
      </c>
      <c r="U75">
        <f t="shared" si="3"/>
        <v>4.0601326529629622</v>
      </c>
      <c r="X75" s="9"/>
      <c r="Y75" s="21">
        <v>1.4927699999999999</v>
      </c>
      <c r="Z75" s="21">
        <v>15.091100000000001</v>
      </c>
      <c r="AA75" s="21">
        <v>-1.3876299999999999E-2</v>
      </c>
      <c r="AB75" s="21">
        <v>65</v>
      </c>
      <c r="AC75" s="21">
        <v>1.4917</v>
      </c>
      <c r="AD75">
        <f t="shared" si="4"/>
        <v>17.131234567901231</v>
      </c>
      <c r="AE75">
        <f t="shared" si="5"/>
        <v>25.572993025925918</v>
      </c>
      <c r="AF75" s="9"/>
      <c r="AG75" s="21">
        <v>0.227356</v>
      </c>
      <c r="AH75" s="21">
        <v>18.950600000000001</v>
      </c>
      <c r="AI75" s="21">
        <v>-1.50116E-2</v>
      </c>
      <c r="AJ75" s="21">
        <v>65</v>
      </c>
      <c r="AK75" s="21">
        <v>0.22683700000000001</v>
      </c>
      <c r="AL75">
        <f t="shared" si="6"/>
        <v>18.532839506172838</v>
      </c>
      <c r="AM75">
        <f t="shared" si="7"/>
        <v>4.2135522587654322</v>
      </c>
      <c r="AP75" s="9"/>
      <c r="AQ75" s="21">
        <v>1.4927699999999999</v>
      </c>
      <c r="AR75" s="21">
        <v>24.525400000000001</v>
      </c>
      <c r="AS75" s="21">
        <v>-1.3894699999999999E-2</v>
      </c>
      <c r="AT75" s="21">
        <v>65</v>
      </c>
      <c r="AU75" s="21">
        <v>1.49139</v>
      </c>
      <c r="AV75">
        <f t="shared" si="8"/>
        <v>17.153950617283947</v>
      </c>
      <c r="AW75">
        <f t="shared" si="9"/>
        <v>25.606902862962954</v>
      </c>
      <c r="AX75" s="9"/>
      <c r="AY75" s="21">
        <v>0.227356</v>
      </c>
      <c r="AZ75" s="21">
        <v>28.384899999999998</v>
      </c>
      <c r="BA75" s="21">
        <v>-1.50177E-2</v>
      </c>
      <c r="BB75" s="21">
        <v>65</v>
      </c>
      <c r="BC75" s="21">
        <v>0.22680700000000001</v>
      </c>
      <c r="BD75">
        <f t="shared" si="10"/>
        <v>18.540370370370372</v>
      </c>
      <c r="BE75">
        <f t="shared" si="11"/>
        <v>4.2152644459259268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1.48773</v>
      </c>
      <c r="H76" s="21">
        <v>5.6870000000000003</v>
      </c>
      <c r="I76" s="21">
        <v>-1.38245E-2</v>
      </c>
      <c r="J76" s="21">
        <v>66</v>
      </c>
      <c r="K76" s="21">
        <v>1.48743</v>
      </c>
      <c r="L76">
        <f t="shared" ref="L76:L139" si="12">-I76/$F$2*1000</f>
        <v>17.067283950617281</v>
      </c>
      <c r="M76">
        <f t="shared" ref="M76:M139" si="13">L76*G76</f>
        <v>25.391510351851846</v>
      </c>
      <c r="N76" s="9"/>
      <c r="O76" s="21">
        <v>0.22384599999999999</v>
      </c>
      <c r="P76" s="21">
        <v>17.629000000000001</v>
      </c>
      <c r="Q76" s="21">
        <v>-1.5032999999999999E-2</v>
      </c>
      <c r="R76" s="21">
        <v>317</v>
      </c>
      <c r="S76" s="21">
        <v>0.223297</v>
      </c>
      <c r="T76">
        <f t="shared" ref="T76:T139" si="14">-Q76/$F$2*1000</f>
        <v>18.559259259259257</v>
      </c>
      <c r="U76">
        <f t="shared" ref="U76:U139" si="15">T76*O76</f>
        <v>4.1544159481481477</v>
      </c>
      <c r="X76" s="9"/>
      <c r="Y76" s="21">
        <v>1.48773</v>
      </c>
      <c r="Z76" s="21">
        <v>15.1012</v>
      </c>
      <c r="AA76" s="21">
        <v>-1.3894699999999999E-2</v>
      </c>
      <c r="AB76" s="21">
        <v>66</v>
      </c>
      <c r="AC76" s="21">
        <v>1.48743</v>
      </c>
      <c r="AD76">
        <f t="shared" ref="AD76:AD139" si="16">-AA76/$F$2*1000</f>
        <v>17.153950617283947</v>
      </c>
      <c r="AE76">
        <f t="shared" ref="AE76:AE139" si="17">AD76*Y76</f>
        <v>25.520446951851845</v>
      </c>
      <c r="AF76" s="9"/>
      <c r="AG76" s="21">
        <v>0.23239099999999999</v>
      </c>
      <c r="AH76" s="21">
        <v>18.960699999999999</v>
      </c>
      <c r="AI76" s="21">
        <v>-1.5020800000000001E-2</v>
      </c>
      <c r="AJ76" s="21">
        <v>66</v>
      </c>
      <c r="AK76" s="21">
        <v>0.23184199999999999</v>
      </c>
      <c r="AL76">
        <f t="shared" ref="AL76:AL139" si="18">-AI76/$F$2*1000</f>
        <v>18.544197530864199</v>
      </c>
      <c r="AM76">
        <f t="shared" ref="AM76:AM139" si="19">AL76*AG76</f>
        <v>4.3095046083950619</v>
      </c>
      <c r="AP76" s="9"/>
      <c r="AQ76" s="21">
        <v>1.48773</v>
      </c>
      <c r="AR76" s="21">
        <v>24.535499999999999</v>
      </c>
      <c r="AS76" s="21">
        <v>-1.39252E-2</v>
      </c>
      <c r="AT76" s="21">
        <v>66</v>
      </c>
      <c r="AU76" s="21">
        <v>1.48743</v>
      </c>
      <c r="AV76">
        <f t="shared" ref="AV76:AV139" si="20">-AS76/$F$2*1000</f>
        <v>17.191604938271606</v>
      </c>
      <c r="AW76">
        <f t="shared" ref="AW76:AW139" si="21">AV76*AQ76</f>
        <v>25.576466414814817</v>
      </c>
      <c r="AX76" s="9"/>
      <c r="AY76" s="21">
        <v>0.23239099999999999</v>
      </c>
      <c r="AZ76" s="21">
        <v>28.3949</v>
      </c>
      <c r="BA76" s="21">
        <v>-1.5020800000000001E-2</v>
      </c>
      <c r="BB76" s="21">
        <v>66</v>
      </c>
      <c r="BC76" s="21">
        <v>0.23184199999999999</v>
      </c>
      <c r="BD76">
        <f t="shared" ref="BD76:BD139" si="22">-BA76/$F$2*1000</f>
        <v>18.544197530864199</v>
      </c>
      <c r="BE76">
        <f t="shared" ref="BE76:BE139" si="23">BD76*AY76</f>
        <v>4.3095046083950619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1.4826999999999999</v>
      </c>
      <c r="H77" s="21">
        <v>5.6970799999999997</v>
      </c>
      <c r="I77" s="21">
        <v>-1.3861099999999999E-2</v>
      </c>
      <c r="J77" s="21">
        <v>67</v>
      </c>
      <c r="K77" s="21">
        <v>1.48224</v>
      </c>
      <c r="L77">
        <f t="shared" si="12"/>
        <v>17.112469135802467</v>
      </c>
      <c r="M77">
        <f t="shared" si="13"/>
        <v>25.372657987654318</v>
      </c>
      <c r="N77" s="9"/>
      <c r="O77" s="21">
        <v>0.228882</v>
      </c>
      <c r="P77" s="21">
        <v>17.619</v>
      </c>
      <c r="Q77" s="21">
        <v>-1.50391E-2</v>
      </c>
      <c r="R77" s="21">
        <v>316</v>
      </c>
      <c r="S77" s="21">
        <v>0.22839400000000001</v>
      </c>
      <c r="T77">
        <f t="shared" si="14"/>
        <v>18.566790123456791</v>
      </c>
      <c r="U77">
        <f t="shared" si="15"/>
        <v>4.249604057037037</v>
      </c>
      <c r="X77" s="9"/>
      <c r="Y77" s="21">
        <v>1.4826999999999999</v>
      </c>
      <c r="Z77" s="21">
        <v>15.1113</v>
      </c>
      <c r="AA77" s="21">
        <v>-1.3916E-2</v>
      </c>
      <c r="AB77" s="21">
        <v>67</v>
      </c>
      <c r="AC77" s="21">
        <v>1.48193</v>
      </c>
      <c r="AD77">
        <f t="shared" si="16"/>
        <v>17.180246913580245</v>
      </c>
      <c r="AE77">
        <f t="shared" si="17"/>
        <v>25.473152098765429</v>
      </c>
      <c r="AF77" s="9"/>
      <c r="AG77" s="21">
        <v>0.237427</v>
      </c>
      <c r="AH77" s="21">
        <v>18.970800000000001</v>
      </c>
      <c r="AI77" s="21">
        <v>-1.5020800000000001E-2</v>
      </c>
      <c r="AJ77" s="21">
        <v>67</v>
      </c>
      <c r="AK77" s="21">
        <v>0.236847</v>
      </c>
      <c r="AL77">
        <f t="shared" si="18"/>
        <v>18.544197530864199</v>
      </c>
      <c r="AM77">
        <f t="shared" si="19"/>
        <v>4.4028931871604939</v>
      </c>
      <c r="AP77" s="9"/>
      <c r="AQ77" s="21">
        <v>1.4826999999999999</v>
      </c>
      <c r="AR77" s="21">
        <v>24.545500000000001</v>
      </c>
      <c r="AS77" s="21">
        <v>-1.39496E-2</v>
      </c>
      <c r="AT77" s="21">
        <v>67</v>
      </c>
      <c r="AU77" s="21">
        <v>1.48193</v>
      </c>
      <c r="AV77">
        <f t="shared" si="20"/>
        <v>17.221728395061724</v>
      </c>
      <c r="AW77">
        <f t="shared" si="21"/>
        <v>25.534656691358016</v>
      </c>
      <c r="AX77" s="9"/>
      <c r="AY77" s="21">
        <v>0.237427</v>
      </c>
      <c r="AZ77" s="21">
        <v>28.405000000000001</v>
      </c>
      <c r="BA77" s="21">
        <v>-1.5026899999999999E-2</v>
      </c>
      <c r="BB77" s="21">
        <v>67</v>
      </c>
      <c r="BC77" s="21">
        <v>0.236786</v>
      </c>
      <c r="BD77">
        <f t="shared" si="22"/>
        <v>18.551728395061726</v>
      </c>
      <c r="BE77">
        <f t="shared" si="23"/>
        <v>4.4046812176543204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1.47766</v>
      </c>
      <c r="H78" s="21">
        <v>5.7071500000000004</v>
      </c>
      <c r="I78" s="21">
        <v>-1.38885E-2</v>
      </c>
      <c r="J78" s="21">
        <v>68</v>
      </c>
      <c r="K78" s="21">
        <v>1.47675</v>
      </c>
      <c r="L78">
        <f t="shared" si="12"/>
        <v>17.146296296296295</v>
      </c>
      <c r="M78">
        <f t="shared" si="13"/>
        <v>25.336396185185183</v>
      </c>
      <c r="N78" s="9"/>
      <c r="O78" s="21">
        <v>0.23391700000000001</v>
      </c>
      <c r="P78" s="21">
        <v>17.608899999999998</v>
      </c>
      <c r="Q78" s="21">
        <v>-1.50513E-2</v>
      </c>
      <c r="R78" s="21">
        <v>315</v>
      </c>
      <c r="S78" s="21">
        <v>0.23324600000000001</v>
      </c>
      <c r="T78">
        <f t="shared" si="14"/>
        <v>18.581851851851848</v>
      </c>
      <c r="U78">
        <f t="shared" si="15"/>
        <v>4.3466110396296287</v>
      </c>
      <c r="X78" s="9"/>
      <c r="Y78" s="21">
        <v>1.47766</v>
      </c>
      <c r="Z78" s="21">
        <v>15.1214</v>
      </c>
      <c r="AA78" s="21">
        <v>-1.39343E-2</v>
      </c>
      <c r="AB78" s="21">
        <v>68</v>
      </c>
      <c r="AC78" s="21">
        <v>1.47675</v>
      </c>
      <c r="AD78">
        <f t="shared" si="16"/>
        <v>17.202839506172836</v>
      </c>
      <c r="AE78">
        <f t="shared" si="17"/>
        <v>25.419947824691352</v>
      </c>
      <c r="AF78" s="9"/>
      <c r="AG78" s="21">
        <v>0.24246200000000001</v>
      </c>
      <c r="AH78" s="21">
        <v>18.980799999999999</v>
      </c>
      <c r="AI78" s="21">
        <v>-1.50177E-2</v>
      </c>
      <c r="AJ78" s="21">
        <v>68</v>
      </c>
      <c r="AK78" s="21">
        <v>0.24194299999999999</v>
      </c>
      <c r="AL78">
        <f t="shared" si="18"/>
        <v>18.540370370370372</v>
      </c>
      <c r="AM78">
        <f t="shared" si="19"/>
        <v>4.4953352807407416</v>
      </c>
      <c r="AP78" s="9"/>
      <c r="AQ78" s="21">
        <v>1.47766</v>
      </c>
      <c r="AR78" s="21">
        <v>24.555599999999998</v>
      </c>
      <c r="AS78" s="21">
        <v>-1.39709E-2</v>
      </c>
      <c r="AT78" s="21">
        <v>68</v>
      </c>
      <c r="AU78" s="21">
        <v>1.47705</v>
      </c>
      <c r="AV78">
        <f t="shared" si="20"/>
        <v>17.248024691358022</v>
      </c>
      <c r="AW78">
        <f t="shared" si="21"/>
        <v>25.486716165432096</v>
      </c>
      <c r="AX78" s="9"/>
      <c r="AY78" s="21">
        <v>0.24246200000000001</v>
      </c>
      <c r="AZ78" s="21">
        <v>28.415099999999999</v>
      </c>
      <c r="BA78" s="21">
        <v>-1.5036000000000001E-2</v>
      </c>
      <c r="BB78" s="21">
        <v>68</v>
      </c>
      <c r="BC78" s="21">
        <v>0.24188200000000001</v>
      </c>
      <c r="BD78">
        <f t="shared" si="22"/>
        <v>18.562962962962963</v>
      </c>
      <c r="BE78">
        <f t="shared" si="23"/>
        <v>4.5008131259259265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1.4726300000000001</v>
      </c>
      <c r="H79" s="21">
        <v>5.7172200000000002</v>
      </c>
      <c r="I79" s="21">
        <v>-1.39069E-2</v>
      </c>
      <c r="J79" s="21">
        <v>69</v>
      </c>
      <c r="K79" s="21">
        <v>1.47156</v>
      </c>
      <c r="L79">
        <f t="shared" si="12"/>
        <v>17.169012345679011</v>
      </c>
      <c r="M79">
        <f t="shared" si="13"/>
        <v>25.283602650617283</v>
      </c>
      <c r="N79" s="9"/>
      <c r="O79" s="21">
        <v>0.238953</v>
      </c>
      <c r="P79" s="21">
        <v>17.598800000000001</v>
      </c>
      <c r="Q79" s="21">
        <v>-1.5069600000000001E-2</v>
      </c>
      <c r="R79" s="21">
        <v>314</v>
      </c>
      <c r="S79" s="21">
        <v>0.238403</v>
      </c>
      <c r="T79">
        <f t="shared" si="14"/>
        <v>18.604444444444443</v>
      </c>
      <c r="U79">
        <f t="shared" si="15"/>
        <v>4.4455878133333329</v>
      </c>
      <c r="X79" s="9"/>
      <c r="Y79" s="21">
        <v>1.4726300000000001</v>
      </c>
      <c r="Z79" s="21">
        <v>15.131399999999999</v>
      </c>
      <c r="AA79" s="21">
        <v>-1.39557E-2</v>
      </c>
      <c r="AB79" s="21">
        <v>69</v>
      </c>
      <c r="AC79" s="21">
        <v>1.47217</v>
      </c>
      <c r="AD79">
        <f t="shared" si="16"/>
        <v>17.229259259259258</v>
      </c>
      <c r="AE79">
        <f t="shared" si="17"/>
        <v>25.372324062962964</v>
      </c>
      <c r="AF79" s="9"/>
      <c r="AG79" s="21">
        <v>0.247498</v>
      </c>
      <c r="AH79" s="21">
        <v>18.9909</v>
      </c>
      <c r="AI79" s="21">
        <v>-1.5014599999999999E-2</v>
      </c>
      <c r="AJ79" s="21">
        <v>69</v>
      </c>
      <c r="AK79" s="21">
        <v>0.246918</v>
      </c>
      <c r="AL79">
        <f t="shared" si="18"/>
        <v>18.536543209876541</v>
      </c>
      <c r="AM79">
        <f t="shared" si="19"/>
        <v>4.5877573713580242</v>
      </c>
      <c r="AP79" s="9"/>
      <c r="AQ79" s="21">
        <v>1.4726300000000001</v>
      </c>
      <c r="AR79" s="21">
        <v>24.5657</v>
      </c>
      <c r="AS79" s="21">
        <v>-1.3992299999999999E-2</v>
      </c>
      <c r="AT79" s="21">
        <v>69</v>
      </c>
      <c r="AU79" s="21">
        <v>1.47156</v>
      </c>
      <c r="AV79">
        <f t="shared" si="20"/>
        <v>17.274444444444445</v>
      </c>
      <c r="AW79">
        <f t="shared" si="21"/>
        <v>25.438865122222225</v>
      </c>
      <c r="AX79" s="9"/>
      <c r="AY79" s="21">
        <v>0.247498</v>
      </c>
      <c r="AZ79" s="21">
        <v>28.4251</v>
      </c>
      <c r="BA79" s="21">
        <v>-1.50574E-2</v>
      </c>
      <c r="BB79" s="21">
        <v>69</v>
      </c>
      <c r="BC79" s="21">
        <v>0.246918</v>
      </c>
      <c r="BD79">
        <f t="shared" si="22"/>
        <v>18.589382716049382</v>
      </c>
      <c r="BE79">
        <f t="shared" si="23"/>
        <v>4.6008350434567902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1.46759</v>
      </c>
      <c r="H80" s="21">
        <v>5.72729</v>
      </c>
      <c r="I80" s="21">
        <v>-1.39191E-2</v>
      </c>
      <c r="J80" s="21">
        <v>70</v>
      </c>
      <c r="K80" s="21">
        <v>1.4666699999999999</v>
      </c>
      <c r="L80">
        <f t="shared" si="12"/>
        <v>17.184074074074076</v>
      </c>
      <c r="M80">
        <f t="shared" si="13"/>
        <v>25.219175270370371</v>
      </c>
      <c r="N80" s="9"/>
      <c r="O80" s="21">
        <v>0.24398800000000001</v>
      </c>
      <c r="P80" s="21">
        <v>17.588799999999999</v>
      </c>
      <c r="Q80" s="21">
        <v>-1.50574E-2</v>
      </c>
      <c r="R80" s="21">
        <v>313</v>
      </c>
      <c r="S80" s="21">
        <v>0.24340800000000001</v>
      </c>
      <c r="T80">
        <f t="shared" si="14"/>
        <v>18.589382716049382</v>
      </c>
      <c r="U80">
        <f t="shared" si="15"/>
        <v>4.535586310123457</v>
      </c>
      <c r="X80" s="9"/>
      <c r="Y80" s="21">
        <v>1.46759</v>
      </c>
      <c r="Z80" s="21">
        <v>15.141500000000001</v>
      </c>
      <c r="AA80" s="21">
        <v>-1.3980100000000001E-2</v>
      </c>
      <c r="AB80" s="21">
        <v>70</v>
      </c>
      <c r="AC80" s="21">
        <v>1.46729</v>
      </c>
      <c r="AD80">
        <f t="shared" si="16"/>
        <v>17.259382716049384</v>
      </c>
      <c r="AE80">
        <f t="shared" si="17"/>
        <v>25.329697480246914</v>
      </c>
      <c r="AF80" s="9"/>
      <c r="AG80" s="21">
        <v>0.25253300000000001</v>
      </c>
      <c r="AH80" s="21">
        <v>19.001000000000001</v>
      </c>
      <c r="AI80" s="21">
        <v>-1.50238E-2</v>
      </c>
      <c r="AJ80" s="21">
        <v>70</v>
      </c>
      <c r="AK80" s="21">
        <v>0.25192300000000001</v>
      </c>
      <c r="AL80">
        <f t="shared" si="18"/>
        <v>18.547901234567902</v>
      </c>
      <c r="AM80">
        <f t="shared" si="19"/>
        <v>4.6839571424691364</v>
      </c>
      <c r="AP80" s="9"/>
      <c r="AQ80" s="21">
        <v>1.46759</v>
      </c>
      <c r="AR80" s="21">
        <v>24.575700000000001</v>
      </c>
      <c r="AS80" s="21">
        <v>-1.40137E-2</v>
      </c>
      <c r="AT80" s="21">
        <v>70</v>
      </c>
      <c r="AU80" s="21">
        <v>1.46729</v>
      </c>
      <c r="AV80">
        <f t="shared" si="20"/>
        <v>17.300864197530863</v>
      </c>
      <c r="AW80">
        <f t="shared" si="21"/>
        <v>25.390575287654318</v>
      </c>
      <c r="AX80" s="9"/>
      <c r="AY80" s="21">
        <v>0.25253300000000001</v>
      </c>
      <c r="AZ80" s="21">
        <v>28.435199999999998</v>
      </c>
      <c r="BA80" s="21">
        <v>-1.5069600000000001E-2</v>
      </c>
      <c r="BB80" s="21">
        <v>70</v>
      </c>
      <c r="BC80" s="21">
        <v>0.25198399999999999</v>
      </c>
      <c r="BD80">
        <f t="shared" si="22"/>
        <v>18.604444444444443</v>
      </c>
      <c r="BE80">
        <f t="shared" si="23"/>
        <v>4.6982361688888883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1.46255</v>
      </c>
      <c r="H81" s="21">
        <v>5.7373599999999998</v>
      </c>
      <c r="I81" s="21">
        <v>-1.3943499999999999E-2</v>
      </c>
      <c r="J81" s="21">
        <v>71</v>
      </c>
      <c r="K81" s="21">
        <v>1.4621</v>
      </c>
      <c r="L81">
        <f t="shared" si="12"/>
        <v>17.214197530864197</v>
      </c>
      <c r="M81">
        <f t="shared" si="13"/>
        <v>25.176624598765432</v>
      </c>
      <c r="N81" s="9"/>
      <c r="O81" s="21">
        <v>0.24902299999999999</v>
      </c>
      <c r="P81" s="21">
        <v>17.578700000000001</v>
      </c>
      <c r="Q81" s="21">
        <v>-1.50543E-2</v>
      </c>
      <c r="R81" s="21">
        <v>312</v>
      </c>
      <c r="S81" s="21">
        <v>0.248444</v>
      </c>
      <c r="T81">
        <f t="shared" si="14"/>
        <v>18.585555555555555</v>
      </c>
      <c r="U81">
        <f t="shared" si="15"/>
        <v>4.6282308011111111</v>
      </c>
      <c r="X81" s="9"/>
      <c r="Y81" s="21">
        <v>1.46255</v>
      </c>
      <c r="Z81" s="21">
        <v>15.1516</v>
      </c>
      <c r="AA81" s="21">
        <v>-1.3998399999999999E-2</v>
      </c>
      <c r="AB81" s="21">
        <v>71</v>
      </c>
      <c r="AC81" s="21">
        <v>1.4621</v>
      </c>
      <c r="AD81">
        <f t="shared" si="16"/>
        <v>17.281975308641975</v>
      </c>
      <c r="AE81">
        <f t="shared" si="17"/>
        <v>25.275752987654322</v>
      </c>
      <c r="AF81" s="9"/>
      <c r="AG81" s="21">
        <v>0.25756800000000002</v>
      </c>
      <c r="AH81" s="21">
        <v>19.010999999999999</v>
      </c>
      <c r="AI81" s="21">
        <v>-1.5036000000000001E-2</v>
      </c>
      <c r="AJ81" s="21">
        <v>71</v>
      </c>
      <c r="AK81" s="21">
        <v>0.25698900000000002</v>
      </c>
      <c r="AL81">
        <f t="shared" si="18"/>
        <v>18.562962962962963</v>
      </c>
      <c r="AM81">
        <f t="shared" si="19"/>
        <v>4.7812252444444452</v>
      </c>
      <c r="AP81" s="9"/>
      <c r="AQ81" s="21">
        <v>1.46255</v>
      </c>
      <c r="AR81" s="21">
        <v>24.585799999999999</v>
      </c>
      <c r="AS81" s="21">
        <v>-1.40289E-2</v>
      </c>
      <c r="AT81" s="21">
        <v>71</v>
      </c>
      <c r="AU81" s="21">
        <v>1.46149</v>
      </c>
      <c r="AV81">
        <f t="shared" si="20"/>
        <v>17.319629629629631</v>
      </c>
      <c r="AW81">
        <f t="shared" si="21"/>
        <v>25.330824314814816</v>
      </c>
      <c r="AX81" s="9"/>
      <c r="AY81" s="21">
        <v>0.25756800000000002</v>
      </c>
      <c r="AZ81" s="21">
        <v>28.4453</v>
      </c>
      <c r="BA81" s="21">
        <v>-1.5069600000000001E-2</v>
      </c>
      <c r="BB81" s="21">
        <v>71</v>
      </c>
      <c r="BC81" s="21">
        <v>0.25695800000000002</v>
      </c>
      <c r="BD81">
        <f t="shared" si="22"/>
        <v>18.604444444444443</v>
      </c>
      <c r="BE81">
        <f t="shared" si="23"/>
        <v>4.791909546666667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1.4575199999999999</v>
      </c>
      <c r="H82" s="21">
        <v>5.7474299999999996</v>
      </c>
      <c r="I82" s="21">
        <v>-1.3958699999999999E-2</v>
      </c>
      <c r="J82" s="21">
        <v>72</v>
      </c>
      <c r="K82" s="21">
        <v>1.4569099999999999</v>
      </c>
      <c r="L82">
        <f t="shared" si="12"/>
        <v>17.232962962962961</v>
      </c>
      <c r="M82">
        <f t="shared" si="13"/>
        <v>25.117388177777773</v>
      </c>
      <c r="N82" s="9"/>
      <c r="O82" s="21">
        <v>0.25405899999999998</v>
      </c>
      <c r="P82" s="21">
        <v>17.5686</v>
      </c>
      <c r="Q82" s="21">
        <v>-1.50604E-2</v>
      </c>
      <c r="R82" s="21">
        <v>311</v>
      </c>
      <c r="S82" s="21">
        <v>0.25341799999999998</v>
      </c>
      <c r="T82">
        <f t="shared" si="14"/>
        <v>18.593086419753085</v>
      </c>
      <c r="U82">
        <f t="shared" si="15"/>
        <v>4.7237409427160486</v>
      </c>
      <c r="X82" s="9"/>
      <c r="Y82" s="21">
        <v>1.4575199999999999</v>
      </c>
      <c r="Z82" s="21">
        <v>15.1616</v>
      </c>
      <c r="AA82" s="21">
        <v>-1.40228E-2</v>
      </c>
      <c r="AB82" s="21">
        <v>72</v>
      </c>
      <c r="AC82" s="21">
        <v>1.4572099999999999</v>
      </c>
      <c r="AD82">
        <f t="shared" si="16"/>
        <v>17.312098765432097</v>
      </c>
      <c r="AE82">
        <f t="shared" si="17"/>
        <v>25.232730192592587</v>
      </c>
      <c r="AF82" s="9"/>
      <c r="AG82" s="21">
        <v>0.262604</v>
      </c>
      <c r="AH82" s="21">
        <v>19.021100000000001</v>
      </c>
      <c r="AI82" s="21">
        <v>-1.5036000000000001E-2</v>
      </c>
      <c r="AJ82" s="21">
        <v>72</v>
      </c>
      <c r="AK82" s="21">
        <v>0.261932</v>
      </c>
      <c r="AL82">
        <f t="shared" si="18"/>
        <v>18.562962962962963</v>
      </c>
      <c r="AM82">
        <f t="shared" si="19"/>
        <v>4.8747083259259263</v>
      </c>
      <c r="AP82" s="9"/>
      <c r="AQ82" s="21">
        <v>1.4575199999999999</v>
      </c>
      <c r="AR82" s="21">
        <v>24.5959</v>
      </c>
      <c r="AS82" s="21">
        <v>-1.40381E-2</v>
      </c>
      <c r="AT82" s="21">
        <v>72</v>
      </c>
      <c r="AU82" s="21">
        <v>1.4569099999999999</v>
      </c>
      <c r="AV82">
        <f t="shared" si="20"/>
        <v>17.330987654320985</v>
      </c>
      <c r="AW82">
        <f t="shared" si="21"/>
        <v>25.260261125925922</v>
      </c>
      <c r="AX82" s="9"/>
      <c r="AY82" s="21">
        <v>0.262604</v>
      </c>
      <c r="AZ82" s="21">
        <v>28.455300000000001</v>
      </c>
      <c r="BA82" s="21">
        <v>-1.50726E-2</v>
      </c>
      <c r="BB82" s="21">
        <v>72</v>
      </c>
      <c r="BC82" s="21">
        <v>0.261963</v>
      </c>
      <c r="BD82">
        <f t="shared" si="22"/>
        <v>18.60814814814815</v>
      </c>
      <c r="BE82">
        <f t="shared" si="23"/>
        <v>4.8865741362962964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1.45248</v>
      </c>
      <c r="H83" s="21">
        <v>5.7575000000000003</v>
      </c>
      <c r="I83" s="21">
        <v>-1.3974E-2</v>
      </c>
      <c r="J83" s="21">
        <v>73</v>
      </c>
      <c r="K83" s="21">
        <v>1.4517199999999999</v>
      </c>
      <c r="L83">
        <f t="shared" si="12"/>
        <v>17.251851851851853</v>
      </c>
      <c r="M83">
        <f t="shared" si="13"/>
        <v>25.057969777777778</v>
      </c>
      <c r="N83" s="9"/>
      <c r="O83" s="21">
        <v>0.25909399999999999</v>
      </c>
      <c r="P83" s="21">
        <v>17.558499999999999</v>
      </c>
      <c r="Q83" s="21">
        <v>-1.50543E-2</v>
      </c>
      <c r="R83" s="21">
        <v>310</v>
      </c>
      <c r="S83" s="21">
        <v>0.258575</v>
      </c>
      <c r="T83">
        <f t="shared" si="14"/>
        <v>18.585555555555555</v>
      </c>
      <c r="U83">
        <f t="shared" si="15"/>
        <v>4.815405931111111</v>
      </c>
      <c r="X83" s="9"/>
      <c r="Y83" s="21">
        <v>1.45248</v>
      </c>
      <c r="Z83" s="21">
        <v>15.1717</v>
      </c>
      <c r="AA83" s="21">
        <v>-1.40442E-2</v>
      </c>
      <c r="AB83" s="21">
        <v>73</v>
      </c>
      <c r="AC83" s="21">
        <v>1.4520299999999999</v>
      </c>
      <c r="AD83">
        <f t="shared" si="16"/>
        <v>17.338518518518516</v>
      </c>
      <c r="AE83">
        <f t="shared" si="17"/>
        <v>25.183851377777774</v>
      </c>
      <c r="AF83" s="9"/>
      <c r="AG83" s="21">
        <v>0.26763900000000002</v>
      </c>
      <c r="AH83" s="21">
        <v>19.031199999999998</v>
      </c>
      <c r="AI83" s="21">
        <v>-1.5026899999999999E-2</v>
      </c>
      <c r="AJ83" s="21">
        <v>73</v>
      </c>
      <c r="AK83" s="21">
        <v>0.26705899999999999</v>
      </c>
      <c r="AL83">
        <f t="shared" si="18"/>
        <v>18.551728395061726</v>
      </c>
      <c r="AM83">
        <f t="shared" si="19"/>
        <v>4.9651660359259253</v>
      </c>
      <c r="AP83" s="9"/>
      <c r="AQ83" s="21">
        <v>1.45248</v>
      </c>
      <c r="AR83" s="21">
        <v>24.605899999999998</v>
      </c>
      <c r="AS83" s="21">
        <v>-1.4053299999999999E-2</v>
      </c>
      <c r="AT83" s="21">
        <v>73</v>
      </c>
      <c r="AU83" s="21">
        <v>1.4520299999999999</v>
      </c>
      <c r="AV83">
        <f t="shared" si="20"/>
        <v>17.349753086419753</v>
      </c>
      <c r="AW83">
        <f t="shared" si="21"/>
        <v>25.200169362962964</v>
      </c>
      <c r="AX83" s="9"/>
      <c r="AY83" s="21">
        <v>0.26763900000000002</v>
      </c>
      <c r="AZ83" s="21">
        <v>28.465399999999999</v>
      </c>
      <c r="BA83" s="21">
        <v>-1.5069600000000001E-2</v>
      </c>
      <c r="BB83" s="21">
        <v>73</v>
      </c>
      <c r="BC83" s="21">
        <v>0.26705899999999999</v>
      </c>
      <c r="BD83">
        <f t="shared" si="22"/>
        <v>18.604444444444443</v>
      </c>
      <c r="BE83">
        <f t="shared" si="23"/>
        <v>4.9792749066666664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1.4474499999999999</v>
      </c>
      <c r="H84" s="21">
        <v>5.7675700000000001</v>
      </c>
      <c r="I84" s="21">
        <v>-1.39954E-2</v>
      </c>
      <c r="J84" s="21">
        <v>74</v>
      </c>
      <c r="K84" s="21">
        <v>1.4465300000000001</v>
      </c>
      <c r="L84">
        <f t="shared" si="12"/>
        <v>17.278271604938272</v>
      </c>
      <c r="M84">
        <f t="shared" si="13"/>
        <v>25.009434234567902</v>
      </c>
      <c r="N84" s="9"/>
      <c r="O84" s="21">
        <v>0.26412999999999998</v>
      </c>
      <c r="P84" s="21">
        <v>17.548500000000001</v>
      </c>
      <c r="Q84" s="21">
        <v>-1.50604E-2</v>
      </c>
      <c r="R84" s="21">
        <v>309</v>
      </c>
      <c r="S84" s="21">
        <v>0.263519</v>
      </c>
      <c r="T84">
        <f t="shared" si="14"/>
        <v>18.593086419753085</v>
      </c>
      <c r="U84">
        <f t="shared" si="15"/>
        <v>4.9109919160493822</v>
      </c>
      <c r="X84" s="9"/>
      <c r="Y84" s="21">
        <v>1.4474499999999999</v>
      </c>
      <c r="Z84" s="21">
        <v>15.181800000000001</v>
      </c>
      <c r="AA84" s="21">
        <v>-1.4068600000000001E-2</v>
      </c>
      <c r="AB84" s="21">
        <v>74</v>
      </c>
      <c r="AC84" s="21">
        <v>1.4468399999999999</v>
      </c>
      <c r="AD84">
        <f t="shared" si="16"/>
        <v>17.368641975308641</v>
      </c>
      <c r="AE84">
        <f t="shared" si="17"/>
        <v>25.14024082716049</v>
      </c>
      <c r="AF84" s="9"/>
      <c r="AG84" s="21">
        <v>0.272675</v>
      </c>
      <c r="AH84" s="21">
        <v>19.0413</v>
      </c>
      <c r="AI84" s="21">
        <v>-1.5026899999999999E-2</v>
      </c>
      <c r="AJ84" s="21">
        <v>74</v>
      </c>
      <c r="AK84" s="21">
        <v>0.27209499999999998</v>
      </c>
      <c r="AL84">
        <f t="shared" si="18"/>
        <v>18.551728395061726</v>
      </c>
      <c r="AM84">
        <f t="shared" si="19"/>
        <v>5.0585925401234562</v>
      </c>
      <c r="AP84" s="9"/>
      <c r="AQ84" s="21">
        <v>1.4474499999999999</v>
      </c>
      <c r="AR84" s="21">
        <v>24.616</v>
      </c>
      <c r="AS84" s="21">
        <v>-1.4071699999999999E-2</v>
      </c>
      <c r="AT84" s="21">
        <v>74</v>
      </c>
      <c r="AU84" s="21">
        <v>1.4465300000000001</v>
      </c>
      <c r="AV84">
        <f t="shared" si="20"/>
        <v>17.372469135802469</v>
      </c>
      <c r="AW84">
        <f t="shared" si="21"/>
        <v>25.145780450617281</v>
      </c>
      <c r="AX84" s="9"/>
      <c r="AY84" s="21">
        <v>0.272675</v>
      </c>
      <c r="AZ84" s="21">
        <v>28.4755</v>
      </c>
      <c r="BA84" s="21">
        <v>-1.5063500000000001E-2</v>
      </c>
      <c r="BB84" s="21">
        <v>74</v>
      </c>
      <c r="BC84" s="21">
        <v>0.27215600000000001</v>
      </c>
      <c r="BD84">
        <f t="shared" si="22"/>
        <v>18.596913580246913</v>
      </c>
      <c r="BE84">
        <f t="shared" si="23"/>
        <v>5.0709134104938265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1.44241</v>
      </c>
      <c r="H85" s="21">
        <v>5.7776399999999999</v>
      </c>
      <c r="I85" s="21">
        <v>-1.40137E-2</v>
      </c>
      <c r="J85" s="21">
        <v>75</v>
      </c>
      <c r="K85" s="21">
        <v>1.4425699999999999</v>
      </c>
      <c r="L85">
        <f t="shared" si="12"/>
        <v>17.300864197530863</v>
      </c>
      <c r="M85">
        <f t="shared" si="13"/>
        <v>24.954939527160491</v>
      </c>
      <c r="N85" s="9"/>
      <c r="O85" s="21">
        <v>0.26916499999999999</v>
      </c>
      <c r="P85" s="21">
        <v>17.538399999999999</v>
      </c>
      <c r="Q85" s="21">
        <v>-1.5063500000000001E-2</v>
      </c>
      <c r="R85" s="21">
        <v>308</v>
      </c>
      <c r="S85" s="21">
        <v>0.26849400000000001</v>
      </c>
      <c r="T85">
        <f t="shared" si="14"/>
        <v>18.596913580246913</v>
      </c>
      <c r="U85">
        <f t="shared" si="15"/>
        <v>5.0056382438271596</v>
      </c>
      <c r="X85" s="9"/>
      <c r="Y85" s="21">
        <v>1.44241</v>
      </c>
      <c r="Z85" s="21">
        <v>15.1919</v>
      </c>
      <c r="AA85" s="21">
        <v>-1.409E-2</v>
      </c>
      <c r="AB85" s="21">
        <v>75</v>
      </c>
      <c r="AC85" s="21">
        <v>1.4413499999999999</v>
      </c>
      <c r="AD85">
        <f t="shared" si="16"/>
        <v>17.39506172839506</v>
      </c>
      <c r="AE85">
        <f t="shared" si="17"/>
        <v>25.090810987654319</v>
      </c>
      <c r="AF85" s="9"/>
      <c r="AG85" s="21">
        <v>0.27771000000000001</v>
      </c>
      <c r="AH85" s="21">
        <v>19.051300000000001</v>
      </c>
      <c r="AI85" s="21">
        <v>-1.5032999999999999E-2</v>
      </c>
      <c r="AJ85" s="21">
        <v>75</v>
      </c>
      <c r="AK85" s="21">
        <v>0.27710000000000001</v>
      </c>
      <c r="AL85">
        <f t="shared" si="18"/>
        <v>18.559259259259257</v>
      </c>
      <c r="AM85">
        <f t="shared" si="19"/>
        <v>5.154091888888888</v>
      </c>
      <c r="AP85" s="9"/>
      <c r="AQ85" s="21">
        <v>1.44241</v>
      </c>
      <c r="AR85" s="21">
        <v>24.626100000000001</v>
      </c>
      <c r="AS85" s="21">
        <v>-1.40991E-2</v>
      </c>
      <c r="AT85" s="21">
        <v>75</v>
      </c>
      <c r="AU85" s="21">
        <v>1.4419599999999999</v>
      </c>
      <c r="AV85">
        <f t="shared" si="20"/>
        <v>17.406296296296293</v>
      </c>
      <c r="AW85">
        <f t="shared" si="21"/>
        <v>25.107015840740736</v>
      </c>
      <c r="AX85" s="9"/>
      <c r="AY85" s="21">
        <v>0.27771000000000001</v>
      </c>
      <c r="AZ85" s="21">
        <v>28.485600000000002</v>
      </c>
      <c r="BA85" s="21">
        <v>-1.50513E-2</v>
      </c>
      <c r="BB85" s="21">
        <v>75</v>
      </c>
      <c r="BC85" s="21">
        <v>0.27710000000000001</v>
      </c>
      <c r="BD85">
        <f t="shared" si="22"/>
        <v>18.581851851851848</v>
      </c>
      <c r="BE85">
        <f t="shared" si="23"/>
        <v>5.1603660777777769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1.4373800000000001</v>
      </c>
      <c r="H86" s="21">
        <v>5.7877099999999997</v>
      </c>
      <c r="I86" s="21">
        <v>-1.4031999999999999E-2</v>
      </c>
      <c r="J86" s="21">
        <v>76</v>
      </c>
      <c r="K86" s="21">
        <v>1.4370700000000001</v>
      </c>
      <c r="L86">
        <f t="shared" si="12"/>
        <v>17.323456790123455</v>
      </c>
      <c r="M86">
        <f t="shared" si="13"/>
        <v>24.900390320987654</v>
      </c>
      <c r="N86" s="9"/>
      <c r="O86" s="21">
        <v>0.2742</v>
      </c>
      <c r="P86" s="21">
        <v>17.528300000000002</v>
      </c>
      <c r="Q86" s="21">
        <v>-1.50665E-2</v>
      </c>
      <c r="R86" s="21">
        <v>307</v>
      </c>
      <c r="S86" s="21">
        <v>0.273621</v>
      </c>
      <c r="T86">
        <f t="shared" si="14"/>
        <v>18.600617283950616</v>
      </c>
      <c r="U86">
        <f t="shared" si="15"/>
        <v>5.1002892592592586</v>
      </c>
      <c r="X86" s="9"/>
      <c r="Y86" s="21">
        <v>1.4373800000000001</v>
      </c>
      <c r="Z86" s="21">
        <v>15.2019</v>
      </c>
      <c r="AA86" s="21">
        <v>-1.41022E-2</v>
      </c>
      <c r="AB86" s="21">
        <v>76</v>
      </c>
      <c r="AC86" s="21">
        <v>1.4370700000000001</v>
      </c>
      <c r="AD86">
        <f t="shared" si="16"/>
        <v>17.410123456790124</v>
      </c>
      <c r="AE86">
        <f t="shared" si="17"/>
        <v>25.024963254320991</v>
      </c>
      <c r="AF86" s="9"/>
      <c r="AG86" s="21">
        <v>0.28274500000000002</v>
      </c>
      <c r="AH86" s="21">
        <v>19.061399999999999</v>
      </c>
      <c r="AI86" s="21">
        <v>-1.5032999999999999E-2</v>
      </c>
      <c r="AJ86" s="21">
        <v>76</v>
      </c>
      <c r="AK86" s="21">
        <v>0.28213500000000002</v>
      </c>
      <c r="AL86">
        <f t="shared" si="18"/>
        <v>18.559259259259257</v>
      </c>
      <c r="AM86">
        <f t="shared" si="19"/>
        <v>5.2475377592592594</v>
      </c>
      <c r="AP86" s="9"/>
      <c r="AQ86" s="21">
        <v>1.4373800000000001</v>
      </c>
      <c r="AR86" s="21">
        <v>24.636199999999999</v>
      </c>
      <c r="AS86" s="21">
        <v>-1.41174E-2</v>
      </c>
      <c r="AT86" s="21">
        <v>76</v>
      </c>
      <c r="AU86" s="21">
        <v>1.4367700000000001</v>
      </c>
      <c r="AV86">
        <f t="shared" si="20"/>
        <v>17.428888888888888</v>
      </c>
      <c r="AW86">
        <f t="shared" si="21"/>
        <v>25.051936311111113</v>
      </c>
      <c r="AX86" s="9"/>
      <c r="AY86" s="21">
        <v>0.28274500000000002</v>
      </c>
      <c r="AZ86" s="21">
        <v>28.4956</v>
      </c>
      <c r="BA86" s="21">
        <v>-1.5048199999999999E-2</v>
      </c>
      <c r="BB86" s="21">
        <v>76</v>
      </c>
      <c r="BC86" s="21">
        <v>0.28210400000000002</v>
      </c>
      <c r="BD86">
        <f t="shared" si="22"/>
        <v>18.578024691358021</v>
      </c>
      <c r="BE86">
        <f t="shared" si="23"/>
        <v>5.2528435913580243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1.4323399999999999</v>
      </c>
      <c r="H87" s="21">
        <v>5.79779</v>
      </c>
      <c r="I87" s="21">
        <v>-1.40442E-2</v>
      </c>
      <c r="J87" s="21">
        <v>77</v>
      </c>
      <c r="K87" s="21">
        <v>1.4315800000000001</v>
      </c>
      <c r="L87">
        <f t="shared" si="12"/>
        <v>17.338518518518516</v>
      </c>
      <c r="M87">
        <f t="shared" si="13"/>
        <v>24.834653614814808</v>
      </c>
      <c r="N87" s="9"/>
      <c r="O87" s="21">
        <v>0.27923599999999998</v>
      </c>
      <c r="P87" s="21">
        <v>17.5183</v>
      </c>
      <c r="Q87" s="21">
        <v>-1.50726E-2</v>
      </c>
      <c r="R87" s="21">
        <v>306</v>
      </c>
      <c r="S87" s="21">
        <v>0.27865600000000001</v>
      </c>
      <c r="T87">
        <f t="shared" si="14"/>
        <v>18.60814814814815</v>
      </c>
      <c r="U87">
        <f t="shared" si="15"/>
        <v>5.1960648562962968</v>
      </c>
      <c r="X87" s="9"/>
      <c r="Y87" s="21">
        <v>1.4323399999999999</v>
      </c>
      <c r="Z87" s="21">
        <v>15.212</v>
      </c>
      <c r="AA87" s="21">
        <v>-1.4120499999999999E-2</v>
      </c>
      <c r="AB87" s="21">
        <v>77</v>
      </c>
      <c r="AC87" s="21">
        <v>1.4321900000000001</v>
      </c>
      <c r="AD87">
        <f t="shared" si="16"/>
        <v>17.432716049382716</v>
      </c>
      <c r="AE87">
        <f t="shared" si="17"/>
        <v>24.969576506172839</v>
      </c>
      <c r="AF87" s="9"/>
      <c r="AG87" s="21">
        <v>0.28778100000000001</v>
      </c>
      <c r="AH87" s="21">
        <v>19.0715</v>
      </c>
      <c r="AI87" s="21">
        <v>-1.50238E-2</v>
      </c>
      <c r="AJ87" s="21">
        <v>77</v>
      </c>
      <c r="AK87" s="21">
        <v>0.28729199999999999</v>
      </c>
      <c r="AL87">
        <f t="shared" si="18"/>
        <v>18.547901234567902</v>
      </c>
      <c r="AM87">
        <f t="shared" si="19"/>
        <v>5.3377335651851858</v>
      </c>
      <c r="AP87" s="9"/>
      <c r="AQ87" s="21">
        <v>1.4323399999999999</v>
      </c>
      <c r="AR87" s="21">
        <v>24.6462</v>
      </c>
      <c r="AS87" s="21">
        <v>-1.4129600000000001E-2</v>
      </c>
      <c r="AT87" s="21">
        <v>77</v>
      </c>
      <c r="AU87" s="21">
        <v>1.4315800000000001</v>
      </c>
      <c r="AV87">
        <f t="shared" si="20"/>
        <v>17.443950617283949</v>
      </c>
      <c r="AW87">
        <f t="shared" si="21"/>
        <v>24.985668227160492</v>
      </c>
      <c r="AX87" s="9"/>
      <c r="AY87" s="21">
        <v>0.28778100000000001</v>
      </c>
      <c r="AZ87" s="21">
        <v>28.505700000000001</v>
      </c>
      <c r="BA87" s="21">
        <v>-1.5042099999999999E-2</v>
      </c>
      <c r="BB87" s="21">
        <v>77</v>
      </c>
      <c r="BC87" s="21">
        <v>0.28726200000000002</v>
      </c>
      <c r="BD87">
        <f t="shared" si="22"/>
        <v>18.570493827160494</v>
      </c>
      <c r="BE87">
        <f t="shared" si="23"/>
        <v>5.3442352840740739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1.4273100000000001</v>
      </c>
      <c r="H88" s="21">
        <v>5.8078599999999998</v>
      </c>
      <c r="I88" s="21">
        <v>-1.40564E-2</v>
      </c>
      <c r="J88" s="21">
        <v>78</v>
      </c>
      <c r="K88" s="21">
        <v>1.427</v>
      </c>
      <c r="L88">
        <f t="shared" si="12"/>
        <v>17.35358024691358</v>
      </c>
      <c r="M88">
        <f t="shared" si="13"/>
        <v>24.768938622222223</v>
      </c>
      <c r="N88" s="9"/>
      <c r="O88" s="21">
        <v>0.284271</v>
      </c>
      <c r="P88" s="21">
        <v>17.508199999999999</v>
      </c>
      <c r="Q88" s="21">
        <v>-1.50787E-2</v>
      </c>
      <c r="R88" s="21">
        <v>305</v>
      </c>
      <c r="S88" s="21">
        <v>0.28369100000000003</v>
      </c>
      <c r="T88">
        <f t="shared" si="14"/>
        <v>18.61567901234568</v>
      </c>
      <c r="U88">
        <f t="shared" si="15"/>
        <v>5.2918976885185192</v>
      </c>
      <c r="X88" s="9"/>
      <c r="Y88" s="21">
        <v>1.4273100000000001</v>
      </c>
      <c r="Z88" s="21">
        <v>15.222099999999999</v>
      </c>
      <c r="AA88" s="21">
        <v>-1.41327E-2</v>
      </c>
      <c r="AB88" s="21">
        <v>78</v>
      </c>
      <c r="AC88" s="21">
        <v>1.42639</v>
      </c>
      <c r="AD88">
        <f t="shared" si="16"/>
        <v>17.447777777777777</v>
      </c>
      <c r="AE88">
        <f t="shared" si="17"/>
        <v>24.9033877</v>
      </c>
      <c r="AF88" s="9"/>
      <c r="AG88" s="21">
        <v>0.29281600000000002</v>
      </c>
      <c r="AH88" s="21">
        <v>19.081499999999998</v>
      </c>
      <c r="AI88" s="21">
        <v>-1.5026899999999999E-2</v>
      </c>
      <c r="AJ88" s="21">
        <v>78</v>
      </c>
      <c r="AK88" s="21">
        <v>0.29214499999999999</v>
      </c>
      <c r="AL88">
        <f t="shared" si="18"/>
        <v>18.551728395061726</v>
      </c>
      <c r="AM88">
        <f t="shared" si="19"/>
        <v>5.4322429017283946</v>
      </c>
      <c r="AP88" s="9"/>
      <c r="AQ88" s="21">
        <v>1.4273100000000001</v>
      </c>
      <c r="AR88" s="21">
        <v>24.656300000000002</v>
      </c>
      <c r="AS88" s="21">
        <v>-1.4151E-2</v>
      </c>
      <c r="AT88" s="21">
        <v>78</v>
      </c>
      <c r="AU88" s="21">
        <v>1.4267000000000001</v>
      </c>
      <c r="AV88">
        <f t="shared" si="20"/>
        <v>17.470370370370368</v>
      </c>
      <c r="AW88">
        <f t="shared" si="21"/>
        <v>24.935634333333333</v>
      </c>
      <c r="AX88" s="9"/>
      <c r="AY88" s="21">
        <v>0.29281600000000002</v>
      </c>
      <c r="AZ88" s="21">
        <v>28.515799999999999</v>
      </c>
      <c r="BA88" s="21">
        <v>-1.5032999999999999E-2</v>
      </c>
      <c r="BB88" s="21">
        <v>78</v>
      </c>
      <c r="BC88" s="21">
        <v>0.292267</v>
      </c>
      <c r="BD88">
        <f t="shared" si="22"/>
        <v>18.559259259259257</v>
      </c>
      <c r="BE88">
        <f t="shared" si="23"/>
        <v>5.4344480592592586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1.4222699999999999</v>
      </c>
      <c r="H89" s="21">
        <v>5.8179299999999996</v>
      </c>
      <c r="I89" s="21">
        <v>-1.4071699999999999E-2</v>
      </c>
      <c r="J89" s="21">
        <v>79</v>
      </c>
      <c r="K89" s="21">
        <v>1.4215100000000001</v>
      </c>
      <c r="L89">
        <f t="shared" si="12"/>
        <v>17.372469135802469</v>
      </c>
      <c r="M89">
        <f t="shared" si="13"/>
        <v>24.708341677777774</v>
      </c>
      <c r="N89" s="9"/>
      <c r="O89" s="21">
        <v>0.28930699999999998</v>
      </c>
      <c r="P89" s="21">
        <v>17.498100000000001</v>
      </c>
      <c r="Q89" s="21">
        <v>-1.50879E-2</v>
      </c>
      <c r="R89" s="21">
        <v>304</v>
      </c>
      <c r="S89" s="21">
        <v>0.28875699999999999</v>
      </c>
      <c r="T89">
        <f t="shared" si="14"/>
        <v>18.627037037037034</v>
      </c>
      <c r="U89">
        <f t="shared" si="15"/>
        <v>5.3889322040740728</v>
      </c>
      <c r="X89" s="9"/>
      <c r="Y89" s="21">
        <v>1.4222699999999999</v>
      </c>
      <c r="Z89" s="21">
        <v>15.232100000000001</v>
      </c>
      <c r="AA89" s="21">
        <v>-1.41479E-2</v>
      </c>
      <c r="AB89" s="21">
        <v>79</v>
      </c>
      <c r="AC89" s="21">
        <v>1.4212</v>
      </c>
      <c r="AD89">
        <f t="shared" si="16"/>
        <v>17.466543209876541</v>
      </c>
      <c r="AE89">
        <f t="shared" si="17"/>
        <v>24.842140411111107</v>
      </c>
      <c r="AF89" s="9"/>
      <c r="AG89" s="21">
        <v>0.29785200000000001</v>
      </c>
      <c r="AH89" s="21">
        <v>19.0916</v>
      </c>
      <c r="AI89" s="21">
        <v>-1.5042099999999999E-2</v>
      </c>
      <c r="AJ89" s="21">
        <v>79</v>
      </c>
      <c r="AK89" s="21">
        <v>0.29730200000000001</v>
      </c>
      <c r="AL89">
        <f t="shared" si="18"/>
        <v>18.570493827160494</v>
      </c>
      <c r="AM89">
        <f t="shared" si="19"/>
        <v>5.5312587274074074</v>
      </c>
      <c r="AP89" s="9"/>
      <c r="AQ89" s="21">
        <v>1.4222699999999999</v>
      </c>
      <c r="AR89" s="21">
        <v>24.666399999999999</v>
      </c>
      <c r="AS89" s="21">
        <v>-1.41663E-2</v>
      </c>
      <c r="AT89" s="21">
        <v>79</v>
      </c>
      <c r="AU89" s="21">
        <v>1.42181</v>
      </c>
      <c r="AV89">
        <f t="shared" si="20"/>
        <v>17.489259259259256</v>
      </c>
      <c r="AW89">
        <f t="shared" si="21"/>
        <v>24.87444876666666</v>
      </c>
      <c r="AX89" s="9"/>
      <c r="AY89" s="21">
        <v>0.29785200000000001</v>
      </c>
      <c r="AZ89" s="21">
        <v>28.5258</v>
      </c>
      <c r="BA89" s="21">
        <v>-1.5036000000000001E-2</v>
      </c>
      <c r="BB89" s="21">
        <v>79</v>
      </c>
      <c r="BC89" s="21">
        <v>0.29724099999999998</v>
      </c>
      <c r="BD89">
        <f t="shared" si="22"/>
        <v>18.562962962962963</v>
      </c>
      <c r="BE89">
        <f t="shared" si="23"/>
        <v>5.5290156444444447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1.4172400000000001</v>
      </c>
      <c r="H90" s="21">
        <v>5.8280000000000003</v>
      </c>
      <c r="I90" s="21">
        <v>-1.4086899999999999E-2</v>
      </c>
      <c r="J90" s="21">
        <v>80</v>
      </c>
      <c r="K90" s="21">
        <v>1.4160200000000001</v>
      </c>
      <c r="L90">
        <f t="shared" si="12"/>
        <v>17.391234567901233</v>
      </c>
      <c r="M90">
        <f t="shared" si="13"/>
        <v>24.647553279012342</v>
      </c>
      <c r="N90" s="9"/>
      <c r="O90" s="21">
        <v>0.29434199999999999</v>
      </c>
      <c r="P90" s="21">
        <v>17.488</v>
      </c>
      <c r="Q90" s="21">
        <v>-1.5090900000000001E-2</v>
      </c>
      <c r="R90" s="21">
        <v>303</v>
      </c>
      <c r="S90" s="21">
        <v>0.29376200000000002</v>
      </c>
      <c r="T90">
        <f t="shared" si="14"/>
        <v>18.630740740740741</v>
      </c>
      <c r="U90">
        <f t="shared" si="15"/>
        <v>5.4838094911111108</v>
      </c>
      <c r="X90" s="9"/>
      <c r="Y90" s="21">
        <v>1.4172400000000001</v>
      </c>
      <c r="Z90" s="21">
        <v>15.2422</v>
      </c>
      <c r="AA90" s="21">
        <v>-1.4157100000000001E-2</v>
      </c>
      <c r="AB90" s="21">
        <v>80</v>
      </c>
      <c r="AC90" s="21">
        <v>1.4166300000000001</v>
      </c>
      <c r="AD90">
        <f t="shared" si="16"/>
        <v>17.477901234567902</v>
      </c>
      <c r="AE90">
        <f t="shared" si="17"/>
        <v>24.770380745679013</v>
      </c>
      <c r="AF90" s="9"/>
      <c r="AG90" s="21">
        <v>0.30288700000000002</v>
      </c>
      <c r="AH90" s="21">
        <v>19.101700000000001</v>
      </c>
      <c r="AI90" s="21">
        <v>-1.5048199999999999E-2</v>
      </c>
      <c r="AJ90" s="21">
        <v>80</v>
      </c>
      <c r="AK90" s="21">
        <v>0.30230699999999999</v>
      </c>
      <c r="AL90">
        <f t="shared" si="18"/>
        <v>18.578024691358021</v>
      </c>
      <c r="AM90">
        <f t="shared" si="19"/>
        <v>5.6270421646913569</v>
      </c>
      <c r="AP90" s="9"/>
      <c r="AQ90" s="21">
        <v>1.4172400000000001</v>
      </c>
      <c r="AR90" s="21">
        <v>24.676400000000001</v>
      </c>
      <c r="AS90" s="21">
        <v>-1.41815E-2</v>
      </c>
      <c r="AT90" s="21">
        <v>80</v>
      </c>
      <c r="AU90" s="21">
        <v>1.41693</v>
      </c>
      <c r="AV90">
        <f t="shared" si="20"/>
        <v>17.508024691358024</v>
      </c>
      <c r="AW90">
        <f t="shared" si="21"/>
        <v>24.813072913580246</v>
      </c>
      <c r="AX90" s="9"/>
      <c r="AY90" s="21">
        <v>0.30288700000000002</v>
      </c>
      <c r="AZ90" s="21">
        <v>28.535900000000002</v>
      </c>
      <c r="BA90" s="21">
        <v>-1.5032999999999999E-2</v>
      </c>
      <c r="BB90" s="21">
        <v>80</v>
      </c>
      <c r="BC90" s="21">
        <v>0.302338</v>
      </c>
      <c r="BD90">
        <f t="shared" si="22"/>
        <v>18.559259259259257</v>
      </c>
      <c r="BE90">
        <f t="shared" si="23"/>
        <v>5.6213583592592586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1.4121999999999999</v>
      </c>
      <c r="H91" s="21">
        <v>5.8380700000000001</v>
      </c>
      <c r="I91" s="21">
        <v>-1.41022E-2</v>
      </c>
      <c r="J91" s="21">
        <v>81</v>
      </c>
      <c r="K91" s="21">
        <v>1.41174</v>
      </c>
      <c r="L91">
        <f t="shared" si="12"/>
        <v>17.410123456790124</v>
      </c>
      <c r="M91">
        <f t="shared" si="13"/>
        <v>24.586576345679013</v>
      </c>
      <c r="N91" s="9"/>
      <c r="O91" s="21">
        <v>0.299377</v>
      </c>
      <c r="P91" s="21">
        <v>17.478000000000002</v>
      </c>
      <c r="Q91" s="21">
        <v>-1.5090900000000001E-2</v>
      </c>
      <c r="R91" s="21">
        <v>302</v>
      </c>
      <c r="S91" s="21">
        <v>0.29879800000000001</v>
      </c>
      <c r="T91">
        <f t="shared" si="14"/>
        <v>18.630740740740741</v>
      </c>
      <c r="U91">
        <f t="shared" si="15"/>
        <v>5.5776152707407407</v>
      </c>
      <c r="X91" s="9"/>
      <c r="Y91" s="21">
        <v>1.4121999999999999</v>
      </c>
      <c r="Z91" s="21">
        <v>15.2523</v>
      </c>
      <c r="AA91" s="21">
        <v>-1.4169299999999999E-2</v>
      </c>
      <c r="AB91" s="21">
        <v>81</v>
      </c>
      <c r="AC91" s="21">
        <v>1.41174</v>
      </c>
      <c r="AD91">
        <f t="shared" si="16"/>
        <v>17.492962962962959</v>
      </c>
      <c r="AE91">
        <f t="shared" si="17"/>
        <v>24.70356229629629</v>
      </c>
      <c r="AF91" s="9"/>
      <c r="AG91" s="21">
        <v>0.30792199999999997</v>
      </c>
      <c r="AH91" s="21">
        <v>19.111799999999999</v>
      </c>
      <c r="AI91" s="21">
        <v>-1.50543E-2</v>
      </c>
      <c r="AJ91" s="21">
        <v>81</v>
      </c>
      <c r="AK91" s="21">
        <v>0.30719000000000002</v>
      </c>
      <c r="AL91">
        <f t="shared" si="18"/>
        <v>18.585555555555555</v>
      </c>
      <c r="AM91">
        <f t="shared" si="19"/>
        <v>5.7229014377777769</v>
      </c>
      <c r="AP91" s="9"/>
      <c r="AQ91" s="21">
        <v>1.4121999999999999</v>
      </c>
      <c r="AR91" s="21">
        <v>24.686499999999999</v>
      </c>
      <c r="AS91" s="21">
        <v>-1.41937E-2</v>
      </c>
      <c r="AT91" s="21">
        <v>81</v>
      </c>
      <c r="AU91" s="21">
        <v>1.41144</v>
      </c>
      <c r="AV91">
        <f t="shared" si="20"/>
        <v>17.523086419753085</v>
      </c>
      <c r="AW91">
        <f t="shared" si="21"/>
        <v>24.746102641975305</v>
      </c>
      <c r="AX91" s="9"/>
      <c r="AY91" s="21">
        <v>0.30792199999999997</v>
      </c>
      <c r="AZ91" s="21">
        <v>28.545999999999999</v>
      </c>
      <c r="BA91" s="21">
        <v>-1.5032999999999999E-2</v>
      </c>
      <c r="BB91" s="21">
        <v>81</v>
      </c>
      <c r="BC91" s="21">
        <v>0.30728100000000003</v>
      </c>
      <c r="BD91">
        <f t="shared" si="22"/>
        <v>18.559259259259257</v>
      </c>
      <c r="BE91">
        <f t="shared" si="23"/>
        <v>5.7148042296296282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1.40717</v>
      </c>
      <c r="H92" s="21">
        <v>5.8481399999999999</v>
      </c>
      <c r="I92" s="21">
        <v>-1.4123500000000001E-2</v>
      </c>
      <c r="J92" s="21">
        <v>82</v>
      </c>
      <c r="K92" s="21">
        <v>1.40656</v>
      </c>
      <c r="L92">
        <f t="shared" si="12"/>
        <v>17.436419753086419</v>
      </c>
      <c r="M92">
        <f t="shared" si="13"/>
        <v>24.536006783950615</v>
      </c>
      <c r="N92" s="9"/>
      <c r="O92" s="21">
        <v>0.30441299999999999</v>
      </c>
      <c r="P92" s="21">
        <v>17.4679</v>
      </c>
      <c r="Q92" s="21">
        <v>-1.5090900000000001E-2</v>
      </c>
      <c r="R92" s="21">
        <v>301</v>
      </c>
      <c r="S92" s="21">
        <v>0.30377199999999999</v>
      </c>
      <c r="T92">
        <f t="shared" si="14"/>
        <v>18.630740740740741</v>
      </c>
      <c r="U92">
        <f t="shared" si="15"/>
        <v>5.671439681111111</v>
      </c>
      <c r="X92" s="9"/>
      <c r="Y92" s="21">
        <v>1.40717</v>
      </c>
      <c r="Z92" s="21">
        <v>15.2624</v>
      </c>
      <c r="AA92" s="21">
        <v>-1.41815E-2</v>
      </c>
      <c r="AB92" s="21">
        <v>82</v>
      </c>
      <c r="AC92" s="21">
        <v>1.40656</v>
      </c>
      <c r="AD92">
        <f t="shared" si="16"/>
        <v>17.508024691358024</v>
      </c>
      <c r="AE92">
        <f t="shared" si="17"/>
        <v>24.636767104938272</v>
      </c>
      <c r="AF92" s="9"/>
      <c r="AG92" s="21">
        <v>0.31295800000000001</v>
      </c>
      <c r="AH92" s="21">
        <v>19.1218</v>
      </c>
      <c r="AI92" s="21">
        <v>-1.5063500000000001E-2</v>
      </c>
      <c r="AJ92" s="21">
        <v>82</v>
      </c>
      <c r="AK92" s="21">
        <v>0.31225599999999998</v>
      </c>
      <c r="AL92">
        <f t="shared" si="18"/>
        <v>18.596913580246913</v>
      </c>
      <c r="AM92">
        <f t="shared" si="19"/>
        <v>5.8200528802469131</v>
      </c>
      <c r="AP92" s="9"/>
      <c r="AQ92" s="21">
        <v>1.40717</v>
      </c>
      <c r="AR92" s="21">
        <v>24.6966</v>
      </c>
      <c r="AS92" s="21">
        <v>-1.4208999999999999E-2</v>
      </c>
      <c r="AT92" s="21">
        <v>82</v>
      </c>
      <c r="AU92" s="21">
        <v>1.40686</v>
      </c>
      <c r="AV92">
        <f t="shared" si="20"/>
        <v>17.541975308641973</v>
      </c>
      <c r="AW92">
        <f t="shared" si="21"/>
        <v>24.684541395061725</v>
      </c>
      <c r="AX92" s="9"/>
      <c r="AY92" s="21">
        <v>0.31295800000000001</v>
      </c>
      <c r="AZ92" s="21">
        <v>28.556100000000001</v>
      </c>
      <c r="BA92" s="21">
        <v>-1.5036000000000001E-2</v>
      </c>
      <c r="BB92" s="21">
        <v>82</v>
      </c>
      <c r="BC92" s="21">
        <v>0.31243900000000002</v>
      </c>
      <c r="BD92">
        <f t="shared" si="22"/>
        <v>18.562962962962963</v>
      </c>
      <c r="BE92">
        <f t="shared" si="23"/>
        <v>5.8094277629629634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1.4021300000000001</v>
      </c>
      <c r="H93" s="21">
        <v>5.8582099999999997</v>
      </c>
      <c r="I93" s="21">
        <v>-1.41388E-2</v>
      </c>
      <c r="J93" s="21">
        <v>83</v>
      </c>
      <c r="K93" s="21">
        <v>1.40167</v>
      </c>
      <c r="L93">
        <f t="shared" si="12"/>
        <v>17.455308641975307</v>
      </c>
      <c r="M93">
        <f t="shared" si="13"/>
        <v>24.474611906172839</v>
      </c>
      <c r="N93" s="9"/>
      <c r="O93" s="21">
        <v>0.309448</v>
      </c>
      <c r="P93" s="21">
        <v>17.457799999999999</v>
      </c>
      <c r="Q93" s="21">
        <v>-1.5084800000000001E-2</v>
      </c>
      <c r="R93" s="21">
        <v>300</v>
      </c>
      <c r="S93" s="21">
        <v>0.30889899999999998</v>
      </c>
      <c r="T93">
        <f t="shared" si="14"/>
        <v>18.623209876543207</v>
      </c>
      <c r="U93">
        <f t="shared" si="15"/>
        <v>5.7629150498765425</v>
      </c>
      <c r="X93" s="9"/>
      <c r="Y93" s="21">
        <v>1.4021300000000001</v>
      </c>
      <c r="Z93" s="21">
        <v>15.272399999999999</v>
      </c>
      <c r="AA93" s="21">
        <v>-1.41876E-2</v>
      </c>
      <c r="AB93" s="21">
        <v>83</v>
      </c>
      <c r="AC93" s="21">
        <v>1.40167</v>
      </c>
      <c r="AD93">
        <f t="shared" si="16"/>
        <v>17.515555555555554</v>
      </c>
      <c r="AE93">
        <f t="shared" si="17"/>
        <v>24.559085911111111</v>
      </c>
      <c r="AF93" s="9"/>
      <c r="AG93" s="21">
        <v>0.31799300000000003</v>
      </c>
      <c r="AH93" s="21">
        <v>19.131900000000002</v>
      </c>
      <c r="AI93" s="21">
        <v>-1.50513E-2</v>
      </c>
      <c r="AJ93" s="21">
        <v>83</v>
      </c>
      <c r="AK93" s="21">
        <v>0.31747399999999998</v>
      </c>
      <c r="AL93">
        <f t="shared" si="18"/>
        <v>18.581851851851848</v>
      </c>
      <c r="AM93">
        <f t="shared" si="19"/>
        <v>5.9088988159259248</v>
      </c>
      <c r="AP93" s="9"/>
      <c r="AQ93" s="21">
        <v>1.4021300000000001</v>
      </c>
      <c r="AR93" s="21">
        <v>24.706700000000001</v>
      </c>
      <c r="AS93" s="21">
        <v>-1.42212E-2</v>
      </c>
      <c r="AT93" s="21">
        <v>83</v>
      </c>
      <c r="AU93" s="21">
        <v>1.40137</v>
      </c>
      <c r="AV93">
        <f t="shared" si="20"/>
        <v>17.557037037037034</v>
      </c>
      <c r="AW93">
        <f t="shared" si="21"/>
        <v>24.617248340740737</v>
      </c>
      <c r="AX93" s="9"/>
      <c r="AY93" s="21">
        <v>0.31799300000000003</v>
      </c>
      <c r="AZ93" s="21">
        <v>28.566099999999999</v>
      </c>
      <c r="BA93" s="21">
        <v>-1.50391E-2</v>
      </c>
      <c r="BB93" s="21">
        <v>83</v>
      </c>
      <c r="BC93" s="21">
        <v>0.31726100000000002</v>
      </c>
      <c r="BD93">
        <f t="shared" si="22"/>
        <v>18.566790123456791</v>
      </c>
      <c r="BE93">
        <f t="shared" si="23"/>
        <v>5.9041092917283962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1.3970899999999999</v>
      </c>
      <c r="H94" s="21">
        <v>5.8682800000000004</v>
      </c>
      <c r="I94" s="21">
        <v>-1.4154099999999999E-2</v>
      </c>
      <c r="J94" s="21">
        <v>84</v>
      </c>
      <c r="K94" s="21">
        <v>1.39618</v>
      </c>
      <c r="L94">
        <f t="shared" si="12"/>
        <v>17.474197530864195</v>
      </c>
      <c r="M94">
        <f t="shared" si="13"/>
        <v>24.413026628395059</v>
      </c>
      <c r="N94" s="9"/>
      <c r="O94" s="21">
        <v>0.31448399999999999</v>
      </c>
      <c r="P94" s="21">
        <v>17.447800000000001</v>
      </c>
      <c r="Q94" s="21">
        <v>-1.50787E-2</v>
      </c>
      <c r="R94" s="21">
        <v>299</v>
      </c>
      <c r="S94" s="21">
        <v>0.31381199999999998</v>
      </c>
      <c r="T94">
        <f t="shared" si="14"/>
        <v>18.61567901234568</v>
      </c>
      <c r="U94">
        <f t="shared" si="15"/>
        <v>5.8543331985185185</v>
      </c>
      <c r="X94" s="9"/>
      <c r="Y94" s="21">
        <v>1.3970899999999999</v>
      </c>
      <c r="Z94" s="21">
        <v>15.282500000000001</v>
      </c>
      <c r="AA94" s="21">
        <v>-1.4202899999999999E-2</v>
      </c>
      <c r="AB94" s="21">
        <v>84</v>
      </c>
      <c r="AC94" s="21">
        <v>1.3964799999999999</v>
      </c>
      <c r="AD94">
        <f t="shared" si="16"/>
        <v>17.534444444444443</v>
      </c>
      <c r="AE94">
        <f t="shared" si="17"/>
        <v>24.497196988888884</v>
      </c>
      <c r="AF94" s="9"/>
      <c r="AG94" s="21">
        <v>0.32302900000000001</v>
      </c>
      <c r="AH94" s="21">
        <v>19.141999999999999</v>
      </c>
      <c r="AI94" s="21">
        <v>-1.5036000000000001E-2</v>
      </c>
      <c r="AJ94" s="21">
        <v>84</v>
      </c>
      <c r="AK94" s="21">
        <v>0.32251000000000002</v>
      </c>
      <c r="AL94">
        <f t="shared" si="18"/>
        <v>18.562962962962963</v>
      </c>
      <c r="AM94">
        <f t="shared" si="19"/>
        <v>5.9963753629629633</v>
      </c>
      <c r="AP94" s="9"/>
      <c r="AQ94" s="21">
        <v>1.3970899999999999</v>
      </c>
      <c r="AR94" s="21">
        <v>24.716699999999999</v>
      </c>
      <c r="AS94" s="21">
        <v>-1.4224199999999999E-2</v>
      </c>
      <c r="AT94" s="21">
        <v>84</v>
      </c>
      <c r="AU94" s="21">
        <v>1.3964799999999999</v>
      </c>
      <c r="AV94">
        <f t="shared" si="20"/>
        <v>17.560740740740737</v>
      </c>
      <c r="AW94">
        <f t="shared" si="21"/>
        <v>24.533935281481476</v>
      </c>
      <c r="AX94" s="9"/>
      <c r="AY94" s="21">
        <v>0.32302900000000001</v>
      </c>
      <c r="AZ94" s="21">
        <v>28.5762</v>
      </c>
      <c r="BA94" s="21">
        <v>-1.50391E-2</v>
      </c>
      <c r="BB94" s="21">
        <v>84</v>
      </c>
      <c r="BC94" s="21">
        <v>0.32244899999999999</v>
      </c>
      <c r="BD94">
        <f t="shared" si="22"/>
        <v>18.566790123456791</v>
      </c>
      <c r="BE94">
        <f t="shared" si="23"/>
        <v>5.9976116467901237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1.3920600000000001</v>
      </c>
      <c r="H95" s="21">
        <v>5.8783500000000002</v>
      </c>
      <c r="I95" s="21">
        <v>-1.41663E-2</v>
      </c>
      <c r="J95" s="21">
        <v>85</v>
      </c>
      <c r="K95" s="21">
        <v>1.3913</v>
      </c>
      <c r="L95">
        <f t="shared" si="12"/>
        <v>17.489259259259256</v>
      </c>
      <c r="M95">
        <f t="shared" si="13"/>
        <v>24.346098244444441</v>
      </c>
      <c r="N95" s="9"/>
      <c r="O95" s="21">
        <v>0.319519</v>
      </c>
      <c r="P95" s="21">
        <v>17.4377</v>
      </c>
      <c r="Q95" s="21">
        <v>-1.5069600000000001E-2</v>
      </c>
      <c r="R95" s="21">
        <v>298</v>
      </c>
      <c r="S95" s="21">
        <v>0.31893899999999997</v>
      </c>
      <c r="T95">
        <f t="shared" si="14"/>
        <v>18.604444444444443</v>
      </c>
      <c r="U95">
        <f t="shared" si="15"/>
        <v>5.944473484444444</v>
      </c>
      <c r="X95" s="9"/>
      <c r="Y95" s="21">
        <v>1.3920600000000001</v>
      </c>
      <c r="Z95" s="21">
        <v>15.2926</v>
      </c>
      <c r="AA95" s="21">
        <v>-1.42151E-2</v>
      </c>
      <c r="AB95" s="21">
        <v>85</v>
      </c>
      <c r="AC95" s="21">
        <v>1.3909899999999999</v>
      </c>
      <c r="AD95">
        <f t="shared" si="16"/>
        <v>17.549506172839507</v>
      </c>
      <c r="AE95">
        <f t="shared" si="17"/>
        <v>24.429965562962966</v>
      </c>
      <c r="AF95" s="9"/>
      <c r="AG95" s="21">
        <v>0.32806400000000002</v>
      </c>
      <c r="AH95" s="21">
        <v>19.152000000000001</v>
      </c>
      <c r="AI95" s="21">
        <v>-1.5026899999999999E-2</v>
      </c>
      <c r="AJ95" s="21">
        <v>85</v>
      </c>
      <c r="AK95" s="21">
        <v>0.32742300000000002</v>
      </c>
      <c r="AL95">
        <f t="shared" si="18"/>
        <v>18.551728395061726</v>
      </c>
      <c r="AM95">
        <f t="shared" si="19"/>
        <v>6.0861542241975304</v>
      </c>
      <c r="AP95" s="9"/>
      <c r="AQ95" s="21">
        <v>1.3920600000000001</v>
      </c>
      <c r="AR95" s="21">
        <v>24.726800000000001</v>
      </c>
      <c r="AS95" s="21">
        <v>-1.42303E-2</v>
      </c>
      <c r="AT95" s="21">
        <v>85</v>
      </c>
      <c r="AU95" s="21">
        <v>1.3909899999999999</v>
      </c>
      <c r="AV95">
        <f t="shared" si="20"/>
        <v>17.568271604938271</v>
      </c>
      <c r="AW95">
        <f t="shared" si="21"/>
        <v>24.456088170370371</v>
      </c>
      <c r="AX95" s="9"/>
      <c r="AY95" s="21">
        <v>0.32806400000000002</v>
      </c>
      <c r="AZ95" s="21">
        <v>28.586300000000001</v>
      </c>
      <c r="BA95" s="21">
        <v>-1.50391E-2</v>
      </c>
      <c r="BB95" s="21">
        <v>85</v>
      </c>
      <c r="BC95" s="21">
        <v>0.32745400000000002</v>
      </c>
      <c r="BD95">
        <f t="shared" si="22"/>
        <v>18.566790123456791</v>
      </c>
      <c r="BE95">
        <f t="shared" si="23"/>
        <v>6.091095435061729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1.3870199999999999</v>
      </c>
      <c r="H96" s="21">
        <v>5.88842</v>
      </c>
      <c r="I96" s="21">
        <v>-1.4175399999999999E-2</v>
      </c>
      <c r="J96" s="21">
        <v>86</v>
      </c>
      <c r="K96" s="21">
        <v>1.38672</v>
      </c>
      <c r="L96">
        <f t="shared" si="12"/>
        <v>17.500493827160494</v>
      </c>
      <c r="M96">
        <f t="shared" si="13"/>
        <v>24.273534948148146</v>
      </c>
      <c r="N96" s="9"/>
      <c r="O96" s="21">
        <v>0.32455400000000001</v>
      </c>
      <c r="P96" s="21">
        <v>17.427600000000002</v>
      </c>
      <c r="Q96" s="21">
        <v>-1.5063500000000001E-2</v>
      </c>
      <c r="R96" s="21">
        <v>297</v>
      </c>
      <c r="S96" s="21">
        <v>0.32391399999999998</v>
      </c>
      <c r="T96">
        <f t="shared" si="14"/>
        <v>18.596913580246913</v>
      </c>
      <c r="U96">
        <f t="shared" si="15"/>
        <v>6.0357026901234567</v>
      </c>
      <c r="X96" s="9"/>
      <c r="Y96" s="21">
        <v>1.3870199999999999</v>
      </c>
      <c r="Z96" s="21">
        <v>15.3026</v>
      </c>
      <c r="AA96" s="21">
        <v>-1.42273E-2</v>
      </c>
      <c r="AB96" s="21">
        <v>86</v>
      </c>
      <c r="AC96" s="21">
        <v>1.38611</v>
      </c>
      <c r="AD96">
        <f t="shared" si="16"/>
        <v>17.564567901234565</v>
      </c>
      <c r="AE96">
        <f t="shared" si="17"/>
        <v>24.362406970370365</v>
      </c>
      <c r="AF96" s="9"/>
      <c r="AG96" s="21">
        <v>0.33309899999999998</v>
      </c>
      <c r="AH96" s="21">
        <v>19.162099999999999</v>
      </c>
      <c r="AI96" s="21">
        <v>-1.50238E-2</v>
      </c>
      <c r="AJ96" s="21">
        <v>86</v>
      </c>
      <c r="AK96" s="21">
        <v>0.33255000000000001</v>
      </c>
      <c r="AL96">
        <f t="shared" si="18"/>
        <v>18.547901234567902</v>
      </c>
      <c r="AM96">
        <f t="shared" si="19"/>
        <v>6.1782873533333333</v>
      </c>
      <c r="AP96" s="9"/>
      <c r="AQ96" s="21">
        <v>1.3870199999999999</v>
      </c>
      <c r="AR96" s="21">
        <v>24.736899999999999</v>
      </c>
      <c r="AS96" s="21">
        <v>-1.4242599999999999E-2</v>
      </c>
      <c r="AT96" s="21">
        <v>86</v>
      </c>
      <c r="AU96" s="21">
        <v>1.3864099999999999</v>
      </c>
      <c r="AV96">
        <f t="shared" si="20"/>
        <v>17.583456790123453</v>
      </c>
      <c r="AW96">
        <f t="shared" si="21"/>
        <v>24.388606237037031</v>
      </c>
      <c r="AX96" s="9"/>
      <c r="AY96" s="21">
        <v>0.33309899999999998</v>
      </c>
      <c r="AZ96" s="21">
        <v>28.596299999999999</v>
      </c>
      <c r="BA96" s="21">
        <v>-1.5042099999999999E-2</v>
      </c>
      <c r="BB96" s="21">
        <v>86</v>
      </c>
      <c r="BC96" s="21">
        <v>0.33230599999999999</v>
      </c>
      <c r="BD96">
        <f t="shared" si="22"/>
        <v>18.570493827160494</v>
      </c>
      <c r="BE96">
        <f t="shared" si="23"/>
        <v>6.1858129233333328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1.3819900000000001</v>
      </c>
      <c r="H97" s="21">
        <v>5.8985000000000003</v>
      </c>
      <c r="I97" s="21">
        <v>-1.4190700000000001E-2</v>
      </c>
      <c r="J97" s="21">
        <v>87</v>
      </c>
      <c r="K97" s="21">
        <v>1.3809199999999999</v>
      </c>
      <c r="L97">
        <f t="shared" si="12"/>
        <v>17.519382716049382</v>
      </c>
      <c r="M97">
        <f t="shared" si="13"/>
        <v>24.211611719753087</v>
      </c>
      <c r="N97" s="9"/>
      <c r="O97" s="21">
        <v>0.32958999999999999</v>
      </c>
      <c r="P97" s="21">
        <v>17.4175</v>
      </c>
      <c r="Q97" s="21">
        <v>-1.5063500000000001E-2</v>
      </c>
      <c r="R97" s="21">
        <v>296</v>
      </c>
      <c r="S97" s="21">
        <v>0.329071</v>
      </c>
      <c r="T97">
        <f t="shared" si="14"/>
        <v>18.596913580246913</v>
      </c>
      <c r="U97">
        <f t="shared" si="15"/>
        <v>6.1293567469135795</v>
      </c>
      <c r="X97" s="9"/>
      <c r="Y97" s="21">
        <v>1.3819900000000001</v>
      </c>
      <c r="Z97" s="21">
        <v>15.3127</v>
      </c>
      <c r="AA97" s="21">
        <v>-1.42395E-2</v>
      </c>
      <c r="AB97" s="21">
        <v>87</v>
      </c>
      <c r="AC97" s="21">
        <v>1.38123</v>
      </c>
      <c r="AD97">
        <f t="shared" si="16"/>
        <v>17.579629629629629</v>
      </c>
      <c r="AE97">
        <f t="shared" si="17"/>
        <v>24.294872351851851</v>
      </c>
      <c r="AF97" s="9"/>
      <c r="AG97" s="21">
        <v>0.33813500000000002</v>
      </c>
      <c r="AH97" s="21">
        <v>19.1722</v>
      </c>
      <c r="AI97" s="21">
        <v>-1.5029900000000001E-2</v>
      </c>
      <c r="AJ97" s="21">
        <v>87</v>
      </c>
      <c r="AK97" s="21">
        <v>0.33749400000000002</v>
      </c>
      <c r="AL97">
        <f t="shared" si="18"/>
        <v>18.555432098765429</v>
      </c>
      <c r="AM97">
        <f t="shared" si="19"/>
        <v>6.2742410327160485</v>
      </c>
      <c r="AP97" s="9"/>
      <c r="AQ97" s="21">
        <v>1.3819900000000001</v>
      </c>
      <c r="AR97" s="21">
        <v>24.7469</v>
      </c>
      <c r="AS97" s="21">
        <v>-1.42609E-2</v>
      </c>
      <c r="AT97" s="21">
        <v>87</v>
      </c>
      <c r="AU97" s="21">
        <v>1.3815299999999999</v>
      </c>
      <c r="AV97">
        <f t="shared" si="20"/>
        <v>17.606049382716048</v>
      </c>
      <c r="AW97">
        <f t="shared" si="21"/>
        <v>24.331384186419751</v>
      </c>
      <c r="AX97" s="9"/>
      <c r="AY97" s="21">
        <v>0.33813500000000002</v>
      </c>
      <c r="AZ97" s="21">
        <v>28.606400000000001</v>
      </c>
      <c r="BA97" s="21">
        <v>-1.50391E-2</v>
      </c>
      <c r="BB97" s="21">
        <v>87</v>
      </c>
      <c r="BC97" s="21">
        <v>0.33746300000000001</v>
      </c>
      <c r="BD97">
        <f t="shared" si="22"/>
        <v>18.566790123456791</v>
      </c>
      <c r="BE97">
        <f t="shared" si="23"/>
        <v>6.2780815783950619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1.3769499999999999</v>
      </c>
      <c r="H98" s="21">
        <v>5.9085700000000001</v>
      </c>
      <c r="I98" s="21">
        <v>-1.42059E-2</v>
      </c>
      <c r="J98" s="21">
        <v>88</v>
      </c>
      <c r="K98" s="21">
        <v>1.3766499999999999</v>
      </c>
      <c r="L98">
        <f t="shared" si="12"/>
        <v>17.538148148148146</v>
      </c>
      <c r="M98">
        <f t="shared" si="13"/>
        <v>24.149153092592588</v>
      </c>
      <c r="N98" s="9"/>
      <c r="O98" s="21">
        <v>0.33462500000000001</v>
      </c>
      <c r="P98" s="21">
        <v>17.407499999999999</v>
      </c>
      <c r="Q98" s="21">
        <v>-1.5063500000000001E-2</v>
      </c>
      <c r="R98" s="21">
        <v>295</v>
      </c>
      <c r="S98" s="21">
        <v>0.33404499999999998</v>
      </c>
      <c r="T98">
        <f t="shared" si="14"/>
        <v>18.596913580246913</v>
      </c>
      <c r="U98">
        <f t="shared" si="15"/>
        <v>6.2229922067901233</v>
      </c>
      <c r="X98" s="9"/>
      <c r="Y98" s="21">
        <v>1.3769499999999999</v>
      </c>
      <c r="Z98" s="21">
        <v>15.322800000000001</v>
      </c>
      <c r="AA98" s="21">
        <v>-1.42548E-2</v>
      </c>
      <c r="AB98" s="21">
        <v>88</v>
      </c>
      <c r="AC98" s="21">
        <v>1.3763399999999999</v>
      </c>
      <c r="AD98">
        <f t="shared" si="16"/>
        <v>17.598518518518517</v>
      </c>
      <c r="AE98">
        <f t="shared" si="17"/>
        <v>24.232280074074069</v>
      </c>
      <c r="AF98" s="9"/>
      <c r="AG98" s="21">
        <v>0.34316999999999998</v>
      </c>
      <c r="AH98" s="21">
        <v>19.182300000000001</v>
      </c>
      <c r="AI98" s="21">
        <v>-1.5029900000000001E-2</v>
      </c>
      <c r="AJ98" s="21">
        <v>88</v>
      </c>
      <c r="AK98" s="21">
        <v>0.34246799999999999</v>
      </c>
      <c r="AL98">
        <f t="shared" si="18"/>
        <v>18.555432098765429</v>
      </c>
      <c r="AM98">
        <f t="shared" si="19"/>
        <v>6.3676676333333315</v>
      </c>
      <c r="AP98" s="9"/>
      <c r="AQ98" s="21">
        <v>1.3769499999999999</v>
      </c>
      <c r="AR98" s="21">
        <v>24.757000000000001</v>
      </c>
      <c r="AS98" s="21">
        <v>-1.4279200000000001E-2</v>
      </c>
      <c r="AT98" s="21">
        <v>88</v>
      </c>
      <c r="AU98" s="21">
        <v>1.3763399999999999</v>
      </c>
      <c r="AV98">
        <f t="shared" si="20"/>
        <v>17.628641975308639</v>
      </c>
      <c r="AW98">
        <f t="shared" si="21"/>
        <v>24.273758567901229</v>
      </c>
      <c r="AX98" s="9"/>
      <c r="AY98" s="21">
        <v>0.34316999999999998</v>
      </c>
      <c r="AZ98" s="21">
        <v>28.616499999999998</v>
      </c>
      <c r="BA98" s="21">
        <v>-1.5042099999999999E-2</v>
      </c>
      <c r="BB98" s="21">
        <v>88</v>
      </c>
      <c r="BC98" s="21">
        <v>0.34252899999999997</v>
      </c>
      <c r="BD98">
        <f t="shared" si="22"/>
        <v>18.570493827160494</v>
      </c>
      <c r="BE98">
        <f t="shared" si="23"/>
        <v>6.3728363666666663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1.37192</v>
      </c>
      <c r="H99" s="21">
        <v>5.9186399999999999</v>
      </c>
      <c r="I99" s="21">
        <v>-1.42303E-2</v>
      </c>
      <c r="J99" s="21">
        <v>89</v>
      </c>
      <c r="K99" s="21">
        <v>1.3711500000000001</v>
      </c>
      <c r="L99">
        <f t="shared" si="12"/>
        <v>17.568271604938271</v>
      </c>
      <c r="M99">
        <f t="shared" si="13"/>
        <v>24.102263180246915</v>
      </c>
      <c r="N99" s="9"/>
      <c r="O99" s="21">
        <v>0.33966099999999999</v>
      </c>
      <c r="P99" s="21">
        <v>17.397400000000001</v>
      </c>
      <c r="Q99" s="21">
        <v>-1.5069600000000001E-2</v>
      </c>
      <c r="R99" s="21">
        <v>294</v>
      </c>
      <c r="S99" s="21">
        <v>0.33908100000000002</v>
      </c>
      <c r="T99">
        <f t="shared" si="14"/>
        <v>18.604444444444443</v>
      </c>
      <c r="U99">
        <f t="shared" si="15"/>
        <v>6.3192042044444436</v>
      </c>
      <c r="X99" s="9"/>
      <c r="Y99" s="21">
        <v>1.37192</v>
      </c>
      <c r="Z99" s="21">
        <v>15.3329</v>
      </c>
      <c r="AA99" s="21">
        <v>-1.4267E-2</v>
      </c>
      <c r="AB99" s="21">
        <v>89</v>
      </c>
      <c r="AC99" s="21">
        <v>1.3714599999999999</v>
      </c>
      <c r="AD99">
        <f t="shared" si="16"/>
        <v>17.613580246913582</v>
      </c>
      <c r="AE99">
        <f t="shared" si="17"/>
        <v>24.164423012345683</v>
      </c>
      <c r="AF99" s="9"/>
      <c r="AG99" s="21">
        <v>0.34820600000000002</v>
      </c>
      <c r="AH99" s="21">
        <v>19.192299999999999</v>
      </c>
      <c r="AI99" s="21">
        <v>-1.5032999999999999E-2</v>
      </c>
      <c r="AJ99" s="21">
        <v>89</v>
      </c>
      <c r="AK99" s="21">
        <v>0.34756500000000001</v>
      </c>
      <c r="AL99">
        <f t="shared" si="18"/>
        <v>18.559259259259257</v>
      </c>
      <c r="AM99">
        <f t="shared" si="19"/>
        <v>6.4624454296296294</v>
      </c>
      <c r="AP99" s="9"/>
      <c r="AQ99" s="21">
        <v>1.37192</v>
      </c>
      <c r="AR99" s="21">
        <v>24.767099999999999</v>
      </c>
      <c r="AS99" s="21">
        <v>-1.4294400000000001E-2</v>
      </c>
      <c r="AT99" s="21">
        <v>89</v>
      </c>
      <c r="AU99" s="21">
        <v>1.3714599999999999</v>
      </c>
      <c r="AV99">
        <f t="shared" si="20"/>
        <v>17.647407407407407</v>
      </c>
      <c r="AW99">
        <f t="shared" si="21"/>
        <v>24.210831170370369</v>
      </c>
      <c r="AX99" s="9"/>
      <c r="AY99" s="21">
        <v>0.34820600000000002</v>
      </c>
      <c r="AZ99" s="21">
        <v>28.6266</v>
      </c>
      <c r="BA99" s="21">
        <v>-1.5048199999999999E-2</v>
      </c>
      <c r="BB99" s="21">
        <v>89</v>
      </c>
      <c r="BC99" s="21">
        <v>0.34747299999999998</v>
      </c>
      <c r="BD99">
        <f t="shared" si="22"/>
        <v>18.578024691358021</v>
      </c>
      <c r="BE99">
        <f t="shared" si="23"/>
        <v>6.4689796656790115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1.3668800000000001</v>
      </c>
      <c r="H100" s="21">
        <v>5.9287099999999997</v>
      </c>
      <c r="I100" s="21">
        <v>-1.4236499999999999E-2</v>
      </c>
      <c r="J100" s="21">
        <v>90</v>
      </c>
      <c r="K100" s="21">
        <v>1.3662700000000001</v>
      </c>
      <c r="L100">
        <f t="shared" si="12"/>
        <v>17.575925925925926</v>
      </c>
      <c r="M100">
        <f t="shared" si="13"/>
        <v>24.024181629629631</v>
      </c>
      <c r="N100" s="9"/>
      <c r="O100" s="21">
        <v>0.344696</v>
      </c>
      <c r="P100" s="21">
        <v>17.3873</v>
      </c>
      <c r="Q100" s="21">
        <v>-1.5090900000000001E-2</v>
      </c>
      <c r="R100" s="21">
        <v>293</v>
      </c>
      <c r="S100" s="21">
        <v>0.34402500000000003</v>
      </c>
      <c r="T100">
        <f t="shared" si="14"/>
        <v>18.630740740740741</v>
      </c>
      <c r="U100">
        <f t="shared" si="15"/>
        <v>6.4219418103703703</v>
      </c>
      <c r="X100" s="9"/>
      <c r="Y100" s="21">
        <v>1.3668800000000001</v>
      </c>
      <c r="Z100" s="21">
        <v>15.3429</v>
      </c>
      <c r="AA100" s="21">
        <v>-1.42731E-2</v>
      </c>
      <c r="AB100" s="21">
        <v>90</v>
      </c>
      <c r="AC100" s="21">
        <v>1.3662700000000001</v>
      </c>
      <c r="AD100">
        <f t="shared" si="16"/>
        <v>17.621111111111112</v>
      </c>
      <c r="AE100">
        <f t="shared" si="17"/>
        <v>24.085944355555558</v>
      </c>
      <c r="AF100" s="9"/>
      <c r="AG100" s="21">
        <v>0.35324100000000003</v>
      </c>
      <c r="AH100" s="21">
        <v>19.202400000000001</v>
      </c>
      <c r="AI100" s="21">
        <v>-1.5036000000000001E-2</v>
      </c>
      <c r="AJ100" s="21">
        <v>90</v>
      </c>
      <c r="AK100" s="21">
        <v>0.35256999999999999</v>
      </c>
      <c r="AL100">
        <f t="shared" si="18"/>
        <v>18.562962962962963</v>
      </c>
      <c r="AM100">
        <f t="shared" si="19"/>
        <v>6.5571996000000006</v>
      </c>
      <c r="AP100" s="9"/>
      <c r="AQ100" s="21">
        <v>1.3668800000000001</v>
      </c>
      <c r="AR100" s="21">
        <v>24.777200000000001</v>
      </c>
      <c r="AS100" s="21">
        <v>-1.43097E-2</v>
      </c>
      <c r="AT100" s="21">
        <v>90</v>
      </c>
      <c r="AU100" s="21">
        <v>1.3659699999999999</v>
      </c>
      <c r="AV100">
        <f t="shared" si="20"/>
        <v>17.666296296296295</v>
      </c>
      <c r="AW100">
        <f t="shared" si="21"/>
        <v>24.147707081481482</v>
      </c>
      <c r="AX100" s="9"/>
      <c r="AY100" s="21">
        <v>0.35324100000000003</v>
      </c>
      <c r="AZ100" s="21">
        <v>28.636600000000001</v>
      </c>
      <c r="BA100" s="21">
        <v>-1.50543E-2</v>
      </c>
      <c r="BB100" s="21">
        <v>90</v>
      </c>
      <c r="BC100" s="21">
        <v>0.352661</v>
      </c>
      <c r="BD100">
        <f t="shared" si="22"/>
        <v>18.585555555555555</v>
      </c>
      <c r="BE100">
        <f t="shared" si="23"/>
        <v>6.5651802300000002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1.36185</v>
      </c>
      <c r="H101" s="21">
        <v>5.9387800000000004</v>
      </c>
      <c r="I101" s="21">
        <v>-1.42487E-2</v>
      </c>
      <c r="J101" s="21">
        <v>91</v>
      </c>
      <c r="K101" s="21">
        <v>1.3607800000000001</v>
      </c>
      <c r="L101">
        <f t="shared" si="12"/>
        <v>17.590987654320987</v>
      </c>
      <c r="M101">
        <f t="shared" si="13"/>
        <v>23.956286537037037</v>
      </c>
      <c r="N101" s="9"/>
      <c r="O101" s="21">
        <v>0.34973100000000001</v>
      </c>
      <c r="P101" s="21">
        <v>17.377300000000002</v>
      </c>
      <c r="Q101" s="21">
        <v>-1.51001E-2</v>
      </c>
      <c r="R101" s="21">
        <v>292</v>
      </c>
      <c r="S101" s="21">
        <v>0.34909099999999998</v>
      </c>
      <c r="T101">
        <f t="shared" si="14"/>
        <v>18.642098765432099</v>
      </c>
      <c r="U101">
        <f t="shared" si="15"/>
        <v>6.5197198433333332</v>
      </c>
      <c r="X101" s="9"/>
      <c r="Y101" s="21">
        <v>1.36185</v>
      </c>
      <c r="Z101" s="21">
        <v>15.353</v>
      </c>
      <c r="AA101" s="21">
        <v>-1.4279200000000001E-2</v>
      </c>
      <c r="AB101" s="21">
        <v>91</v>
      </c>
      <c r="AC101" s="21">
        <v>1.3604700000000001</v>
      </c>
      <c r="AD101">
        <f t="shared" si="16"/>
        <v>17.628641975308639</v>
      </c>
      <c r="AE101">
        <f t="shared" si="17"/>
        <v>24.00756607407407</v>
      </c>
      <c r="AF101" s="9"/>
      <c r="AG101" s="21">
        <v>0.35827599999999998</v>
      </c>
      <c r="AH101" s="21">
        <v>19.212499999999999</v>
      </c>
      <c r="AI101" s="21">
        <v>-1.5036000000000001E-2</v>
      </c>
      <c r="AJ101" s="21">
        <v>91</v>
      </c>
      <c r="AK101" s="21">
        <v>0.35763499999999998</v>
      </c>
      <c r="AL101">
        <f t="shared" si="18"/>
        <v>18.562962962962963</v>
      </c>
      <c r="AM101">
        <f t="shared" si="19"/>
        <v>6.6506641185185185</v>
      </c>
      <c r="AP101" s="9"/>
      <c r="AQ101" s="21">
        <v>1.36185</v>
      </c>
      <c r="AR101" s="21">
        <v>24.787199999999999</v>
      </c>
      <c r="AS101" s="21">
        <v>-1.43188E-2</v>
      </c>
      <c r="AT101" s="21">
        <v>91</v>
      </c>
      <c r="AU101" s="21">
        <v>1.3607800000000001</v>
      </c>
      <c r="AV101">
        <f t="shared" si="20"/>
        <v>17.677530864197529</v>
      </c>
      <c r="AW101">
        <f t="shared" si="21"/>
        <v>24.074145407407403</v>
      </c>
      <c r="AX101" s="9"/>
      <c r="AY101" s="21">
        <v>0.35827599999999998</v>
      </c>
      <c r="AZ101" s="21">
        <v>28.646699999999999</v>
      </c>
      <c r="BA101" s="21">
        <v>-1.5063500000000001E-2</v>
      </c>
      <c r="BB101" s="21">
        <v>91</v>
      </c>
      <c r="BC101" s="21">
        <v>0.35760500000000001</v>
      </c>
      <c r="BD101">
        <f t="shared" si="22"/>
        <v>18.596913580246913</v>
      </c>
      <c r="BE101">
        <f t="shared" si="23"/>
        <v>6.6628278098765428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1.3568100000000001</v>
      </c>
      <c r="H102" s="21">
        <v>5.9488500000000002</v>
      </c>
      <c r="I102" s="21">
        <v>-1.4263899999999999E-2</v>
      </c>
      <c r="J102" s="21">
        <v>92</v>
      </c>
      <c r="K102" s="21">
        <v>1.3562000000000001</v>
      </c>
      <c r="L102">
        <f t="shared" si="12"/>
        <v>17.609753086419751</v>
      </c>
      <c r="M102">
        <f t="shared" si="13"/>
        <v>23.893089085185185</v>
      </c>
      <c r="N102" s="9"/>
      <c r="O102" s="21">
        <v>0.354767</v>
      </c>
      <c r="P102" s="21">
        <v>17.3672</v>
      </c>
      <c r="Q102" s="21">
        <v>-1.51062E-2</v>
      </c>
      <c r="R102" s="21">
        <v>291</v>
      </c>
      <c r="S102" s="21">
        <v>0.35415600000000003</v>
      </c>
      <c r="T102">
        <f t="shared" si="14"/>
        <v>18.649629629629626</v>
      </c>
      <c r="U102">
        <f t="shared" si="15"/>
        <v>6.616273154814813</v>
      </c>
      <c r="X102" s="9"/>
      <c r="Y102" s="21">
        <v>1.3568100000000001</v>
      </c>
      <c r="Z102" s="21">
        <v>15.363099999999999</v>
      </c>
      <c r="AA102" s="21">
        <v>-1.4291399999999999E-2</v>
      </c>
      <c r="AB102" s="21">
        <v>92</v>
      </c>
      <c r="AC102" s="21">
        <v>1.3562000000000001</v>
      </c>
      <c r="AD102">
        <f t="shared" si="16"/>
        <v>17.643703703703704</v>
      </c>
      <c r="AE102">
        <f t="shared" si="17"/>
        <v>23.939153622222225</v>
      </c>
      <c r="AF102" s="9"/>
      <c r="AG102" s="21">
        <v>0.36331200000000002</v>
      </c>
      <c r="AH102" s="21">
        <v>19.2225</v>
      </c>
      <c r="AI102" s="21">
        <v>-1.5036000000000001E-2</v>
      </c>
      <c r="AJ102" s="21">
        <v>92</v>
      </c>
      <c r="AK102" s="21">
        <v>0.362701</v>
      </c>
      <c r="AL102">
        <f t="shared" si="18"/>
        <v>18.562962962962963</v>
      </c>
      <c r="AM102">
        <f t="shared" si="19"/>
        <v>6.7441472000000005</v>
      </c>
      <c r="AP102" s="9"/>
      <c r="AQ102" s="21">
        <v>1.3568100000000001</v>
      </c>
      <c r="AR102" s="21">
        <v>24.7973</v>
      </c>
      <c r="AS102" s="21">
        <v>-1.4328E-2</v>
      </c>
      <c r="AT102" s="21">
        <v>92</v>
      </c>
      <c r="AU102" s="21">
        <v>1.3555900000000001</v>
      </c>
      <c r="AV102">
        <f t="shared" si="20"/>
        <v>17.68888888888889</v>
      </c>
      <c r="AW102">
        <f t="shared" si="21"/>
        <v>24.000461333333337</v>
      </c>
      <c r="AX102" s="9"/>
      <c r="AY102" s="21">
        <v>0.36331200000000002</v>
      </c>
      <c r="AZ102" s="21">
        <v>28.6568</v>
      </c>
      <c r="BA102" s="21">
        <v>-1.5069600000000001E-2</v>
      </c>
      <c r="BB102" s="21">
        <v>92</v>
      </c>
      <c r="BC102" s="21">
        <v>0.362701</v>
      </c>
      <c r="BD102">
        <f t="shared" si="22"/>
        <v>18.604444444444443</v>
      </c>
      <c r="BE102">
        <f t="shared" si="23"/>
        <v>6.7592179200000002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1.35178</v>
      </c>
      <c r="H103" s="21">
        <v>5.95892</v>
      </c>
      <c r="I103" s="21">
        <v>-1.427E-2</v>
      </c>
      <c r="J103" s="21">
        <v>93</v>
      </c>
      <c r="K103" s="21">
        <v>1.3507100000000001</v>
      </c>
      <c r="L103">
        <f t="shared" si="12"/>
        <v>17.617283950617285</v>
      </c>
      <c r="M103">
        <f t="shared" si="13"/>
        <v>23.814692098765434</v>
      </c>
      <c r="N103" s="9"/>
      <c r="O103" s="21">
        <v>0.35980200000000001</v>
      </c>
      <c r="P103" s="21">
        <v>17.357099999999999</v>
      </c>
      <c r="Q103" s="21">
        <v>-1.51031E-2</v>
      </c>
      <c r="R103" s="21">
        <v>290</v>
      </c>
      <c r="S103" s="21">
        <v>0.359039</v>
      </c>
      <c r="T103">
        <f t="shared" si="14"/>
        <v>18.645802469135798</v>
      </c>
      <c r="U103">
        <f t="shared" si="15"/>
        <v>6.7087970199999987</v>
      </c>
      <c r="X103" s="9"/>
      <c r="Y103" s="21">
        <v>1.35178</v>
      </c>
      <c r="Z103" s="21">
        <v>15.373100000000001</v>
      </c>
      <c r="AA103" s="21">
        <v>-1.4300500000000001E-2</v>
      </c>
      <c r="AB103" s="21">
        <v>93</v>
      </c>
      <c r="AC103" s="21">
        <v>1.35101</v>
      </c>
      <c r="AD103">
        <f t="shared" si="16"/>
        <v>17.654938271604937</v>
      </c>
      <c r="AE103">
        <f t="shared" si="17"/>
        <v>23.865592456790122</v>
      </c>
      <c r="AF103" s="9"/>
      <c r="AG103" s="21">
        <v>0.36834699999999998</v>
      </c>
      <c r="AH103" s="21">
        <v>19.232600000000001</v>
      </c>
      <c r="AI103" s="21">
        <v>-1.50452E-2</v>
      </c>
      <c r="AJ103" s="21">
        <v>93</v>
      </c>
      <c r="AK103" s="21">
        <v>0.36788900000000002</v>
      </c>
      <c r="AL103">
        <f t="shared" si="18"/>
        <v>18.574320987654321</v>
      </c>
      <c r="AM103">
        <f t="shared" si="19"/>
        <v>6.841795412839506</v>
      </c>
      <c r="AP103" s="9"/>
      <c r="AQ103" s="21">
        <v>1.35178</v>
      </c>
      <c r="AR103" s="21">
        <v>24.807400000000001</v>
      </c>
      <c r="AS103" s="21">
        <v>-1.4331099999999999E-2</v>
      </c>
      <c r="AT103" s="21">
        <v>93</v>
      </c>
      <c r="AU103" s="21">
        <v>1.3513200000000001</v>
      </c>
      <c r="AV103">
        <f t="shared" si="20"/>
        <v>17.692716049382714</v>
      </c>
      <c r="AW103">
        <f t="shared" si="21"/>
        <v>23.916659701234565</v>
      </c>
      <c r="AX103" s="9"/>
      <c r="AY103" s="21">
        <v>0.36834699999999998</v>
      </c>
      <c r="AZ103" s="21">
        <v>28.666799999999999</v>
      </c>
      <c r="BA103" s="21">
        <v>-1.50787E-2</v>
      </c>
      <c r="BB103" s="21">
        <v>93</v>
      </c>
      <c r="BC103" s="21">
        <v>0.36761500000000003</v>
      </c>
      <c r="BD103">
        <f t="shared" si="22"/>
        <v>18.61567901234568</v>
      </c>
      <c r="BE103">
        <f t="shared" si="23"/>
        <v>6.8570295171604938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1.34674</v>
      </c>
      <c r="H104" s="21">
        <v>5.9689899999999998</v>
      </c>
      <c r="I104" s="21">
        <v>-1.4279200000000001E-2</v>
      </c>
      <c r="J104" s="21">
        <v>94</v>
      </c>
      <c r="K104" s="21">
        <v>1.3464400000000001</v>
      </c>
      <c r="L104">
        <f t="shared" si="12"/>
        <v>17.628641975308639</v>
      </c>
      <c r="M104">
        <f t="shared" si="13"/>
        <v>23.741197293827156</v>
      </c>
      <c r="N104" s="9"/>
      <c r="O104" s="21">
        <v>0.364838</v>
      </c>
      <c r="P104" s="21">
        <v>17.347100000000001</v>
      </c>
      <c r="Q104" s="21">
        <v>-1.51031E-2</v>
      </c>
      <c r="R104" s="21">
        <v>289</v>
      </c>
      <c r="S104" s="21">
        <v>0.364288</v>
      </c>
      <c r="T104">
        <f t="shared" si="14"/>
        <v>18.645802469135798</v>
      </c>
      <c r="U104">
        <f t="shared" si="15"/>
        <v>6.8026972812345665</v>
      </c>
      <c r="X104" s="9"/>
      <c r="Y104" s="21">
        <v>1.34674</v>
      </c>
      <c r="Z104" s="21">
        <v>15.3832</v>
      </c>
      <c r="AA104" s="21">
        <v>-1.4306599999999999E-2</v>
      </c>
      <c r="AB104" s="21">
        <v>94</v>
      </c>
      <c r="AC104" s="21">
        <v>1.3458300000000001</v>
      </c>
      <c r="AD104">
        <f t="shared" si="16"/>
        <v>17.662469135802468</v>
      </c>
      <c r="AE104">
        <f t="shared" si="17"/>
        <v>23.786753683950618</v>
      </c>
      <c r="AF104" s="9"/>
      <c r="AG104" s="21">
        <v>0.37338300000000002</v>
      </c>
      <c r="AH104" s="21">
        <v>19.242699999999999</v>
      </c>
      <c r="AI104" s="21">
        <v>-1.50452E-2</v>
      </c>
      <c r="AJ104" s="21">
        <v>94</v>
      </c>
      <c r="AK104" s="21">
        <v>0.37271100000000001</v>
      </c>
      <c r="AL104">
        <f t="shared" si="18"/>
        <v>18.574320987654321</v>
      </c>
      <c r="AM104">
        <f t="shared" si="19"/>
        <v>6.9353356933333341</v>
      </c>
      <c r="AP104" s="9"/>
      <c r="AQ104" s="21">
        <v>1.34674</v>
      </c>
      <c r="AR104" s="21">
        <v>24.817399999999999</v>
      </c>
      <c r="AS104" s="21">
        <v>-1.43372E-2</v>
      </c>
      <c r="AT104" s="21">
        <v>94</v>
      </c>
      <c r="AU104" s="21">
        <v>1.3458300000000001</v>
      </c>
      <c r="AV104">
        <f t="shared" si="20"/>
        <v>17.700246913580244</v>
      </c>
      <c r="AW104">
        <f t="shared" si="21"/>
        <v>23.83763052839506</v>
      </c>
      <c r="AX104" s="9"/>
      <c r="AY104" s="21">
        <v>0.37338300000000002</v>
      </c>
      <c r="AZ104" s="21">
        <v>28.6769</v>
      </c>
      <c r="BA104" s="21">
        <v>-1.5081799999999999E-2</v>
      </c>
      <c r="BB104" s="21">
        <v>94</v>
      </c>
      <c r="BC104" s="21">
        <v>0.37277199999999999</v>
      </c>
      <c r="BD104">
        <f t="shared" si="22"/>
        <v>18.619506172839504</v>
      </c>
      <c r="BE104">
        <f t="shared" si="23"/>
        <v>6.9522070733333328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1.34171</v>
      </c>
      <c r="H105" s="21">
        <v>5.9790599999999996</v>
      </c>
      <c r="I105" s="21">
        <v>-1.4285300000000001E-2</v>
      </c>
      <c r="J105" s="21">
        <v>95</v>
      </c>
      <c r="K105" s="21">
        <v>1.3412500000000001</v>
      </c>
      <c r="L105">
        <f t="shared" si="12"/>
        <v>17.636172839506173</v>
      </c>
      <c r="M105">
        <f t="shared" si="13"/>
        <v>23.662629460493825</v>
      </c>
      <c r="N105" s="9"/>
      <c r="O105" s="21">
        <v>0.36987300000000001</v>
      </c>
      <c r="P105" s="21">
        <v>17.337</v>
      </c>
      <c r="Q105" s="21">
        <v>-1.51001E-2</v>
      </c>
      <c r="R105" s="21">
        <v>288</v>
      </c>
      <c r="S105" s="21">
        <v>0.36920199999999997</v>
      </c>
      <c r="T105">
        <f t="shared" si="14"/>
        <v>18.642098765432099</v>
      </c>
      <c r="U105">
        <f t="shared" si="15"/>
        <v>6.8952089966666668</v>
      </c>
      <c r="X105" s="9"/>
      <c r="Y105" s="21">
        <v>1.34171</v>
      </c>
      <c r="Z105" s="21">
        <v>15.3933</v>
      </c>
      <c r="AA105" s="21">
        <v>-1.43188E-2</v>
      </c>
      <c r="AB105" s="21">
        <v>95</v>
      </c>
      <c r="AC105" s="21">
        <v>1.3406400000000001</v>
      </c>
      <c r="AD105">
        <f t="shared" si="16"/>
        <v>17.677530864197529</v>
      </c>
      <c r="AE105">
        <f t="shared" si="17"/>
        <v>23.718119935802466</v>
      </c>
      <c r="AF105" s="9"/>
      <c r="AG105" s="21">
        <v>0.37841799999999998</v>
      </c>
      <c r="AH105" s="21">
        <v>19.252800000000001</v>
      </c>
      <c r="AI105" s="21">
        <v>-1.50513E-2</v>
      </c>
      <c r="AJ105" s="21">
        <v>95</v>
      </c>
      <c r="AK105" s="21">
        <v>0.37786900000000001</v>
      </c>
      <c r="AL105">
        <f t="shared" si="18"/>
        <v>18.581851851851848</v>
      </c>
      <c r="AM105">
        <f t="shared" si="19"/>
        <v>7.0317072140740722</v>
      </c>
      <c r="AP105" s="9"/>
      <c r="AQ105" s="21">
        <v>1.34171</v>
      </c>
      <c r="AR105" s="21">
        <v>24.827500000000001</v>
      </c>
      <c r="AS105" s="21">
        <v>-1.4346299999999999E-2</v>
      </c>
      <c r="AT105" s="21">
        <v>95</v>
      </c>
      <c r="AU105" s="21">
        <v>1.34094</v>
      </c>
      <c r="AV105">
        <f t="shared" si="20"/>
        <v>17.711481481481481</v>
      </c>
      <c r="AW105">
        <f t="shared" si="21"/>
        <v>23.763671818518517</v>
      </c>
      <c r="AX105" s="9"/>
      <c r="AY105" s="21">
        <v>0.37841799999999998</v>
      </c>
      <c r="AZ105" s="21">
        <v>28.687000000000001</v>
      </c>
      <c r="BA105" s="21">
        <v>-1.50787E-2</v>
      </c>
      <c r="BB105" s="21">
        <v>95</v>
      </c>
      <c r="BC105" s="21">
        <v>0.37783800000000001</v>
      </c>
      <c r="BD105">
        <f t="shared" si="22"/>
        <v>18.61567901234568</v>
      </c>
      <c r="BE105">
        <f t="shared" si="23"/>
        <v>7.0445080204938275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1.33667</v>
      </c>
      <c r="H106" s="21">
        <v>5.9891300000000003</v>
      </c>
      <c r="I106" s="21">
        <v>-1.4294400000000001E-2</v>
      </c>
      <c r="J106" s="21">
        <v>96</v>
      </c>
      <c r="K106" s="21">
        <v>1.33636</v>
      </c>
      <c r="L106">
        <f t="shared" si="12"/>
        <v>17.647407407407407</v>
      </c>
      <c r="M106">
        <f t="shared" si="13"/>
        <v>23.588760059259258</v>
      </c>
      <c r="N106" s="9"/>
      <c r="O106" s="21">
        <v>0.37490800000000002</v>
      </c>
      <c r="P106" s="21">
        <v>17.326899999999998</v>
      </c>
      <c r="Q106" s="21">
        <v>-1.5090900000000001E-2</v>
      </c>
      <c r="R106" s="21">
        <v>287</v>
      </c>
      <c r="S106" s="21">
        <v>0.374359</v>
      </c>
      <c r="T106">
        <f t="shared" si="14"/>
        <v>18.630740740740741</v>
      </c>
      <c r="U106">
        <f t="shared" si="15"/>
        <v>6.9848137496296303</v>
      </c>
      <c r="X106" s="9"/>
      <c r="Y106" s="21">
        <v>1.33667</v>
      </c>
      <c r="Z106" s="21">
        <v>15.4033</v>
      </c>
      <c r="AA106" s="21">
        <v>-1.4324999999999999E-2</v>
      </c>
      <c r="AB106" s="21">
        <v>96</v>
      </c>
      <c r="AC106" s="21">
        <v>1.33606</v>
      </c>
      <c r="AD106">
        <f t="shared" si="16"/>
        <v>17.685185185185183</v>
      </c>
      <c r="AE106">
        <f t="shared" si="17"/>
        <v>23.639256481481478</v>
      </c>
      <c r="AF106" s="9"/>
      <c r="AG106" s="21">
        <v>0.38345299999999999</v>
      </c>
      <c r="AH106" s="21">
        <v>19.262799999999999</v>
      </c>
      <c r="AI106" s="21">
        <v>-1.50543E-2</v>
      </c>
      <c r="AJ106" s="21">
        <v>96</v>
      </c>
      <c r="AK106" s="21">
        <v>0.38287399999999999</v>
      </c>
      <c r="AL106">
        <f t="shared" si="18"/>
        <v>18.585555555555555</v>
      </c>
      <c r="AM106">
        <f t="shared" si="19"/>
        <v>7.1266870344444442</v>
      </c>
      <c r="AP106" s="9"/>
      <c r="AQ106" s="21">
        <v>1.33667</v>
      </c>
      <c r="AR106" s="21">
        <v>24.837599999999998</v>
      </c>
      <c r="AS106" s="21">
        <v>-1.43616E-2</v>
      </c>
      <c r="AT106" s="21">
        <v>96</v>
      </c>
      <c r="AU106" s="21">
        <v>1.33606</v>
      </c>
      <c r="AV106">
        <f t="shared" si="20"/>
        <v>17.73037037037037</v>
      </c>
      <c r="AW106">
        <f t="shared" si="21"/>
        <v>23.699654162962961</v>
      </c>
      <c r="AX106" s="9"/>
      <c r="AY106" s="21">
        <v>0.38345299999999999</v>
      </c>
      <c r="AZ106" s="21">
        <v>28.697099999999999</v>
      </c>
      <c r="BA106" s="21">
        <v>-1.50787E-2</v>
      </c>
      <c r="BB106" s="21">
        <v>96</v>
      </c>
      <c r="BC106" s="21">
        <v>0.38281300000000001</v>
      </c>
      <c r="BD106">
        <f t="shared" si="22"/>
        <v>18.61567901234568</v>
      </c>
      <c r="BE106">
        <f t="shared" si="23"/>
        <v>7.1382379643209877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1.3316300000000001</v>
      </c>
      <c r="H107" s="21">
        <v>5.9992099999999997</v>
      </c>
      <c r="I107" s="21">
        <v>-1.43036E-2</v>
      </c>
      <c r="J107" s="21">
        <v>97</v>
      </c>
      <c r="K107" s="21">
        <v>1.33118</v>
      </c>
      <c r="L107">
        <f t="shared" si="12"/>
        <v>17.658765432098765</v>
      </c>
      <c r="M107">
        <f t="shared" si="13"/>
        <v>23.514941812345679</v>
      </c>
      <c r="N107" s="9"/>
      <c r="O107" s="21">
        <v>0.379944</v>
      </c>
      <c r="P107" s="21">
        <v>17.316800000000001</v>
      </c>
      <c r="Q107" s="21">
        <v>-1.50726E-2</v>
      </c>
      <c r="R107" s="21">
        <v>286</v>
      </c>
      <c r="S107" s="21">
        <v>0.37933299999999998</v>
      </c>
      <c r="T107">
        <f t="shared" si="14"/>
        <v>18.60814814814815</v>
      </c>
      <c r="U107">
        <f t="shared" si="15"/>
        <v>7.070054240000001</v>
      </c>
      <c r="X107" s="9"/>
      <c r="Y107" s="21">
        <v>1.3316300000000001</v>
      </c>
      <c r="Z107" s="21">
        <v>15.413399999999999</v>
      </c>
      <c r="AA107" s="21">
        <v>-1.4331099999999999E-2</v>
      </c>
      <c r="AB107" s="21">
        <v>97</v>
      </c>
      <c r="AC107" s="21">
        <v>1.33087</v>
      </c>
      <c r="AD107">
        <f t="shared" si="16"/>
        <v>17.692716049382714</v>
      </c>
      <c r="AE107">
        <f t="shared" si="17"/>
        <v>23.560151472839504</v>
      </c>
      <c r="AF107" s="9"/>
      <c r="AG107" s="21">
        <v>0.38848899999999997</v>
      </c>
      <c r="AH107" s="21">
        <v>19.2729</v>
      </c>
      <c r="AI107" s="21">
        <v>-1.50513E-2</v>
      </c>
      <c r="AJ107" s="21">
        <v>97</v>
      </c>
      <c r="AK107" s="21">
        <v>0.387909</v>
      </c>
      <c r="AL107">
        <f t="shared" si="18"/>
        <v>18.581851851851848</v>
      </c>
      <c r="AM107">
        <f t="shared" si="19"/>
        <v>7.2188450440740723</v>
      </c>
      <c r="AP107" s="9"/>
      <c r="AQ107" s="21">
        <v>1.3316300000000001</v>
      </c>
      <c r="AR107" s="21">
        <v>24.8477</v>
      </c>
      <c r="AS107" s="21">
        <v>-1.43707E-2</v>
      </c>
      <c r="AT107" s="21">
        <v>97</v>
      </c>
      <c r="AU107" s="21">
        <v>1.33148</v>
      </c>
      <c r="AV107">
        <f t="shared" si="20"/>
        <v>17.741604938271603</v>
      </c>
      <c r="AW107">
        <f t="shared" si="21"/>
        <v>23.625253383950618</v>
      </c>
      <c r="AX107" s="9"/>
      <c r="AY107" s="21">
        <v>0.38848899999999997</v>
      </c>
      <c r="AZ107" s="21">
        <v>28.707100000000001</v>
      </c>
      <c r="BA107" s="21">
        <v>-1.5075699999999999E-2</v>
      </c>
      <c r="BB107" s="21">
        <v>97</v>
      </c>
      <c r="BC107" s="21">
        <v>0.387878</v>
      </c>
      <c r="BD107">
        <f t="shared" si="22"/>
        <v>18.611975308641973</v>
      </c>
      <c r="BE107">
        <f t="shared" si="23"/>
        <v>7.230547675679011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1.3266</v>
      </c>
      <c r="H108" s="21">
        <v>6.0092800000000004</v>
      </c>
      <c r="I108" s="21">
        <v>-1.43158E-2</v>
      </c>
      <c r="J108" s="21">
        <v>98</v>
      </c>
      <c r="K108" s="21">
        <v>1.32568</v>
      </c>
      <c r="L108">
        <f t="shared" si="12"/>
        <v>17.673827160493826</v>
      </c>
      <c r="M108">
        <f t="shared" si="13"/>
        <v>23.44609911111111</v>
      </c>
      <c r="N108" s="9"/>
      <c r="O108" s="21">
        <v>0.38497900000000002</v>
      </c>
      <c r="P108" s="21">
        <v>17.306799999999999</v>
      </c>
      <c r="Q108" s="21">
        <v>-1.50726E-2</v>
      </c>
      <c r="R108" s="21">
        <v>285</v>
      </c>
      <c r="S108" s="21">
        <v>0.38442999999999999</v>
      </c>
      <c r="T108">
        <f t="shared" si="14"/>
        <v>18.60814814814815</v>
      </c>
      <c r="U108">
        <f t="shared" si="15"/>
        <v>7.1637462659259272</v>
      </c>
      <c r="X108" s="9"/>
      <c r="Y108" s="21">
        <v>1.3266</v>
      </c>
      <c r="Z108" s="21">
        <v>15.423500000000001</v>
      </c>
      <c r="AA108" s="21">
        <v>-1.4340200000000001E-2</v>
      </c>
      <c r="AB108" s="21">
        <v>98</v>
      </c>
      <c r="AC108" s="21">
        <v>1.32568</v>
      </c>
      <c r="AD108">
        <f t="shared" si="16"/>
        <v>17.703950617283951</v>
      </c>
      <c r="AE108">
        <f t="shared" si="17"/>
        <v>23.48606088888889</v>
      </c>
      <c r="AF108" s="9"/>
      <c r="AG108" s="21">
        <v>0.39352399999999998</v>
      </c>
      <c r="AH108" s="21">
        <v>19.283000000000001</v>
      </c>
      <c r="AI108" s="21">
        <v>-1.50543E-2</v>
      </c>
      <c r="AJ108" s="21">
        <v>98</v>
      </c>
      <c r="AK108" s="21">
        <v>0.39300499999999999</v>
      </c>
      <c r="AL108">
        <f t="shared" si="18"/>
        <v>18.585555555555555</v>
      </c>
      <c r="AM108">
        <f t="shared" si="19"/>
        <v>7.3138621644444441</v>
      </c>
      <c r="AP108" s="9"/>
      <c r="AQ108" s="21">
        <v>1.3266</v>
      </c>
      <c r="AR108" s="21">
        <v>24.857700000000001</v>
      </c>
      <c r="AS108" s="21">
        <v>-1.4379899999999999E-2</v>
      </c>
      <c r="AT108" s="21">
        <v>98</v>
      </c>
      <c r="AU108" s="21">
        <v>1.32568</v>
      </c>
      <c r="AV108">
        <f t="shared" si="20"/>
        <v>17.752962962962961</v>
      </c>
      <c r="AW108">
        <f t="shared" si="21"/>
        <v>23.551080666666664</v>
      </c>
      <c r="AX108" s="9"/>
      <c r="AY108" s="21">
        <v>0.39352399999999998</v>
      </c>
      <c r="AZ108" s="21">
        <v>28.717199999999998</v>
      </c>
      <c r="BA108" s="21">
        <v>-1.50787E-2</v>
      </c>
      <c r="BB108" s="21">
        <v>98</v>
      </c>
      <c r="BC108" s="21">
        <v>0.39291399999999999</v>
      </c>
      <c r="BD108">
        <f t="shared" si="22"/>
        <v>18.61567901234568</v>
      </c>
      <c r="BE108">
        <f t="shared" si="23"/>
        <v>7.3257164676543214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1.3215600000000001</v>
      </c>
      <c r="H109" s="21">
        <v>6.0193500000000002</v>
      </c>
      <c r="I109" s="21">
        <v>-1.4324999999999999E-2</v>
      </c>
      <c r="J109" s="21">
        <v>99</v>
      </c>
      <c r="K109" s="21">
        <v>1.32111</v>
      </c>
      <c r="L109">
        <f t="shared" si="12"/>
        <v>17.685185185185183</v>
      </c>
      <c r="M109">
        <f t="shared" si="13"/>
        <v>23.372033333333331</v>
      </c>
      <c r="N109" s="9"/>
      <c r="O109" s="21">
        <v>0.390015</v>
      </c>
      <c r="P109" s="21">
        <v>17.296700000000001</v>
      </c>
      <c r="Q109" s="21">
        <v>-1.50726E-2</v>
      </c>
      <c r="R109" s="21">
        <v>284</v>
      </c>
      <c r="S109" s="21">
        <v>0.38943499999999998</v>
      </c>
      <c r="T109">
        <f t="shared" si="14"/>
        <v>18.60814814814815</v>
      </c>
      <c r="U109">
        <f t="shared" si="15"/>
        <v>7.2574569000000002</v>
      </c>
      <c r="X109" s="9"/>
      <c r="Y109" s="21">
        <v>1.3215600000000001</v>
      </c>
      <c r="Z109" s="21">
        <v>15.4336</v>
      </c>
      <c r="AA109" s="21">
        <v>-1.43494E-2</v>
      </c>
      <c r="AB109" s="21">
        <v>99</v>
      </c>
      <c r="AC109" s="21">
        <v>1.32111</v>
      </c>
      <c r="AD109">
        <f t="shared" si="16"/>
        <v>17.715308641975309</v>
      </c>
      <c r="AE109">
        <f t="shared" si="17"/>
        <v>23.411843288888889</v>
      </c>
      <c r="AF109" s="9"/>
      <c r="AG109" s="21">
        <v>0.39856000000000003</v>
      </c>
      <c r="AH109" s="21">
        <v>19.292999999999999</v>
      </c>
      <c r="AI109" s="21">
        <v>-1.50513E-2</v>
      </c>
      <c r="AJ109" s="21">
        <v>99</v>
      </c>
      <c r="AK109" s="21">
        <v>0.39800999999999997</v>
      </c>
      <c r="AL109">
        <f t="shared" si="18"/>
        <v>18.581851851851848</v>
      </c>
      <c r="AM109">
        <f t="shared" si="19"/>
        <v>7.4059828740740734</v>
      </c>
      <c r="AP109" s="9"/>
      <c r="AQ109" s="21">
        <v>1.3215600000000001</v>
      </c>
      <c r="AR109" s="21">
        <v>24.867799999999999</v>
      </c>
      <c r="AS109" s="21">
        <v>-1.4395099999999999E-2</v>
      </c>
      <c r="AT109" s="21">
        <v>99</v>
      </c>
      <c r="AU109" s="21">
        <v>1.3205</v>
      </c>
      <c r="AV109">
        <f t="shared" si="20"/>
        <v>17.771728395061729</v>
      </c>
      <c r="AW109">
        <f t="shared" si="21"/>
        <v>23.486405377777778</v>
      </c>
      <c r="AX109" s="9"/>
      <c r="AY109" s="21">
        <v>0.39856000000000003</v>
      </c>
      <c r="AZ109" s="21">
        <v>28.7273</v>
      </c>
      <c r="BA109" s="21">
        <v>-1.5081799999999999E-2</v>
      </c>
      <c r="BB109" s="21">
        <v>99</v>
      </c>
      <c r="BC109" s="21">
        <v>0.39798</v>
      </c>
      <c r="BD109">
        <f t="shared" si="22"/>
        <v>18.619506172839504</v>
      </c>
      <c r="BE109">
        <f t="shared" si="23"/>
        <v>7.4209903802469128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1.31653</v>
      </c>
      <c r="H110" s="21">
        <v>6.02942</v>
      </c>
      <c r="I110" s="21">
        <v>-1.43372E-2</v>
      </c>
      <c r="J110" s="21">
        <v>100</v>
      </c>
      <c r="K110" s="21">
        <v>1.31653</v>
      </c>
      <c r="L110">
        <f t="shared" si="12"/>
        <v>17.700246913580244</v>
      </c>
      <c r="M110">
        <f t="shared" si="13"/>
        <v>23.302906069135798</v>
      </c>
      <c r="N110" s="9"/>
      <c r="O110" s="21">
        <v>0.39505000000000001</v>
      </c>
      <c r="P110" s="21">
        <v>17.2866</v>
      </c>
      <c r="Q110" s="21">
        <v>-1.5069600000000001E-2</v>
      </c>
      <c r="R110" s="21">
        <v>283</v>
      </c>
      <c r="S110" s="21">
        <v>0.39450099999999999</v>
      </c>
      <c r="T110">
        <f t="shared" si="14"/>
        <v>18.604444444444443</v>
      </c>
      <c r="U110">
        <f t="shared" si="15"/>
        <v>7.3496857777777773</v>
      </c>
      <c r="X110" s="9"/>
      <c r="Y110" s="21">
        <v>1.31653</v>
      </c>
      <c r="Z110" s="21">
        <v>15.4436</v>
      </c>
      <c r="AA110" s="21">
        <v>-1.43585E-2</v>
      </c>
      <c r="AB110" s="21">
        <v>100</v>
      </c>
      <c r="AC110" s="21">
        <v>1.3156099999999999</v>
      </c>
      <c r="AD110">
        <f t="shared" si="16"/>
        <v>17.726543209876542</v>
      </c>
      <c r="AE110">
        <f t="shared" si="17"/>
        <v>23.337525932098764</v>
      </c>
      <c r="AF110" s="9"/>
      <c r="AG110" s="21">
        <v>0.40359499999999998</v>
      </c>
      <c r="AH110" s="21">
        <v>19.303100000000001</v>
      </c>
      <c r="AI110" s="21">
        <v>-1.5042099999999999E-2</v>
      </c>
      <c r="AJ110" s="21">
        <v>100</v>
      </c>
      <c r="AK110" s="21">
        <v>0.40304600000000002</v>
      </c>
      <c r="AL110">
        <f t="shared" si="18"/>
        <v>18.570493827160494</v>
      </c>
      <c r="AM110">
        <f t="shared" si="19"/>
        <v>7.4949584561728395</v>
      </c>
      <c r="AP110" s="9"/>
      <c r="AQ110" s="21">
        <v>1.31653</v>
      </c>
      <c r="AR110" s="21">
        <v>24.8779</v>
      </c>
      <c r="AS110" s="21">
        <v>-1.44073E-2</v>
      </c>
      <c r="AT110" s="21">
        <v>100</v>
      </c>
      <c r="AU110" s="21">
        <v>1.31592</v>
      </c>
      <c r="AV110">
        <f t="shared" si="20"/>
        <v>17.78679012345679</v>
      </c>
      <c r="AW110">
        <f t="shared" si="21"/>
        <v>23.416842801234566</v>
      </c>
      <c r="AX110" s="9"/>
      <c r="AY110" s="21">
        <v>0.40359499999999998</v>
      </c>
      <c r="AZ110" s="21">
        <v>28.737300000000001</v>
      </c>
      <c r="BA110" s="21">
        <v>-1.5075699999999999E-2</v>
      </c>
      <c r="BB110" s="21">
        <v>100</v>
      </c>
      <c r="BC110" s="21">
        <v>0.40304600000000002</v>
      </c>
      <c r="BD110">
        <f t="shared" si="22"/>
        <v>18.611975308641973</v>
      </c>
      <c r="BE110">
        <f t="shared" si="23"/>
        <v>7.5117001746913568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1.31149</v>
      </c>
      <c r="H111" s="21">
        <v>6.0394899999999998</v>
      </c>
      <c r="I111" s="21">
        <v>-1.43494E-2</v>
      </c>
      <c r="J111" s="21">
        <v>101</v>
      </c>
      <c r="K111" s="21">
        <v>1.31073</v>
      </c>
      <c r="L111">
        <f t="shared" si="12"/>
        <v>17.715308641975309</v>
      </c>
      <c r="M111">
        <f t="shared" si="13"/>
        <v>23.233450130864199</v>
      </c>
      <c r="N111" s="9"/>
      <c r="O111" s="21">
        <v>0.40008500000000002</v>
      </c>
      <c r="P111" s="21">
        <v>17.276599999999998</v>
      </c>
      <c r="Q111" s="21">
        <v>-1.50604E-2</v>
      </c>
      <c r="R111" s="21">
        <v>282</v>
      </c>
      <c r="S111" s="21">
        <v>0.39947500000000002</v>
      </c>
      <c r="T111">
        <f t="shared" si="14"/>
        <v>18.593086419753085</v>
      </c>
      <c r="U111">
        <f t="shared" si="15"/>
        <v>7.4388149802469137</v>
      </c>
      <c r="X111" s="9"/>
      <c r="Y111" s="21">
        <v>1.31149</v>
      </c>
      <c r="Z111" s="21">
        <v>15.4537</v>
      </c>
      <c r="AA111" s="21">
        <v>-1.4367700000000001E-2</v>
      </c>
      <c r="AB111" s="21">
        <v>101</v>
      </c>
      <c r="AC111" s="21">
        <v>1.31073</v>
      </c>
      <c r="AD111">
        <f t="shared" si="16"/>
        <v>17.7379012345679</v>
      </c>
      <c r="AE111">
        <f t="shared" si="17"/>
        <v>23.263080090123456</v>
      </c>
      <c r="AF111" s="9"/>
      <c r="AG111" s="21">
        <v>0.40862999999999999</v>
      </c>
      <c r="AH111" s="21">
        <v>19.313199999999998</v>
      </c>
      <c r="AI111" s="21">
        <v>-1.5032999999999999E-2</v>
      </c>
      <c r="AJ111" s="21">
        <v>101</v>
      </c>
      <c r="AK111" s="21">
        <v>0.40801999999999999</v>
      </c>
      <c r="AL111">
        <f t="shared" si="18"/>
        <v>18.559259259259257</v>
      </c>
      <c r="AM111">
        <f t="shared" si="19"/>
        <v>7.5838701111111098</v>
      </c>
      <c r="AP111" s="9"/>
      <c r="AQ111" s="21">
        <v>1.31149</v>
      </c>
      <c r="AR111" s="21">
        <v>24.887899999999998</v>
      </c>
      <c r="AS111" s="21">
        <v>-1.44165E-2</v>
      </c>
      <c r="AT111" s="21">
        <v>101</v>
      </c>
      <c r="AU111" s="21">
        <v>1.31073</v>
      </c>
      <c r="AV111">
        <f t="shared" si="20"/>
        <v>17.798148148148147</v>
      </c>
      <c r="AW111">
        <f t="shared" si="21"/>
        <v>23.342093314814814</v>
      </c>
      <c r="AX111" s="9"/>
      <c r="AY111" s="21">
        <v>0.40862999999999999</v>
      </c>
      <c r="AZ111" s="21">
        <v>28.747399999999999</v>
      </c>
      <c r="BA111" s="21">
        <v>-1.5069600000000001E-2</v>
      </c>
      <c r="BB111" s="21">
        <v>101</v>
      </c>
      <c r="BC111" s="21">
        <v>0.40799000000000002</v>
      </c>
      <c r="BD111">
        <f t="shared" si="22"/>
        <v>18.604444444444443</v>
      </c>
      <c r="BE111">
        <f t="shared" si="23"/>
        <v>7.6023341333333327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1.30646</v>
      </c>
      <c r="H112" s="21">
        <v>6.0495599999999996</v>
      </c>
      <c r="I112" s="21">
        <v>-1.43616E-2</v>
      </c>
      <c r="J112" s="21">
        <v>102</v>
      </c>
      <c r="K112" s="21">
        <v>1.30585</v>
      </c>
      <c r="L112">
        <f t="shared" si="12"/>
        <v>17.73037037037037</v>
      </c>
      <c r="M112">
        <f t="shared" si="13"/>
        <v>23.164019674074073</v>
      </c>
      <c r="N112" s="9"/>
      <c r="O112" s="21">
        <v>0.40512100000000001</v>
      </c>
      <c r="P112" s="21">
        <v>17.266500000000001</v>
      </c>
      <c r="Q112" s="21">
        <v>-1.50543E-2</v>
      </c>
      <c r="R112" s="21">
        <v>281</v>
      </c>
      <c r="S112" s="21">
        <v>0.40457199999999999</v>
      </c>
      <c r="T112">
        <f t="shared" si="14"/>
        <v>18.585555555555555</v>
      </c>
      <c r="U112">
        <f t="shared" si="15"/>
        <v>7.5293988522222222</v>
      </c>
      <c r="X112" s="9"/>
      <c r="Y112" s="21">
        <v>1.30646</v>
      </c>
      <c r="Z112" s="21">
        <v>15.463800000000001</v>
      </c>
      <c r="AA112" s="21">
        <v>-1.4379899999999999E-2</v>
      </c>
      <c r="AB112" s="21">
        <v>102</v>
      </c>
      <c r="AC112" s="21">
        <v>1.30585</v>
      </c>
      <c r="AD112">
        <f t="shared" si="16"/>
        <v>17.752962962962961</v>
      </c>
      <c r="AE112">
        <f t="shared" si="17"/>
        <v>23.19353599259259</v>
      </c>
      <c r="AF112" s="9"/>
      <c r="AG112" s="21">
        <v>0.41366599999999998</v>
      </c>
      <c r="AH112" s="21">
        <v>19.3232</v>
      </c>
      <c r="AI112" s="21">
        <v>-1.5014599999999999E-2</v>
      </c>
      <c r="AJ112" s="21">
        <v>102</v>
      </c>
      <c r="AK112" s="21">
        <v>0.41302499999999998</v>
      </c>
      <c r="AL112">
        <f t="shared" si="18"/>
        <v>18.536543209876541</v>
      </c>
      <c r="AM112">
        <f t="shared" si="19"/>
        <v>7.6679376834567892</v>
      </c>
      <c r="AP112" s="9"/>
      <c r="AQ112" s="21">
        <v>1.30646</v>
      </c>
      <c r="AR112" s="21">
        <v>24.898</v>
      </c>
      <c r="AS112" s="21">
        <v>-1.4422600000000001E-2</v>
      </c>
      <c r="AT112" s="21">
        <v>102</v>
      </c>
      <c r="AU112" s="21">
        <v>1.30585</v>
      </c>
      <c r="AV112">
        <f t="shared" si="20"/>
        <v>17.805679012345678</v>
      </c>
      <c r="AW112">
        <f t="shared" si="21"/>
        <v>23.262407402469133</v>
      </c>
      <c r="AX112" s="9"/>
      <c r="AY112" s="21">
        <v>0.41366599999999998</v>
      </c>
      <c r="AZ112" s="21">
        <v>28.7575</v>
      </c>
      <c r="BA112" s="21">
        <v>-1.5063500000000001E-2</v>
      </c>
      <c r="BB112" s="21">
        <v>102</v>
      </c>
      <c r="BC112" s="21">
        <v>0.41293299999999999</v>
      </c>
      <c r="BD112">
        <f t="shared" si="22"/>
        <v>18.596913580246913</v>
      </c>
      <c r="BE112">
        <f t="shared" si="23"/>
        <v>7.6929108530864188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1.30142</v>
      </c>
      <c r="H113" s="21">
        <v>6.0596300000000003</v>
      </c>
      <c r="I113" s="21">
        <v>-1.4367700000000001E-2</v>
      </c>
      <c r="J113" s="21">
        <v>103</v>
      </c>
      <c r="K113" s="21">
        <v>1.3009599999999999</v>
      </c>
      <c r="L113">
        <f t="shared" si="12"/>
        <v>17.7379012345679</v>
      </c>
      <c r="M113">
        <f t="shared" si="13"/>
        <v>23.084459424691357</v>
      </c>
      <c r="N113" s="9"/>
      <c r="O113" s="21">
        <v>0.41015600000000002</v>
      </c>
      <c r="P113" s="21">
        <v>17.256399999999999</v>
      </c>
      <c r="Q113" s="21">
        <v>-1.5036000000000001E-2</v>
      </c>
      <c r="R113" s="21">
        <v>280</v>
      </c>
      <c r="S113" s="21">
        <v>0.409607</v>
      </c>
      <c r="T113">
        <f t="shared" si="14"/>
        <v>18.562962962962963</v>
      </c>
      <c r="U113">
        <f t="shared" si="15"/>
        <v>7.6137106370370375</v>
      </c>
      <c r="X113" s="9"/>
      <c r="Y113" s="21">
        <v>1.30142</v>
      </c>
      <c r="Z113" s="21">
        <v>15.473800000000001</v>
      </c>
      <c r="AA113" s="21">
        <v>-1.4385999999999999E-2</v>
      </c>
      <c r="AB113" s="21">
        <v>103</v>
      </c>
      <c r="AC113" s="21">
        <v>1.3006599999999999</v>
      </c>
      <c r="AD113">
        <f t="shared" si="16"/>
        <v>17.760493827160492</v>
      </c>
      <c r="AE113">
        <f t="shared" si="17"/>
        <v>23.113861876543208</v>
      </c>
      <c r="AF113" s="9"/>
      <c r="AG113" s="21">
        <v>0.41870099999999999</v>
      </c>
      <c r="AH113" s="21">
        <v>19.333300000000001</v>
      </c>
      <c r="AI113" s="21">
        <v>-1.5008499999999999E-2</v>
      </c>
      <c r="AJ113" s="21">
        <v>103</v>
      </c>
      <c r="AK113" s="21">
        <v>0.41812100000000002</v>
      </c>
      <c r="AL113">
        <f t="shared" si="18"/>
        <v>18.529012345679011</v>
      </c>
      <c r="AM113">
        <f t="shared" si="19"/>
        <v>7.7581159981481473</v>
      </c>
      <c r="AP113" s="9"/>
      <c r="AQ113" s="21">
        <v>1.30142</v>
      </c>
      <c r="AR113" s="21">
        <v>24.908100000000001</v>
      </c>
      <c r="AS113" s="21">
        <v>-1.44257E-2</v>
      </c>
      <c r="AT113" s="21">
        <v>103</v>
      </c>
      <c r="AU113" s="21">
        <v>1.2997399999999999</v>
      </c>
      <c r="AV113">
        <f t="shared" si="20"/>
        <v>17.809506172839505</v>
      </c>
      <c r="AW113">
        <f t="shared" si="21"/>
        <v>23.177647523456788</v>
      </c>
      <c r="AX113" s="9"/>
      <c r="AY113" s="21">
        <v>0.41870099999999999</v>
      </c>
      <c r="AZ113" s="21">
        <v>28.767600000000002</v>
      </c>
      <c r="BA113" s="21">
        <v>-1.50665E-2</v>
      </c>
      <c r="BB113" s="21">
        <v>103</v>
      </c>
      <c r="BC113" s="21">
        <v>0.41809099999999999</v>
      </c>
      <c r="BD113">
        <f t="shared" si="22"/>
        <v>18.600617283950616</v>
      </c>
      <c r="BE113">
        <f t="shared" si="23"/>
        <v>7.7880970574074064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1.2963899999999999</v>
      </c>
      <c r="H114" s="21">
        <v>6.0697000000000001</v>
      </c>
      <c r="I114" s="21">
        <v>-1.43707E-2</v>
      </c>
      <c r="J114" s="21">
        <v>104</v>
      </c>
      <c r="K114" s="21">
        <v>1.2954699999999999</v>
      </c>
      <c r="L114">
        <f t="shared" si="12"/>
        <v>17.741604938271603</v>
      </c>
      <c r="M114">
        <f t="shared" si="13"/>
        <v>23.000039225925921</v>
      </c>
      <c r="N114" s="9"/>
      <c r="O114" s="21">
        <v>0.41519200000000001</v>
      </c>
      <c r="P114" s="21">
        <v>17.246300000000002</v>
      </c>
      <c r="Q114" s="21">
        <v>-1.50391E-2</v>
      </c>
      <c r="R114" s="21">
        <v>279</v>
      </c>
      <c r="S114" s="21">
        <v>0.41452</v>
      </c>
      <c r="T114">
        <f t="shared" si="14"/>
        <v>18.566790123456791</v>
      </c>
      <c r="U114">
        <f t="shared" si="15"/>
        <v>7.7087827249382723</v>
      </c>
      <c r="X114" s="9"/>
      <c r="Y114" s="21">
        <v>1.2963899999999999</v>
      </c>
      <c r="Z114" s="21">
        <v>15.4839</v>
      </c>
      <c r="AA114" s="21">
        <v>-1.43921E-2</v>
      </c>
      <c r="AB114" s="21">
        <v>104</v>
      </c>
      <c r="AC114" s="21">
        <v>1.2954699999999999</v>
      </c>
      <c r="AD114">
        <f t="shared" si="16"/>
        <v>17.768024691358022</v>
      </c>
      <c r="AE114">
        <f t="shared" si="17"/>
        <v>23.034289529629625</v>
      </c>
      <c r="AF114" s="9"/>
      <c r="AG114" s="21">
        <v>0.42373699999999997</v>
      </c>
      <c r="AH114" s="21">
        <v>19.343399999999999</v>
      </c>
      <c r="AI114" s="21">
        <v>-1.5014599999999999E-2</v>
      </c>
      <c r="AJ114" s="21">
        <v>104</v>
      </c>
      <c r="AK114" s="21">
        <v>0.42309600000000003</v>
      </c>
      <c r="AL114">
        <f t="shared" si="18"/>
        <v>18.536543209876541</v>
      </c>
      <c r="AM114">
        <f t="shared" si="19"/>
        <v>7.8546192101234551</v>
      </c>
      <c r="AP114" s="9"/>
      <c r="AQ114" s="21">
        <v>1.2963899999999999</v>
      </c>
      <c r="AR114" s="21">
        <v>24.918099999999999</v>
      </c>
      <c r="AS114" s="21">
        <v>-1.44318E-2</v>
      </c>
      <c r="AT114" s="21">
        <v>104</v>
      </c>
      <c r="AU114" s="21">
        <v>1.2957799999999999</v>
      </c>
      <c r="AV114">
        <f t="shared" si="20"/>
        <v>17.817037037037036</v>
      </c>
      <c r="AW114">
        <f t="shared" si="21"/>
        <v>23.097828644444441</v>
      </c>
      <c r="AX114" s="9"/>
      <c r="AY114" s="21">
        <v>0.42373699999999997</v>
      </c>
      <c r="AZ114" s="21">
        <v>28.7776</v>
      </c>
      <c r="BA114" s="21">
        <v>-1.50665E-2</v>
      </c>
      <c r="BB114" s="21">
        <v>104</v>
      </c>
      <c r="BC114" s="21">
        <v>0.42309600000000003</v>
      </c>
      <c r="BD114">
        <f t="shared" si="22"/>
        <v>18.600617283950616</v>
      </c>
      <c r="BE114">
        <f t="shared" si="23"/>
        <v>7.8817697660493815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1.29135</v>
      </c>
      <c r="H115" s="21">
        <v>6.0797699999999999</v>
      </c>
      <c r="I115" s="21">
        <v>-1.43707E-2</v>
      </c>
      <c r="J115" s="21">
        <v>105</v>
      </c>
      <c r="K115" s="21">
        <v>1.2905899999999999</v>
      </c>
      <c r="L115">
        <f t="shared" si="12"/>
        <v>17.741604938271603</v>
      </c>
      <c r="M115">
        <f t="shared" si="13"/>
        <v>22.910621537037034</v>
      </c>
      <c r="N115" s="9"/>
      <c r="O115" s="21">
        <v>0.42022700000000002</v>
      </c>
      <c r="P115" s="21">
        <v>17.2363</v>
      </c>
      <c r="Q115" s="21">
        <v>-1.50391E-2</v>
      </c>
      <c r="R115" s="21">
        <v>278</v>
      </c>
      <c r="S115" s="21">
        <v>0.41970800000000003</v>
      </c>
      <c r="T115">
        <f t="shared" si="14"/>
        <v>18.566790123456791</v>
      </c>
      <c r="U115">
        <f t="shared" si="15"/>
        <v>7.8022665132098767</v>
      </c>
      <c r="X115" s="9"/>
      <c r="Y115" s="21">
        <v>1.29135</v>
      </c>
      <c r="Z115" s="21">
        <v>15.494</v>
      </c>
      <c r="AA115" s="21">
        <v>-1.44073E-2</v>
      </c>
      <c r="AB115" s="21">
        <v>105</v>
      </c>
      <c r="AC115" s="21">
        <v>1.2905899999999999</v>
      </c>
      <c r="AD115">
        <f t="shared" si="16"/>
        <v>17.78679012345679</v>
      </c>
      <c r="AE115">
        <f t="shared" si="17"/>
        <v>22.968971425925925</v>
      </c>
      <c r="AF115" s="9"/>
      <c r="AG115" s="21">
        <v>0.42877199999999999</v>
      </c>
      <c r="AH115" s="21">
        <v>19.3535</v>
      </c>
      <c r="AI115" s="21">
        <v>-1.50116E-2</v>
      </c>
      <c r="AJ115" s="21">
        <v>105</v>
      </c>
      <c r="AK115" s="21">
        <v>0.42816199999999999</v>
      </c>
      <c r="AL115">
        <f t="shared" si="18"/>
        <v>18.532839506172838</v>
      </c>
      <c r="AM115">
        <f t="shared" si="19"/>
        <v>7.94636266074074</v>
      </c>
      <c r="AP115" s="9"/>
      <c r="AQ115" s="21">
        <v>1.29135</v>
      </c>
      <c r="AR115" s="21">
        <v>24.9282</v>
      </c>
      <c r="AS115" s="21">
        <v>-1.44379E-2</v>
      </c>
      <c r="AT115" s="21">
        <v>105</v>
      </c>
      <c r="AU115" s="21">
        <v>1.2908900000000001</v>
      </c>
      <c r="AV115">
        <f t="shared" si="20"/>
        <v>17.824567901234566</v>
      </c>
      <c r="AW115">
        <f t="shared" si="21"/>
        <v>23.017755759259256</v>
      </c>
      <c r="AX115" s="9"/>
      <c r="AY115" s="21">
        <v>0.42877199999999999</v>
      </c>
      <c r="AZ115" s="21">
        <v>28.787700000000001</v>
      </c>
      <c r="BA115" s="21">
        <v>-1.50787E-2</v>
      </c>
      <c r="BB115" s="21">
        <v>105</v>
      </c>
      <c r="BC115" s="21">
        <v>0.42819200000000002</v>
      </c>
      <c r="BD115">
        <f t="shared" si="22"/>
        <v>18.61567901234568</v>
      </c>
      <c r="BE115">
        <f t="shared" si="23"/>
        <v>7.9818819214814818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1.2863199999999999</v>
      </c>
      <c r="H116" s="21">
        <v>6.0898399999999997</v>
      </c>
      <c r="I116" s="21">
        <v>-1.4373800000000001E-2</v>
      </c>
      <c r="J116" s="21">
        <v>106</v>
      </c>
      <c r="K116" s="21">
        <v>1.2847900000000001</v>
      </c>
      <c r="L116">
        <f t="shared" si="12"/>
        <v>17.745432098765431</v>
      </c>
      <c r="M116">
        <f t="shared" si="13"/>
        <v>22.826304217283948</v>
      </c>
      <c r="N116" s="9"/>
      <c r="O116" s="21">
        <v>0.42526199999999997</v>
      </c>
      <c r="P116" s="21">
        <v>17.226199999999999</v>
      </c>
      <c r="Q116" s="21">
        <v>-1.5048199999999999E-2</v>
      </c>
      <c r="R116" s="21">
        <v>277</v>
      </c>
      <c r="S116" s="21">
        <v>0.424591</v>
      </c>
      <c r="T116">
        <f t="shared" si="14"/>
        <v>18.578024691358021</v>
      </c>
      <c r="U116">
        <f t="shared" si="15"/>
        <v>7.9005279362962941</v>
      </c>
      <c r="X116" s="9"/>
      <c r="Y116" s="21">
        <v>1.2863199999999999</v>
      </c>
      <c r="Z116" s="21">
        <v>15.504099999999999</v>
      </c>
      <c r="AA116" s="21">
        <v>-1.44165E-2</v>
      </c>
      <c r="AB116" s="21">
        <v>106</v>
      </c>
      <c r="AC116" s="21">
        <v>1.2857099999999999</v>
      </c>
      <c r="AD116">
        <f t="shared" si="16"/>
        <v>17.798148148148147</v>
      </c>
      <c r="AE116">
        <f t="shared" si="17"/>
        <v>22.894113925925922</v>
      </c>
      <c r="AF116" s="9"/>
      <c r="AG116" s="21">
        <v>0.433807</v>
      </c>
      <c r="AH116" s="21">
        <v>19.363499999999998</v>
      </c>
      <c r="AI116" s="21">
        <v>-1.50055E-2</v>
      </c>
      <c r="AJ116" s="21">
        <v>106</v>
      </c>
      <c r="AK116" s="21">
        <v>0.43325799999999998</v>
      </c>
      <c r="AL116">
        <f t="shared" si="18"/>
        <v>18.525308641975307</v>
      </c>
      <c r="AM116">
        <f t="shared" si="19"/>
        <v>8.0364085660493814</v>
      </c>
      <c r="AP116" s="9"/>
      <c r="AQ116" s="21">
        <v>1.2863199999999999</v>
      </c>
      <c r="AR116" s="21">
        <v>24.938300000000002</v>
      </c>
      <c r="AS116" s="21">
        <v>-1.4447E-2</v>
      </c>
      <c r="AT116" s="21">
        <v>106</v>
      </c>
      <c r="AU116" s="21">
        <v>1.2854000000000001</v>
      </c>
      <c r="AV116">
        <f t="shared" si="20"/>
        <v>17.8358024691358</v>
      </c>
      <c r="AW116">
        <f t="shared" si="21"/>
        <v>22.942549432098762</v>
      </c>
      <c r="AX116" s="9"/>
      <c r="AY116" s="21">
        <v>0.433807</v>
      </c>
      <c r="AZ116" s="21">
        <v>28.797799999999999</v>
      </c>
      <c r="BA116" s="21">
        <v>-1.5084800000000001E-2</v>
      </c>
      <c r="BB116" s="21">
        <v>106</v>
      </c>
      <c r="BC116" s="21">
        <v>0.433197</v>
      </c>
      <c r="BD116">
        <f t="shared" si="22"/>
        <v>18.623209876543207</v>
      </c>
      <c r="BE116">
        <f t="shared" si="23"/>
        <v>8.0788788069135791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1.28128</v>
      </c>
      <c r="H117" s="21">
        <v>6.09992</v>
      </c>
      <c r="I117" s="21">
        <v>-1.4382900000000001E-2</v>
      </c>
      <c r="J117" s="21">
        <v>107</v>
      </c>
      <c r="K117" s="21">
        <v>1.2808200000000001</v>
      </c>
      <c r="L117">
        <f t="shared" si="12"/>
        <v>17.756666666666668</v>
      </c>
      <c r="M117">
        <f t="shared" si="13"/>
        <v>22.751261866666667</v>
      </c>
      <c r="N117" s="9"/>
      <c r="O117" s="21">
        <v>0.43029800000000001</v>
      </c>
      <c r="P117" s="21">
        <v>17.216100000000001</v>
      </c>
      <c r="Q117" s="21">
        <v>-1.50604E-2</v>
      </c>
      <c r="R117" s="21">
        <v>276</v>
      </c>
      <c r="S117" s="21">
        <v>0.42968800000000001</v>
      </c>
      <c r="T117">
        <f t="shared" si="14"/>
        <v>18.593086419753085</v>
      </c>
      <c r="U117">
        <f t="shared" si="15"/>
        <v>8.0005679002469137</v>
      </c>
      <c r="X117" s="9"/>
      <c r="Y117" s="21">
        <v>1.28128</v>
      </c>
      <c r="Z117" s="21">
        <v>15.514099999999999</v>
      </c>
      <c r="AA117" s="21">
        <v>-1.44257E-2</v>
      </c>
      <c r="AB117" s="21">
        <v>107</v>
      </c>
      <c r="AC117" s="21">
        <v>1.2808200000000001</v>
      </c>
      <c r="AD117">
        <f t="shared" si="16"/>
        <v>17.809506172839505</v>
      </c>
      <c r="AE117">
        <f t="shared" si="17"/>
        <v>22.818964069135802</v>
      </c>
      <c r="AF117" s="9"/>
      <c r="AG117" s="21">
        <v>0.43884299999999998</v>
      </c>
      <c r="AH117" s="21">
        <v>19.3736</v>
      </c>
      <c r="AI117" s="21">
        <v>-1.50055E-2</v>
      </c>
      <c r="AJ117" s="21">
        <v>107</v>
      </c>
      <c r="AK117" s="21">
        <v>0.43832399999999999</v>
      </c>
      <c r="AL117">
        <f t="shared" si="18"/>
        <v>18.525308641975307</v>
      </c>
      <c r="AM117">
        <f t="shared" si="19"/>
        <v>8.1297020203703703</v>
      </c>
      <c r="AP117" s="9"/>
      <c r="AQ117" s="21">
        <v>1.28128</v>
      </c>
      <c r="AR117" s="21">
        <v>24.948399999999999</v>
      </c>
      <c r="AS117" s="21">
        <v>-1.44531E-2</v>
      </c>
      <c r="AT117" s="21">
        <v>107</v>
      </c>
      <c r="AU117" s="21">
        <v>1.2805200000000001</v>
      </c>
      <c r="AV117">
        <f t="shared" si="20"/>
        <v>17.843333333333334</v>
      </c>
      <c r="AW117">
        <f t="shared" si="21"/>
        <v>22.862306133333334</v>
      </c>
      <c r="AX117" s="9"/>
      <c r="AY117" s="21">
        <v>0.43884299999999998</v>
      </c>
      <c r="AZ117" s="21">
        <v>28.8078</v>
      </c>
      <c r="BA117" s="21">
        <v>-1.50879E-2</v>
      </c>
      <c r="BB117" s="21">
        <v>107</v>
      </c>
      <c r="BC117" s="21">
        <v>0.43826300000000001</v>
      </c>
      <c r="BD117">
        <f t="shared" si="22"/>
        <v>18.627037037037034</v>
      </c>
      <c r="BE117">
        <f t="shared" si="23"/>
        <v>8.1743448144444422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1.2762500000000001</v>
      </c>
      <c r="H118" s="21">
        <v>6.1099899999999998</v>
      </c>
      <c r="I118" s="21">
        <v>-1.43921E-2</v>
      </c>
      <c r="J118" s="21">
        <v>108</v>
      </c>
      <c r="K118" s="21">
        <v>1.2753300000000001</v>
      </c>
      <c r="L118">
        <f t="shared" si="12"/>
        <v>17.768024691358022</v>
      </c>
      <c r="M118">
        <f t="shared" si="13"/>
        <v>22.676441512345676</v>
      </c>
      <c r="N118" s="9"/>
      <c r="O118" s="21">
        <v>0.43533300000000003</v>
      </c>
      <c r="P118" s="21">
        <v>17.206099999999999</v>
      </c>
      <c r="Q118" s="21">
        <v>-1.5063500000000001E-2</v>
      </c>
      <c r="R118" s="21">
        <v>275</v>
      </c>
      <c r="S118" s="21">
        <v>0.434753</v>
      </c>
      <c r="T118">
        <f t="shared" si="14"/>
        <v>18.596913580246913</v>
      </c>
      <c r="U118">
        <f t="shared" si="15"/>
        <v>8.0958501796296289</v>
      </c>
      <c r="X118" s="9"/>
      <c r="Y118" s="21">
        <v>1.2762500000000001</v>
      </c>
      <c r="Z118" s="21">
        <v>15.5242</v>
      </c>
      <c r="AA118" s="21">
        <v>-1.4434799999999999E-2</v>
      </c>
      <c r="AB118" s="21">
        <v>108</v>
      </c>
      <c r="AC118" s="21">
        <v>1.2753300000000001</v>
      </c>
      <c r="AD118">
        <f t="shared" si="16"/>
        <v>17.820740740740739</v>
      </c>
      <c r="AE118">
        <f t="shared" si="17"/>
        <v>22.743720370370369</v>
      </c>
      <c r="AF118" s="9"/>
      <c r="AG118" s="21">
        <v>0.44387799999999999</v>
      </c>
      <c r="AH118" s="21">
        <v>19.383700000000001</v>
      </c>
      <c r="AI118" s="21">
        <v>-1.49994E-2</v>
      </c>
      <c r="AJ118" s="21">
        <v>108</v>
      </c>
      <c r="AK118" s="21">
        <v>0.443359</v>
      </c>
      <c r="AL118">
        <f t="shared" si="18"/>
        <v>18.517777777777777</v>
      </c>
      <c r="AM118">
        <f t="shared" si="19"/>
        <v>8.2196341644444448</v>
      </c>
      <c r="AP118" s="9"/>
      <c r="AQ118" s="21">
        <v>1.2762500000000001</v>
      </c>
      <c r="AR118" s="21">
        <v>24.958400000000001</v>
      </c>
      <c r="AS118" s="21">
        <v>-1.44592E-2</v>
      </c>
      <c r="AT118" s="21">
        <v>108</v>
      </c>
      <c r="AU118" s="21">
        <v>1.2759400000000001</v>
      </c>
      <c r="AV118">
        <f t="shared" si="20"/>
        <v>17.850864197530864</v>
      </c>
      <c r="AW118">
        <f t="shared" si="21"/>
        <v>22.782165432098768</v>
      </c>
      <c r="AX118" s="9"/>
      <c r="AY118" s="21">
        <v>0.44387799999999999</v>
      </c>
      <c r="AZ118" s="21">
        <v>28.817900000000002</v>
      </c>
      <c r="BA118" s="21">
        <v>-1.5084800000000001E-2</v>
      </c>
      <c r="BB118" s="21">
        <v>108</v>
      </c>
      <c r="BC118" s="21">
        <v>0.443359</v>
      </c>
      <c r="BD118">
        <f t="shared" si="22"/>
        <v>18.623209876543207</v>
      </c>
      <c r="BE118">
        <f t="shared" si="23"/>
        <v>8.2664331535802464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1.27121</v>
      </c>
      <c r="H119" s="21">
        <v>6.1200599999999996</v>
      </c>
      <c r="I119" s="21">
        <v>-1.43982E-2</v>
      </c>
      <c r="J119" s="21">
        <v>109</v>
      </c>
      <c r="K119" s="21">
        <v>1.2704500000000001</v>
      </c>
      <c r="L119">
        <f t="shared" si="12"/>
        <v>17.775555555555556</v>
      </c>
      <c r="M119">
        <f t="shared" si="13"/>
        <v>22.596463977777777</v>
      </c>
      <c r="N119" s="9"/>
      <c r="O119" s="21">
        <v>0.44036900000000001</v>
      </c>
      <c r="P119" s="21">
        <v>17.196000000000002</v>
      </c>
      <c r="Q119" s="21">
        <v>-1.5069600000000001E-2</v>
      </c>
      <c r="R119" s="21">
        <v>274</v>
      </c>
      <c r="S119" s="21">
        <v>0.43978899999999999</v>
      </c>
      <c r="T119">
        <f t="shared" si="14"/>
        <v>18.604444444444443</v>
      </c>
      <c r="U119">
        <f t="shared" si="15"/>
        <v>8.1928205955555544</v>
      </c>
      <c r="X119" s="9"/>
      <c r="Y119" s="21">
        <v>1.27121</v>
      </c>
      <c r="Z119" s="21">
        <v>15.5343</v>
      </c>
      <c r="AA119" s="21">
        <v>-1.4444E-2</v>
      </c>
      <c r="AB119" s="21">
        <v>109</v>
      </c>
      <c r="AC119" s="21">
        <v>1.2698400000000001</v>
      </c>
      <c r="AD119">
        <f t="shared" si="16"/>
        <v>17.832098765432097</v>
      </c>
      <c r="AE119">
        <f t="shared" si="17"/>
        <v>22.668342271604935</v>
      </c>
      <c r="AF119" s="9"/>
      <c r="AG119" s="21">
        <v>0.44891399999999998</v>
      </c>
      <c r="AH119" s="21">
        <v>19.393699999999999</v>
      </c>
      <c r="AI119" s="21">
        <v>-1.49994E-2</v>
      </c>
      <c r="AJ119" s="21">
        <v>109</v>
      </c>
      <c r="AK119" s="21">
        <v>0.448212</v>
      </c>
      <c r="AL119">
        <f t="shared" si="18"/>
        <v>18.517777777777777</v>
      </c>
      <c r="AM119">
        <f t="shared" si="19"/>
        <v>8.3128896933333323</v>
      </c>
      <c r="AP119" s="9"/>
      <c r="AQ119" s="21">
        <v>1.27121</v>
      </c>
      <c r="AR119" s="21">
        <v>24.968499999999999</v>
      </c>
      <c r="AS119" s="21">
        <v>-1.4471400000000001E-2</v>
      </c>
      <c r="AT119" s="21">
        <v>109</v>
      </c>
      <c r="AU119" s="21">
        <v>1.2698400000000001</v>
      </c>
      <c r="AV119">
        <f t="shared" si="20"/>
        <v>17.865925925925925</v>
      </c>
      <c r="AW119">
        <f t="shared" si="21"/>
        <v>22.711343696296293</v>
      </c>
      <c r="AX119" s="9"/>
      <c r="AY119" s="21">
        <v>0.44891399999999998</v>
      </c>
      <c r="AZ119" s="21">
        <v>28.827999999999999</v>
      </c>
      <c r="BA119" s="21">
        <v>-1.5081799999999999E-2</v>
      </c>
      <c r="BB119" s="21">
        <v>109</v>
      </c>
      <c r="BC119" s="21">
        <v>0.44833400000000001</v>
      </c>
      <c r="BD119">
        <f t="shared" si="22"/>
        <v>18.619506172839504</v>
      </c>
      <c r="BE119">
        <f t="shared" si="23"/>
        <v>8.3585569940740729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1.26617</v>
      </c>
      <c r="H120" s="21">
        <v>6.1301300000000003</v>
      </c>
      <c r="I120" s="21">
        <v>-1.44104E-2</v>
      </c>
      <c r="J120" s="21">
        <v>110</v>
      </c>
      <c r="K120" s="21">
        <v>1.26495</v>
      </c>
      <c r="L120">
        <f t="shared" si="12"/>
        <v>17.790617283950617</v>
      </c>
      <c r="M120">
        <f t="shared" si="13"/>
        <v>22.525945886419752</v>
      </c>
      <c r="N120" s="9"/>
      <c r="O120" s="21">
        <v>0.44540400000000002</v>
      </c>
      <c r="P120" s="21">
        <v>17.1859</v>
      </c>
      <c r="Q120" s="21">
        <v>-1.50726E-2</v>
      </c>
      <c r="R120" s="21">
        <v>273</v>
      </c>
      <c r="S120" s="21">
        <v>0.44479400000000002</v>
      </c>
      <c r="T120">
        <f t="shared" si="14"/>
        <v>18.60814814814815</v>
      </c>
      <c r="U120">
        <f t="shared" si="15"/>
        <v>8.288143617777779</v>
      </c>
      <c r="X120" s="9"/>
      <c r="Y120" s="21">
        <v>1.26617</v>
      </c>
      <c r="Z120" s="21">
        <v>15.5443</v>
      </c>
      <c r="AA120" s="21">
        <v>-1.44531E-2</v>
      </c>
      <c r="AB120" s="21">
        <v>110</v>
      </c>
      <c r="AC120" s="21">
        <v>1.2652600000000001</v>
      </c>
      <c r="AD120">
        <f t="shared" si="16"/>
        <v>17.843333333333334</v>
      </c>
      <c r="AE120">
        <f t="shared" si="17"/>
        <v>22.592693366666669</v>
      </c>
      <c r="AF120" s="9"/>
      <c r="AG120" s="21">
        <v>0.45394899999999999</v>
      </c>
      <c r="AH120" s="21">
        <v>19.4038</v>
      </c>
      <c r="AI120" s="21">
        <v>-1.49994E-2</v>
      </c>
      <c r="AJ120" s="21">
        <v>110</v>
      </c>
      <c r="AK120" s="21">
        <v>0.45343</v>
      </c>
      <c r="AL120">
        <f t="shared" si="18"/>
        <v>18.517777777777777</v>
      </c>
      <c r="AM120">
        <f t="shared" si="19"/>
        <v>8.4061267044444445</v>
      </c>
      <c r="AP120" s="9"/>
      <c r="AQ120" s="21">
        <v>1.26617</v>
      </c>
      <c r="AR120" s="21">
        <v>24.9786</v>
      </c>
      <c r="AS120" s="21">
        <v>-1.4477500000000001E-2</v>
      </c>
      <c r="AT120" s="21">
        <v>110</v>
      </c>
      <c r="AU120" s="21">
        <v>1.26556</v>
      </c>
      <c r="AV120">
        <f t="shared" si="20"/>
        <v>17.873456790123456</v>
      </c>
      <c r="AW120">
        <f t="shared" si="21"/>
        <v>22.630834783950615</v>
      </c>
      <c r="AX120" s="9"/>
      <c r="AY120" s="21">
        <v>0.45394899999999999</v>
      </c>
      <c r="AZ120" s="21">
        <v>28.838000000000001</v>
      </c>
      <c r="BA120" s="21">
        <v>-1.5084800000000001E-2</v>
      </c>
      <c r="BB120" s="21">
        <v>110</v>
      </c>
      <c r="BC120" s="21">
        <v>0.45324700000000001</v>
      </c>
      <c r="BD120">
        <f t="shared" si="22"/>
        <v>18.623209876543207</v>
      </c>
      <c r="BE120">
        <f t="shared" si="23"/>
        <v>8.453987500246912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1.2611399999999999</v>
      </c>
      <c r="H121" s="21">
        <v>6.1402000000000001</v>
      </c>
      <c r="I121" s="21">
        <v>-1.4419599999999999E-2</v>
      </c>
      <c r="J121" s="21">
        <v>111</v>
      </c>
      <c r="K121" s="21">
        <v>1.2603800000000001</v>
      </c>
      <c r="L121">
        <f t="shared" si="12"/>
        <v>17.801975308641975</v>
      </c>
      <c r="M121">
        <f t="shared" si="13"/>
        <v>22.450783140740739</v>
      </c>
      <c r="N121" s="9"/>
      <c r="O121" s="21">
        <v>0.45043899999999998</v>
      </c>
      <c r="P121" s="21">
        <v>17.175799999999999</v>
      </c>
      <c r="Q121" s="21">
        <v>-1.50574E-2</v>
      </c>
      <c r="R121" s="21">
        <v>272</v>
      </c>
      <c r="S121" s="21">
        <v>0.44982899999999998</v>
      </c>
      <c r="T121">
        <f t="shared" si="14"/>
        <v>18.589382716049382</v>
      </c>
      <c r="U121">
        <f t="shared" si="15"/>
        <v>8.3733829612345669</v>
      </c>
      <c r="X121" s="9"/>
      <c r="Y121" s="21">
        <v>1.2611399999999999</v>
      </c>
      <c r="Z121" s="21">
        <v>15.554399999999999</v>
      </c>
      <c r="AA121" s="21">
        <v>-1.44653E-2</v>
      </c>
      <c r="AB121" s="21">
        <v>111</v>
      </c>
      <c r="AC121" s="21">
        <v>1.2609900000000001</v>
      </c>
      <c r="AD121">
        <f t="shared" si="16"/>
        <v>17.858395061728395</v>
      </c>
      <c r="AE121">
        <f t="shared" si="17"/>
        <v>22.521936348148145</v>
      </c>
      <c r="AF121" s="9"/>
      <c r="AG121" s="21">
        <v>0.458984</v>
      </c>
      <c r="AH121" s="21">
        <v>19.413900000000002</v>
      </c>
      <c r="AI121" s="21">
        <v>-1.49994E-2</v>
      </c>
      <c r="AJ121" s="21">
        <v>111</v>
      </c>
      <c r="AK121" s="21">
        <v>0.458588</v>
      </c>
      <c r="AL121">
        <f t="shared" si="18"/>
        <v>18.517777777777777</v>
      </c>
      <c r="AM121">
        <f t="shared" si="19"/>
        <v>8.499363715555555</v>
      </c>
      <c r="AP121" s="9"/>
      <c r="AQ121" s="21">
        <v>1.2611399999999999</v>
      </c>
      <c r="AR121" s="21">
        <v>24.988600000000002</v>
      </c>
      <c r="AS121" s="21">
        <v>-1.44806E-2</v>
      </c>
      <c r="AT121" s="21">
        <v>111</v>
      </c>
      <c r="AU121" s="21">
        <v>1.26068</v>
      </c>
      <c r="AV121">
        <f t="shared" si="20"/>
        <v>17.877283950617283</v>
      </c>
      <c r="AW121">
        <f t="shared" si="21"/>
        <v>22.545757881481478</v>
      </c>
      <c r="AX121" s="9"/>
      <c r="AY121" s="21">
        <v>0.458984</v>
      </c>
      <c r="AZ121" s="21">
        <v>28.848099999999999</v>
      </c>
      <c r="BA121" s="21">
        <v>-1.5094E-2</v>
      </c>
      <c r="BB121" s="21">
        <v>111</v>
      </c>
      <c r="BC121" s="21">
        <v>0.45840500000000001</v>
      </c>
      <c r="BD121">
        <f t="shared" si="22"/>
        <v>18.634567901234568</v>
      </c>
      <c r="BE121">
        <f t="shared" si="23"/>
        <v>8.5529685135802467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1.2561</v>
      </c>
      <c r="H122" s="21">
        <v>6.1502699999999999</v>
      </c>
      <c r="I122" s="21">
        <v>-1.4419599999999999E-2</v>
      </c>
      <c r="J122" s="21">
        <v>112</v>
      </c>
      <c r="K122" s="21">
        <v>1.25549</v>
      </c>
      <c r="L122">
        <f t="shared" si="12"/>
        <v>17.801975308641975</v>
      </c>
      <c r="M122">
        <f t="shared" si="13"/>
        <v>22.361061185185186</v>
      </c>
      <c r="N122" s="9"/>
      <c r="O122" s="21">
        <v>0.45547500000000002</v>
      </c>
      <c r="P122" s="21">
        <v>17.165800000000001</v>
      </c>
      <c r="Q122" s="21">
        <v>-1.50452E-2</v>
      </c>
      <c r="R122" s="21">
        <v>271</v>
      </c>
      <c r="S122" s="21">
        <v>0.45486500000000002</v>
      </c>
      <c r="T122">
        <f t="shared" si="14"/>
        <v>18.574320987654321</v>
      </c>
      <c r="U122">
        <f t="shared" si="15"/>
        <v>8.4601388518518519</v>
      </c>
      <c r="X122" s="9"/>
      <c r="Y122" s="21">
        <v>1.2561</v>
      </c>
      <c r="Z122" s="21">
        <v>15.564500000000001</v>
      </c>
      <c r="AA122" s="21">
        <v>-1.4468399999999999E-2</v>
      </c>
      <c r="AB122" s="21">
        <v>112</v>
      </c>
      <c r="AC122" s="21">
        <v>1.25488</v>
      </c>
      <c r="AD122">
        <f t="shared" si="16"/>
        <v>17.862222222222222</v>
      </c>
      <c r="AE122">
        <f t="shared" si="17"/>
        <v>22.436737333333333</v>
      </c>
      <c r="AF122" s="9"/>
      <c r="AG122" s="21">
        <v>0.46401999999999999</v>
      </c>
      <c r="AH122" s="21">
        <v>19.423999999999999</v>
      </c>
      <c r="AI122" s="21">
        <v>-1.4996300000000001E-2</v>
      </c>
      <c r="AJ122" s="21">
        <v>112</v>
      </c>
      <c r="AK122" s="21">
        <v>0.46346999999999999</v>
      </c>
      <c r="AL122">
        <f t="shared" si="18"/>
        <v>18.51395061728395</v>
      </c>
      <c r="AM122">
        <f t="shared" si="19"/>
        <v>8.5908433654320984</v>
      </c>
      <c r="AP122" s="9"/>
      <c r="AQ122" s="21">
        <v>1.2561</v>
      </c>
      <c r="AR122" s="21">
        <v>24.998699999999999</v>
      </c>
      <c r="AS122" s="21">
        <v>-1.44867E-2</v>
      </c>
      <c r="AT122" s="21">
        <v>112</v>
      </c>
      <c r="AU122" s="21">
        <v>1.25519</v>
      </c>
      <c r="AV122">
        <f t="shared" si="20"/>
        <v>17.884814814814817</v>
      </c>
      <c r="AW122">
        <f t="shared" si="21"/>
        <v>22.465115888888892</v>
      </c>
      <c r="AX122" s="9"/>
      <c r="AY122" s="21">
        <v>0.46401999999999999</v>
      </c>
      <c r="AZ122" s="21">
        <v>28.8582</v>
      </c>
      <c r="BA122" s="21">
        <v>-1.5109300000000001E-2</v>
      </c>
      <c r="BB122" s="21">
        <v>112</v>
      </c>
      <c r="BC122" s="21">
        <v>0.46340900000000002</v>
      </c>
      <c r="BD122">
        <f t="shared" si="22"/>
        <v>18.653456790123457</v>
      </c>
      <c r="BE122">
        <f t="shared" si="23"/>
        <v>8.6555770197530855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1.2510699999999999</v>
      </c>
      <c r="H123" s="21">
        <v>6.1603399999999997</v>
      </c>
      <c r="I123" s="21">
        <v>-1.44257E-2</v>
      </c>
      <c r="J123" s="21">
        <v>113</v>
      </c>
      <c r="K123" s="21">
        <v>1.25092</v>
      </c>
      <c r="L123">
        <f t="shared" si="12"/>
        <v>17.809506172839505</v>
      </c>
      <c r="M123">
        <f t="shared" si="13"/>
        <v>22.280938887654319</v>
      </c>
      <c r="N123" s="9"/>
      <c r="O123" s="21">
        <v>0.46050999999999997</v>
      </c>
      <c r="P123" s="21">
        <v>17.1557</v>
      </c>
      <c r="Q123" s="21">
        <v>-1.50391E-2</v>
      </c>
      <c r="R123" s="21">
        <v>270</v>
      </c>
      <c r="S123" s="21">
        <v>0.45989999999999998</v>
      </c>
      <c r="T123">
        <f t="shared" si="14"/>
        <v>18.566790123456791</v>
      </c>
      <c r="U123">
        <f t="shared" si="15"/>
        <v>8.5501925197530859</v>
      </c>
      <c r="X123" s="9"/>
      <c r="Y123" s="21">
        <v>1.2510699999999999</v>
      </c>
      <c r="Z123" s="21">
        <v>15.5746</v>
      </c>
      <c r="AA123" s="21">
        <v>-1.4471400000000001E-2</v>
      </c>
      <c r="AB123" s="21">
        <v>113</v>
      </c>
      <c r="AC123" s="21">
        <v>1.25</v>
      </c>
      <c r="AD123">
        <f t="shared" si="16"/>
        <v>17.865925925925925</v>
      </c>
      <c r="AE123">
        <f t="shared" si="17"/>
        <v>22.351523948148145</v>
      </c>
      <c r="AF123" s="9"/>
      <c r="AG123" s="21">
        <v>0.469055</v>
      </c>
      <c r="AH123" s="21">
        <v>19.434000000000001</v>
      </c>
      <c r="AI123" s="21">
        <v>-1.49994E-2</v>
      </c>
      <c r="AJ123" s="21">
        <v>113</v>
      </c>
      <c r="AK123" s="21">
        <v>0.46850599999999998</v>
      </c>
      <c r="AL123">
        <f t="shared" si="18"/>
        <v>18.517777777777777</v>
      </c>
      <c r="AM123">
        <f t="shared" si="19"/>
        <v>8.6858562555555547</v>
      </c>
      <c r="AP123" s="9"/>
      <c r="AQ123" s="21">
        <v>1.2510699999999999</v>
      </c>
      <c r="AR123" s="21">
        <v>25.008800000000001</v>
      </c>
      <c r="AS123" s="21">
        <v>-1.44958E-2</v>
      </c>
      <c r="AT123" s="21">
        <v>113</v>
      </c>
      <c r="AU123" s="21">
        <v>1.24969</v>
      </c>
      <c r="AV123">
        <f t="shared" si="20"/>
        <v>17.896049382716047</v>
      </c>
      <c r="AW123">
        <f t="shared" si="21"/>
        <v>22.389210501234562</v>
      </c>
      <c r="AX123" s="9"/>
      <c r="AY123" s="21">
        <v>0.469055</v>
      </c>
      <c r="AZ123" s="21">
        <v>28.868300000000001</v>
      </c>
      <c r="BA123" s="21">
        <v>-1.5115399999999999E-2</v>
      </c>
      <c r="BB123" s="21">
        <v>113</v>
      </c>
      <c r="BC123" s="21">
        <v>0.46847499999999997</v>
      </c>
      <c r="BD123">
        <f t="shared" si="22"/>
        <v>18.660987654320987</v>
      </c>
      <c r="BE123">
        <f t="shared" si="23"/>
        <v>8.7530295641975311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1.24603</v>
      </c>
      <c r="H124" s="21">
        <v>6.1704100000000004</v>
      </c>
      <c r="I124" s="21">
        <v>-1.4428699999999999E-2</v>
      </c>
      <c r="J124" s="21">
        <v>114</v>
      </c>
      <c r="K124" s="21">
        <v>1.24542</v>
      </c>
      <c r="L124">
        <f t="shared" si="12"/>
        <v>17.813209876543205</v>
      </c>
      <c r="M124">
        <f t="shared" si="13"/>
        <v>22.195793902469131</v>
      </c>
      <c r="N124" s="9"/>
      <c r="O124" s="21">
        <v>0.46554600000000002</v>
      </c>
      <c r="P124" s="21">
        <v>17.145600000000002</v>
      </c>
      <c r="Q124" s="21">
        <v>-1.50391E-2</v>
      </c>
      <c r="R124" s="21">
        <v>269</v>
      </c>
      <c r="S124" s="21">
        <v>0.46493499999999999</v>
      </c>
      <c r="T124">
        <f t="shared" si="14"/>
        <v>18.566790123456791</v>
      </c>
      <c r="U124">
        <f t="shared" si="15"/>
        <v>8.6436948748148161</v>
      </c>
      <c r="X124" s="9"/>
      <c r="Y124" s="21">
        <v>1.24603</v>
      </c>
      <c r="Z124" s="21">
        <v>15.5846</v>
      </c>
      <c r="AA124" s="21">
        <v>-1.44806E-2</v>
      </c>
      <c r="AB124" s="21">
        <v>114</v>
      </c>
      <c r="AC124" s="21">
        <v>1.24512</v>
      </c>
      <c r="AD124">
        <f t="shared" si="16"/>
        <v>17.877283950617283</v>
      </c>
      <c r="AE124">
        <f t="shared" si="17"/>
        <v>22.275632120987652</v>
      </c>
      <c r="AF124" s="9"/>
      <c r="AG124" s="21">
        <v>0.47409099999999998</v>
      </c>
      <c r="AH124" s="21">
        <v>19.444099999999999</v>
      </c>
      <c r="AI124" s="21">
        <v>-1.4993299999999999E-2</v>
      </c>
      <c r="AJ124" s="21">
        <v>114</v>
      </c>
      <c r="AK124" s="21">
        <v>0.47344999999999998</v>
      </c>
      <c r="AL124">
        <f t="shared" si="18"/>
        <v>18.510246913580243</v>
      </c>
      <c r="AM124">
        <f t="shared" si="19"/>
        <v>8.7755414695061713</v>
      </c>
      <c r="AP124" s="9"/>
      <c r="AQ124" s="21">
        <v>1.24603</v>
      </c>
      <c r="AR124" s="21">
        <v>25.018899999999999</v>
      </c>
      <c r="AS124" s="21">
        <v>-1.4508099999999999E-2</v>
      </c>
      <c r="AT124" s="21">
        <v>114</v>
      </c>
      <c r="AU124" s="21">
        <v>1.24542</v>
      </c>
      <c r="AV124">
        <f t="shared" si="20"/>
        <v>17.911234567901232</v>
      </c>
      <c r="AW124">
        <f t="shared" si="21"/>
        <v>22.317935608641971</v>
      </c>
      <c r="AX124" s="9"/>
      <c r="AY124" s="21">
        <v>0.47409099999999998</v>
      </c>
      <c r="AZ124" s="21">
        <v>28.878299999999999</v>
      </c>
      <c r="BA124" s="21">
        <v>-1.5109300000000001E-2</v>
      </c>
      <c r="BB124" s="21">
        <v>114</v>
      </c>
      <c r="BC124" s="21">
        <v>0.47344999999999998</v>
      </c>
      <c r="BD124">
        <f t="shared" si="22"/>
        <v>18.653456790123457</v>
      </c>
      <c r="BE124">
        <f t="shared" si="23"/>
        <v>8.8434359830864189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1.2410000000000001</v>
      </c>
      <c r="H125" s="21">
        <v>6.1804800000000002</v>
      </c>
      <c r="I125" s="21">
        <v>-1.44318E-2</v>
      </c>
      <c r="J125" s="21">
        <v>115</v>
      </c>
      <c r="K125" s="21">
        <v>1.2396199999999999</v>
      </c>
      <c r="L125">
        <f t="shared" si="12"/>
        <v>17.817037037037036</v>
      </c>
      <c r="M125">
        <f t="shared" si="13"/>
        <v>22.110942962962962</v>
      </c>
      <c r="N125" s="9"/>
      <c r="O125" s="21">
        <v>0.47058100000000003</v>
      </c>
      <c r="P125" s="21">
        <v>17.1356</v>
      </c>
      <c r="Q125" s="21">
        <v>-1.50391E-2</v>
      </c>
      <c r="R125" s="21">
        <v>268</v>
      </c>
      <c r="S125" s="21">
        <v>0.47003200000000001</v>
      </c>
      <c r="T125">
        <f t="shared" si="14"/>
        <v>18.566790123456791</v>
      </c>
      <c r="U125">
        <f t="shared" si="15"/>
        <v>8.7371786630864197</v>
      </c>
      <c r="X125" s="9"/>
      <c r="Y125" s="21">
        <v>1.2410000000000001</v>
      </c>
      <c r="Z125" s="21">
        <v>15.5947</v>
      </c>
      <c r="AA125" s="21">
        <v>-1.44958E-2</v>
      </c>
      <c r="AB125" s="21">
        <v>115</v>
      </c>
      <c r="AC125" s="21">
        <v>1.23993</v>
      </c>
      <c r="AD125">
        <f t="shared" si="16"/>
        <v>17.896049382716047</v>
      </c>
      <c r="AE125">
        <f t="shared" si="17"/>
        <v>22.208997283950616</v>
      </c>
      <c r="AF125" s="9"/>
      <c r="AG125" s="21">
        <v>0.479126</v>
      </c>
      <c r="AH125" s="21">
        <v>19.4542</v>
      </c>
      <c r="AI125" s="21">
        <v>-1.49902E-2</v>
      </c>
      <c r="AJ125" s="21">
        <v>115</v>
      </c>
      <c r="AK125" s="21">
        <v>0.478607</v>
      </c>
      <c r="AL125">
        <f t="shared" si="18"/>
        <v>18.506419753086419</v>
      </c>
      <c r="AM125">
        <f t="shared" si="19"/>
        <v>8.8669068706172833</v>
      </c>
      <c r="AP125" s="9"/>
      <c r="AQ125" s="21">
        <v>1.2410000000000001</v>
      </c>
      <c r="AR125" s="21">
        <v>25.0289</v>
      </c>
      <c r="AS125" s="21">
        <v>-1.4517199999999999E-2</v>
      </c>
      <c r="AT125" s="21">
        <v>115</v>
      </c>
      <c r="AU125" s="21">
        <v>1.23993</v>
      </c>
      <c r="AV125">
        <f t="shared" si="20"/>
        <v>17.922469135802466</v>
      </c>
      <c r="AW125">
        <f t="shared" si="21"/>
        <v>22.241784197530862</v>
      </c>
      <c r="AX125" s="9"/>
      <c r="AY125" s="21">
        <v>0.479126</v>
      </c>
      <c r="AZ125" s="21">
        <v>28.888400000000001</v>
      </c>
      <c r="BA125" s="21">
        <v>-1.51031E-2</v>
      </c>
      <c r="BB125" s="21">
        <v>115</v>
      </c>
      <c r="BC125" s="21">
        <v>0.478516</v>
      </c>
      <c r="BD125">
        <f t="shared" si="22"/>
        <v>18.645802469135798</v>
      </c>
      <c r="BE125">
        <f t="shared" si="23"/>
        <v>8.933688753827159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1.2359599999999999</v>
      </c>
      <c r="H126" s="21">
        <v>6.19055</v>
      </c>
      <c r="I126" s="21">
        <v>-1.44318E-2</v>
      </c>
      <c r="J126" s="21">
        <v>116</v>
      </c>
      <c r="K126" s="21">
        <v>1.2347399999999999</v>
      </c>
      <c r="L126">
        <f t="shared" si="12"/>
        <v>17.817037037037036</v>
      </c>
      <c r="M126">
        <f t="shared" si="13"/>
        <v>22.021145096296294</v>
      </c>
      <c r="N126" s="9"/>
      <c r="O126" s="21">
        <v>0.47561599999999998</v>
      </c>
      <c r="P126" s="21">
        <v>17.125499999999999</v>
      </c>
      <c r="Q126" s="21">
        <v>-1.5042099999999999E-2</v>
      </c>
      <c r="R126" s="21">
        <v>267</v>
      </c>
      <c r="S126" s="21">
        <v>0.475159</v>
      </c>
      <c r="T126">
        <f t="shared" si="14"/>
        <v>18.570493827160494</v>
      </c>
      <c r="U126">
        <f t="shared" si="15"/>
        <v>8.8324239920987644</v>
      </c>
      <c r="X126" s="9"/>
      <c r="Y126" s="21">
        <v>1.2359599999999999</v>
      </c>
      <c r="Z126" s="21">
        <v>15.604799999999999</v>
      </c>
      <c r="AA126" s="21">
        <v>-1.4505000000000001E-2</v>
      </c>
      <c r="AB126" s="21">
        <v>116</v>
      </c>
      <c r="AC126" s="21">
        <v>1.23505</v>
      </c>
      <c r="AD126">
        <f t="shared" si="16"/>
        <v>17.907407407407408</v>
      </c>
      <c r="AE126">
        <f t="shared" si="17"/>
        <v>22.13283925925926</v>
      </c>
      <c r="AF126" s="9"/>
      <c r="AG126" s="21">
        <v>0.48416100000000001</v>
      </c>
      <c r="AH126" s="21">
        <v>19.464200000000002</v>
      </c>
      <c r="AI126" s="21">
        <v>-1.49902E-2</v>
      </c>
      <c r="AJ126" s="21">
        <v>116</v>
      </c>
      <c r="AK126" s="21">
        <v>0.48352099999999998</v>
      </c>
      <c r="AL126">
        <f t="shared" si="18"/>
        <v>18.506419753086419</v>
      </c>
      <c r="AM126">
        <f t="shared" si="19"/>
        <v>8.9600866940740733</v>
      </c>
      <c r="AP126" s="9"/>
      <c r="AQ126" s="21">
        <v>1.2359599999999999</v>
      </c>
      <c r="AR126" s="21">
        <v>25.039000000000001</v>
      </c>
      <c r="AS126" s="21">
        <v>-1.45264E-2</v>
      </c>
      <c r="AT126" s="21">
        <v>116</v>
      </c>
      <c r="AU126" s="21">
        <v>1.23505</v>
      </c>
      <c r="AV126">
        <f t="shared" si="20"/>
        <v>17.933827160493827</v>
      </c>
      <c r="AW126">
        <f t="shared" si="21"/>
        <v>22.16549301728395</v>
      </c>
      <c r="AX126" s="9"/>
      <c r="AY126" s="21">
        <v>0.48416100000000001</v>
      </c>
      <c r="AZ126" s="21">
        <v>28.898499999999999</v>
      </c>
      <c r="BA126" s="21">
        <v>-1.5096999999999999E-2</v>
      </c>
      <c r="BB126" s="21">
        <v>116</v>
      </c>
      <c r="BC126" s="21">
        <v>0.48364299999999999</v>
      </c>
      <c r="BD126">
        <f t="shared" si="22"/>
        <v>18.638271604938272</v>
      </c>
      <c r="BE126">
        <f t="shared" si="23"/>
        <v>9.023924218518518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1.2309300000000001</v>
      </c>
      <c r="H127" s="21">
        <v>6.2006300000000003</v>
      </c>
      <c r="I127" s="21">
        <v>-1.44409E-2</v>
      </c>
      <c r="J127" s="21">
        <v>117</v>
      </c>
      <c r="K127" s="21">
        <v>1.2301599999999999</v>
      </c>
      <c r="L127">
        <f t="shared" si="12"/>
        <v>17.828271604938269</v>
      </c>
      <c r="M127">
        <f t="shared" si="13"/>
        <v>21.945354366666667</v>
      </c>
      <c r="N127" s="9"/>
      <c r="O127" s="21">
        <v>0.48065200000000002</v>
      </c>
      <c r="P127" s="21">
        <v>17.115400000000001</v>
      </c>
      <c r="Q127" s="21">
        <v>-1.50391E-2</v>
      </c>
      <c r="R127" s="21">
        <v>266</v>
      </c>
      <c r="S127" s="21">
        <v>0.48004200000000002</v>
      </c>
      <c r="T127">
        <f t="shared" si="14"/>
        <v>18.566790123456791</v>
      </c>
      <c r="U127">
        <f t="shared" si="15"/>
        <v>8.9241648064197534</v>
      </c>
      <c r="X127" s="9"/>
      <c r="Y127" s="21">
        <v>1.2309300000000001</v>
      </c>
      <c r="Z127" s="21">
        <v>15.614800000000001</v>
      </c>
      <c r="AA127" s="21">
        <v>-1.4517199999999999E-2</v>
      </c>
      <c r="AB127" s="21">
        <v>117</v>
      </c>
      <c r="AC127" s="21">
        <v>1.2301599999999999</v>
      </c>
      <c r="AD127">
        <f t="shared" si="16"/>
        <v>17.922469135802466</v>
      </c>
      <c r="AE127">
        <f t="shared" si="17"/>
        <v>22.061304933333332</v>
      </c>
      <c r="AF127" s="9"/>
      <c r="AG127" s="21">
        <v>0.48919699999999999</v>
      </c>
      <c r="AH127" s="21">
        <v>19.474299999999999</v>
      </c>
      <c r="AI127" s="21">
        <v>-1.4993299999999999E-2</v>
      </c>
      <c r="AJ127" s="21">
        <v>117</v>
      </c>
      <c r="AK127" s="21">
        <v>0.48861700000000002</v>
      </c>
      <c r="AL127">
        <f t="shared" si="18"/>
        <v>18.510246913580243</v>
      </c>
      <c r="AM127">
        <f t="shared" si="19"/>
        <v>9.0551572593827139</v>
      </c>
      <c r="AP127" s="9"/>
      <c r="AQ127" s="21">
        <v>1.2309300000000001</v>
      </c>
      <c r="AR127" s="21">
        <v>25.049099999999999</v>
      </c>
      <c r="AS127" s="21">
        <v>-1.45386E-2</v>
      </c>
      <c r="AT127" s="21">
        <v>117</v>
      </c>
      <c r="AU127" s="21">
        <v>1.2301599999999999</v>
      </c>
      <c r="AV127">
        <f t="shared" si="20"/>
        <v>17.948888888888888</v>
      </c>
      <c r="AW127">
        <f t="shared" si="21"/>
        <v>22.093825800000001</v>
      </c>
      <c r="AX127" s="9"/>
      <c r="AY127" s="21">
        <v>0.48919699999999999</v>
      </c>
      <c r="AZ127" s="21">
        <v>28.9085</v>
      </c>
      <c r="BA127" s="21">
        <v>-1.5084800000000001E-2</v>
      </c>
      <c r="BB127" s="21">
        <v>117</v>
      </c>
      <c r="BC127" s="21">
        <v>0.48858600000000002</v>
      </c>
      <c r="BD127">
        <f t="shared" si="22"/>
        <v>18.623209876543207</v>
      </c>
      <c r="BE127">
        <f t="shared" si="23"/>
        <v>9.1104184019753074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1.2258899999999999</v>
      </c>
      <c r="H128" s="21">
        <v>6.2107000000000001</v>
      </c>
      <c r="I128" s="21">
        <v>-1.44501E-2</v>
      </c>
      <c r="J128" s="21">
        <v>118</v>
      </c>
      <c r="K128" s="21">
        <v>1.22498</v>
      </c>
      <c r="L128">
        <f t="shared" si="12"/>
        <v>17.839629629629631</v>
      </c>
      <c r="M128">
        <f t="shared" si="13"/>
        <v>21.869423566666665</v>
      </c>
      <c r="N128" s="9"/>
      <c r="O128" s="21">
        <v>0.48568699999999998</v>
      </c>
      <c r="P128" s="21">
        <v>17.1053</v>
      </c>
      <c r="Q128" s="21">
        <v>-1.50238E-2</v>
      </c>
      <c r="R128" s="21">
        <v>265</v>
      </c>
      <c r="S128" s="21">
        <v>0.484985</v>
      </c>
      <c r="T128">
        <f t="shared" si="14"/>
        <v>18.547901234567902</v>
      </c>
      <c r="U128">
        <f t="shared" si="15"/>
        <v>9.008474506913581</v>
      </c>
      <c r="X128" s="9"/>
      <c r="Y128" s="21">
        <v>1.2258899999999999</v>
      </c>
      <c r="Z128" s="21">
        <v>15.6249</v>
      </c>
      <c r="AA128" s="21">
        <v>-1.4523299999999999E-2</v>
      </c>
      <c r="AB128" s="21">
        <v>118</v>
      </c>
      <c r="AC128" s="21">
        <v>1.22559</v>
      </c>
      <c r="AD128">
        <f t="shared" si="16"/>
        <v>17.93</v>
      </c>
      <c r="AE128">
        <f t="shared" si="17"/>
        <v>21.980207699999998</v>
      </c>
      <c r="AF128" s="9"/>
      <c r="AG128" s="21">
        <v>0.494232</v>
      </c>
      <c r="AH128" s="21">
        <v>19.484400000000001</v>
      </c>
      <c r="AI128" s="21">
        <v>-1.4993299999999999E-2</v>
      </c>
      <c r="AJ128" s="21">
        <v>118</v>
      </c>
      <c r="AK128" s="21">
        <v>0.49368299999999998</v>
      </c>
      <c r="AL128">
        <f t="shared" si="18"/>
        <v>18.510246913580243</v>
      </c>
      <c r="AM128">
        <f t="shared" si="19"/>
        <v>9.1483563525925913</v>
      </c>
      <c r="AP128" s="9"/>
      <c r="AQ128" s="21">
        <v>1.2258899999999999</v>
      </c>
      <c r="AR128" s="21">
        <v>25.059100000000001</v>
      </c>
      <c r="AS128" s="21">
        <v>-1.45477E-2</v>
      </c>
      <c r="AT128" s="21">
        <v>118</v>
      </c>
      <c r="AU128" s="21">
        <v>1.22498</v>
      </c>
      <c r="AV128">
        <f t="shared" si="20"/>
        <v>17.960123456790122</v>
      </c>
      <c r="AW128">
        <f t="shared" si="21"/>
        <v>22.017135744444442</v>
      </c>
      <c r="AX128" s="9"/>
      <c r="AY128" s="21">
        <v>0.494232</v>
      </c>
      <c r="AZ128" s="21">
        <v>28.918600000000001</v>
      </c>
      <c r="BA128" s="21">
        <v>-1.50787E-2</v>
      </c>
      <c r="BB128" s="21">
        <v>118</v>
      </c>
      <c r="BC128" s="21">
        <v>0.49362200000000001</v>
      </c>
      <c r="BD128">
        <f t="shared" si="22"/>
        <v>18.61567901234568</v>
      </c>
      <c r="BE128">
        <f t="shared" si="23"/>
        <v>9.2004642696296308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1.2208600000000001</v>
      </c>
      <c r="H129" s="21">
        <v>6.2207699999999999</v>
      </c>
      <c r="I129" s="21">
        <v>-1.4462300000000001E-2</v>
      </c>
      <c r="J129" s="21">
        <v>119</v>
      </c>
      <c r="K129" s="21">
        <v>1.2197899999999999</v>
      </c>
      <c r="L129">
        <f t="shared" si="12"/>
        <v>17.854691358024692</v>
      </c>
      <c r="M129">
        <f t="shared" si="13"/>
        <v>21.798078491358027</v>
      </c>
      <c r="N129" s="9"/>
      <c r="O129" s="21">
        <v>0.49072300000000002</v>
      </c>
      <c r="P129" s="21">
        <v>17.095300000000002</v>
      </c>
      <c r="Q129" s="21">
        <v>-1.5020800000000001E-2</v>
      </c>
      <c r="R129" s="21">
        <v>264</v>
      </c>
      <c r="S129" s="21">
        <v>0.490143</v>
      </c>
      <c r="T129">
        <f t="shared" si="14"/>
        <v>18.544197530864199</v>
      </c>
      <c r="U129">
        <f t="shared" si="15"/>
        <v>9.100064244938272</v>
      </c>
      <c r="X129" s="9"/>
      <c r="Y129" s="21">
        <v>1.2208600000000001</v>
      </c>
      <c r="Z129" s="21">
        <v>15.635</v>
      </c>
      <c r="AA129" s="21">
        <v>-1.45325E-2</v>
      </c>
      <c r="AB129" s="21">
        <v>119</v>
      </c>
      <c r="AC129" s="21">
        <v>1.2197899999999999</v>
      </c>
      <c r="AD129">
        <f t="shared" si="16"/>
        <v>17.941358024691358</v>
      </c>
      <c r="AE129">
        <f t="shared" si="17"/>
        <v>21.903886358024693</v>
      </c>
      <c r="AF129" s="9"/>
      <c r="AG129" s="21">
        <v>0.49926799999999999</v>
      </c>
      <c r="AH129" s="21">
        <v>19.494499999999999</v>
      </c>
      <c r="AI129" s="21">
        <v>-1.4987199999999999E-2</v>
      </c>
      <c r="AJ129" s="21">
        <v>119</v>
      </c>
      <c r="AK129" s="21">
        <v>0.49868800000000002</v>
      </c>
      <c r="AL129">
        <f t="shared" si="18"/>
        <v>18.502716049382713</v>
      </c>
      <c r="AM129">
        <f t="shared" si="19"/>
        <v>9.2378140365432078</v>
      </c>
      <c r="AP129" s="9"/>
      <c r="AQ129" s="21">
        <v>1.2208600000000001</v>
      </c>
      <c r="AR129" s="21">
        <v>25.069199999999999</v>
      </c>
      <c r="AS129" s="21">
        <v>-1.4550799999999999E-2</v>
      </c>
      <c r="AT129" s="21">
        <v>119</v>
      </c>
      <c r="AU129" s="21">
        <v>1.2200899999999999</v>
      </c>
      <c r="AV129">
        <f t="shared" si="20"/>
        <v>17.963950617283949</v>
      </c>
      <c r="AW129">
        <f t="shared" si="21"/>
        <v>21.931468750617285</v>
      </c>
      <c r="AX129" s="9"/>
      <c r="AY129" s="21">
        <v>0.49926799999999999</v>
      </c>
      <c r="AZ129" s="21">
        <v>28.928699999999999</v>
      </c>
      <c r="BA129" s="21">
        <v>-1.50726E-2</v>
      </c>
      <c r="BB129" s="21">
        <v>119</v>
      </c>
      <c r="BC129" s="21">
        <v>0.49865700000000002</v>
      </c>
      <c r="BD129">
        <f t="shared" si="22"/>
        <v>18.60814814814815</v>
      </c>
      <c r="BE129">
        <f t="shared" si="23"/>
        <v>9.2904529096296304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1.2158199999999999</v>
      </c>
      <c r="H130" s="21">
        <v>6.2308399999999997</v>
      </c>
      <c r="I130" s="21">
        <v>-1.44745E-2</v>
      </c>
      <c r="J130" s="21">
        <v>120</v>
      </c>
      <c r="K130" s="21">
        <v>1.2152099999999999</v>
      </c>
      <c r="L130">
        <f t="shared" si="12"/>
        <v>17.869753086419752</v>
      </c>
      <c r="M130">
        <f t="shared" si="13"/>
        <v>21.72640319753086</v>
      </c>
      <c r="N130" s="9"/>
      <c r="O130" s="21">
        <v>0.49575799999999998</v>
      </c>
      <c r="P130" s="21">
        <v>17.0852</v>
      </c>
      <c r="Q130" s="21">
        <v>-1.50055E-2</v>
      </c>
      <c r="R130" s="21">
        <v>263</v>
      </c>
      <c r="S130" s="21">
        <v>0.495056</v>
      </c>
      <c r="T130">
        <f t="shared" si="14"/>
        <v>18.525308641975307</v>
      </c>
      <c r="U130">
        <f t="shared" si="15"/>
        <v>9.1840699617283938</v>
      </c>
      <c r="X130" s="9"/>
      <c r="Y130" s="21">
        <v>1.2158199999999999</v>
      </c>
      <c r="Z130" s="21">
        <v>15.645099999999999</v>
      </c>
      <c r="AA130" s="21">
        <v>-1.45355E-2</v>
      </c>
      <c r="AB130" s="21">
        <v>120</v>
      </c>
      <c r="AC130" s="21">
        <v>1.2152099999999999</v>
      </c>
      <c r="AD130">
        <f t="shared" si="16"/>
        <v>17.945061728395061</v>
      </c>
      <c r="AE130">
        <f t="shared" si="17"/>
        <v>21.817964950617281</v>
      </c>
      <c r="AF130" s="9"/>
      <c r="AG130" s="21">
        <v>0.50430299999999995</v>
      </c>
      <c r="AH130" s="21">
        <v>19.5045</v>
      </c>
      <c r="AI130" s="21">
        <v>-1.49902E-2</v>
      </c>
      <c r="AJ130" s="21">
        <v>120</v>
      </c>
      <c r="AK130" s="21">
        <v>0.50366200000000005</v>
      </c>
      <c r="AL130">
        <f t="shared" si="18"/>
        <v>18.506419753086419</v>
      </c>
      <c r="AM130">
        <f t="shared" si="19"/>
        <v>9.3328430007407395</v>
      </c>
      <c r="AP130" s="9"/>
      <c r="AQ130" s="21">
        <v>1.2158199999999999</v>
      </c>
      <c r="AR130" s="21">
        <v>25.0793</v>
      </c>
      <c r="AS130" s="21">
        <v>-1.4556899999999999E-2</v>
      </c>
      <c r="AT130" s="21">
        <v>120</v>
      </c>
      <c r="AU130" s="21">
        <v>1.2145999999999999</v>
      </c>
      <c r="AV130">
        <f t="shared" si="20"/>
        <v>17.971481481481479</v>
      </c>
      <c r="AW130">
        <f t="shared" si="21"/>
        <v>21.85008661481481</v>
      </c>
      <c r="AX130" s="9"/>
      <c r="AY130" s="21">
        <v>0.50430299999999995</v>
      </c>
      <c r="AZ130" s="21">
        <v>28.938800000000001</v>
      </c>
      <c r="BA130" s="21">
        <v>-1.5069600000000001E-2</v>
      </c>
      <c r="BB130" s="21">
        <v>120</v>
      </c>
      <c r="BC130" s="21">
        <v>0.50369299999999995</v>
      </c>
      <c r="BD130">
        <f t="shared" si="22"/>
        <v>18.604444444444443</v>
      </c>
      <c r="BE130">
        <f t="shared" si="23"/>
        <v>9.3822771466666648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1.21078</v>
      </c>
      <c r="H131" s="21">
        <v>6.2409100000000004</v>
      </c>
      <c r="I131" s="21">
        <v>-1.4489699999999999E-2</v>
      </c>
      <c r="J131" s="21">
        <v>121</v>
      </c>
      <c r="K131" s="21">
        <v>1.2097199999999999</v>
      </c>
      <c r="L131">
        <f t="shared" si="12"/>
        <v>17.888518518518516</v>
      </c>
      <c r="M131">
        <f t="shared" si="13"/>
        <v>21.65906045185185</v>
      </c>
      <c r="N131" s="9"/>
      <c r="O131" s="21">
        <v>0.50079300000000004</v>
      </c>
      <c r="P131" s="21">
        <v>17.075099999999999</v>
      </c>
      <c r="Q131" s="21">
        <v>-1.4996300000000001E-2</v>
      </c>
      <c r="R131" s="21">
        <v>262</v>
      </c>
      <c r="S131" s="21">
        <v>0.50024400000000002</v>
      </c>
      <c r="T131">
        <f t="shared" si="14"/>
        <v>18.51395061728395</v>
      </c>
      <c r="U131">
        <f t="shared" si="15"/>
        <v>9.2716568714814827</v>
      </c>
      <c r="X131" s="9"/>
      <c r="Y131" s="21">
        <v>1.21078</v>
      </c>
      <c r="Z131" s="21">
        <v>15.655099999999999</v>
      </c>
      <c r="AA131" s="21">
        <v>-1.45386E-2</v>
      </c>
      <c r="AB131" s="21">
        <v>121</v>
      </c>
      <c r="AC131" s="21">
        <v>1.2100200000000001</v>
      </c>
      <c r="AD131">
        <f t="shared" si="16"/>
        <v>17.948888888888888</v>
      </c>
      <c r="AE131">
        <f t="shared" si="17"/>
        <v>21.732155688888888</v>
      </c>
      <c r="AF131" s="9"/>
      <c r="AG131" s="21">
        <v>0.50933799999999996</v>
      </c>
      <c r="AH131" s="21">
        <v>19.514600000000002</v>
      </c>
      <c r="AI131" s="21">
        <v>-1.49902E-2</v>
      </c>
      <c r="AJ131" s="21">
        <v>121</v>
      </c>
      <c r="AK131" s="21">
        <v>0.50869799999999998</v>
      </c>
      <c r="AL131">
        <f t="shared" si="18"/>
        <v>18.506419753086419</v>
      </c>
      <c r="AM131">
        <f t="shared" si="19"/>
        <v>9.4260228241975295</v>
      </c>
      <c r="AP131" s="9"/>
      <c r="AQ131" s="21">
        <v>1.21078</v>
      </c>
      <c r="AR131" s="21">
        <v>25.089400000000001</v>
      </c>
      <c r="AS131" s="21">
        <v>-1.4563E-2</v>
      </c>
      <c r="AT131" s="21">
        <v>121</v>
      </c>
      <c r="AU131" s="21">
        <v>1.2097199999999999</v>
      </c>
      <c r="AV131">
        <f t="shared" si="20"/>
        <v>17.979012345679013</v>
      </c>
      <c r="AW131">
        <f t="shared" si="21"/>
        <v>21.768628567901235</v>
      </c>
      <c r="AX131" s="9"/>
      <c r="AY131" s="21">
        <v>0.50933799999999996</v>
      </c>
      <c r="AZ131" s="21">
        <v>28.948799999999999</v>
      </c>
      <c r="BA131" s="21">
        <v>-1.50665E-2</v>
      </c>
      <c r="BB131" s="21">
        <v>121</v>
      </c>
      <c r="BC131" s="21">
        <v>0.50863599999999998</v>
      </c>
      <c r="BD131">
        <f t="shared" si="22"/>
        <v>18.600617283950616</v>
      </c>
      <c r="BE131">
        <f t="shared" si="23"/>
        <v>9.4740012061728383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1.2057500000000001</v>
      </c>
      <c r="H132" s="21">
        <v>6.2509800000000002</v>
      </c>
      <c r="I132" s="21">
        <v>-1.44928E-2</v>
      </c>
      <c r="J132" s="21">
        <v>122</v>
      </c>
      <c r="K132" s="21">
        <v>1.2048300000000001</v>
      </c>
      <c r="L132">
        <f t="shared" si="12"/>
        <v>17.892345679012344</v>
      </c>
      <c r="M132">
        <f t="shared" si="13"/>
        <v>21.573695802469135</v>
      </c>
      <c r="N132" s="9"/>
      <c r="O132" s="21">
        <v>0.50582899999999997</v>
      </c>
      <c r="P132" s="21">
        <v>17.065100000000001</v>
      </c>
      <c r="Q132" s="21">
        <v>-1.5002400000000001E-2</v>
      </c>
      <c r="R132" s="21">
        <v>261</v>
      </c>
      <c r="S132" s="21">
        <v>0.50512699999999999</v>
      </c>
      <c r="T132">
        <f t="shared" si="14"/>
        <v>18.521481481481484</v>
      </c>
      <c r="U132">
        <f t="shared" si="15"/>
        <v>9.3687024562962975</v>
      </c>
      <c r="X132" s="9"/>
      <c r="Y132" s="21">
        <v>1.2057500000000001</v>
      </c>
      <c r="Z132" s="21">
        <v>15.6652</v>
      </c>
      <c r="AA132" s="21">
        <v>-1.4544700000000001E-2</v>
      </c>
      <c r="AB132" s="21">
        <v>122</v>
      </c>
      <c r="AC132" s="21">
        <v>1.2048300000000001</v>
      </c>
      <c r="AD132">
        <f t="shared" si="16"/>
        <v>17.956419753086422</v>
      </c>
      <c r="AE132">
        <f t="shared" si="17"/>
        <v>21.650953117283954</v>
      </c>
      <c r="AF132" s="9"/>
      <c r="AG132" s="21">
        <v>0.514374</v>
      </c>
      <c r="AH132" s="21">
        <v>19.524699999999999</v>
      </c>
      <c r="AI132" s="21">
        <v>-1.4987199999999999E-2</v>
      </c>
      <c r="AJ132" s="21">
        <v>122</v>
      </c>
      <c r="AK132" s="21">
        <v>0.51370199999999999</v>
      </c>
      <c r="AL132">
        <f t="shared" si="18"/>
        <v>18.502716049382713</v>
      </c>
      <c r="AM132">
        <f t="shared" si="19"/>
        <v>9.5173160651851827</v>
      </c>
      <c r="AP132" s="9"/>
      <c r="AQ132" s="21">
        <v>1.2057500000000001</v>
      </c>
      <c r="AR132" s="21">
        <v>25.099399999999999</v>
      </c>
      <c r="AS132" s="21">
        <v>-1.4566000000000001E-2</v>
      </c>
      <c r="AT132" s="21">
        <v>122</v>
      </c>
      <c r="AU132" s="21">
        <v>1.2051400000000001</v>
      </c>
      <c r="AV132">
        <f t="shared" si="20"/>
        <v>17.982716049382717</v>
      </c>
      <c r="AW132">
        <f t="shared" si="21"/>
        <v>21.682659876543212</v>
      </c>
      <c r="AX132" s="9"/>
      <c r="AY132" s="21">
        <v>0.514374</v>
      </c>
      <c r="AZ132" s="21">
        <v>28.9589</v>
      </c>
      <c r="BA132" s="21">
        <v>-1.50543E-2</v>
      </c>
      <c r="BB132" s="21">
        <v>122</v>
      </c>
      <c r="BC132" s="21">
        <v>0.513733</v>
      </c>
      <c r="BD132">
        <f t="shared" si="22"/>
        <v>18.585555555555555</v>
      </c>
      <c r="BE132">
        <f t="shared" si="23"/>
        <v>9.5599265533333337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1.2007099999999999</v>
      </c>
      <c r="H133" s="21">
        <v>6.26105</v>
      </c>
      <c r="I133" s="21">
        <v>-1.44958E-2</v>
      </c>
      <c r="J133" s="21">
        <v>123</v>
      </c>
      <c r="K133" s="21">
        <v>1.1999500000000001</v>
      </c>
      <c r="L133">
        <f t="shared" si="12"/>
        <v>17.896049382716047</v>
      </c>
      <c r="M133">
        <f t="shared" si="13"/>
        <v>21.487965454320985</v>
      </c>
      <c r="N133" s="9"/>
      <c r="O133" s="21">
        <v>0.51086399999999998</v>
      </c>
      <c r="P133" s="21">
        <v>17.055</v>
      </c>
      <c r="Q133" s="21">
        <v>-1.49994E-2</v>
      </c>
      <c r="R133" s="21">
        <v>260</v>
      </c>
      <c r="S133" s="21">
        <v>0.51022299999999998</v>
      </c>
      <c r="T133">
        <f t="shared" si="14"/>
        <v>18.517777777777777</v>
      </c>
      <c r="U133">
        <f t="shared" si="15"/>
        <v>9.4600660266666665</v>
      </c>
      <c r="X133" s="9"/>
      <c r="Y133" s="21">
        <v>1.2007099999999999</v>
      </c>
      <c r="Z133" s="21">
        <v>15.6753</v>
      </c>
      <c r="AA133" s="21">
        <v>-1.45538E-2</v>
      </c>
      <c r="AB133" s="21">
        <v>123</v>
      </c>
      <c r="AC133" s="21">
        <v>1.1999500000000001</v>
      </c>
      <c r="AD133">
        <f t="shared" si="16"/>
        <v>17.967654320987652</v>
      </c>
      <c r="AE133">
        <f t="shared" si="17"/>
        <v>21.573942219753082</v>
      </c>
      <c r="AF133" s="9"/>
      <c r="AG133" s="21">
        <v>0.51940900000000001</v>
      </c>
      <c r="AH133" s="21">
        <v>19.534700000000001</v>
      </c>
      <c r="AI133" s="21">
        <v>-1.4981100000000001E-2</v>
      </c>
      <c r="AJ133" s="21">
        <v>123</v>
      </c>
      <c r="AK133" s="21">
        <v>0.51864600000000005</v>
      </c>
      <c r="AL133">
        <f t="shared" si="18"/>
        <v>18.495185185185186</v>
      </c>
      <c r="AM133">
        <f t="shared" si="19"/>
        <v>9.6065656418518515</v>
      </c>
      <c r="AP133" s="9"/>
      <c r="AQ133" s="21">
        <v>1.2007099999999999</v>
      </c>
      <c r="AR133" s="21">
        <v>25.109500000000001</v>
      </c>
      <c r="AS133" s="21">
        <v>-1.45752E-2</v>
      </c>
      <c r="AT133" s="21">
        <v>123</v>
      </c>
      <c r="AU133" s="21">
        <v>1.1996500000000001</v>
      </c>
      <c r="AV133">
        <f t="shared" si="20"/>
        <v>17.994074074074071</v>
      </c>
      <c r="AW133">
        <f t="shared" si="21"/>
        <v>21.605664681481475</v>
      </c>
      <c r="AX133" s="9"/>
      <c r="AY133" s="21">
        <v>0.51940900000000001</v>
      </c>
      <c r="AZ133" s="21">
        <v>28.969000000000001</v>
      </c>
      <c r="BA133" s="21">
        <v>-1.5042099999999999E-2</v>
      </c>
      <c r="BB133" s="21">
        <v>123</v>
      </c>
      <c r="BC133" s="21">
        <v>0.51870700000000003</v>
      </c>
      <c r="BD133">
        <f t="shared" si="22"/>
        <v>18.570493827160494</v>
      </c>
      <c r="BE133">
        <f t="shared" si="23"/>
        <v>9.6456816282716051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1.1956800000000001</v>
      </c>
      <c r="H134" s="21">
        <v>6.2711199999999998</v>
      </c>
      <c r="I134" s="21">
        <v>-1.44989E-2</v>
      </c>
      <c r="J134" s="21">
        <v>124</v>
      </c>
      <c r="K134" s="21">
        <v>1.1944600000000001</v>
      </c>
      <c r="L134">
        <f t="shared" si="12"/>
        <v>17.899876543209874</v>
      </c>
      <c r="M134">
        <f t="shared" si="13"/>
        <v>21.402524385185185</v>
      </c>
      <c r="N134" s="9"/>
      <c r="O134" s="21">
        <v>0.51590000000000003</v>
      </c>
      <c r="P134" s="21">
        <v>17.044899999999998</v>
      </c>
      <c r="Q134" s="21">
        <v>-1.5002400000000001E-2</v>
      </c>
      <c r="R134" s="21">
        <v>259</v>
      </c>
      <c r="S134" s="21">
        <v>0.51525900000000002</v>
      </c>
      <c r="T134">
        <f t="shared" si="14"/>
        <v>18.521481481481484</v>
      </c>
      <c r="U134">
        <f t="shared" si="15"/>
        <v>9.5552322962962979</v>
      </c>
      <c r="X134" s="9"/>
      <c r="Y134" s="21">
        <v>1.1956800000000001</v>
      </c>
      <c r="Z134" s="21">
        <v>15.6853</v>
      </c>
      <c r="AA134" s="21">
        <v>-1.4556899999999999E-2</v>
      </c>
      <c r="AB134" s="21">
        <v>124</v>
      </c>
      <c r="AC134" s="21">
        <v>1.1950700000000001</v>
      </c>
      <c r="AD134">
        <f t="shared" si="16"/>
        <v>17.971481481481479</v>
      </c>
      <c r="AE134">
        <f t="shared" si="17"/>
        <v>21.488140977777778</v>
      </c>
      <c r="AF134" s="9"/>
      <c r="AG134" s="21">
        <v>0.52444500000000005</v>
      </c>
      <c r="AH134" s="21">
        <v>19.544799999999999</v>
      </c>
      <c r="AI134" s="21">
        <v>-1.4975E-2</v>
      </c>
      <c r="AJ134" s="21">
        <v>124</v>
      </c>
      <c r="AK134" s="21">
        <v>0.52380400000000005</v>
      </c>
      <c r="AL134">
        <f t="shared" si="18"/>
        <v>18.487654320987652</v>
      </c>
      <c r="AM134">
        <f t="shared" si="19"/>
        <v>9.69575787037037</v>
      </c>
      <c r="AP134" s="9"/>
      <c r="AQ134" s="21">
        <v>1.1956800000000001</v>
      </c>
      <c r="AR134" s="21">
        <v>25.119599999999998</v>
      </c>
      <c r="AS134" s="21">
        <v>-1.45752E-2</v>
      </c>
      <c r="AT134" s="21">
        <v>124</v>
      </c>
      <c r="AU134" s="21">
        <v>1.1950700000000001</v>
      </c>
      <c r="AV134">
        <f t="shared" si="20"/>
        <v>17.994074074074071</v>
      </c>
      <c r="AW134">
        <f t="shared" si="21"/>
        <v>21.515154488888886</v>
      </c>
      <c r="AX134" s="9"/>
      <c r="AY134" s="21">
        <v>0.52444500000000005</v>
      </c>
      <c r="AZ134" s="21">
        <v>28.978999999999999</v>
      </c>
      <c r="BA134" s="21">
        <v>-1.50452E-2</v>
      </c>
      <c r="BB134" s="21">
        <v>124</v>
      </c>
      <c r="BC134" s="21">
        <v>0.523895</v>
      </c>
      <c r="BD134">
        <f t="shared" si="22"/>
        <v>18.574320987654321</v>
      </c>
      <c r="BE134">
        <f t="shared" si="23"/>
        <v>9.7412097703703715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1.1906399999999999</v>
      </c>
      <c r="H135" s="21">
        <v>6.2811899999999996</v>
      </c>
      <c r="I135" s="21">
        <v>-1.4505000000000001E-2</v>
      </c>
      <c r="J135" s="21">
        <v>125</v>
      </c>
      <c r="K135" s="21">
        <v>1.1895800000000001</v>
      </c>
      <c r="L135">
        <f t="shared" si="12"/>
        <v>17.907407407407408</v>
      </c>
      <c r="M135">
        <f t="shared" si="13"/>
        <v>21.321275555555555</v>
      </c>
      <c r="N135" s="9"/>
      <c r="O135" s="21">
        <v>0.52093500000000004</v>
      </c>
      <c r="P135" s="21">
        <v>17.0349</v>
      </c>
      <c r="Q135" s="21">
        <v>-1.50055E-2</v>
      </c>
      <c r="R135" s="21">
        <v>258</v>
      </c>
      <c r="S135" s="21">
        <v>0.52029400000000003</v>
      </c>
      <c r="T135">
        <f t="shared" si="14"/>
        <v>18.525308641975307</v>
      </c>
      <c r="U135">
        <f t="shared" si="15"/>
        <v>9.6504816574074077</v>
      </c>
      <c r="X135" s="9"/>
      <c r="Y135" s="21">
        <v>1.1906399999999999</v>
      </c>
      <c r="Z135" s="21">
        <v>15.695399999999999</v>
      </c>
      <c r="AA135" s="21">
        <v>-1.4563E-2</v>
      </c>
      <c r="AB135" s="21">
        <v>125</v>
      </c>
      <c r="AC135" s="21">
        <v>1.1895800000000001</v>
      </c>
      <c r="AD135">
        <f t="shared" si="16"/>
        <v>17.979012345679013</v>
      </c>
      <c r="AE135">
        <f t="shared" si="17"/>
        <v>21.40653125925926</v>
      </c>
      <c r="AF135" s="9"/>
      <c r="AG135" s="21">
        <v>0.52947999999999995</v>
      </c>
      <c r="AH135" s="21">
        <v>19.5549</v>
      </c>
      <c r="AI135" s="21">
        <v>-1.4978E-2</v>
      </c>
      <c r="AJ135" s="21">
        <v>125</v>
      </c>
      <c r="AK135" s="21">
        <v>0.52883899999999995</v>
      </c>
      <c r="AL135">
        <f t="shared" si="18"/>
        <v>18.491358024691355</v>
      </c>
      <c r="AM135">
        <f t="shared" si="19"/>
        <v>9.7908042469135772</v>
      </c>
      <c r="AP135" s="9"/>
      <c r="AQ135" s="21">
        <v>1.1906399999999999</v>
      </c>
      <c r="AR135" s="21">
        <v>25.1296</v>
      </c>
      <c r="AS135" s="21">
        <v>-1.45813E-2</v>
      </c>
      <c r="AT135" s="21">
        <v>125</v>
      </c>
      <c r="AU135" s="21">
        <v>1.18927</v>
      </c>
      <c r="AV135">
        <f t="shared" si="20"/>
        <v>18.001604938271605</v>
      </c>
      <c r="AW135">
        <f t="shared" si="21"/>
        <v>21.433430903703702</v>
      </c>
      <c r="AX135" s="9"/>
      <c r="AY135" s="21">
        <v>0.52947999999999995</v>
      </c>
      <c r="AZ135" s="21">
        <v>28.989100000000001</v>
      </c>
      <c r="BA135" s="21">
        <v>-1.5048199999999999E-2</v>
      </c>
      <c r="BB135" s="21">
        <v>125</v>
      </c>
      <c r="BC135" s="21">
        <v>0.52883899999999995</v>
      </c>
      <c r="BD135">
        <f t="shared" si="22"/>
        <v>18.578024691358021</v>
      </c>
      <c r="BE135">
        <f t="shared" si="23"/>
        <v>9.8366925135802443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1.1856100000000001</v>
      </c>
      <c r="H136" s="21">
        <v>6.2912600000000003</v>
      </c>
      <c r="I136" s="21">
        <v>-1.45142E-2</v>
      </c>
      <c r="J136" s="21">
        <v>126</v>
      </c>
      <c r="K136" s="21">
        <v>1.18469</v>
      </c>
      <c r="L136">
        <f t="shared" si="12"/>
        <v>17.918765432098763</v>
      </c>
      <c r="M136">
        <f t="shared" si="13"/>
        <v>21.244667483950614</v>
      </c>
      <c r="N136" s="9"/>
      <c r="O136" s="21">
        <v>0.52597000000000005</v>
      </c>
      <c r="P136" s="21">
        <v>17.024799999999999</v>
      </c>
      <c r="Q136" s="21">
        <v>-1.50177E-2</v>
      </c>
      <c r="R136" s="21">
        <v>257</v>
      </c>
      <c r="S136" s="21">
        <v>0.52532999999999996</v>
      </c>
      <c r="T136">
        <f t="shared" si="14"/>
        <v>18.540370370370372</v>
      </c>
      <c r="U136">
        <f t="shared" si="15"/>
        <v>9.7516786037037058</v>
      </c>
      <c r="X136" s="9"/>
      <c r="Y136" s="21">
        <v>1.1856100000000001</v>
      </c>
      <c r="Z136" s="21">
        <v>15.705500000000001</v>
      </c>
      <c r="AA136" s="21">
        <v>-1.45691E-2</v>
      </c>
      <c r="AB136" s="21">
        <v>126</v>
      </c>
      <c r="AC136" s="21">
        <v>1.1853</v>
      </c>
      <c r="AD136">
        <f t="shared" si="16"/>
        <v>17.98654320987654</v>
      </c>
      <c r="AE136">
        <f t="shared" si="17"/>
        <v>21.325025495061727</v>
      </c>
      <c r="AF136" s="9"/>
      <c r="AG136" s="21">
        <v>0.53451499999999996</v>
      </c>
      <c r="AH136" s="21">
        <v>19.565000000000001</v>
      </c>
      <c r="AI136" s="21">
        <v>-1.4981100000000001E-2</v>
      </c>
      <c r="AJ136" s="21">
        <v>126</v>
      </c>
      <c r="AK136" s="21">
        <v>0.53390499999999996</v>
      </c>
      <c r="AL136">
        <f t="shared" si="18"/>
        <v>18.495185185185186</v>
      </c>
      <c r="AM136">
        <f t="shared" si="19"/>
        <v>9.8859539092592588</v>
      </c>
      <c r="AP136" s="9"/>
      <c r="AQ136" s="21">
        <v>1.1856100000000001</v>
      </c>
      <c r="AR136" s="21">
        <v>25.139700000000001</v>
      </c>
      <c r="AS136" s="21">
        <v>-1.4584400000000001E-2</v>
      </c>
      <c r="AT136" s="21">
        <v>126</v>
      </c>
      <c r="AU136" s="21">
        <v>1.1850000000000001</v>
      </c>
      <c r="AV136">
        <f t="shared" si="20"/>
        <v>18.005432098765432</v>
      </c>
      <c r="AW136">
        <f t="shared" si="21"/>
        <v>21.347420350617284</v>
      </c>
      <c r="AX136" s="9"/>
      <c r="AY136" s="21">
        <v>0.53451499999999996</v>
      </c>
      <c r="AZ136" s="21">
        <v>28.999199999999998</v>
      </c>
      <c r="BA136" s="21">
        <v>-1.50604E-2</v>
      </c>
      <c r="BB136" s="21">
        <v>126</v>
      </c>
      <c r="BC136" s="21">
        <v>0.53381299999999998</v>
      </c>
      <c r="BD136">
        <f t="shared" si="22"/>
        <v>18.593086419753085</v>
      </c>
      <c r="BE136">
        <f t="shared" si="23"/>
        <v>9.9382835876543201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1.1805699999999999</v>
      </c>
      <c r="H137" s="21">
        <v>6.3013399999999997</v>
      </c>
      <c r="I137" s="21">
        <v>-1.4517199999999999E-2</v>
      </c>
      <c r="J137" s="21">
        <v>127</v>
      </c>
      <c r="K137" s="21">
        <v>1.1795</v>
      </c>
      <c r="L137">
        <f t="shared" si="12"/>
        <v>17.922469135802466</v>
      </c>
      <c r="M137">
        <f t="shared" si="13"/>
        <v>21.158729387654315</v>
      </c>
      <c r="N137" s="9"/>
      <c r="O137" s="21">
        <v>0.53100599999999998</v>
      </c>
      <c r="P137" s="21">
        <v>17.014700000000001</v>
      </c>
      <c r="Q137" s="21">
        <v>-1.50238E-2</v>
      </c>
      <c r="R137" s="21">
        <v>256</v>
      </c>
      <c r="S137" s="21">
        <v>0.530304</v>
      </c>
      <c r="T137">
        <f t="shared" si="14"/>
        <v>18.547901234567902</v>
      </c>
      <c r="U137">
        <f t="shared" si="15"/>
        <v>9.849046842962963</v>
      </c>
      <c r="X137" s="9"/>
      <c r="Y137" s="21">
        <v>1.1805699999999999</v>
      </c>
      <c r="Z137" s="21">
        <v>15.7156</v>
      </c>
      <c r="AA137" s="21">
        <v>-1.4578199999999999E-2</v>
      </c>
      <c r="AB137" s="21">
        <v>127</v>
      </c>
      <c r="AC137" s="21">
        <v>1.17981</v>
      </c>
      <c r="AD137">
        <f t="shared" si="16"/>
        <v>17.997777777777777</v>
      </c>
      <c r="AE137">
        <f t="shared" si="17"/>
        <v>21.247636511111107</v>
      </c>
      <c r="AF137" s="9"/>
      <c r="AG137" s="21">
        <v>0.539551</v>
      </c>
      <c r="AH137" s="21">
        <v>19.574999999999999</v>
      </c>
      <c r="AI137" s="21">
        <v>-1.4987199999999999E-2</v>
      </c>
      <c r="AJ137" s="21">
        <v>127</v>
      </c>
      <c r="AK137" s="21">
        <v>0.53891</v>
      </c>
      <c r="AL137">
        <f t="shared" si="18"/>
        <v>18.502716049382713</v>
      </c>
      <c r="AM137">
        <f t="shared" si="19"/>
        <v>9.9831589471604918</v>
      </c>
      <c r="AP137" s="9"/>
      <c r="AQ137" s="21">
        <v>1.1805699999999999</v>
      </c>
      <c r="AR137" s="21">
        <v>25.149799999999999</v>
      </c>
      <c r="AS137" s="21">
        <v>-1.4593500000000001E-2</v>
      </c>
      <c r="AT137" s="21">
        <v>127</v>
      </c>
      <c r="AU137" s="21">
        <v>1.1795</v>
      </c>
      <c r="AV137">
        <f t="shared" si="20"/>
        <v>18.016666666666666</v>
      </c>
      <c r="AW137">
        <f t="shared" si="21"/>
        <v>21.269936166666664</v>
      </c>
      <c r="AX137" s="9"/>
      <c r="AY137" s="21">
        <v>0.539551</v>
      </c>
      <c r="AZ137" s="21">
        <v>29.0093</v>
      </c>
      <c r="BA137" s="21">
        <v>-1.5069600000000001E-2</v>
      </c>
      <c r="BB137" s="21">
        <v>127</v>
      </c>
      <c r="BC137" s="21">
        <v>0.53893999999999997</v>
      </c>
      <c r="BD137">
        <f t="shared" si="22"/>
        <v>18.604444444444443</v>
      </c>
      <c r="BE137">
        <f t="shared" si="23"/>
        <v>10.038046604444444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1.17554</v>
      </c>
      <c r="H138" s="21">
        <v>6.3114100000000004</v>
      </c>
      <c r="I138" s="21">
        <v>-1.4523299999999999E-2</v>
      </c>
      <c r="J138" s="21">
        <v>128</v>
      </c>
      <c r="K138" s="21">
        <v>1.17523</v>
      </c>
      <c r="L138">
        <f t="shared" si="12"/>
        <v>17.93</v>
      </c>
      <c r="M138">
        <f t="shared" si="13"/>
        <v>21.077432200000001</v>
      </c>
      <c r="N138" s="9"/>
      <c r="O138" s="21">
        <v>0.53604099999999999</v>
      </c>
      <c r="P138" s="21">
        <v>17.0046</v>
      </c>
      <c r="Q138" s="21">
        <v>-1.50238E-2</v>
      </c>
      <c r="R138" s="21">
        <v>255</v>
      </c>
      <c r="S138" s="21">
        <v>0.53537000000000001</v>
      </c>
      <c r="T138">
        <f t="shared" si="14"/>
        <v>18.547901234567902</v>
      </c>
      <c r="U138">
        <f t="shared" si="15"/>
        <v>9.9424355256790129</v>
      </c>
      <c r="X138" s="9"/>
      <c r="Y138" s="21">
        <v>1.17554</v>
      </c>
      <c r="Z138" s="21">
        <v>15.7256</v>
      </c>
      <c r="AA138" s="21">
        <v>-1.45813E-2</v>
      </c>
      <c r="AB138" s="21">
        <v>128</v>
      </c>
      <c r="AC138" s="21">
        <v>1.17462</v>
      </c>
      <c r="AD138">
        <f t="shared" si="16"/>
        <v>18.001604938271605</v>
      </c>
      <c r="AE138">
        <f t="shared" si="17"/>
        <v>21.161606669135804</v>
      </c>
      <c r="AF138" s="9"/>
      <c r="AG138" s="21">
        <v>0.54458600000000001</v>
      </c>
      <c r="AH138" s="21">
        <v>19.585100000000001</v>
      </c>
      <c r="AI138" s="21">
        <v>-1.4987199999999999E-2</v>
      </c>
      <c r="AJ138" s="21">
        <v>128</v>
      </c>
      <c r="AK138" s="21">
        <v>0.54394500000000001</v>
      </c>
      <c r="AL138">
        <f t="shared" si="18"/>
        <v>18.502716049382713</v>
      </c>
      <c r="AM138">
        <f t="shared" si="19"/>
        <v>10.076320122469134</v>
      </c>
      <c r="AP138" s="9"/>
      <c r="AQ138" s="21">
        <v>1.17554</v>
      </c>
      <c r="AR138" s="21">
        <v>25.1599</v>
      </c>
      <c r="AS138" s="21">
        <v>-1.4599600000000001E-2</v>
      </c>
      <c r="AT138" s="21">
        <v>128</v>
      </c>
      <c r="AU138" s="21">
        <v>1.17462</v>
      </c>
      <c r="AV138">
        <f t="shared" si="20"/>
        <v>18.0241975308642</v>
      </c>
      <c r="AW138">
        <f t="shared" si="21"/>
        <v>21.188165165432103</v>
      </c>
      <c r="AX138" s="9"/>
      <c r="AY138" s="21">
        <v>0.54458600000000001</v>
      </c>
      <c r="AZ138" s="21">
        <v>29.019300000000001</v>
      </c>
      <c r="BA138" s="21">
        <v>-1.5075699999999999E-2</v>
      </c>
      <c r="BB138" s="21">
        <v>128</v>
      </c>
      <c r="BC138" s="21">
        <v>0.54388400000000003</v>
      </c>
      <c r="BD138">
        <f t="shared" si="22"/>
        <v>18.611975308641973</v>
      </c>
      <c r="BE138">
        <f t="shared" si="23"/>
        <v>10.135821185432098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1.1705000000000001</v>
      </c>
      <c r="H139" s="21">
        <v>6.3214800000000002</v>
      </c>
      <c r="I139" s="21">
        <v>-1.45294E-2</v>
      </c>
      <c r="J139" s="21">
        <v>129</v>
      </c>
      <c r="K139" s="21">
        <v>1.16974</v>
      </c>
      <c r="L139">
        <f t="shared" si="12"/>
        <v>17.93753086419753</v>
      </c>
      <c r="M139">
        <f t="shared" si="13"/>
        <v>20.99587987654321</v>
      </c>
      <c r="N139" s="9"/>
      <c r="O139" s="21">
        <v>0.54107700000000003</v>
      </c>
      <c r="P139" s="21">
        <v>16.994599999999998</v>
      </c>
      <c r="Q139" s="21">
        <v>-1.5026899999999999E-2</v>
      </c>
      <c r="R139" s="21">
        <v>254</v>
      </c>
      <c r="S139" s="21">
        <v>0.54043600000000003</v>
      </c>
      <c r="T139">
        <f t="shared" si="14"/>
        <v>18.551728395061726</v>
      </c>
      <c r="U139">
        <f t="shared" si="15"/>
        <v>10.037913544814813</v>
      </c>
      <c r="X139" s="9"/>
      <c r="Y139" s="21">
        <v>1.1705000000000001</v>
      </c>
      <c r="Z139" s="21">
        <v>15.7357</v>
      </c>
      <c r="AA139" s="21">
        <v>-1.45874E-2</v>
      </c>
      <c r="AB139" s="21">
        <v>129</v>
      </c>
      <c r="AC139" s="21">
        <v>1.16943</v>
      </c>
      <c r="AD139">
        <f t="shared" si="16"/>
        <v>18.009135802469135</v>
      </c>
      <c r="AE139">
        <f t="shared" si="17"/>
        <v>21.079693456790125</v>
      </c>
      <c r="AF139" s="9"/>
      <c r="AG139" s="21">
        <v>0.54962200000000005</v>
      </c>
      <c r="AH139" s="21">
        <v>19.595199999999998</v>
      </c>
      <c r="AI139" s="21">
        <v>-1.4978E-2</v>
      </c>
      <c r="AJ139" s="21">
        <v>129</v>
      </c>
      <c r="AK139" s="21">
        <v>0.54904200000000003</v>
      </c>
      <c r="AL139">
        <f t="shared" si="18"/>
        <v>18.491358024691355</v>
      </c>
      <c r="AM139">
        <f t="shared" si="19"/>
        <v>10.163257180246912</v>
      </c>
      <c r="AP139" s="9"/>
      <c r="AQ139" s="21">
        <v>1.1705000000000001</v>
      </c>
      <c r="AR139" s="21">
        <v>25.169899999999998</v>
      </c>
      <c r="AS139" s="21">
        <v>-1.46027E-2</v>
      </c>
      <c r="AT139" s="21">
        <v>129</v>
      </c>
      <c r="AU139" s="21">
        <v>1.16943</v>
      </c>
      <c r="AV139">
        <f t="shared" si="20"/>
        <v>18.028024691358024</v>
      </c>
      <c r="AW139">
        <f t="shared" si="21"/>
        <v>21.101802901234567</v>
      </c>
      <c r="AX139" s="9"/>
      <c r="AY139" s="21">
        <v>0.54962200000000005</v>
      </c>
      <c r="AZ139" s="21">
        <v>29.029399999999999</v>
      </c>
      <c r="BA139" s="21">
        <v>-1.5075699999999999E-2</v>
      </c>
      <c r="BB139" s="21">
        <v>129</v>
      </c>
      <c r="BC139" s="21">
        <v>0.54898100000000005</v>
      </c>
      <c r="BD139">
        <f t="shared" si="22"/>
        <v>18.611975308641973</v>
      </c>
      <c r="BE139">
        <f t="shared" si="23"/>
        <v>10.229551093086419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1.16547</v>
      </c>
      <c r="H140" s="21">
        <v>6.33155</v>
      </c>
      <c r="I140" s="21">
        <v>-1.45325E-2</v>
      </c>
      <c r="J140" s="21">
        <v>130</v>
      </c>
      <c r="K140" s="21">
        <v>1.16455</v>
      </c>
      <c r="L140">
        <f t="shared" ref="L140:L203" si="24">-I140/$F$2*1000</f>
        <v>17.941358024691358</v>
      </c>
      <c r="M140">
        <f t="shared" ref="M140:M203" si="25">L140*G140</f>
        <v>20.910114537037035</v>
      </c>
      <c r="N140" s="9"/>
      <c r="O140" s="21">
        <v>0.54611200000000004</v>
      </c>
      <c r="P140" s="21">
        <v>16.984500000000001</v>
      </c>
      <c r="Q140" s="21">
        <v>-1.50238E-2</v>
      </c>
      <c r="R140" s="21">
        <v>253</v>
      </c>
      <c r="S140" s="21">
        <v>0.54553200000000002</v>
      </c>
      <c r="T140">
        <f t="shared" ref="T140:T203" si="26">-Q140/$F$2*1000</f>
        <v>18.547901234567902</v>
      </c>
      <c r="U140">
        <f t="shared" ref="U140:U203" si="27">T140*O140</f>
        <v>10.129231439012347</v>
      </c>
      <c r="X140" s="9"/>
      <c r="Y140" s="21">
        <v>1.16547</v>
      </c>
      <c r="Z140" s="21">
        <v>15.745799999999999</v>
      </c>
      <c r="AA140" s="21">
        <v>-1.4593500000000001E-2</v>
      </c>
      <c r="AB140" s="21">
        <v>130</v>
      </c>
      <c r="AC140" s="21">
        <v>1.16486</v>
      </c>
      <c r="AD140">
        <f t="shared" ref="AD140:AD203" si="28">-AA140/$F$2*1000</f>
        <v>18.016666666666666</v>
      </c>
      <c r="AE140">
        <f t="shared" ref="AE140:AE203" si="29">AD140*Y140</f>
        <v>20.997884499999998</v>
      </c>
      <c r="AF140" s="9"/>
      <c r="AG140" s="21">
        <v>0.55465699999999996</v>
      </c>
      <c r="AH140" s="21">
        <v>19.6052</v>
      </c>
      <c r="AI140" s="21">
        <v>-1.49719E-2</v>
      </c>
      <c r="AJ140" s="21">
        <v>130</v>
      </c>
      <c r="AK140" s="21">
        <v>0.55410800000000004</v>
      </c>
      <c r="AL140">
        <f t="shared" ref="AL140:AL203" si="30">-AI140/$F$2*1000</f>
        <v>18.483827160493824</v>
      </c>
      <c r="AM140">
        <f t="shared" ref="AM140:AM203" si="31">AL140*AG140</f>
        <v>10.252184121358022</v>
      </c>
      <c r="AP140" s="9"/>
      <c r="AQ140" s="21">
        <v>1.16547</v>
      </c>
      <c r="AR140" s="21">
        <v>25.18</v>
      </c>
      <c r="AS140" s="21">
        <v>-1.46027E-2</v>
      </c>
      <c r="AT140" s="21">
        <v>130</v>
      </c>
      <c r="AU140" s="21">
        <v>1.16455</v>
      </c>
      <c r="AV140">
        <f t="shared" ref="AV140:AV203" si="32">-AS140/$F$2*1000</f>
        <v>18.028024691358024</v>
      </c>
      <c r="AW140">
        <f t="shared" ref="AW140:AW203" si="33">AV140*AQ140</f>
        <v>21.011121937037036</v>
      </c>
      <c r="AX140" s="9"/>
      <c r="AY140" s="21">
        <v>0.55465699999999996</v>
      </c>
      <c r="AZ140" s="21">
        <v>29.0395</v>
      </c>
      <c r="BA140" s="21">
        <v>-1.5069600000000001E-2</v>
      </c>
      <c r="BB140" s="21">
        <v>130</v>
      </c>
      <c r="BC140" s="21">
        <v>0.55407700000000004</v>
      </c>
      <c r="BD140">
        <f t="shared" ref="BD140:BD203" si="34">-BA140/$F$2*1000</f>
        <v>18.604444444444443</v>
      </c>
      <c r="BE140">
        <f t="shared" ref="BE140:BE203" si="35">BD140*AY140</f>
        <v>10.31908534222222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1.1604300000000001</v>
      </c>
      <c r="H141" s="21">
        <v>6.3416199999999998</v>
      </c>
      <c r="I141" s="21">
        <v>-1.45386E-2</v>
      </c>
      <c r="J141" s="21">
        <v>131</v>
      </c>
      <c r="K141" s="21">
        <v>1.1593599999999999</v>
      </c>
      <c r="L141">
        <f t="shared" si="24"/>
        <v>17.948888888888888</v>
      </c>
      <c r="M141">
        <f t="shared" si="25"/>
        <v>20.828429133333334</v>
      </c>
      <c r="N141" s="9"/>
      <c r="O141" s="21">
        <v>0.55114700000000005</v>
      </c>
      <c r="P141" s="21">
        <v>16.974399999999999</v>
      </c>
      <c r="Q141" s="21">
        <v>-1.5032999999999999E-2</v>
      </c>
      <c r="R141" s="21">
        <v>252</v>
      </c>
      <c r="S141" s="21">
        <v>0.55050699999999997</v>
      </c>
      <c r="T141">
        <f t="shared" si="26"/>
        <v>18.559259259259257</v>
      </c>
      <c r="U141">
        <f t="shared" si="27"/>
        <v>10.228880062962963</v>
      </c>
      <c r="X141" s="9"/>
      <c r="Y141" s="21">
        <v>1.1604300000000001</v>
      </c>
      <c r="Z141" s="21">
        <v>15.755800000000001</v>
      </c>
      <c r="AA141" s="21">
        <v>-1.4599600000000001E-2</v>
      </c>
      <c r="AB141" s="21">
        <v>131</v>
      </c>
      <c r="AC141" s="21">
        <v>1.15967</v>
      </c>
      <c r="AD141">
        <f t="shared" si="28"/>
        <v>18.0241975308642</v>
      </c>
      <c r="AE141">
        <f t="shared" si="29"/>
        <v>20.915819540740745</v>
      </c>
      <c r="AF141" s="9"/>
      <c r="AG141" s="21">
        <v>0.55969199999999997</v>
      </c>
      <c r="AH141" s="21">
        <v>19.615300000000001</v>
      </c>
      <c r="AI141" s="21">
        <v>-1.49689E-2</v>
      </c>
      <c r="AJ141" s="21">
        <v>131</v>
      </c>
      <c r="AK141" s="21">
        <v>0.55920400000000003</v>
      </c>
      <c r="AL141">
        <f t="shared" si="30"/>
        <v>18.480123456790125</v>
      </c>
      <c r="AM141">
        <f t="shared" si="31"/>
        <v>10.343177257777779</v>
      </c>
      <c r="AP141" s="9"/>
      <c r="AQ141" s="21">
        <v>1.1604300000000001</v>
      </c>
      <c r="AR141" s="21">
        <v>25.190100000000001</v>
      </c>
      <c r="AS141" s="21">
        <v>-1.46088E-2</v>
      </c>
      <c r="AT141" s="21">
        <v>131</v>
      </c>
      <c r="AU141" s="21">
        <v>1.15967</v>
      </c>
      <c r="AV141">
        <f t="shared" si="32"/>
        <v>18.035555555555554</v>
      </c>
      <c r="AW141">
        <f t="shared" si="33"/>
        <v>20.928999733333331</v>
      </c>
      <c r="AX141" s="9"/>
      <c r="AY141" s="21">
        <v>0.55969199999999997</v>
      </c>
      <c r="AZ141" s="21">
        <v>29.049499999999998</v>
      </c>
      <c r="BA141" s="21">
        <v>-1.50452E-2</v>
      </c>
      <c r="BB141" s="21">
        <v>131</v>
      </c>
      <c r="BC141" s="21">
        <v>0.55905199999999999</v>
      </c>
      <c r="BD141">
        <f t="shared" si="34"/>
        <v>18.574320987654321</v>
      </c>
      <c r="BE141">
        <f t="shared" si="35"/>
        <v>10.395898862222221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1.1554</v>
      </c>
      <c r="H142" s="21">
        <v>6.3516899999999996</v>
      </c>
      <c r="I142" s="21">
        <v>-1.45386E-2</v>
      </c>
      <c r="J142" s="21">
        <v>132</v>
      </c>
      <c r="K142" s="21">
        <v>1.15479</v>
      </c>
      <c r="L142">
        <f t="shared" si="24"/>
        <v>17.948888888888888</v>
      </c>
      <c r="M142">
        <f t="shared" si="25"/>
        <v>20.73814622222222</v>
      </c>
      <c r="N142" s="9"/>
      <c r="O142" s="21">
        <v>0.55618299999999998</v>
      </c>
      <c r="P142" s="21">
        <v>16.964400000000001</v>
      </c>
      <c r="Q142" s="21">
        <v>-1.50391E-2</v>
      </c>
      <c r="R142" s="21">
        <v>251</v>
      </c>
      <c r="S142" s="21">
        <v>0.55551099999999998</v>
      </c>
      <c r="T142">
        <f t="shared" si="26"/>
        <v>18.566790123456791</v>
      </c>
      <c r="U142">
        <f t="shared" si="27"/>
        <v>10.326533031234568</v>
      </c>
      <c r="X142" s="9"/>
      <c r="Y142" s="21">
        <v>1.1554</v>
      </c>
      <c r="Z142" s="21">
        <v>15.7659</v>
      </c>
      <c r="AA142" s="21">
        <v>-1.4599600000000001E-2</v>
      </c>
      <c r="AB142" s="21">
        <v>132</v>
      </c>
      <c r="AC142" s="21">
        <v>1.15448</v>
      </c>
      <c r="AD142">
        <f t="shared" si="28"/>
        <v>18.0241975308642</v>
      </c>
      <c r="AE142">
        <f t="shared" si="29"/>
        <v>20.825157827160496</v>
      </c>
      <c r="AF142" s="9"/>
      <c r="AG142" s="21">
        <v>0.56472800000000001</v>
      </c>
      <c r="AH142" s="21">
        <v>19.625399999999999</v>
      </c>
      <c r="AI142" s="21">
        <v>-1.49658E-2</v>
      </c>
      <c r="AJ142" s="21">
        <v>132</v>
      </c>
      <c r="AK142" s="21">
        <v>0.56411699999999998</v>
      </c>
      <c r="AL142">
        <f t="shared" si="30"/>
        <v>18.476296296296297</v>
      </c>
      <c r="AM142">
        <f t="shared" si="31"/>
        <v>10.434081854814815</v>
      </c>
      <c r="AP142" s="9"/>
      <c r="AQ142" s="21">
        <v>1.1554</v>
      </c>
      <c r="AR142" s="21">
        <v>25.200099999999999</v>
      </c>
      <c r="AS142" s="21">
        <v>-1.46179E-2</v>
      </c>
      <c r="AT142" s="21">
        <v>132</v>
      </c>
      <c r="AU142" s="21">
        <v>1.15479</v>
      </c>
      <c r="AV142">
        <f t="shared" si="32"/>
        <v>18.046790123456791</v>
      </c>
      <c r="AW142">
        <f t="shared" si="33"/>
        <v>20.851261308641977</v>
      </c>
      <c r="AX142" s="9"/>
      <c r="AY142" s="21">
        <v>0.56472800000000001</v>
      </c>
      <c r="AZ142" s="21">
        <v>29.0596</v>
      </c>
      <c r="BA142" s="21">
        <v>-1.5032999999999999E-2</v>
      </c>
      <c r="BB142" s="21">
        <v>132</v>
      </c>
      <c r="BC142" s="21">
        <v>0.564056</v>
      </c>
      <c r="BD142">
        <f t="shared" si="34"/>
        <v>18.559259259259257</v>
      </c>
      <c r="BE142">
        <f t="shared" si="35"/>
        <v>10.480933362962961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1.15036</v>
      </c>
      <c r="H143" s="21">
        <v>6.3617600000000003</v>
      </c>
      <c r="I143" s="21">
        <v>-1.45386E-2</v>
      </c>
      <c r="J143" s="21">
        <v>133</v>
      </c>
      <c r="K143" s="21">
        <v>1.1492899999999999</v>
      </c>
      <c r="L143">
        <f t="shared" si="24"/>
        <v>17.948888888888888</v>
      </c>
      <c r="M143">
        <f t="shared" si="25"/>
        <v>20.647683822222223</v>
      </c>
      <c r="N143" s="9"/>
      <c r="O143" s="21">
        <v>0.56121799999999999</v>
      </c>
      <c r="P143" s="21">
        <v>16.9543</v>
      </c>
      <c r="Q143" s="21">
        <v>-1.5042099999999999E-2</v>
      </c>
      <c r="R143" s="21">
        <v>250</v>
      </c>
      <c r="S143" s="21">
        <v>0.56066899999999997</v>
      </c>
      <c r="T143">
        <f t="shared" si="26"/>
        <v>18.570493827160494</v>
      </c>
      <c r="U143">
        <f t="shared" si="27"/>
        <v>10.422095404691358</v>
      </c>
      <c r="X143" s="9"/>
      <c r="Y143" s="21">
        <v>1.15036</v>
      </c>
      <c r="Z143" s="21">
        <v>15.776</v>
      </c>
      <c r="AA143" s="21">
        <v>-1.4605699999999999E-2</v>
      </c>
      <c r="AB143" s="21">
        <v>133</v>
      </c>
      <c r="AC143" s="21">
        <v>1.1496</v>
      </c>
      <c r="AD143">
        <f t="shared" si="28"/>
        <v>18.031728395061727</v>
      </c>
      <c r="AE143">
        <f t="shared" si="29"/>
        <v>20.742979076543207</v>
      </c>
      <c r="AF143" s="9"/>
      <c r="AG143" s="21">
        <v>0.56976300000000002</v>
      </c>
      <c r="AH143" s="21">
        <v>19.635400000000001</v>
      </c>
      <c r="AI143" s="21">
        <v>-1.49567E-2</v>
      </c>
      <c r="AJ143" s="21">
        <v>133</v>
      </c>
      <c r="AK143" s="21">
        <v>0.56903099999999995</v>
      </c>
      <c r="AL143">
        <f t="shared" si="30"/>
        <v>18.46506172839506</v>
      </c>
      <c r="AM143">
        <f t="shared" si="31"/>
        <v>10.520708965555555</v>
      </c>
      <c r="AP143" s="9"/>
      <c r="AQ143" s="21">
        <v>1.15036</v>
      </c>
      <c r="AR143" s="21">
        <v>25.2102</v>
      </c>
      <c r="AS143" s="21">
        <v>-1.46301E-2</v>
      </c>
      <c r="AT143" s="21">
        <v>133</v>
      </c>
      <c r="AU143" s="21">
        <v>1.14899</v>
      </c>
      <c r="AV143">
        <f t="shared" si="32"/>
        <v>18.061851851851848</v>
      </c>
      <c r="AW143">
        <f t="shared" si="33"/>
        <v>20.777631896296292</v>
      </c>
      <c r="AX143" s="9"/>
      <c r="AY143" s="21">
        <v>0.56976300000000002</v>
      </c>
      <c r="AZ143" s="21">
        <v>29.069700000000001</v>
      </c>
      <c r="BA143" s="21">
        <v>-1.5029900000000001E-2</v>
      </c>
      <c r="BB143" s="21">
        <v>133</v>
      </c>
      <c r="BC143" s="21">
        <v>0.56909200000000004</v>
      </c>
      <c r="BD143">
        <f t="shared" si="34"/>
        <v>18.555432098765429</v>
      </c>
      <c r="BE143">
        <f t="shared" si="35"/>
        <v>10.572198658888889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1.1453199999999999</v>
      </c>
      <c r="H144" s="21">
        <v>6.3718300000000001</v>
      </c>
      <c r="I144" s="21">
        <v>-1.45416E-2</v>
      </c>
      <c r="J144" s="21">
        <v>134</v>
      </c>
      <c r="K144" s="21">
        <v>1.1447099999999999</v>
      </c>
      <c r="L144">
        <f t="shared" si="24"/>
        <v>17.952592592592595</v>
      </c>
      <c r="M144">
        <f t="shared" si="25"/>
        <v>20.561463348148148</v>
      </c>
      <c r="N144" s="9"/>
      <c r="O144" s="21">
        <v>0.56625400000000004</v>
      </c>
      <c r="P144" s="21">
        <v>16.944199999999999</v>
      </c>
      <c r="Q144" s="21">
        <v>-1.5036000000000001E-2</v>
      </c>
      <c r="R144" s="21">
        <v>249</v>
      </c>
      <c r="S144" s="21">
        <v>0.56564300000000001</v>
      </c>
      <c r="T144">
        <f t="shared" si="26"/>
        <v>18.562962962962963</v>
      </c>
      <c r="U144">
        <f t="shared" si="27"/>
        <v>10.511352029629631</v>
      </c>
      <c r="X144" s="9"/>
      <c r="Y144" s="21">
        <v>1.1453199999999999</v>
      </c>
      <c r="Z144" s="21">
        <v>15.786</v>
      </c>
      <c r="AA144" s="21">
        <v>-1.4611799999999999E-2</v>
      </c>
      <c r="AB144" s="21">
        <v>134</v>
      </c>
      <c r="AC144" s="21">
        <v>1.1440999999999999</v>
      </c>
      <c r="AD144">
        <f t="shared" si="28"/>
        <v>18.039259259259257</v>
      </c>
      <c r="AE144">
        <f t="shared" si="29"/>
        <v>20.660724414814812</v>
      </c>
      <c r="AF144" s="9"/>
      <c r="AG144" s="21">
        <v>0.57479899999999995</v>
      </c>
      <c r="AH144" s="21">
        <v>19.645499999999998</v>
      </c>
      <c r="AI144" s="21">
        <v>-1.4947500000000001E-2</v>
      </c>
      <c r="AJ144" s="21">
        <v>134</v>
      </c>
      <c r="AK144" s="21">
        <v>0.57412700000000005</v>
      </c>
      <c r="AL144">
        <f t="shared" si="30"/>
        <v>18.453703703703706</v>
      </c>
      <c r="AM144">
        <f t="shared" si="31"/>
        <v>10.607170435185186</v>
      </c>
      <c r="AP144" s="9"/>
      <c r="AQ144" s="21">
        <v>1.1453199999999999</v>
      </c>
      <c r="AR144" s="21">
        <v>25.220300000000002</v>
      </c>
      <c r="AS144" s="21">
        <v>-1.4639299999999999E-2</v>
      </c>
      <c r="AT144" s="21">
        <v>134</v>
      </c>
      <c r="AU144" s="21">
        <v>1.1444099999999999</v>
      </c>
      <c r="AV144">
        <f t="shared" si="32"/>
        <v>18.07320987654321</v>
      </c>
      <c r="AW144">
        <f t="shared" si="33"/>
        <v>20.699608735802467</v>
      </c>
      <c r="AX144" s="9"/>
      <c r="AY144" s="21">
        <v>0.57479899999999995</v>
      </c>
      <c r="AZ144" s="21">
        <v>29.079799999999999</v>
      </c>
      <c r="BA144" s="21">
        <v>-1.50238E-2</v>
      </c>
      <c r="BB144" s="21">
        <v>134</v>
      </c>
      <c r="BC144" s="21">
        <v>0.57409699999999997</v>
      </c>
      <c r="BD144">
        <f t="shared" si="34"/>
        <v>18.547901234567902</v>
      </c>
      <c r="BE144">
        <f t="shared" si="35"/>
        <v>10.661315081728395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1.14029</v>
      </c>
      <c r="H145" s="21">
        <v>6.3818999999999999</v>
      </c>
      <c r="I145" s="21">
        <v>-1.4550799999999999E-2</v>
      </c>
      <c r="J145" s="21">
        <v>135</v>
      </c>
      <c r="K145" s="21">
        <v>1.1392199999999999</v>
      </c>
      <c r="L145">
        <f t="shared" si="24"/>
        <v>17.963950617283949</v>
      </c>
      <c r="M145">
        <f t="shared" si="25"/>
        <v>20.484113249382716</v>
      </c>
      <c r="N145" s="9"/>
      <c r="O145" s="21">
        <v>0.57128900000000005</v>
      </c>
      <c r="P145" s="21">
        <v>16.934100000000001</v>
      </c>
      <c r="Q145" s="21">
        <v>-1.5026899999999999E-2</v>
      </c>
      <c r="R145" s="21">
        <v>248</v>
      </c>
      <c r="S145" s="21">
        <v>0.57058699999999996</v>
      </c>
      <c r="T145">
        <f t="shared" si="26"/>
        <v>18.551728395061726</v>
      </c>
      <c r="U145">
        <f t="shared" si="27"/>
        <v>10.598398363086419</v>
      </c>
      <c r="X145" s="9"/>
      <c r="Y145" s="21">
        <v>1.14029</v>
      </c>
      <c r="Z145" s="21">
        <v>15.796099999999999</v>
      </c>
      <c r="AA145" s="21">
        <v>-1.4621E-2</v>
      </c>
      <c r="AB145" s="21">
        <v>135</v>
      </c>
      <c r="AC145" s="21">
        <v>1.1395299999999999</v>
      </c>
      <c r="AD145">
        <f t="shared" si="28"/>
        <v>18.050617283950618</v>
      </c>
      <c r="AE145">
        <f t="shared" si="29"/>
        <v>20.582938382716051</v>
      </c>
      <c r="AF145" s="9"/>
      <c r="AG145" s="21">
        <v>0.57983399999999996</v>
      </c>
      <c r="AH145" s="21">
        <v>19.6556</v>
      </c>
      <c r="AI145" s="21">
        <v>-1.49506E-2</v>
      </c>
      <c r="AJ145" s="21">
        <v>135</v>
      </c>
      <c r="AK145" s="21">
        <v>0.57925400000000005</v>
      </c>
      <c r="AL145">
        <f t="shared" si="30"/>
        <v>18.45753086419753</v>
      </c>
      <c r="AM145">
        <f t="shared" si="31"/>
        <v>10.70230395111111</v>
      </c>
      <c r="AP145" s="9"/>
      <c r="AQ145" s="21">
        <v>1.14029</v>
      </c>
      <c r="AR145" s="21">
        <v>25.2303</v>
      </c>
      <c r="AS145" s="21">
        <v>-1.46423E-2</v>
      </c>
      <c r="AT145" s="21">
        <v>135</v>
      </c>
      <c r="AU145" s="21">
        <v>1.1395299999999999</v>
      </c>
      <c r="AV145">
        <f t="shared" si="32"/>
        <v>18.076913580246913</v>
      </c>
      <c r="AW145">
        <f t="shared" si="33"/>
        <v>20.612923786419753</v>
      </c>
      <c r="AX145" s="9"/>
      <c r="AY145" s="21">
        <v>0.57983399999999996</v>
      </c>
      <c r="AZ145" s="21">
        <v>29.0898</v>
      </c>
      <c r="BA145" s="21">
        <v>-1.5020800000000001E-2</v>
      </c>
      <c r="BB145" s="21">
        <v>135</v>
      </c>
      <c r="BC145" s="21">
        <v>0.57928500000000005</v>
      </c>
      <c r="BD145">
        <f t="shared" si="34"/>
        <v>18.544197530864199</v>
      </c>
      <c r="BE145">
        <f t="shared" si="35"/>
        <v>10.752556231111111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1.1352500000000001</v>
      </c>
      <c r="H146" s="21">
        <v>6.3919699999999997</v>
      </c>
      <c r="I146" s="21">
        <v>-1.4550799999999999E-2</v>
      </c>
      <c r="J146" s="21">
        <v>136</v>
      </c>
      <c r="K146" s="21">
        <v>1.1343399999999999</v>
      </c>
      <c r="L146">
        <f t="shared" si="24"/>
        <v>17.963950617283949</v>
      </c>
      <c r="M146">
        <f t="shared" si="25"/>
        <v>20.393574938271605</v>
      </c>
      <c r="N146" s="9"/>
      <c r="O146" s="21">
        <v>0.57632399999999995</v>
      </c>
      <c r="P146" s="21">
        <v>16.924099999999999</v>
      </c>
      <c r="Q146" s="21">
        <v>-1.50238E-2</v>
      </c>
      <c r="R146" s="21">
        <v>247</v>
      </c>
      <c r="S146" s="21">
        <v>0.57574499999999995</v>
      </c>
      <c r="T146">
        <f t="shared" si="26"/>
        <v>18.547901234567902</v>
      </c>
      <c r="U146">
        <f t="shared" si="27"/>
        <v>10.68960063111111</v>
      </c>
      <c r="X146" s="9"/>
      <c r="Y146" s="21">
        <v>1.1352500000000001</v>
      </c>
      <c r="Z146" s="21">
        <v>15.8062</v>
      </c>
      <c r="AA146" s="21">
        <v>-1.4633200000000001E-2</v>
      </c>
      <c r="AB146" s="21">
        <v>136</v>
      </c>
      <c r="AC146" s="21">
        <v>1.1343399999999999</v>
      </c>
      <c r="AD146">
        <f t="shared" si="28"/>
        <v>18.065679012345679</v>
      </c>
      <c r="AE146">
        <f t="shared" si="29"/>
        <v>20.509062098765433</v>
      </c>
      <c r="AF146" s="9"/>
      <c r="AG146" s="21">
        <v>0.58486899999999997</v>
      </c>
      <c r="AH146" s="21">
        <v>19.665700000000001</v>
      </c>
      <c r="AI146" s="21">
        <v>-1.4953599999999999E-2</v>
      </c>
      <c r="AJ146" s="21">
        <v>136</v>
      </c>
      <c r="AK146" s="21">
        <v>0.584198</v>
      </c>
      <c r="AL146">
        <f t="shared" si="30"/>
        <v>18.461234567901233</v>
      </c>
      <c r="AM146">
        <f t="shared" si="31"/>
        <v>10.797403800493825</v>
      </c>
      <c r="AP146" s="9"/>
      <c r="AQ146" s="21">
        <v>1.1352500000000001</v>
      </c>
      <c r="AR146" s="21">
        <v>25.240400000000001</v>
      </c>
      <c r="AS146" s="21">
        <v>-1.46515E-2</v>
      </c>
      <c r="AT146" s="21">
        <v>136</v>
      </c>
      <c r="AU146" s="21">
        <v>1.1346400000000001</v>
      </c>
      <c r="AV146">
        <f t="shared" si="32"/>
        <v>18.088271604938271</v>
      </c>
      <c r="AW146">
        <f t="shared" si="33"/>
        <v>20.534710339506173</v>
      </c>
      <c r="AX146" s="9"/>
      <c r="AY146" s="21">
        <v>0.58486899999999997</v>
      </c>
      <c r="AZ146" s="21">
        <v>29.099900000000002</v>
      </c>
      <c r="BA146" s="21">
        <v>-1.5020800000000001E-2</v>
      </c>
      <c r="BB146" s="21">
        <v>136</v>
      </c>
      <c r="BC146" s="21">
        <v>0.58428999999999998</v>
      </c>
      <c r="BD146">
        <f t="shared" si="34"/>
        <v>18.544197530864199</v>
      </c>
      <c r="BE146">
        <f t="shared" si="35"/>
        <v>10.845926265679013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1.13022</v>
      </c>
      <c r="H147" s="21">
        <v>6.40205</v>
      </c>
      <c r="I147" s="21">
        <v>-1.45538E-2</v>
      </c>
      <c r="J147" s="21">
        <v>137</v>
      </c>
      <c r="K147" s="21">
        <v>1.1294599999999999</v>
      </c>
      <c r="L147">
        <f t="shared" si="24"/>
        <v>17.967654320987652</v>
      </c>
      <c r="M147">
        <f t="shared" si="25"/>
        <v>20.307402266666664</v>
      </c>
      <c r="N147" s="9"/>
      <c r="O147" s="21">
        <v>0.58135999999999999</v>
      </c>
      <c r="P147" s="21">
        <v>16.914000000000001</v>
      </c>
      <c r="Q147" s="21">
        <v>-1.5020800000000001E-2</v>
      </c>
      <c r="R147" s="21">
        <v>246</v>
      </c>
      <c r="S147" s="21">
        <v>0.58065800000000001</v>
      </c>
      <c r="T147">
        <f t="shared" si="26"/>
        <v>18.544197530864199</v>
      </c>
      <c r="U147">
        <f t="shared" si="27"/>
        <v>10.780854676543211</v>
      </c>
      <c r="X147" s="9"/>
      <c r="Y147" s="21">
        <v>1.13022</v>
      </c>
      <c r="Z147" s="21">
        <v>15.8163</v>
      </c>
      <c r="AA147" s="21">
        <v>-1.4639299999999999E-2</v>
      </c>
      <c r="AB147" s="21">
        <v>137</v>
      </c>
      <c r="AC147" s="21">
        <v>1.1294599999999999</v>
      </c>
      <c r="AD147">
        <f t="shared" si="28"/>
        <v>18.07320987654321</v>
      </c>
      <c r="AE147">
        <f t="shared" si="29"/>
        <v>20.426703266666667</v>
      </c>
      <c r="AF147" s="9"/>
      <c r="AG147" s="21">
        <v>0.58990500000000001</v>
      </c>
      <c r="AH147" s="21">
        <v>19.675699999999999</v>
      </c>
      <c r="AI147" s="21">
        <v>-1.49567E-2</v>
      </c>
      <c r="AJ147" s="21">
        <v>137</v>
      </c>
      <c r="AK147" s="21">
        <v>0.58920300000000003</v>
      </c>
      <c r="AL147">
        <f t="shared" si="30"/>
        <v>18.46506172839506</v>
      </c>
      <c r="AM147">
        <f t="shared" si="31"/>
        <v>10.892632238888888</v>
      </c>
      <c r="AP147" s="9"/>
      <c r="AQ147" s="21">
        <v>1.13022</v>
      </c>
      <c r="AR147" s="21">
        <v>25.250499999999999</v>
      </c>
      <c r="AS147" s="21">
        <v>-1.46637E-2</v>
      </c>
      <c r="AT147" s="21">
        <v>137</v>
      </c>
      <c r="AU147" s="21">
        <v>1.1291500000000001</v>
      </c>
      <c r="AV147">
        <f t="shared" si="32"/>
        <v>18.103333333333332</v>
      </c>
      <c r="AW147">
        <f t="shared" si="33"/>
        <v>20.460749399999997</v>
      </c>
      <c r="AX147" s="9"/>
      <c r="AY147" s="21">
        <v>0.58990500000000001</v>
      </c>
      <c r="AZ147" s="21">
        <v>29.11</v>
      </c>
      <c r="BA147" s="21">
        <v>-1.5020800000000001E-2</v>
      </c>
      <c r="BB147" s="21">
        <v>137</v>
      </c>
      <c r="BC147" s="21">
        <v>0.58926400000000001</v>
      </c>
      <c r="BD147">
        <f t="shared" si="34"/>
        <v>18.544197530864199</v>
      </c>
      <c r="BE147">
        <f t="shared" si="35"/>
        <v>10.939314844444446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1.1251800000000001</v>
      </c>
      <c r="H148" s="21">
        <v>6.4121199999999998</v>
      </c>
      <c r="I148" s="21">
        <v>-1.4559900000000001E-2</v>
      </c>
      <c r="J148" s="21">
        <v>138</v>
      </c>
      <c r="K148" s="21">
        <v>1.1242700000000001</v>
      </c>
      <c r="L148">
        <f t="shared" si="24"/>
        <v>17.975185185185186</v>
      </c>
      <c r="M148">
        <f t="shared" si="25"/>
        <v>20.225318866666669</v>
      </c>
      <c r="N148" s="9"/>
      <c r="O148" s="21">
        <v>0.586395</v>
      </c>
      <c r="P148" s="21">
        <v>16.9039</v>
      </c>
      <c r="Q148" s="21">
        <v>-1.5020800000000001E-2</v>
      </c>
      <c r="R148" s="21">
        <v>245</v>
      </c>
      <c r="S148" s="21">
        <v>0.58572400000000002</v>
      </c>
      <c r="T148">
        <f t="shared" si="26"/>
        <v>18.544197530864199</v>
      </c>
      <c r="U148">
        <f t="shared" si="27"/>
        <v>10.874224711111113</v>
      </c>
      <c r="X148" s="9"/>
      <c r="Y148" s="21">
        <v>1.1251800000000001</v>
      </c>
      <c r="Z148" s="21">
        <v>15.8263</v>
      </c>
      <c r="AA148" s="21">
        <v>-1.4645399999999999E-2</v>
      </c>
      <c r="AB148" s="21">
        <v>138</v>
      </c>
      <c r="AC148" s="21">
        <v>1.1236600000000001</v>
      </c>
      <c r="AD148">
        <f t="shared" si="28"/>
        <v>18.080740740740737</v>
      </c>
      <c r="AE148">
        <f t="shared" si="29"/>
        <v>20.344087866666662</v>
      </c>
      <c r="AF148" s="9"/>
      <c r="AG148" s="21">
        <v>0.59494000000000002</v>
      </c>
      <c r="AH148" s="21">
        <v>19.6858</v>
      </c>
      <c r="AI148" s="21">
        <v>-1.4953599999999999E-2</v>
      </c>
      <c r="AJ148" s="21">
        <v>138</v>
      </c>
      <c r="AK148" s="21">
        <v>0.59429900000000002</v>
      </c>
      <c r="AL148">
        <f t="shared" si="30"/>
        <v>18.461234567901233</v>
      </c>
      <c r="AM148">
        <f t="shared" si="31"/>
        <v>10.98332689382716</v>
      </c>
      <c r="AP148" s="9"/>
      <c r="AQ148" s="21">
        <v>1.1251800000000001</v>
      </c>
      <c r="AR148" s="21">
        <v>25.2606</v>
      </c>
      <c r="AS148" s="21">
        <v>-1.46759E-2</v>
      </c>
      <c r="AT148" s="21">
        <v>138</v>
      </c>
      <c r="AU148" s="21">
        <v>1.1245700000000001</v>
      </c>
      <c r="AV148">
        <f t="shared" si="32"/>
        <v>18.118395061728396</v>
      </c>
      <c r="AW148">
        <f t="shared" si="33"/>
        <v>20.386455755555559</v>
      </c>
      <c r="AX148" s="9"/>
      <c r="AY148" s="21">
        <v>0.59494000000000002</v>
      </c>
      <c r="AZ148" s="21">
        <v>29.12</v>
      </c>
      <c r="BA148" s="21">
        <v>-1.50116E-2</v>
      </c>
      <c r="BB148" s="21">
        <v>138</v>
      </c>
      <c r="BC148" s="21">
        <v>0.59429900000000002</v>
      </c>
      <c r="BD148">
        <f t="shared" si="34"/>
        <v>18.532839506172838</v>
      </c>
      <c r="BE148">
        <f t="shared" si="35"/>
        <v>11.025927535802468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1.12015</v>
      </c>
      <c r="H149" s="21">
        <v>6.4221899999999996</v>
      </c>
      <c r="I149" s="21">
        <v>-1.4559900000000001E-2</v>
      </c>
      <c r="J149" s="21">
        <v>139</v>
      </c>
      <c r="K149" s="21">
        <v>1.11938</v>
      </c>
      <c r="L149">
        <f t="shared" si="24"/>
        <v>17.975185185185186</v>
      </c>
      <c r="M149">
        <f t="shared" si="25"/>
        <v>20.134903685185186</v>
      </c>
      <c r="N149" s="9"/>
      <c r="O149" s="21">
        <v>0.59143100000000004</v>
      </c>
      <c r="P149" s="21">
        <v>16.893899999999999</v>
      </c>
      <c r="Q149" s="21">
        <v>-1.5020800000000001E-2</v>
      </c>
      <c r="R149" s="21">
        <v>244</v>
      </c>
      <c r="S149" s="21">
        <v>0.59088099999999999</v>
      </c>
      <c r="T149">
        <f t="shared" si="26"/>
        <v>18.544197530864199</v>
      </c>
      <c r="U149">
        <f t="shared" si="27"/>
        <v>10.967613289876544</v>
      </c>
      <c r="X149" s="9"/>
      <c r="Y149" s="21">
        <v>1.12015</v>
      </c>
      <c r="Z149" s="21">
        <v>15.836399999999999</v>
      </c>
      <c r="AA149" s="21">
        <v>-1.4648400000000001E-2</v>
      </c>
      <c r="AB149" s="21">
        <v>139</v>
      </c>
      <c r="AC149" s="21">
        <v>1.11938</v>
      </c>
      <c r="AD149">
        <f t="shared" si="28"/>
        <v>18.084444444444443</v>
      </c>
      <c r="AE149">
        <f t="shared" si="29"/>
        <v>20.257290444444443</v>
      </c>
      <c r="AF149" s="9"/>
      <c r="AG149" s="21">
        <v>0.59997599999999995</v>
      </c>
      <c r="AH149" s="21">
        <v>19.695900000000002</v>
      </c>
      <c r="AI149" s="21">
        <v>-1.4944499999999999E-2</v>
      </c>
      <c r="AJ149" s="21">
        <v>139</v>
      </c>
      <c r="AK149" s="21">
        <v>0.599518</v>
      </c>
      <c r="AL149">
        <f t="shared" si="30"/>
        <v>18.45</v>
      </c>
      <c r="AM149">
        <f t="shared" si="31"/>
        <v>11.069557199999998</v>
      </c>
      <c r="AP149" s="9"/>
      <c r="AQ149" s="21">
        <v>1.12015</v>
      </c>
      <c r="AR149" s="21">
        <v>25.270600000000002</v>
      </c>
      <c r="AS149" s="21">
        <v>-1.4678999999999999E-2</v>
      </c>
      <c r="AT149" s="21">
        <v>139</v>
      </c>
      <c r="AU149" s="21">
        <v>1.11938</v>
      </c>
      <c r="AV149">
        <f t="shared" si="32"/>
        <v>18.12222222222222</v>
      </c>
      <c r="AW149">
        <f t="shared" si="33"/>
        <v>20.299607222222221</v>
      </c>
      <c r="AX149" s="9"/>
      <c r="AY149" s="21">
        <v>0.59997599999999995</v>
      </c>
      <c r="AZ149" s="21">
        <v>29.130099999999999</v>
      </c>
      <c r="BA149" s="21">
        <v>-1.5002400000000001E-2</v>
      </c>
      <c r="BB149" s="21">
        <v>139</v>
      </c>
      <c r="BC149" s="21">
        <v>0.59936500000000004</v>
      </c>
      <c r="BD149">
        <f t="shared" si="34"/>
        <v>18.521481481481484</v>
      </c>
      <c r="BE149">
        <f t="shared" si="35"/>
        <v>11.112444373333334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1.11511</v>
      </c>
      <c r="H150" s="21">
        <v>6.4322600000000003</v>
      </c>
      <c r="I150" s="21">
        <v>-1.4563E-2</v>
      </c>
      <c r="J150" s="21">
        <v>140</v>
      </c>
      <c r="K150" s="21">
        <v>1.1142000000000001</v>
      </c>
      <c r="L150">
        <f t="shared" si="24"/>
        <v>17.979012345679013</v>
      </c>
      <c r="M150">
        <f t="shared" si="25"/>
        <v>20.048576456790126</v>
      </c>
      <c r="N150" s="9"/>
      <c r="O150" s="21">
        <v>0.59646600000000005</v>
      </c>
      <c r="P150" s="21">
        <v>16.883800000000001</v>
      </c>
      <c r="Q150" s="21">
        <v>-1.50116E-2</v>
      </c>
      <c r="R150" s="21">
        <v>243</v>
      </c>
      <c r="S150" s="21">
        <v>0.59582500000000005</v>
      </c>
      <c r="T150">
        <f t="shared" si="26"/>
        <v>18.532839506172838</v>
      </c>
      <c r="U150">
        <f t="shared" si="27"/>
        <v>11.054208648888888</v>
      </c>
      <c r="X150" s="9"/>
      <c r="Y150" s="21">
        <v>1.11511</v>
      </c>
      <c r="Z150" s="21">
        <v>15.846500000000001</v>
      </c>
      <c r="AA150" s="21">
        <v>-1.4645399999999999E-2</v>
      </c>
      <c r="AB150" s="21">
        <v>140</v>
      </c>
      <c r="AC150" s="21">
        <v>1.1145</v>
      </c>
      <c r="AD150">
        <f t="shared" si="28"/>
        <v>18.080740740740737</v>
      </c>
      <c r="AE150">
        <f t="shared" si="29"/>
        <v>20.162014807407402</v>
      </c>
      <c r="AF150" s="9"/>
      <c r="AG150" s="21">
        <v>0.60501099999999997</v>
      </c>
      <c r="AH150" s="21">
        <v>19.7059</v>
      </c>
      <c r="AI150" s="21">
        <v>-1.4938399999999999E-2</v>
      </c>
      <c r="AJ150" s="21">
        <v>140</v>
      </c>
      <c r="AK150" s="21">
        <v>0.60433999999999999</v>
      </c>
      <c r="AL150">
        <f t="shared" si="30"/>
        <v>18.442469135802465</v>
      </c>
      <c r="AM150">
        <f t="shared" si="31"/>
        <v>11.157896694320984</v>
      </c>
      <c r="AP150" s="9"/>
      <c r="AQ150" s="21">
        <v>1.11511</v>
      </c>
      <c r="AR150" s="21">
        <v>25.2807</v>
      </c>
      <c r="AS150" s="21">
        <v>-1.46851E-2</v>
      </c>
      <c r="AT150" s="21">
        <v>140</v>
      </c>
      <c r="AU150" s="21">
        <v>1.11389</v>
      </c>
      <c r="AV150">
        <f t="shared" si="32"/>
        <v>18.12975308641975</v>
      </c>
      <c r="AW150">
        <f t="shared" si="33"/>
        <v>20.216668964197527</v>
      </c>
      <c r="AX150" s="9"/>
      <c r="AY150" s="21">
        <v>0.60501099999999997</v>
      </c>
      <c r="AZ150" s="21">
        <v>29.1402</v>
      </c>
      <c r="BA150" s="21">
        <v>-1.49994E-2</v>
      </c>
      <c r="BB150" s="21">
        <v>140</v>
      </c>
      <c r="BC150" s="21">
        <v>0.60430899999999999</v>
      </c>
      <c r="BD150">
        <f t="shared" si="34"/>
        <v>18.517777777777777</v>
      </c>
      <c r="BE150">
        <f t="shared" si="35"/>
        <v>11.203459251111109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1.11008</v>
      </c>
      <c r="H151" s="21">
        <v>6.4423300000000001</v>
      </c>
      <c r="I151" s="21">
        <v>-1.4566000000000001E-2</v>
      </c>
      <c r="J151" s="21">
        <v>141</v>
      </c>
      <c r="K151" s="21">
        <v>1.1090100000000001</v>
      </c>
      <c r="L151">
        <f t="shared" si="24"/>
        <v>17.982716049382717</v>
      </c>
      <c r="M151">
        <f t="shared" si="25"/>
        <v>19.962253432098766</v>
      </c>
      <c r="N151" s="9"/>
      <c r="O151" s="21">
        <v>0.60150099999999995</v>
      </c>
      <c r="P151" s="21">
        <v>16.873699999999999</v>
      </c>
      <c r="Q151" s="21">
        <v>-1.50055E-2</v>
      </c>
      <c r="R151" s="21">
        <v>242</v>
      </c>
      <c r="S151" s="21">
        <v>0.6008</v>
      </c>
      <c r="T151">
        <f t="shared" si="26"/>
        <v>18.525308641975307</v>
      </c>
      <c r="U151">
        <f t="shared" si="27"/>
        <v>11.142991673456789</v>
      </c>
      <c r="X151" s="9"/>
      <c r="Y151" s="21">
        <v>1.11008</v>
      </c>
      <c r="Z151" s="21">
        <v>15.8565</v>
      </c>
      <c r="AA151" s="21">
        <v>-1.4648400000000001E-2</v>
      </c>
      <c r="AB151" s="21">
        <v>141</v>
      </c>
      <c r="AC151" s="21">
        <v>1.1090100000000001</v>
      </c>
      <c r="AD151">
        <f t="shared" si="28"/>
        <v>18.084444444444443</v>
      </c>
      <c r="AE151">
        <f t="shared" si="29"/>
        <v>20.075180088888889</v>
      </c>
      <c r="AF151" s="9"/>
      <c r="AG151" s="21">
        <v>0.61004599999999998</v>
      </c>
      <c r="AH151" s="21">
        <v>19.716000000000001</v>
      </c>
      <c r="AI151" s="21">
        <v>-1.4941400000000001E-2</v>
      </c>
      <c r="AJ151" s="21">
        <v>141</v>
      </c>
      <c r="AK151" s="21">
        <v>0.609344</v>
      </c>
      <c r="AL151">
        <f t="shared" si="30"/>
        <v>18.446172839506172</v>
      </c>
      <c r="AM151">
        <f t="shared" si="31"/>
        <v>11.253013956049381</v>
      </c>
      <c r="AP151" s="9"/>
      <c r="AQ151" s="21">
        <v>1.11008</v>
      </c>
      <c r="AR151" s="21">
        <v>25.290800000000001</v>
      </c>
      <c r="AS151" s="21">
        <v>-1.46912E-2</v>
      </c>
      <c r="AT151" s="21">
        <v>141</v>
      </c>
      <c r="AU151" s="21">
        <v>1.1096200000000001</v>
      </c>
      <c r="AV151">
        <f t="shared" si="32"/>
        <v>18.137283950617284</v>
      </c>
      <c r="AW151">
        <f t="shared" si="33"/>
        <v>20.133836167901233</v>
      </c>
      <c r="AX151" s="9"/>
      <c r="AY151" s="21">
        <v>0.61004599999999998</v>
      </c>
      <c r="AZ151" s="21">
        <v>29.150200000000002</v>
      </c>
      <c r="BA151" s="21">
        <v>-1.4996300000000001E-2</v>
      </c>
      <c r="BB151" s="21">
        <v>141</v>
      </c>
      <c r="BC151" s="21">
        <v>0.609406</v>
      </c>
      <c r="BD151">
        <f t="shared" si="34"/>
        <v>18.51395061728395</v>
      </c>
      <c r="BE151">
        <f t="shared" si="35"/>
        <v>11.294361518271604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1.10504</v>
      </c>
      <c r="H152" s="21">
        <v>6.4523999999999999</v>
      </c>
      <c r="I152" s="21">
        <v>-1.45752E-2</v>
      </c>
      <c r="J152" s="21">
        <v>142</v>
      </c>
      <c r="K152" s="21">
        <v>1.1047400000000001</v>
      </c>
      <c r="L152">
        <f t="shared" si="24"/>
        <v>17.994074074074071</v>
      </c>
      <c r="M152">
        <f t="shared" si="25"/>
        <v>19.884171614814811</v>
      </c>
      <c r="N152" s="9"/>
      <c r="O152" s="21">
        <v>0.60653699999999999</v>
      </c>
      <c r="P152" s="21">
        <v>16.863600000000002</v>
      </c>
      <c r="Q152" s="21">
        <v>-1.4996300000000001E-2</v>
      </c>
      <c r="R152" s="21">
        <v>241</v>
      </c>
      <c r="S152" s="21">
        <v>0.60598799999999997</v>
      </c>
      <c r="T152">
        <f t="shared" si="26"/>
        <v>18.51395061728395</v>
      </c>
      <c r="U152">
        <f t="shared" si="27"/>
        <v>11.229396065555555</v>
      </c>
      <c r="X152" s="9"/>
      <c r="Y152" s="21">
        <v>1.10504</v>
      </c>
      <c r="Z152" s="21">
        <v>15.8666</v>
      </c>
      <c r="AA152" s="21">
        <v>-1.4648400000000001E-2</v>
      </c>
      <c r="AB152" s="21">
        <v>142</v>
      </c>
      <c r="AC152" s="21">
        <v>1.10382</v>
      </c>
      <c r="AD152">
        <f t="shared" si="28"/>
        <v>18.084444444444443</v>
      </c>
      <c r="AE152">
        <f t="shared" si="29"/>
        <v>19.984034488888888</v>
      </c>
      <c r="AF152" s="9"/>
      <c r="AG152" s="21">
        <v>0.61508200000000002</v>
      </c>
      <c r="AH152" s="21">
        <v>19.726099999999999</v>
      </c>
      <c r="AI152" s="21">
        <v>-1.4941400000000001E-2</v>
      </c>
      <c r="AJ152" s="21">
        <v>142</v>
      </c>
      <c r="AK152" s="21">
        <v>0.61447099999999999</v>
      </c>
      <c r="AL152">
        <f t="shared" si="30"/>
        <v>18.446172839506172</v>
      </c>
      <c r="AM152">
        <f t="shared" si="31"/>
        <v>11.345908882469136</v>
      </c>
      <c r="AP152" s="9"/>
      <c r="AQ152" s="21">
        <v>1.10504</v>
      </c>
      <c r="AR152" s="21">
        <v>25.300799999999999</v>
      </c>
      <c r="AS152" s="21">
        <v>-1.4694199999999999E-2</v>
      </c>
      <c r="AT152" s="21">
        <v>142</v>
      </c>
      <c r="AU152" s="21">
        <v>1.10443</v>
      </c>
      <c r="AV152">
        <f t="shared" si="32"/>
        <v>18.140987654320988</v>
      </c>
      <c r="AW152">
        <f t="shared" si="33"/>
        <v>20.046516997530865</v>
      </c>
      <c r="AX152" s="9"/>
      <c r="AY152" s="21">
        <v>0.61508200000000002</v>
      </c>
      <c r="AZ152" s="21">
        <v>29.160299999999999</v>
      </c>
      <c r="BA152" s="21">
        <v>-1.4993299999999999E-2</v>
      </c>
      <c r="BB152" s="21">
        <v>142</v>
      </c>
      <c r="BC152" s="21">
        <v>0.61438000000000004</v>
      </c>
      <c r="BD152">
        <f t="shared" si="34"/>
        <v>18.510246913580243</v>
      </c>
      <c r="BE152">
        <f t="shared" si="35"/>
        <v>11.385319692098763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1.1000099999999999</v>
      </c>
      <c r="H153" s="21">
        <v>6.4624699999999997</v>
      </c>
      <c r="I153" s="21">
        <v>-1.4584400000000001E-2</v>
      </c>
      <c r="J153" s="21">
        <v>143</v>
      </c>
      <c r="K153" s="21">
        <v>1.09894</v>
      </c>
      <c r="L153">
        <f t="shared" si="24"/>
        <v>18.005432098765432</v>
      </c>
      <c r="M153">
        <f t="shared" si="25"/>
        <v>19.806155362962961</v>
      </c>
      <c r="N153" s="9"/>
      <c r="O153" s="21">
        <v>0.611572</v>
      </c>
      <c r="P153" s="21">
        <v>16.8536</v>
      </c>
      <c r="Q153" s="21">
        <v>-1.4987199999999999E-2</v>
      </c>
      <c r="R153" s="21">
        <v>240</v>
      </c>
      <c r="S153" s="21">
        <v>0.61099199999999998</v>
      </c>
      <c r="T153">
        <f t="shared" si="26"/>
        <v>18.502716049382713</v>
      </c>
      <c r="U153">
        <f t="shared" si="27"/>
        <v>11.315743059753084</v>
      </c>
      <c r="X153" s="9"/>
      <c r="Y153" s="21">
        <v>1.1000099999999999</v>
      </c>
      <c r="Z153" s="21">
        <v>15.8767</v>
      </c>
      <c r="AA153" s="21">
        <v>-1.4648400000000001E-2</v>
      </c>
      <c r="AB153" s="21">
        <v>143</v>
      </c>
      <c r="AC153" s="21">
        <v>1.09833</v>
      </c>
      <c r="AD153">
        <f t="shared" si="28"/>
        <v>18.084444444444443</v>
      </c>
      <c r="AE153">
        <f t="shared" si="29"/>
        <v>19.893069733333331</v>
      </c>
      <c r="AF153" s="9"/>
      <c r="AG153" s="21">
        <v>0.62011700000000003</v>
      </c>
      <c r="AH153" s="21">
        <v>19.7362</v>
      </c>
      <c r="AI153" s="21">
        <v>-1.4941400000000001E-2</v>
      </c>
      <c r="AJ153" s="21">
        <v>143</v>
      </c>
      <c r="AK153" s="21">
        <v>0.61947600000000003</v>
      </c>
      <c r="AL153">
        <f t="shared" si="30"/>
        <v>18.446172839506172</v>
      </c>
      <c r="AM153">
        <f t="shared" si="31"/>
        <v>11.438785362716049</v>
      </c>
      <c r="AP153" s="9"/>
      <c r="AQ153" s="21">
        <v>1.1000099999999999</v>
      </c>
      <c r="AR153" s="21">
        <v>25.3109</v>
      </c>
      <c r="AS153" s="21">
        <v>-1.46973E-2</v>
      </c>
      <c r="AT153" s="21">
        <v>143</v>
      </c>
      <c r="AU153" s="21">
        <v>1.09955</v>
      </c>
      <c r="AV153">
        <f t="shared" si="32"/>
        <v>18.144814814814815</v>
      </c>
      <c r="AW153">
        <f t="shared" si="33"/>
        <v>19.959477744444442</v>
      </c>
      <c r="AX153" s="9"/>
      <c r="AY153" s="21">
        <v>0.62011700000000003</v>
      </c>
      <c r="AZ153" s="21">
        <v>29.170400000000001</v>
      </c>
      <c r="BA153" s="21">
        <v>-1.4993299999999999E-2</v>
      </c>
      <c r="BB153" s="21">
        <v>143</v>
      </c>
      <c r="BC153" s="21">
        <v>0.61962899999999999</v>
      </c>
      <c r="BD153">
        <f t="shared" si="34"/>
        <v>18.510246913580243</v>
      </c>
      <c r="BE153">
        <f t="shared" si="35"/>
        <v>11.478518785308641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1.09497</v>
      </c>
      <c r="H154" s="21">
        <v>6.4725400000000004</v>
      </c>
      <c r="I154" s="21">
        <v>-1.4599600000000001E-2</v>
      </c>
      <c r="J154" s="21">
        <v>144</v>
      </c>
      <c r="K154" s="21">
        <v>1.09375</v>
      </c>
      <c r="L154">
        <f t="shared" si="24"/>
        <v>18.0241975308642</v>
      </c>
      <c r="M154">
        <f t="shared" si="25"/>
        <v>19.735955570370372</v>
      </c>
      <c r="N154" s="9"/>
      <c r="O154" s="21">
        <v>0.61660800000000004</v>
      </c>
      <c r="P154" s="21">
        <v>16.843499999999999</v>
      </c>
      <c r="Q154" s="21">
        <v>-1.4975E-2</v>
      </c>
      <c r="R154" s="21">
        <v>239</v>
      </c>
      <c r="S154" s="21">
        <v>0.61593600000000004</v>
      </c>
      <c r="T154">
        <f t="shared" si="26"/>
        <v>18.487654320987652</v>
      </c>
      <c r="U154">
        <f t="shared" si="27"/>
        <v>11.399635555555555</v>
      </c>
      <c r="X154" s="9"/>
      <c r="Y154" s="21">
        <v>1.09497</v>
      </c>
      <c r="Z154" s="21">
        <v>15.886799999999999</v>
      </c>
      <c r="AA154" s="21">
        <v>-1.46515E-2</v>
      </c>
      <c r="AB154" s="21">
        <v>144</v>
      </c>
      <c r="AC154" s="21">
        <v>1.09406</v>
      </c>
      <c r="AD154">
        <f t="shared" si="28"/>
        <v>18.088271604938271</v>
      </c>
      <c r="AE154">
        <f t="shared" si="29"/>
        <v>19.806114759259259</v>
      </c>
      <c r="AF154" s="9"/>
      <c r="AG154" s="21">
        <v>0.62515299999999996</v>
      </c>
      <c r="AH154" s="21">
        <v>19.746200000000002</v>
      </c>
      <c r="AI154" s="21">
        <v>-1.4941400000000001E-2</v>
      </c>
      <c r="AJ154" s="21">
        <v>144</v>
      </c>
      <c r="AK154" s="21">
        <v>0.62441999999999998</v>
      </c>
      <c r="AL154">
        <f t="shared" si="30"/>
        <v>18.446172839506172</v>
      </c>
      <c r="AM154">
        <f t="shared" si="31"/>
        <v>11.531680289135801</v>
      </c>
      <c r="AP154" s="9"/>
      <c r="AQ154" s="21">
        <v>1.09497</v>
      </c>
      <c r="AR154" s="21">
        <v>25.321000000000002</v>
      </c>
      <c r="AS154" s="21">
        <v>-1.4700299999999999E-2</v>
      </c>
      <c r="AT154" s="21">
        <v>144</v>
      </c>
      <c r="AU154" s="21">
        <v>1.09375</v>
      </c>
      <c r="AV154">
        <f t="shared" si="32"/>
        <v>18.148518518518514</v>
      </c>
      <c r="AW154">
        <f t="shared" si="33"/>
        <v>19.872083322222217</v>
      </c>
      <c r="AX154" s="9"/>
      <c r="AY154" s="21">
        <v>0.62515299999999996</v>
      </c>
      <c r="AZ154" s="21">
        <v>29.180499999999999</v>
      </c>
      <c r="BA154" s="21">
        <v>-1.4987199999999999E-2</v>
      </c>
      <c r="BB154" s="21">
        <v>144</v>
      </c>
      <c r="BC154" s="21">
        <v>0.62460300000000002</v>
      </c>
      <c r="BD154">
        <f t="shared" si="34"/>
        <v>18.502716049382713</v>
      </c>
      <c r="BE154">
        <f t="shared" si="35"/>
        <v>11.56702844641975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1.0899399999999999</v>
      </c>
      <c r="H155" s="21">
        <v>6.4826100000000002</v>
      </c>
      <c r="I155" s="21">
        <v>-1.46088E-2</v>
      </c>
      <c r="J155" s="21">
        <v>145</v>
      </c>
      <c r="K155" s="21">
        <v>1.08887</v>
      </c>
      <c r="L155">
        <f t="shared" si="24"/>
        <v>18.035555555555554</v>
      </c>
      <c r="M155">
        <f t="shared" si="25"/>
        <v>19.657673422222217</v>
      </c>
      <c r="N155" s="9"/>
      <c r="O155" s="21">
        <v>0.62164299999999995</v>
      </c>
      <c r="P155" s="21">
        <v>16.833400000000001</v>
      </c>
      <c r="Q155" s="21">
        <v>-1.49689E-2</v>
      </c>
      <c r="R155" s="21">
        <v>238</v>
      </c>
      <c r="S155" s="21">
        <v>0.62085000000000001</v>
      </c>
      <c r="T155">
        <f t="shared" si="26"/>
        <v>18.480123456790125</v>
      </c>
      <c r="U155">
        <f t="shared" si="27"/>
        <v>11.488039386049383</v>
      </c>
      <c r="X155" s="9"/>
      <c r="Y155" s="21">
        <v>1.0899399999999999</v>
      </c>
      <c r="Z155" s="21">
        <v>15.896800000000001</v>
      </c>
      <c r="AA155" s="21">
        <v>-1.46576E-2</v>
      </c>
      <c r="AB155" s="21">
        <v>145</v>
      </c>
      <c r="AC155" s="21">
        <v>1.08887</v>
      </c>
      <c r="AD155">
        <f t="shared" si="28"/>
        <v>18.095802469135801</v>
      </c>
      <c r="AE155">
        <f t="shared" si="29"/>
        <v>19.723338943209875</v>
      </c>
      <c r="AF155" s="9"/>
      <c r="AG155" s="21">
        <v>0.63018799999999997</v>
      </c>
      <c r="AH155" s="21">
        <v>19.7563</v>
      </c>
      <c r="AI155" s="21">
        <v>-1.4941400000000001E-2</v>
      </c>
      <c r="AJ155" s="21">
        <v>145</v>
      </c>
      <c r="AK155" s="21">
        <v>0.62945600000000002</v>
      </c>
      <c r="AL155">
        <f t="shared" si="30"/>
        <v>18.446172839506172</v>
      </c>
      <c r="AM155">
        <f t="shared" si="31"/>
        <v>11.624556769382714</v>
      </c>
      <c r="AP155" s="9"/>
      <c r="AQ155" s="21">
        <v>1.0899399999999999</v>
      </c>
      <c r="AR155" s="21">
        <v>25.331099999999999</v>
      </c>
      <c r="AS155" s="21">
        <v>-1.47095E-2</v>
      </c>
      <c r="AT155" s="21">
        <v>145</v>
      </c>
      <c r="AU155" s="21">
        <v>1.08948</v>
      </c>
      <c r="AV155">
        <f t="shared" si="32"/>
        <v>18.159876543209876</v>
      </c>
      <c r="AW155">
        <f t="shared" si="33"/>
        <v>19.793175839506169</v>
      </c>
      <c r="AX155" s="9"/>
      <c r="AY155" s="21">
        <v>0.63018799999999997</v>
      </c>
      <c r="AZ155" s="21">
        <v>29.1905</v>
      </c>
      <c r="BA155" s="21">
        <v>-1.4981100000000001E-2</v>
      </c>
      <c r="BB155" s="21">
        <v>145</v>
      </c>
      <c r="BC155" s="21">
        <v>0.62957799999999997</v>
      </c>
      <c r="BD155">
        <f t="shared" si="34"/>
        <v>18.495185185185186</v>
      </c>
      <c r="BE155">
        <f t="shared" si="35"/>
        <v>11.655443761481481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1.0849</v>
      </c>
      <c r="H156" s="21">
        <v>6.49268</v>
      </c>
      <c r="I156" s="21">
        <v>-1.46149E-2</v>
      </c>
      <c r="J156" s="21">
        <v>146</v>
      </c>
      <c r="K156" s="21">
        <v>1.08368</v>
      </c>
      <c r="L156">
        <f t="shared" si="24"/>
        <v>18.043086419753088</v>
      </c>
      <c r="M156">
        <f t="shared" si="25"/>
        <v>19.574944456790124</v>
      </c>
      <c r="N156" s="9"/>
      <c r="O156" s="21">
        <v>0.62667799999999996</v>
      </c>
      <c r="P156" s="21">
        <v>16.823399999999999</v>
      </c>
      <c r="Q156" s="21">
        <v>-1.49689E-2</v>
      </c>
      <c r="R156" s="21">
        <v>237</v>
      </c>
      <c r="S156" s="21">
        <v>0.62612900000000005</v>
      </c>
      <c r="T156">
        <f t="shared" si="26"/>
        <v>18.480123456790125</v>
      </c>
      <c r="U156">
        <f t="shared" si="27"/>
        <v>11.581086807654321</v>
      </c>
      <c r="X156" s="9"/>
      <c r="Y156" s="21">
        <v>1.0849</v>
      </c>
      <c r="Z156" s="21">
        <v>15.9069</v>
      </c>
      <c r="AA156" s="21">
        <v>-1.46637E-2</v>
      </c>
      <c r="AB156" s="21">
        <v>146</v>
      </c>
      <c r="AC156" s="21">
        <v>1.0833699999999999</v>
      </c>
      <c r="AD156">
        <f t="shared" si="28"/>
        <v>18.103333333333332</v>
      </c>
      <c r="AE156">
        <f t="shared" si="29"/>
        <v>19.640306333333331</v>
      </c>
      <c r="AF156" s="9"/>
      <c r="AG156" s="21">
        <v>0.63522299999999998</v>
      </c>
      <c r="AH156" s="21">
        <v>19.766400000000001</v>
      </c>
      <c r="AI156" s="21">
        <v>-1.4941400000000001E-2</v>
      </c>
      <c r="AJ156" s="21">
        <v>146</v>
      </c>
      <c r="AK156" s="21">
        <v>0.63458300000000001</v>
      </c>
      <c r="AL156">
        <f t="shared" si="30"/>
        <v>18.446172839506172</v>
      </c>
      <c r="AM156">
        <f t="shared" si="31"/>
        <v>11.717433249629629</v>
      </c>
      <c r="AP156" s="9"/>
      <c r="AQ156" s="21">
        <v>1.0849</v>
      </c>
      <c r="AR156" s="21">
        <v>25.341100000000001</v>
      </c>
      <c r="AS156" s="21">
        <v>-1.47125E-2</v>
      </c>
      <c r="AT156" s="21">
        <v>146</v>
      </c>
      <c r="AU156" s="21">
        <v>1.08429</v>
      </c>
      <c r="AV156">
        <f t="shared" si="32"/>
        <v>18.163580246913579</v>
      </c>
      <c r="AW156">
        <f t="shared" si="33"/>
        <v>19.705668209876542</v>
      </c>
      <c r="AX156" s="9"/>
      <c r="AY156" s="21">
        <v>0.63522299999999998</v>
      </c>
      <c r="AZ156" s="21">
        <v>29.200600000000001</v>
      </c>
      <c r="BA156" s="21">
        <v>-1.4981100000000001E-2</v>
      </c>
      <c r="BB156" s="21">
        <v>146</v>
      </c>
      <c r="BC156" s="21">
        <v>0.63458300000000001</v>
      </c>
      <c r="BD156">
        <f t="shared" si="34"/>
        <v>18.495185185185186</v>
      </c>
      <c r="BE156">
        <f t="shared" si="35"/>
        <v>11.748567018888888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1.07986</v>
      </c>
      <c r="H157" s="21">
        <v>6.5027600000000003</v>
      </c>
      <c r="I157" s="21">
        <v>-1.4624E-2</v>
      </c>
      <c r="J157" s="21">
        <v>147</v>
      </c>
      <c r="K157" s="21">
        <v>1.0788</v>
      </c>
      <c r="L157">
        <f t="shared" si="24"/>
        <v>18.054320987654318</v>
      </c>
      <c r="M157">
        <f t="shared" si="25"/>
        <v>19.496139061728393</v>
      </c>
      <c r="N157" s="9"/>
      <c r="O157" s="21">
        <v>0.631714</v>
      </c>
      <c r="P157" s="21">
        <v>16.813300000000002</v>
      </c>
      <c r="Q157" s="21">
        <v>-1.49658E-2</v>
      </c>
      <c r="R157" s="21">
        <v>236</v>
      </c>
      <c r="S157" s="21">
        <v>0.63119499999999995</v>
      </c>
      <c r="T157">
        <f t="shared" si="26"/>
        <v>18.476296296296297</v>
      </c>
      <c r="U157">
        <f t="shared" si="27"/>
        <v>11.67173503851852</v>
      </c>
      <c r="X157" s="9"/>
      <c r="Y157" s="21">
        <v>1.07986</v>
      </c>
      <c r="Z157" s="21">
        <v>15.917</v>
      </c>
      <c r="AA157" s="21">
        <v>-1.46637E-2</v>
      </c>
      <c r="AB157" s="21">
        <v>147</v>
      </c>
      <c r="AC157" s="21">
        <v>1.0784899999999999</v>
      </c>
      <c r="AD157">
        <f t="shared" si="28"/>
        <v>18.103333333333332</v>
      </c>
      <c r="AE157">
        <f t="shared" si="29"/>
        <v>19.549065533333334</v>
      </c>
      <c r="AF157" s="9"/>
      <c r="AG157" s="21">
        <v>0.64025900000000002</v>
      </c>
      <c r="AH157" s="21">
        <v>19.776399999999999</v>
      </c>
      <c r="AI157" s="21">
        <v>-1.4941400000000001E-2</v>
      </c>
      <c r="AJ157" s="21">
        <v>147</v>
      </c>
      <c r="AK157" s="21">
        <v>0.639679</v>
      </c>
      <c r="AL157">
        <f t="shared" si="30"/>
        <v>18.446172839506172</v>
      </c>
      <c r="AM157">
        <f t="shared" si="31"/>
        <v>11.810328176049383</v>
      </c>
      <c r="AP157" s="9"/>
      <c r="AQ157" s="21">
        <v>1.07986</v>
      </c>
      <c r="AR157" s="21">
        <v>25.351199999999999</v>
      </c>
      <c r="AS157" s="21">
        <v>-1.47095E-2</v>
      </c>
      <c r="AT157" s="21">
        <v>147</v>
      </c>
      <c r="AU157" s="21">
        <v>1.0790999999999999</v>
      </c>
      <c r="AV157">
        <f t="shared" si="32"/>
        <v>18.159876543209876</v>
      </c>
      <c r="AW157">
        <f t="shared" si="33"/>
        <v>19.610124283950618</v>
      </c>
      <c r="AX157" s="9"/>
      <c r="AY157" s="21">
        <v>0.64025900000000002</v>
      </c>
      <c r="AZ157" s="21">
        <v>29.210699999999999</v>
      </c>
      <c r="BA157" s="21">
        <v>-1.49719E-2</v>
      </c>
      <c r="BB157" s="21">
        <v>147</v>
      </c>
      <c r="BC157" s="21">
        <v>0.63961800000000002</v>
      </c>
      <c r="BD157">
        <f t="shared" si="34"/>
        <v>18.483827160493824</v>
      </c>
      <c r="BE157">
        <f t="shared" si="35"/>
        <v>11.834436693950616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1.07483</v>
      </c>
      <c r="H158" s="21">
        <v>6.5128300000000001</v>
      </c>
      <c r="I158" s="21">
        <v>-1.46301E-2</v>
      </c>
      <c r="J158" s="21">
        <v>148</v>
      </c>
      <c r="K158" s="21">
        <v>1.0739099999999999</v>
      </c>
      <c r="L158">
        <f t="shared" si="24"/>
        <v>18.061851851851848</v>
      </c>
      <c r="M158">
        <f t="shared" si="25"/>
        <v>19.413420225925922</v>
      </c>
      <c r="N158" s="9"/>
      <c r="O158" s="21">
        <v>0.63674900000000001</v>
      </c>
      <c r="P158" s="21">
        <v>16.8032</v>
      </c>
      <c r="Q158" s="21">
        <v>-1.49719E-2</v>
      </c>
      <c r="R158" s="21">
        <v>235</v>
      </c>
      <c r="S158" s="21">
        <v>0.63610800000000001</v>
      </c>
      <c r="T158">
        <f t="shared" si="26"/>
        <v>18.483827160493824</v>
      </c>
      <c r="U158">
        <f t="shared" si="27"/>
        <v>11.769558460617283</v>
      </c>
      <c r="X158" s="9"/>
      <c r="Y158" s="21">
        <v>1.07483</v>
      </c>
      <c r="Z158" s="21">
        <v>15.927</v>
      </c>
      <c r="AA158" s="21">
        <v>-1.46667E-2</v>
      </c>
      <c r="AB158" s="21">
        <v>148</v>
      </c>
      <c r="AC158" s="21">
        <v>1.0739099999999999</v>
      </c>
      <c r="AD158">
        <f t="shared" si="28"/>
        <v>18.107037037037035</v>
      </c>
      <c r="AE158">
        <f t="shared" si="29"/>
        <v>19.461986618518516</v>
      </c>
      <c r="AF158" s="9"/>
      <c r="AG158" s="21">
        <v>0.64529400000000003</v>
      </c>
      <c r="AH158" s="21">
        <v>19.7865</v>
      </c>
      <c r="AI158" s="21">
        <v>-1.4941400000000001E-2</v>
      </c>
      <c r="AJ158" s="21">
        <v>148</v>
      </c>
      <c r="AK158" s="21">
        <v>0.64462299999999995</v>
      </c>
      <c r="AL158">
        <f t="shared" si="30"/>
        <v>18.446172839506172</v>
      </c>
      <c r="AM158">
        <f t="shared" si="31"/>
        <v>11.903204656296296</v>
      </c>
      <c r="AP158" s="9"/>
      <c r="AQ158" s="21">
        <v>1.07483</v>
      </c>
      <c r="AR158" s="21">
        <v>25.3613</v>
      </c>
      <c r="AS158" s="21">
        <v>-1.47125E-2</v>
      </c>
      <c r="AT158" s="21">
        <v>148</v>
      </c>
      <c r="AU158" s="21">
        <v>1.0732999999999999</v>
      </c>
      <c r="AV158">
        <f t="shared" si="32"/>
        <v>18.163580246913579</v>
      </c>
      <c r="AW158">
        <f t="shared" si="33"/>
        <v>19.522760956790123</v>
      </c>
      <c r="AX158" s="9"/>
      <c r="AY158" s="21">
        <v>0.64529400000000003</v>
      </c>
      <c r="AZ158" s="21">
        <v>29.220700000000001</v>
      </c>
      <c r="BA158" s="21">
        <v>-1.49689E-2</v>
      </c>
      <c r="BB158" s="21">
        <v>148</v>
      </c>
      <c r="BC158" s="21">
        <v>0.64477499999999999</v>
      </c>
      <c r="BD158">
        <f t="shared" si="34"/>
        <v>18.480123456790125</v>
      </c>
      <c r="BE158">
        <f t="shared" si="35"/>
        <v>11.925112785925927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1.06979</v>
      </c>
      <c r="H159" s="21">
        <v>6.5228999999999999</v>
      </c>
      <c r="I159" s="21">
        <v>-1.46362E-2</v>
      </c>
      <c r="J159" s="21">
        <v>149</v>
      </c>
      <c r="K159" s="21">
        <v>1.06873</v>
      </c>
      <c r="L159">
        <f t="shared" si="24"/>
        <v>18.069382716049383</v>
      </c>
      <c r="M159">
        <f t="shared" si="25"/>
        <v>19.330444935802468</v>
      </c>
      <c r="N159" s="9"/>
      <c r="O159" s="21">
        <v>0.64178500000000005</v>
      </c>
      <c r="P159" s="21">
        <v>16.793099999999999</v>
      </c>
      <c r="Q159" s="21">
        <v>-1.49628E-2</v>
      </c>
      <c r="R159" s="21">
        <v>234</v>
      </c>
      <c r="S159" s="21">
        <v>0.64108299999999996</v>
      </c>
      <c r="T159">
        <f t="shared" si="26"/>
        <v>18.472592592592594</v>
      </c>
      <c r="U159">
        <f t="shared" si="27"/>
        <v>11.855432837037039</v>
      </c>
      <c r="X159" s="9"/>
      <c r="Y159" s="21">
        <v>1.06979</v>
      </c>
      <c r="Z159" s="21">
        <v>15.937099999999999</v>
      </c>
      <c r="AA159" s="21">
        <v>-1.46698E-2</v>
      </c>
      <c r="AB159" s="21">
        <v>149</v>
      </c>
      <c r="AC159" s="21">
        <v>1.06873</v>
      </c>
      <c r="AD159">
        <f t="shared" si="28"/>
        <v>18.110864197530866</v>
      </c>
      <c r="AE159">
        <f t="shared" si="29"/>
        <v>19.374821409876546</v>
      </c>
      <c r="AF159" s="9"/>
      <c r="AG159" s="21">
        <v>0.65032999999999996</v>
      </c>
      <c r="AH159" s="21">
        <v>19.796600000000002</v>
      </c>
      <c r="AI159" s="21">
        <v>-1.4947500000000001E-2</v>
      </c>
      <c r="AJ159" s="21">
        <v>149</v>
      </c>
      <c r="AK159" s="21">
        <v>0.64968899999999996</v>
      </c>
      <c r="AL159">
        <f t="shared" si="30"/>
        <v>18.453703703703706</v>
      </c>
      <c r="AM159">
        <f t="shared" si="31"/>
        <v>12.00099712962963</v>
      </c>
      <c r="AP159" s="9"/>
      <c r="AQ159" s="21">
        <v>1.06979</v>
      </c>
      <c r="AR159" s="21">
        <v>25.371300000000002</v>
      </c>
      <c r="AS159" s="21">
        <v>-1.47186E-2</v>
      </c>
      <c r="AT159" s="21">
        <v>149</v>
      </c>
      <c r="AU159" s="21">
        <v>1.06934</v>
      </c>
      <c r="AV159">
        <f t="shared" si="32"/>
        <v>18.171111111111109</v>
      </c>
      <c r="AW159">
        <f t="shared" si="33"/>
        <v>19.439272955555555</v>
      </c>
      <c r="AX159" s="9"/>
      <c r="AY159" s="21">
        <v>0.65032999999999996</v>
      </c>
      <c r="AZ159" s="21">
        <v>29.230799999999999</v>
      </c>
      <c r="BA159" s="21">
        <v>-1.49689E-2</v>
      </c>
      <c r="BB159" s="21">
        <v>149</v>
      </c>
      <c r="BC159" s="21">
        <v>0.64968899999999996</v>
      </c>
      <c r="BD159">
        <f t="shared" si="34"/>
        <v>18.480123456790125</v>
      </c>
      <c r="BE159">
        <f t="shared" si="35"/>
        <v>12.018178687654322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1.0647599999999999</v>
      </c>
      <c r="H160" s="21">
        <v>6.5329699999999997</v>
      </c>
      <c r="I160" s="21">
        <v>-1.4639299999999999E-2</v>
      </c>
      <c r="J160" s="21">
        <v>150</v>
      </c>
      <c r="K160" s="21">
        <v>1.0638399999999999</v>
      </c>
      <c r="L160">
        <f t="shared" si="24"/>
        <v>18.07320987654321</v>
      </c>
      <c r="M160">
        <f t="shared" si="25"/>
        <v>19.243630948148148</v>
      </c>
      <c r="N160" s="9"/>
      <c r="O160" s="21">
        <v>0.64681999999999995</v>
      </c>
      <c r="P160" s="21">
        <v>16.783100000000001</v>
      </c>
      <c r="Q160" s="21">
        <v>-1.4959699999999999E-2</v>
      </c>
      <c r="R160" s="21">
        <v>233</v>
      </c>
      <c r="S160" s="21">
        <v>0.64620999999999995</v>
      </c>
      <c r="T160">
        <f t="shared" si="26"/>
        <v>18.468765432098763</v>
      </c>
      <c r="U160">
        <f t="shared" si="27"/>
        <v>11.945966856790122</v>
      </c>
      <c r="X160" s="9"/>
      <c r="Y160" s="21">
        <v>1.0647599999999999</v>
      </c>
      <c r="Z160" s="21">
        <v>15.9472</v>
      </c>
      <c r="AA160" s="21">
        <v>-1.46759E-2</v>
      </c>
      <c r="AB160" s="21">
        <v>150</v>
      </c>
      <c r="AC160" s="21">
        <v>1.0635399999999999</v>
      </c>
      <c r="AD160">
        <f t="shared" si="28"/>
        <v>18.118395061728396</v>
      </c>
      <c r="AE160">
        <f t="shared" si="29"/>
        <v>19.291742325925927</v>
      </c>
      <c r="AF160" s="9"/>
      <c r="AG160" s="21">
        <v>0.65536499999999998</v>
      </c>
      <c r="AH160" s="21">
        <v>19.806699999999999</v>
      </c>
      <c r="AI160" s="21">
        <v>-1.4947500000000001E-2</v>
      </c>
      <c r="AJ160" s="21">
        <v>150</v>
      </c>
      <c r="AK160" s="21">
        <v>0.65472399999999997</v>
      </c>
      <c r="AL160">
        <f t="shared" si="30"/>
        <v>18.453703703703706</v>
      </c>
      <c r="AM160">
        <f t="shared" si="31"/>
        <v>12.093911527777779</v>
      </c>
      <c r="AP160" s="9"/>
      <c r="AQ160" s="21">
        <v>1.0647599999999999</v>
      </c>
      <c r="AR160" s="21">
        <v>25.381399999999999</v>
      </c>
      <c r="AS160" s="21">
        <v>-1.4721700000000001E-2</v>
      </c>
      <c r="AT160" s="21">
        <v>150</v>
      </c>
      <c r="AU160" s="21">
        <v>1.0638399999999999</v>
      </c>
      <c r="AV160">
        <f t="shared" si="32"/>
        <v>18.174938271604937</v>
      </c>
      <c r="AW160">
        <f t="shared" si="33"/>
        <v>19.351947274074071</v>
      </c>
      <c r="AX160" s="9"/>
      <c r="AY160" s="21">
        <v>0.65536499999999998</v>
      </c>
      <c r="AZ160" s="21">
        <v>29.2409</v>
      </c>
      <c r="BA160" s="21">
        <v>-1.49628E-2</v>
      </c>
      <c r="BB160" s="21">
        <v>150</v>
      </c>
      <c r="BC160" s="21">
        <v>0.65478499999999995</v>
      </c>
      <c r="BD160">
        <f t="shared" si="34"/>
        <v>18.472592592592594</v>
      </c>
      <c r="BE160">
        <f t="shared" si="35"/>
        <v>12.106290644444446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1.05972</v>
      </c>
      <c r="H161" s="21">
        <v>6.5430400000000004</v>
      </c>
      <c r="I161" s="21">
        <v>-1.4639299999999999E-2</v>
      </c>
      <c r="J161" s="21">
        <v>151</v>
      </c>
      <c r="K161" s="21">
        <v>1.0592699999999999</v>
      </c>
      <c r="L161">
        <f t="shared" si="24"/>
        <v>18.07320987654321</v>
      </c>
      <c r="M161">
        <f t="shared" si="25"/>
        <v>19.152541970370372</v>
      </c>
      <c r="N161" s="9"/>
      <c r="O161" s="21">
        <v>0.65185499999999996</v>
      </c>
      <c r="P161" s="21">
        <v>16.773</v>
      </c>
      <c r="Q161" s="21">
        <v>-1.49506E-2</v>
      </c>
      <c r="R161" s="21">
        <v>232</v>
      </c>
      <c r="S161" s="21">
        <v>0.65124499999999996</v>
      </c>
      <c r="T161">
        <f t="shared" si="26"/>
        <v>18.45753086419753</v>
      </c>
      <c r="U161">
        <f t="shared" si="27"/>
        <v>12.03163378148148</v>
      </c>
      <c r="X161" s="9"/>
      <c r="Y161" s="21">
        <v>1.05972</v>
      </c>
      <c r="Z161" s="21">
        <v>15.9573</v>
      </c>
      <c r="AA161" s="21">
        <v>-1.46851E-2</v>
      </c>
      <c r="AB161" s="21">
        <v>151</v>
      </c>
      <c r="AC161" s="21">
        <v>1.0592699999999999</v>
      </c>
      <c r="AD161">
        <f t="shared" si="28"/>
        <v>18.12975308641975</v>
      </c>
      <c r="AE161">
        <f t="shared" si="29"/>
        <v>19.212461940740738</v>
      </c>
      <c r="AF161" s="9"/>
      <c r="AG161" s="21">
        <v>0.66039999999999999</v>
      </c>
      <c r="AH161" s="21">
        <v>19.816700000000001</v>
      </c>
      <c r="AI161" s="21">
        <v>-1.4938399999999999E-2</v>
      </c>
      <c r="AJ161" s="21">
        <v>151</v>
      </c>
      <c r="AK161" s="21">
        <v>0.65982099999999999</v>
      </c>
      <c r="AL161">
        <f t="shared" si="30"/>
        <v>18.442469135802465</v>
      </c>
      <c r="AM161">
        <f t="shared" si="31"/>
        <v>12.179406617283949</v>
      </c>
      <c r="AP161" s="9"/>
      <c r="AQ161" s="21">
        <v>1.05972</v>
      </c>
      <c r="AR161" s="21">
        <v>25.391500000000001</v>
      </c>
      <c r="AS161" s="21">
        <v>-1.47308E-2</v>
      </c>
      <c r="AT161" s="21">
        <v>151</v>
      </c>
      <c r="AU161" s="21">
        <v>1.0586500000000001</v>
      </c>
      <c r="AV161">
        <f t="shared" si="32"/>
        <v>18.186172839506174</v>
      </c>
      <c r="AW161">
        <f t="shared" si="33"/>
        <v>19.272251081481482</v>
      </c>
      <c r="AX161" s="9"/>
      <c r="AY161" s="21">
        <v>0.66039999999999999</v>
      </c>
      <c r="AZ161" s="21">
        <v>29.251000000000001</v>
      </c>
      <c r="BA161" s="21">
        <v>-1.49628E-2</v>
      </c>
      <c r="BB161" s="21">
        <v>151</v>
      </c>
      <c r="BC161" s="21">
        <v>0.65969800000000001</v>
      </c>
      <c r="BD161">
        <f t="shared" si="34"/>
        <v>18.472592592592594</v>
      </c>
      <c r="BE161">
        <f t="shared" si="35"/>
        <v>12.199300148148149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1.0546899999999999</v>
      </c>
      <c r="H162" s="21">
        <v>6.5531100000000002</v>
      </c>
      <c r="I162" s="21">
        <v>-1.46423E-2</v>
      </c>
      <c r="J162" s="21">
        <v>152</v>
      </c>
      <c r="K162" s="21">
        <v>1.0543800000000001</v>
      </c>
      <c r="L162">
        <f t="shared" si="24"/>
        <v>18.076913580246913</v>
      </c>
      <c r="M162">
        <f t="shared" si="25"/>
        <v>19.065539983950615</v>
      </c>
      <c r="N162" s="9"/>
      <c r="O162" s="21">
        <v>0.656891</v>
      </c>
      <c r="P162" s="21">
        <v>16.762899999999998</v>
      </c>
      <c r="Q162" s="21">
        <v>-1.4941400000000001E-2</v>
      </c>
      <c r="R162" s="21">
        <v>231</v>
      </c>
      <c r="S162" s="21">
        <v>0.65631099999999998</v>
      </c>
      <c r="T162">
        <f t="shared" si="26"/>
        <v>18.446172839506172</v>
      </c>
      <c r="U162">
        <f t="shared" si="27"/>
        <v>12.117124922716048</v>
      </c>
      <c r="X162" s="9"/>
      <c r="Y162" s="21">
        <v>1.0546899999999999</v>
      </c>
      <c r="Z162" s="21">
        <v>15.9673</v>
      </c>
      <c r="AA162" s="21">
        <v>-1.4694199999999999E-2</v>
      </c>
      <c r="AB162" s="21">
        <v>152</v>
      </c>
      <c r="AC162" s="21">
        <v>1.0540799999999999</v>
      </c>
      <c r="AD162">
        <f t="shared" si="28"/>
        <v>18.140987654320988</v>
      </c>
      <c r="AE162">
        <f t="shared" si="29"/>
        <v>19.133118269135799</v>
      </c>
      <c r="AF162" s="9"/>
      <c r="AG162" s="21">
        <v>0.66543600000000003</v>
      </c>
      <c r="AH162" s="21">
        <v>19.826799999999999</v>
      </c>
      <c r="AI162" s="21">
        <v>-1.4926099999999999E-2</v>
      </c>
      <c r="AJ162" s="21">
        <v>152</v>
      </c>
      <c r="AK162" s="21">
        <v>0.66470300000000004</v>
      </c>
      <c r="AL162">
        <f t="shared" si="30"/>
        <v>18.427283950617284</v>
      </c>
      <c r="AM162">
        <f t="shared" si="31"/>
        <v>12.262178122962963</v>
      </c>
      <c r="AP162" s="9"/>
      <c r="AQ162" s="21">
        <v>1.0546899999999999</v>
      </c>
      <c r="AR162" s="21">
        <v>25.401599999999998</v>
      </c>
      <c r="AS162" s="21">
        <v>-1.4733899999999999E-2</v>
      </c>
      <c r="AT162" s="21">
        <v>152</v>
      </c>
      <c r="AU162" s="21">
        <v>1.0537700000000001</v>
      </c>
      <c r="AV162">
        <f t="shared" si="32"/>
        <v>18.189999999999998</v>
      </c>
      <c r="AW162">
        <f t="shared" si="33"/>
        <v>19.184811099999997</v>
      </c>
      <c r="AX162" s="9"/>
      <c r="AY162" s="21">
        <v>0.66543600000000003</v>
      </c>
      <c r="AZ162" s="21">
        <v>29.260999999999999</v>
      </c>
      <c r="BA162" s="21">
        <v>-1.4959699999999999E-2</v>
      </c>
      <c r="BB162" s="21">
        <v>152</v>
      </c>
      <c r="BC162" s="21">
        <v>0.66473400000000005</v>
      </c>
      <c r="BD162">
        <f t="shared" si="34"/>
        <v>18.468765432098763</v>
      </c>
      <c r="BE162">
        <f t="shared" si="35"/>
        <v>12.289781394074073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1.04965</v>
      </c>
      <c r="H163" s="21">
        <v>6.56318</v>
      </c>
      <c r="I163" s="21">
        <v>-1.46423E-2</v>
      </c>
      <c r="J163" s="21">
        <v>153</v>
      </c>
      <c r="K163" s="21">
        <v>1.0479700000000001</v>
      </c>
      <c r="L163">
        <f t="shared" si="24"/>
        <v>18.076913580246913</v>
      </c>
      <c r="M163">
        <f t="shared" si="25"/>
        <v>18.974432339506173</v>
      </c>
      <c r="N163" s="9"/>
      <c r="O163" s="21">
        <v>0.66192600000000001</v>
      </c>
      <c r="P163" s="21">
        <v>16.7529</v>
      </c>
      <c r="Q163" s="21">
        <v>-1.4941400000000001E-2</v>
      </c>
      <c r="R163" s="21">
        <v>230</v>
      </c>
      <c r="S163" s="21">
        <v>0.66140699999999997</v>
      </c>
      <c r="T163">
        <f t="shared" si="26"/>
        <v>18.446172839506172</v>
      </c>
      <c r="U163">
        <f t="shared" si="27"/>
        <v>12.210001402962963</v>
      </c>
      <c r="X163" s="9"/>
      <c r="Y163" s="21">
        <v>1.04965</v>
      </c>
      <c r="Z163" s="21">
        <v>15.977399999999999</v>
      </c>
      <c r="AA163" s="21">
        <v>-1.47034E-2</v>
      </c>
      <c r="AB163" s="21">
        <v>153</v>
      </c>
      <c r="AC163" s="21">
        <v>1.0485800000000001</v>
      </c>
      <c r="AD163">
        <f t="shared" si="28"/>
        <v>18.152345679012342</v>
      </c>
      <c r="AE163">
        <f t="shared" si="29"/>
        <v>19.053609641975303</v>
      </c>
      <c r="AF163" s="9"/>
      <c r="AG163" s="21">
        <v>0.67047100000000004</v>
      </c>
      <c r="AH163" s="21">
        <v>19.8369</v>
      </c>
      <c r="AI163" s="21">
        <v>-1.49231E-2</v>
      </c>
      <c r="AJ163" s="21">
        <v>153</v>
      </c>
      <c r="AK163" s="21">
        <v>0.66973899999999997</v>
      </c>
      <c r="AL163">
        <f t="shared" si="30"/>
        <v>18.423580246913577</v>
      </c>
      <c r="AM163">
        <f t="shared" si="31"/>
        <v>12.352476271728394</v>
      </c>
      <c r="AP163" s="9"/>
      <c r="AQ163" s="21">
        <v>1.04965</v>
      </c>
      <c r="AR163" s="21">
        <v>25.4116</v>
      </c>
      <c r="AS163" s="21">
        <v>-1.4742999999999999E-2</v>
      </c>
      <c r="AT163" s="21">
        <v>153</v>
      </c>
      <c r="AU163" s="21">
        <v>1.0482800000000001</v>
      </c>
      <c r="AV163">
        <f t="shared" si="32"/>
        <v>18.201234567901235</v>
      </c>
      <c r="AW163">
        <f t="shared" si="33"/>
        <v>19.104925864197529</v>
      </c>
      <c r="AX163" s="9"/>
      <c r="AY163" s="21">
        <v>0.67047100000000004</v>
      </c>
      <c r="AZ163" s="21">
        <v>29.271100000000001</v>
      </c>
      <c r="BA163" s="21">
        <v>-1.49567E-2</v>
      </c>
      <c r="BB163" s="21">
        <v>153</v>
      </c>
      <c r="BC163" s="21">
        <v>0.66989100000000001</v>
      </c>
      <c r="BD163">
        <f t="shared" si="34"/>
        <v>18.46506172839506</v>
      </c>
      <c r="BE163">
        <f t="shared" si="35"/>
        <v>12.380288402098765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1.0446200000000001</v>
      </c>
      <c r="H164" s="21">
        <v>6.5732499999999998</v>
      </c>
      <c r="I164" s="21">
        <v>-1.46515E-2</v>
      </c>
      <c r="J164" s="21">
        <v>154</v>
      </c>
      <c r="K164" s="21">
        <v>1.0427900000000001</v>
      </c>
      <c r="L164">
        <f t="shared" si="24"/>
        <v>18.088271604938271</v>
      </c>
      <c r="M164">
        <f t="shared" si="25"/>
        <v>18.895370283950619</v>
      </c>
      <c r="N164" s="9"/>
      <c r="O164" s="21">
        <v>0.66696200000000005</v>
      </c>
      <c r="P164" s="21">
        <v>16.742799999999999</v>
      </c>
      <c r="Q164" s="21">
        <v>-1.4941400000000001E-2</v>
      </c>
      <c r="R164" s="21">
        <v>229</v>
      </c>
      <c r="S164" s="21">
        <v>0.66632100000000005</v>
      </c>
      <c r="T164">
        <f t="shared" si="26"/>
        <v>18.446172839506172</v>
      </c>
      <c r="U164">
        <f t="shared" si="27"/>
        <v>12.302896329382717</v>
      </c>
      <c r="X164" s="9"/>
      <c r="Y164" s="21">
        <v>1.0446200000000001</v>
      </c>
      <c r="Z164" s="21">
        <v>15.987500000000001</v>
      </c>
      <c r="AA164" s="21">
        <v>-1.47095E-2</v>
      </c>
      <c r="AB164" s="21">
        <v>154</v>
      </c>
      <c r="AC164" s="21">
        <v>1.0437000000000001</v>
      </c>
      <c r="AD164">
        <f t="shared" si="28"/>
        <v>18.159876543209876</v>
      </c>
      <c r="AE164">
        <f t="shared" si="29"/>
        <v>18.970170234567902</v>
      </c>
      <c r="AF164" s="9"/>
      <c r="AG164" s="21">
        <v>0.67550699999999997</v>
      </c>
      <c r="AH164" s="21">
        <v>19.846900000000002</v>
      </c>
      <c r="AI164" s="21">
        <v>-1.4932300000000001E-2</v>
      </c>
      <c r="AJ164" s="21">
        <v>154</v>
      </c>
      <c r="AK164" s="21">
        <v>0.67480499999999999</v>
      </c>
      <c r="AL164">
        <f t="shared" si="30"/>
        <v>18.434938271604938</v>
      </c>
      <c r="AM164">
        <f t="shared" si="31"/>
        <v>12.452929847037037</v>
      </c>
      <c r="AP164" s="9"/>
      <c r="AQ164" s="21">
        <v>1.0446200000000001</v>
      </c>
      <c r="AR164" s="21">
        <v>25.421700000000001</v>
      </c>
      <c r="AS164" s="21">
        <v>-1.4749099999999999E-2</v>
      </c>
      <c r="AT164" s="21">
        <v>154</v>
      </c>
      <c r="AU164" s="21">
        <v>1.0440100000000001</v>
      </c>
      <c r="AV164">
        <f t="shared" si="32"/>
        <v>18.208765432098765</v>
      </c>
      <c r="AW164">
        <f t="shared" si="33"/>
        <v>19.021240545679014</v>
      </c>
      <c r="AX164" s="9"/>
      <c r="AY164" s="21">
        <v>0.67550699999999997</v>
      </c>
      <c r="AZ164" s="21">
        <v>29.281199999999998</v>
      </c>
      <c r="BA164" s="21">
        <v>-1.4947500000000001E-2</v>
      </c>
      <c r="BB164" s="21">
        <v>154</v>
      </c>
      <c r="BC164" s="21">
        <v>0.67486599999999997</v>
      </c>
      <c r="BD164">
        <f t="shared" si="34"/>
        <v>18.453703703703706</v>
      </c>
      <c r="BE164">
        <f t="shared" si="35"/>
        <v>12.465606027777779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1.0395799999999999</v>
      </c>
      <c r="H165" s="21">
        <v>6.5833199999999996</v>
      </c>
      <c r="I165" s="21">
        <v>-1.4660599999999999E-2</v>
      </c>
      <c r="J165" s="21">
        <v>155</v>
      </c>
      <c r="K165" s="21">
        <v>1.0382100000000001</v>
      </c>
      <c r="L165">
        <f t="shared" si="24"/>
        <v>18.099506172839504</v>
      </c>
      <c r="M165">
        <f t="shared" si="25"/>
        <v>18.815884627160489</v>
      </c>
      <c r="N165" s="9"/>
      <c r="O165" s="21">
        <v>0.67199699999999996</v>
      </c>
      <c r="P165" s="21">
        <v>16.732700000000001</v>
      </c>
      <c r="Q165" s="21">
        <v>-1.4944499999999999E-2</v>
      </c>
      <c r="R165" s="21">
        <v>228</v>
      </c>
      <c r="S165" s="21">
        <v>0.67135599999999995</v>
      </c>
      <c r="T165">
        <f t="shared" si="26"/>
        <v>18.45</v>
      </c>
      <c r="U165">
        <f t="shared" si="27"/>
        <v>12.398344649999999</v>
      </c>
      <c r="X165" s="9"/>
      <c r="Y165" s="21">
        <v>1.0395799999999999</v>
      </c>
      <c r="Z165" s="21">
        <v>15.9975</v>
      </c>
      <c r="AA165" s="21">
        <v>-1.47186E-2</v>
      </c>
      <c r="AB165" s="21">
        <v>155</v>
      </c>
      <c r="AC165" s="21">
        <v>1.03851</v>
      </c>
      <c r="AD165">
        <f t="shared" si="28"/>
        <v>18.171111111111109</v>
      </c>
      <c r="AE165">
        <f t="shared" si="29"/>
        <v>18.890323688888888</v>
      </c>
      <c r="AF165" s="9"/>
      <c r="AG165" s="21">
        <v>0.68054199999999998</v>
      </c>
      <c r="AH165" s="21">
        <v>19.856999999999999</v>
      </c>
      <c r="AI165" s="21">
        <v>-1.49353E-2</v>
      </c>
      <c r="AJ165" s="21">
        <v>155</v>
      </c>
      <c r="AK165" s="21">
        <v>0.67977900000000002</v>
      </c>
      <c r="AL165">
        <f t="shared" si="30"/>
        <v>18.438641975308641</v>
      </c>
      <c r="AM165">
        <f t="shared" si="31"/>
        <v>12.548270287160493</v>
      </c>
      <c r="AP165" s="9"/>
      <c r="AQ165" s="21">
        <v>1.0395799999999999</v>
      </c>
      <c r="AR165" s="21">
        <v>25.431799999999999</v>
      </c>
      <c r="AS165" s="21">
        <v>-1.47552E-2</v>
      </c>
      <c r="AT165" s="21">
        <v>155</v>
      </c>
      <c r="AU165" s="21">
        <v>1.03851</v>
      </c>
      <c r="AV165">
        <f t="shared" si="32"/>
        <v>18.216296296296292</v>
      </c>
      <c r="AW165">
        <f t="shared" si="33"/>
        <v>18.937297303703698</v>
      </c>
      <c r="AX165" s="9"/>
      <c r="AY165" s="21">
        <v>0.68054199999999998</v>
      </c>
      <c r="AZ165" s="21">
        <v>29.2912</v>
      </c>
      <c r="BA165" s="21">
        <v>-1.4944499999999999E-2</v>
      </c>
      <c r="BB165" s="21">
        <v>155</v>
      </c>
      <c r="BC165" s="21">
        <v>0.67993199999999998</v>
      </c>
      <c r="BD165">
        <f t="shared" si="34"/>
        <v>18.45</v>
      </c>
      <c r="BE165">
        <f t="shared" si="35"/>
        <v>12.5559999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1.0345500000000001</v>
      </c>
      <c r="H166" s="21">
        <v>6.5933900000000003</v>
      </c>
      <c r="I166" s="21">
        <v>-1.46637E-2</v>
      </c>
      <c r="J166" s="21">
        <v>156</v>
      </c>
      <c r="K166" s="21">
        <v>1.0339400000000001</v>
      </c>
      <c r="L166">
        <f t="shared" si="24"/>
        <v>18.103333333333332</v>
      </c>
      <c r="M166">
        <f t="shared" si="25"/>
        <v>18.728803500000001</v>
      </c>
      <c r="N166" s="9"/>
      <c r="O166" s="21">
        <v>0.67703199999999997</v>
      </c>
      <c r="P166" s="21">
        <v>16.7227</v>
      </c>
      <c r="Q166" s="21">
        <v>-1.4947500000000001E-2</v>
      </c>
      <c r="R166" s="21">
        <v>227</v>
      </c>
      <c r="S166" s="21">
        <v>0.67645299999999997</v>
      </c>
      <c r="T166">
        <f t="shared" si="26"/>
        <v>18.453703703703706</v>
      </c>
      <c r="U166">
        <f t="shared" si="27"/>
        <v>12.493747925925927</v>
      </c>
      <c r="X166" s="9"/>
      <c r="Y166" s="21">
        <v>1.0345500000000001</v>
      </c>
      <c r="Z166" s="21">
        <v>16.0076</v>
      </c>
      <c r="AA166" s="21">
        <v>-1.47308E-2</v>
      </c>
      <c r="AB166" s="21">
        <v>156</v>
      </c>
      <c r="AC166" s="21">
        <v>1.03363</v>
      </c>
      <c r="AD166">
        <f t="shared" si="28"/>
        <v>18.186172839506174</v>
      </c>
      <c r="AE166">
        <f t="shared" si="29"/>
        <v>18.814505111111114</v>
      </c>
      <c r="AF166" s="9"/>
      <c r="AG166" s="21">
        <v>0.68557699999999999</v>
      </c>
      <c r="AH166" s="21">
        <v>19.867100000000001</v>
      </c>
      <c r="AI166" s="21">
        <v>-1.49292E-2</v>
      </c>
      <c r="AJ166" s="21">
        <v>156</v>
      </c>
      <c r="AK166" s="21">
        <v>0.68487500000000001</v>
      </c>
      <c r="AL166">
        <f t="shared" si="30"/>
        <v>18.431111111111111</v>
      </c>
      <c r="AM166">
        <f t="shared" si="31"/>
        <v>12.635945862222222</v>
      </c>
      <c r="AP166" s="9"/>
      <c r="AQ166" s="21">
        <v>1.0345500000000001</v>
      </c>
      <c r="AR166" s="21">
        <v>25.441800000000001</v>
      </c>
      <c r="AS166" s="21">
        <v>-1.47583E-2</v>
      </c>
      <c r="AT166" s="21">
        <v>156</v>
      </c>
      <c r="AU166" s="21">
        <v>1.03363</v>
      </c>
      <c r="AV166">
        <f t="shared" si="32"/>
        <v>18.22012345679012</v>
      </c>
      <c r="AW166">
        <f t="shared" si="33"/>
        <v>18.849628722222221</v>
      </c>
      <c r="AX166" s="9"/>
      <c r="AY166" s="21">
        <v>0.68557699999999999</v>
      </c>
      <c r="AZ166" s="21">
        <v>29.301300000000001</v>
      </c>
      <c r="BA166" s="21">
        <v>-1.4938399999999999E-2</v>
      </c>
      <c r="BB166" s="21">
        <v>156</v>
      </c>
      <c r="BC166" s="21">
        <v>0.68502799999999997</v>
      </c>
      <c r="BD166">
        <f t="shared" si="34"/>
        <v>18.442469135802465</v>
      </c>
      <c r="BE166">
        <f t="shared" si="35"/>
        <v>12.643732662716047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1.0295099999999999</v>
      </c>
      <c r="H167" s="21">
        <v>6.6034699999999997</v>
      </c>
      <c r="I167" s="21">
        <v>-1.46637E-2</v>
      </c>
      <c r="J167" s="21">
        <v>157</v>
      </c>
      <c r="K167" s="21">
        <v>1.0287500000000001</v>
      </c>
      <c r="L167">
        <f t="shared" si="24"/>
        <v>18.103333333333332</v>
      </c>
      <c r="M167">
        <f t="shared" si="25"/>
        <v>18.637562699999997</v>
      </c>
      <c r="N167" s="9"/>
      <c r="O167" s="21">
        <v>0.68206800000000001</v>
      </c>
      <c r="P167" s="21">
        <v>16.712599999999998</v>
      </c>
      <c r="Q167" s="21">
        <v>-1.4947500000000001E-2</v>
      </c>
      <c r="R167" s="21">
        <v>226</v>
      </c>
      <c r="S167" s="21">
        <v>0.68145800000000001</v>
      </c>
      <c r="T167">
        <f t="shared" si="26"/>
        <v>18.453703703703706</v>
      </c>
      <c r="U167">
        <f t="shared" si="27"/>
        <v>12.586680777777779</v>
      </c>
      <c r="X167" s="9"/>
      <c r="Y167" s="21">
        <v>1.0295099999999999</v>
      </c>
      <c r="Z167" s="21">
        <v>16.017700000000001</v>
      </c>
      <c r="AA167" s="21">
        <v>-1.4736900000000001E-2</v>
      </c>
      <c r="AB167" s="21">
        <v>157</v>
      </c>
      <c r="AC167" s="21">
        <v>1.0287500000000001</v>
      </c>
      <c r="AD167">
        <f t="shared" si="28"/>
        <v>18.193703703703704</v>
      </c>
      <c r="AE167">
        <f t="shared" si="29"/>
        <v>18.730599899999998</v>
      </c>
      <c r="AF167" s="9"/>
      <c r="AG167" s="21">
        <v>0.69061300000000003</v>
      </c>
      <c r="AH167" s="21">
        <v>19.877199999999998</v>
      </c>
      <c r="AI167" s="21">
        <v>-1.4919999999999999E-2</v>
      </c>
      <c r="AJ167" s="21">
        <v>157</v>
      </c>
      <c r="AK167" s="21">
        <v>0.69003300000000001</v>
      </c>
      <c r="AL167">
        <f t="shared" si="30"/>
        <v>18.41975308641975</v>
      </c>
      <c r="AM167">
        <f t="shared" si="31"/>
        <v>12.720920938271604</v>
      </c>
      <c r="AP167" s="9"/>
      <c r="AQ167" s="21">
        <v>1.0295099999999999</v>
      </c>
      <c r="AR167" s="21">
        <v>25.451899999999998</v>
      </c>
      <c r="AS167" s="21">
        <v>-1.4761399999999999E-2</v>
      </c>
      <c r="AT167" s="21">
        <v>157</v>
      </c>
      <c r="AU167" s="21">
        <v>1.02844</v>
      </c>
      <c r="AV167">
        <f t="shared" si="32"/>
        <v>18.22395061728395</v>
      </c>
      <c r="AW167">
        <f t="shared" si="33"/>
        <v>18.7617394</v>
      </c>
      <c r="AX167" s="9"/>
      <c r="AY167" s="21">
        <v>0.69061300000000003</v>
      </c>
      <c r="AZ167" s="21">
        <v>29.311399999999999</v>
      </c>
      <c r="BA167" s="21">
        <v>-1.4932300000000001E-2</v>
      </c>
      <c r="BB167" s="21">
        <v>157</v>
      </c>
      <c r="BC167" s="21">
        <v>0.68988000000000005</v>
      </c>
      <c r="BD167">
        <f t="shared" si="34"/>
        <v>18.434938271604938</v>
      </c>
      <c r="BE167">
        <f t="shared" si="35"/>
        <v>12.731408024567902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1.0244800000000001</v>
      </c>
      <c r="H168" s="21">
        <v>6.6135400000000004</v>
      </c>
      <c r="I168" s="21">
        <v>-1.46576E-2</v>
      </c>
      <c r="J168" s="21">
        <v>158</v>
      </c>
      <c r="K168" s="21">
        <v>1.02356</v>
      </c>
      <c r="L168">
        <f t="shared" si="24"/>
        <v>18.095802469135801</v>
      </c>
      <c r="M168">
        <f t="shared" si="25"/>
        <v>18.538787713580248</v>
      </c>
      <c r="N168" s="9"/>
      <c r="O168" s="21">
        <v>0.68710300000000002</v>
      </c>
      <c r="P168" s="21">
        <v>16.702500000000001</v>
      </c>
      <c r="Q168" s="21">
        <v>-1.4947500000000001E-2</v>
      </c>
      <c r="R168" s="21">
        <v>225</v>
      </c>
      <c r="S168" s="21">
        <v>0.68640100000000004</v>
      </c>
      <c r="T168">
        <f t="shared" si="26"/>
        <v>18.453703703703706</v>
      </c>
      <c r="U168">
        <f t="shared" si="27"/>
        <v>12.679595175925927</v>
      </c>
      <c r="X168" s="9"/>
      <c r="Y168" s="21">
        <v>1.0244800000000001</v>
      </c>
      <c r="Z168" s="21">
        <v>16.027799999999999</v>
      </c>
      <c r="AA168" s="21">
        <v>-1.4736900000000001E-2</v>
      </c>
      <c r="AB168" s="21">
        <v>158</v>
      </c>
      <c r="AC168" s="21">
        <v>1.02356</v>
      </c>
      <c r="AD168">
        <f t="shared" si="28"/>
        <v>18.193703703703704</v>
      </c>
      <c r="AE168">
        <f t="shared" si="29"/>
        <v>18.639085570370373</v>
      </c>
      <c r="AF168" s="9"/>
      <c r="AG168" s="21">
        <v>0.69564800000000004</v>
      </c>
      <c r="AH168" s="21">
        <v>19.8872</v>
      </c>
      <c r="AI168" s="21">
        <v>-1.4913900000000001E-2</v>
      </c>
      <c r="AJ168" s="21">
        <v>158</v>
      </c>
      <c r="AK168" s="21">
        <v>0.69500700000000004</v>
      </c>
      <c r="AL168">
        <f t="shared" si="30"/>
        <v>18.412222222222223</v>
      </c>
      <c r="AM168">
        <f t="shared" si="31"/>
        <v>12.808425564444446</v>
      </c>
      <c r="AP168" s="9"/>
      <c r="AQ168" s="21">
        <v>1.0244800000000001</v>
      </c>
      <c r="AR168" s="21">
        <v>25.462</v>
      </c>
      <c r="AS168" s="21">
        <v>-1.4767499999999999E-2</v>
      </c>
      <c r="AT168" s="21">
        <v>158</v>
      </c>
      <c r="AU168" s="21">
        <v>1.02325</v>
      </c>
      <c r="AV168">
        <f t="shared" si="32"/>
        <v>18.231481481481481</v>
      </c>
      <c r="AW168">
        <f t="shared" si="33"/>
        <v>18.677788148148149</v>
      </c>
      <c r="AX168" s="9"/>
      <c r="AY168" s="21">
        <v>0.69564800000000004</v>
      </c>
      <c r="AZ168" s="21">
        <v>29.3215</v>
      </c>
      <c r="BA168" s="21">
        <v>-1.4932300000000001E-2</v>
      </c>
      <c r="BB168" s="21">
        <v>158</v>
      </c>
      <c r="BC168" s="21">
        <v>0.69500700000000004</v>
      </c>
      <c r="BD168">
        <f t="shared" si="34"/>
        <v>18.434938271604938</v>
      </c>
      <c r="BE168">
        <f t="shared" si="35"/>
        <v>12.824227938765432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1.0194399999999999</v>
      </c>
      <c r="H169" s="21">
        <v>6.6236100000000002</v>
      </c>
      <c r="I169" s="21">
        <v>-1.46576E-2</v>
      </c>
      <c r="J169" s="21">
        <v>159</v>
      </c>
      <c r="K169" s="21">
        <v>1.01837</v>
      </c>
      <c r="L169">
        <f t="shared" si="24"/>
        <v>18.095802469135801</v>
      </c>
      <c r="M169">
        <f t="shared" si="25"/>
        <v>18.447584869135799</v>
      </c>
      <c r="N169" s="9"/>
      <c r="O169" s="21">
        <v>0.69213899999999995</v>
      </c>
      <c r="P169" s="21">
        <v>16.692399999999999</v>
      </c>
      <c r="Q169" s="21">
        <v>-1.4944499999999999E-2</v>
      </c>
      <c r="R169" s="21">
        <v>224</v>
      </c>
      <c r="S169" s="21">
        <v>0.69143699999999997</v>
      </c>
      <c r="T169">
        <f t="shared" si="26"/>
        <v>18.45</v>
      </c>
      <c r="U169">
        <f t="shared" si="27"/>
        <v>12.769964549999999</v>
      </c>
      <c r="X169" s="9"/>
      <c r="Y169" s="21">
        <v>1.0194399999999999</v>
      </c>
      <c r="Z169" s="21">
        <v>16.037800000000001</v>
      </c>
      <c r="AA169" s="21">
        <v>-1.4742999999999999E-2</v>
      </c>
      <c r="AB169" s="21">
        <v>159</v>
      </c>
      <c r="AC169" s="21">
        <v>1.01807</v>
      </c>
      <c r="AD169">
        <f t="shared" si="28"/>
        <v>18.201234567901235</v>
      </c>
      <c r="AE169">
        <f t="shared" si="29"/>
        <v>18.555066567901232</v>
      </c>
      <c r="AF169" s="9"/>
      <c r="AG169" s="21">
        <v>0.70068399999999997</v>
      </c>
      <c r="AH169" s="21">
        <v>19.897300000000001</v>
      </c>
      <c r="AI169" s="21">
        <v>-1.49017E-2</v>
      </c>
      <c r="AJ169" s="21">
        <v>159</v>
      </c>
      <c r="AK169" s="21">
        <v>0.70007299999999995</v>
      </c>
      <c r="AL169">
        <f t="shared" si="30"/>
        <v>18.397160493827158</v>
      </c>
      <c r="AM169">
        <f t="shared" si="31"/>
        <v>12.890596003456787</v>
      </c>
      <c r="AP169" s="9"/>
      <c r="AQ169" s="21">
        <v>1.0194399999999999</v>
      </c>
      <c r="AR169" s="21">
        <v>25.472100000000001</v>
      </c>
      <c r="AS169" s="21">
        <v>-1.4767499999999999E-2</v>
      </c>
      <c r="AT169" s="21">
        <v>159</v>
      </c>
      <c r="AU169" s="21">
        <v>1.01837</v>
      </c>
      <c r="AV169">
        <f t="shared" si="32"/>
        <v>18.231481481481481</v>
      </c>
      <c r="AW169">
        <f t="shared" si="33"/>
        <v>18.585901481481478</v>
      </c>
      <c r="AX169" s="9"/>
      <c r="AY169" s="21">
        <v>0.70068399999999997</v>
      </c>
      <c r="AZ169" s="21">
        <v>29.331499999999998</v>
      </c>
      <c r="BA169" s="21">
        <v>-1.49292E-2</v>
      </c>
      <c r="BB169" s="21">
        <v>159</v>
      </c>
      <c r="BC169" s="21">
        <v>0.70007299999999995</v>
      </c>
      <c r="BD169">
        <f t="shared" si="34"/>
        <v>18.431111111111111</v>
      </c>
      <c r="BE169">
        <f t="shared" si="35"/>
        <v>12.914384657777777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1.0144</v>
      </c>
      <c r="H170" s="21">
        <v>6.63368</v>
      </c>
      <c r="I170" s="21">
        <v>-1.46576E-2</v>
      </c>
      <c r="J170" s="21">
        <v>160</v>
      </c>
      <c r="K170" s="21">
        <v>1.01318</v>
      </c>
      <c r="L170">
        <f t="shared" si="24"/>
        <v>18.095802469135801</v>
      </c>
      <c r="M170">
        <f t="shared" si="25"/>
        <v>18.356382024691356</v>
      </c>
      <c r="N170" s="9"/>
      <c r="O170" s="21">
        <v>0.69717399999999996</v>
      </c>
      <c r="P170" s="21">
        <v>16.682400000000001</v>
      </c>
      <c r="Q170" s="21">
        <v>-1.4944499999999999E-2</v>
      </c>
      <c r="R170" s="21">
        <v>223</v>
      </c>
      <c r="S170" s="21">
        <v>0.69647199999999998</v>
      </c>
      <c r="T170">
        <f t="shared" si="26"/>
        <v>18.45</v>
      </c>
      <c r="U170">
        <f t="shared" si="27"/>
        <v>12.862860299999999</v>
      </c>
      <c r="X170" s="9"/>
      <c r="Y170" s="21">
        <v>1.0144</v>
      </c>
      <c r="Z170" s="21">
        <v>16.047899999999998</v>
      </c>
      <c r="AA170" s="21">
        <v>-1.47522E-2</v>
      </c>
      <c r="AB170" s="21">
        <v>160</v>
      </c>
      <c r="AC170" s="21">
        <v>1.01349</v>
      </c>
      <c r="AD170">
        <f t="shared" si="28"/>
        <v>18.212592592592593</v>
      </c>
      <c r="AE170">
        <f t="shared" si="29"/>
        <v>18.474853925925924</v>
      </c>
      <c r="AF170" s="9"/>
      <c r="AG170" s="21">
        <v>0.70571899999999999</v>
      </c>
      <c r="AH170" s="21">
        <v>19.907399999999999</v>
      </c>
      <c r="AI170" s="21">
        <v>-1.48865E-2</v>
      </c>
      <c r="AJ170" s="21">
        <v>160</v>
      </c>
      <c r="AK170" s="21">
        <v>0.70513899999999996</v>
      </c>
      <c r="AL170">
        <f t="shared" si="30"/>
        <v>18.378395061728394</v>
      </c>
      <c r="AM170">
        <f t="shared" si="31"/>
        <v>12.9699825845679</v>
      </c>
      <c r="AP170" s="9"/>
      <c r="AQ170" s="21">
        <v>1.0144</v>
      </c>
      <c r="AR170" s="21">
        <v>25.482099999999999</v>
      </c>
      <c r="AS170" s="21">
        <v>-1.47736E-2</v>
      </c>
      <c r="AT170" s="21">
        <v>160</v>
      </c>
      <c r="AU170" s="21">
        <v>1.01379</v>
      </c>
      <c r="AV170">
        <f t="shared" si="32"/>
        <v>18.239012345679011</v>
      </c>
      <c r="AW170">
        <f t="shared" si="33"/>
        <v>18.501654123456788</v>
      </c>
      <c r="AX170" s="9"/>
      <c r="AY170" s="21">
        <v>0.70571899999999999</v>
      </c>
      <c r="AZ170" s="21">
        <v>29.3416</v>
      </c>
      <c r="BA170" s="21">
        <v>-1.49353E-2</v>
      </c>
      <c r="BB170" s="21">
        <v>160</v>
      </c>
      <c r="BC170" s="21">
        <v>0.70507799999999998</v>
      </c>
      <c r="BD170">
        <f t="shared" si="34"/>
        <v>18.438641975308641</v>
      </c>
      <c r="BE170">
        <f t="shared" si="35"/>
        <v>13.012499976172839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1.0093700000000001</v>
      </c>
      <c r="H171" s="21">
        <v>6.6437499999999998</v>
      </c>
      <c r="I171" s="21">
        <v>-1.46667E-2</v>
      </c>
      <c r="J171" s="21">
        <v>161</v>
      </c>
      <c r="K171" s="21">
        <v>1.0083</v>
      </c>
      <c r="L171">
        <f t="shared" si="24"/>
        <v>18.107037037037035</v>
      </c>
      <c r="M171">
        <f t="shared" si="25"/>
        <v>18.276699974074074</v>
      </c>
      <c r="N171" s="9"/>
      <c r="O171" s="21">
        <v>0.70220899999999997</v>
      </c>
      <c r="P171" s="21">
        <v>16.6723</v>
      </c>
      <c r="Q171" s="21">
        <v>-1.4938399999999999E-2</v>
      </c>
      <c r="R171" s="21">
        <v>222</v>
      </c>
      <c r="S171" s="21">
        <v>0.70172100000000004</v>
      </c>
      <c r="T171">
        <f t="shared" si="26"/>
        <v>18.442469135802465</v>
      </c>
      <c r="U171">
        <f t="shared" si="27"/>
        <v>12.950467809382713</v>
      </c>
      <c r="X171" s="9"/>
      <c r="Y171" s="21">
        <v>1.0093700000000001</v>
      </c>
      <c r="Z171" s="21">
        <v>16.058</v>
      </c>
      <c r="AA171" s="21">
        <v>-1.47583E-2</v>
      </c>
      <c r="AB171" s="21">
        <v>161</v>
      </c>
      <c r="AC171" s="21">
        <v>1.0083</v>
      </c>
      <c r="AD171">
        <f t="shared" si="28"/>
        <v>18.22012345679012</v>
      </c>
      <c r="AE171">
        <f t="shared" si="29"/>
        <v>18.390846013580244</v>
      </c>
      <c r="AF171" s="9"/>
      <c r="AG171" s="21">
        <v>0.710754</v>
      </c>
      <c r="AH171" s="21">
        <v>19.917400000000001</v>
      </c>
      <c r="AI171" s="21">
        <v>-1.48773E-2</v>
      </c>
      <c r="AJ171" s="21">
        <v>161</v>
      </c>
      <c r="AK171" s="21">
        <v>0.710144</v>
      </c>
      <c r="AL171">
        <f t="shared" si="30"/>
        <v>18.367037037037036</v>
      </c>
      <c r="AM171">
        <f t="shared" si="31"/>
        <v>13.054445042222222</v>
      </c>
      <c r="AP171" s="9"/>
      <c r="AQ171" s="21">
        <v>1.0093700000000001</v>
      </c>
      <c r="AR171" s="21">
        <v>25.4922</v>
      </c>
      <c r="AS171" s="21">
        <v>-1.4776600000000001E-2</v>
      </c>
      <c r="AT171" s="21">
        <v>161</v>
      </c>
      <c r="AU171" s="21">
        <v>1.00922</v>
      </c>
      <c r="AV171">
        <f t="shared" si="32"/>
        <v>18.242716049382715</v>
      </c>
      <c r="AW171">
        <f t="shared" si="33"/>
        <v>18.413650298765432</v>
      </c>
      <c r="AX171" s="9"/>
      <c r="AY171" s="21">
        <v>0.710754</v>
      </c>
      <c r="AZ171" s="21">
        <v>29.351700000000001</v>
      </c>
      <c r="BA171" s="21">
        <v>-1.4938399999999999E-2</v>
      </c>
      <c r="BB171" s="21">
        <v>161</v>
      </c>
      <c r="BC171" s="21">
        <v>0.71020499999999998</v>
      </c>
      <c r="BD171">
        <f t="shared" si="34"/>
        <v>18.442469135802465</v>
      </c>
      <c r="BE171">
        <f t="shared" si="35"/>
        <v>13.108058708148146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1.0043299999999999</v>
      </c>
      <c r="H172" s="21">
        <v>6.6538199999999996</v>
      </c>
      <c r="I172" s="21">
        <v>-1.4672899999999999E-2</v>
      </c>
      <c r="J172" s="21">
        <v>162</v>
      </c>
      <c r="K172" s="21">
        <v>1.00403</v>
      </c>
      <c r="L172">
        <f t="shared" si="24"/>
        <v>18.11469135802469</v>
      </c>
      <c r="M172">
        <f t="shared" si="25"/>
        <v>18.193127971604934</v>
      </c>
      <c r="N172" s="9"/>
      <c r="O172" s="21">
        <v>0.70724500000000001</v>
      </c>
      <c r="P172" s="21">
        <v>16.662199999999999</v>
      </c>
      <c r="Q172" s="21">
        <v>-1.4932300000000001E-2</v>
      </c>
      <c r="R172" s="21">
        <v>221</v>
      </c>
      <c r="S172" s="21">
        <v>0.70666499999999999</v>
      </c>
      <c r="T172">
        <f t="shared" si="26"/>
        <v>18.434938271604938</v>
      </c>
      <c r="U172">
        <f t="shared" si="27"/>
        <v>13.038017917901234</v>
      </c>
      <c r="X172" s="9"/>
      <c r="Y172" s="21">
        <v>1.0043299999999999</v>
      </c>
      <c r="Z172" s="21">
        <v>16.068000000000001</v>
      </c>
      <c r="AA172" s="21">
        <v>-1.47552E-2</v>
      </c>
      <c r="AB172" s="21">
        <v>162</v>
      </c>
      <c r="AC172" s="21">
        <v>1.0037199999999999</v>
      </c>
      <c r="AD172">
        <f t="shared" si="28"/>
        <v>18.216296296296292</v>
      </c>
      <c r="AE172">
        <f t="shared" si="29"/>
        <v>18.295172859259253</v>
      </c>
      <c r="AF172" s="9"/>
      <c r="AG172" s="21">
        <v>0.71579000000000004</v>
      </c>
      <c r="AH172" s="21">
        <v>19.927499999999998</v>
      </c>
      <c r="AI172" s="21">
        <v>-1.48743E-2</v>
      </c>
      <c r="AJ172" s="21">
        <v>162</v>
      </c>
      <c r="AK172" s="21">
        <v>0.71527099999999999</v>
      </c>
      <c r="AL172">
        <f t="shared" si="30"/>
        <v>18.363333333333333</v>
      </c>
      <c r="AM172">
        <f t="shared" si="31"/>
        <v>13.144290366666667</v>
      </c>
      <c r="AP172" s="9"/>
      <c r="AQ172" s="21">
        <v>1.0043299999999999</v>
      </c>
      <c r="AR172" s="21">
        <v>25.502300000000002</v>
      </c>
      <c r="AS172" s="21">
        <v>-1.47858E-2</v>
      </c>
      <c r="AT172" s="21">
        <v>162</v>
      </c>
      <c r="AU172" s="21">
        <v>1.0037199999999999</v>
      </c>
      <c r="AV172">
        <f t="shared" si="32"/>
        <v>18.254074074074072</v>
      </c>
      <c r="AW172">
        <f t="shared" si="33"/>
        <v>18.333114214814813</v>
      </c>
      <c r="AX172" s="9"/>
      <c r="AY172" s="21">
        <v>0.71579000000000004</v>
      </c>
      <c r="AZ172" s="21">
        <v>29.361699999999999</v>
      </c>
      <c r="BA172" s="21">
        <v>-1.4941400000000001E-2</v>
      </c>
      <c r="BB172" s="21">
        <v>162</v>
      </c>
      <c r="BC172" s="21">
        <v>0.71517900000000001</v>
      </c>
      <c r="BD172">
        <f t="shared" si="34"/>
        <v>18.446172839506172</v>
      </c>
      <c r="BE172">
        <f t="shared" si="35"/>
        <v>13.203586056790124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0.99929800000000002</v>
      </c>
      <c r="H173" s="21">
        <v>6.6638900000000003</v>
      </c>
      <c r="I173" s="21">
        <v>-1.4678999999999999E-2</v>
      </c>
      <c r="J173" s="21">
        <v>163</v>
      </c>
      <c r="K173" s="21">
        <v>0.99792499999999995</v>
      </c>
      <c r="L173">
        <f t="shared" si="24"/>
        <v>18.12222222222222</v>
      </c>
      <c r="M173">
        <f t="shared" si="25"/>
        <v>18.109500422222219</v>
      </c>
      <c r="N173" s="9"/>
      <c r="O173" s="21">
        <v>0.71228000000000002</v>
      </c>
      <c r="P173" s="21">
        <v>16.652200000000001</v>
      </c>
      <c r="Q173" s="21">
        <v>-1.4932300000000001E-2</v>
      </c>
      <c r="R173" s="21">
        <v>220</v>
      </c>
      <c r="S173" s="21">
        <v>0.71167000000000002</v>
      </c>
      <c r="T173">
        <f t="shared" si="26"/>
        <v>18.434938271604938</v>
      </c>
      <c r="U173">
        <f t="shared" si="27"/>
        <v>13.130837832098766</v>
      </c>
      <c r="X173" s="9"/>
      <c r="Y173" s="21">
        <v>0.99929800000000002</v>
      </c>
      <c r="Z173" s="21">
        <v>16.078099999999999</v>
      </c>
      <c r="AA173" s="21">
        <v>-1.47522E-2</v>
      </c>
      <c r="AB173" s="21">
        <v>163</v>
      </c>
      <c r="AC173" s="21">
        <v>0.99822999999999995</v>
      </c>
      <c r="AD173">
        <f t="shared" si="28"/>
        <v>18.212592592592593</v>
      </c>
      <c r="AE173">
        <f t="shared" si="29"/>
        <v>18.199807352592593</v>
      </c>
      <c r="AF173" s="9"/>
      <c r="AG173" s="21">
        <v>0.72082500000000005</v>
      </c>
      <c r="AH173" s="21">
        <v>19.9376</v>
      </c>
      <c r="AI173" s="21">
        <v>-1.4871199999999999E-2</v>
      </c>
      <c r="AJ173" s="21">
        <v>163</v>
      </c>
      <c r="AK173" s="21">
        <v>0.72021500000000005</v>
      </c>
      <c r="AL173">
        <f t="shared" si="30"/>
        <v>18.359506172839506</v>
      </c>
      <c r="AM173">
        <f t="shared" si="31"/>
        <v>13.233991037037038</v>
      </c>
      <c r="AP173" s="9"/>
      <c r="AQ173" s="21">
        <v>0.99929800000000002</v>
      </c>
      <c r="AR173" s="21">
        <v>25.5123</v>
      </c>
      <c r="AS173" s="21">
        <v>-1.47919E-2</v>
      </c>
      <c r="AT173" s="21">
        <v>163</v>
      </c>
      <c r="AU173" s="21">
        <v>0.99853499999999995</v>
      </c>
      <c r="AV173">
        <f t="shared" si="32"/>
        <v>18.261604938271603</v>
      </c>
      <c r="AW173">
        <f t="shared" si="33"/>
        <v>18.248785291604936</v>
      </c>
      <c r="AX173" s="9"/>
      <c r="AY173" s="21">
        <v>0.72082500000000005</v>
      </c>
      <c r="AZ173" s="21">
        <v>29.3718</v>
      </c>
      <c r="BA173" s="21">
        <v>-1.4932300000000001E-2</v>
      </c>
      <c r="BB173" s="21">
        <v>163</v>
      </c>
      <c r="BC173" s="21">
        <v>0.72024500000000002</v>
      </c>
      <c r="BD173">
        <f t="shared" si="34"/>
        <v>18.434938271604938</v>
      </c>
      <c r="BE173">
        <f t="shared" si="35"/>
        <v>13.28836437962963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0.99426300000000001</v>
      </c>
      <c r="H174" s="21">
        <v>6.6739600000000001</v>
      </c>
      <c r="I174" s="21">
        <v>-1.4688100000000001E-2</v>
      </c>
      <c r="J174" s="21">
        <v>164</v>
      </c>
      <c r="K174" s="21">
        <v>0.99365199999999998</v>
      </c>
      <c r="L174">
        <f t="shared" si="24"/>
        <v>18.133456790123457</v>
      </c>
      <c r="M174">
        <f t="shared" si="25"/>
        <v>18.02942514851852</v>
      </c>
      <c r="N174" s="9"/>
      <c r="O174" s="21">
        <v>0.71731599999999995</v>
      </c>
      <c r="P174" s="21">
        <v>16.642099999999999</v>
      </c>
      <c r="Q174" s="21">
        <v>-1.4938399999999999E-2</v>
      </c>
      <c r="R174" s="21">
        <v>219</v>
      </c>
      <c r="S174" s="21">
        <v>0.71667499999999995</v>
      </c>
      <c r="T174">
        <f t="shared" si="26"/>
        <v>18.442469135802465</v>
      </c>
      <c r="U174">
        <f t="shared" si="27"/>
        <v>13.22907819061728</v>
      </c>
      <c r="X174" s="9"/>
      <c r="Y174" s="21">
        <v>0.99426300000000001</v>
      </c>
      <c r="Z174" s="21">
        <v>16.088200000000001</v>
      </c>
      <c r="AA174" s="21">
        <v>-1.4749099999999999E-2</v>
      </c>
      <c r="AB174" s="21">
        <v>164</v>
      </c>
      <c r="AC174" s="21">
        <v>0.99334699999999998</v>
      </c>
      <c r="AD174">
        <f t="shared" si="28"/>
        <v>18.208765432098765</v>
      </c>
      <c r="AE174">
        <f t="shared" si="29"/>
        <v>18.104301744814816</v>
      </c>
      <c r="AF174" s="9"/>
      <c r="AG174" s="21">
        <v>0.72586099999999998</v>
      </c>
      <c r="AH174" s="21">
        <v>19.947600000000001</v>
      </c>
      <c r="AI174" s="21">
        <v>-1.4865099999999999E-2</v>
      </c>
      <c r="AJ174" s="21">
        <v>164</v>
      </c>
      <c r="AK174" s="21">
        <v>0.725159</v>
      </c>
      <c r="AL174">
        <f t="shared" si="30"/>
        <v>18.351975308641972</v>
      </c>
      <c r="AM174">
        <f t="shared" si="31"/>
        <v>13.320983149506169</v>
      </c>
      <c r="AP174" s="9"/>
      <c r="AQ174" s="21">
        <v>0.99426300000000001</v>
      </c>
      <c r="AR174" s="21">
        <v>25.522400000000001</v>
      </c>
      <c r="AS174" s="21">
        <v>-1.4798E-2</v>
      </c>
      <c r="AT174" s="21">
        <v>164</v>
      </c>
      <c r="AU174" s="21">
        <v>0.99334699999999998</v>
      </c>
      <c r="AV174">
        <f t="shared" si="32"/>
        <v>18.269135802469137</v>
      </c>
      <c r="AW174">
        <f t="shared" si="33"/>
        <v>18.164325770370372</v>
      </c>
      <c r="AX174" s="9"/>
      <c r="AY174" s="21">
        <v>0.72586099999999998</v>
      </c>
      <c r="AZ174" s="21">
        <v>29.381900000000002</v>
      </c>
      <c r="BA174" s="21">
        <v>-1.49231E-2</v>
      </c>
      <c r="BB174" s="21">
        <v>164</v>
      </c>
      <c r="BC174" s="21">
        <v>0.72531100000000004</v>
      </c>
      <c r="BD174">
        <f t="shared" si="34"/>
        <v>18.423580246913577</v>
      </c>
      <c r="BE174">
        <f t="shared" si="35"/>
        <v>13.372958381604935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0.98922699999999997</v>
      </c>
      <c r="H175" s="21">
        <v>6.6840299999999999</v>
      </c>
      <c r="I175" s="21">
        <v>-1.4694199999999999E-2</v>
      </c>
      <c r="J175" s="21">
        <v>165</v>
      </c>
      <c r="K175" s="21">
        <v>0.98815900000000001</v>
      </c>
      <c r="L175">
        <f t="shared" si="24"/>
        <v>18.140987654320988</v>
      </c>
      <c r="M175">
        <f t="shared" si="25"/>
        <v>17.945554794320987</v>
      </c>
      <c r="N175" s="9"/>
      <c r="O175" s="21">
        <v>0.72235099999999997</v>
      </c>
      <c r="P175" s="21">
        <v>16.632000000000001</v>
      </c>
      <c r="Q175" s="21">
        <v>-1.4947500000000001E-2</v>
      </c>
      <c r="R175" s="21">
        <v>218</v>
      </c>
      <c r="S175" s="21">
        <v>0.72174099999999997</v>
      </c>
      <c r="T175">
        <f t="shared" si="26"/>
        <v>18.453703703703706</v>
      </c>
      <c r="U175">
        <f t="shared" si="27"/>
        <v>13.330051324074075</v>
      </c>
      <c r="X175" s="9"/>
      <c r="Y175" s="21">
        <v>0.98922699999999997</v>
      </c>
      <c r="Z175" s="21">
        <v>16.098199999999999</v>
      </c>
      <c r="AA175" s="21">
        <v>-1.4749099999999999E-2</v>
      </c>
      <c r="AB175" s="21">
        <v>165</v>
      </c>
      <c r="AC175" s="21">
        <v>0.98846400000000001</v>
      </c>
      <c r="AD175">
        <f t="shared" si="28"/>
        <v>18.208765432098765</v>
      </c>
      <c r="AE175">
        <f t="shared" si="29"/>
        <v>18.012602402098764</v>
      </c>
      <c r="AF175" s="9"/>
      <c r="AG175" s="21">
        <v>0.73089599999999999</v>
      </c>
      <c r="AH175" s="21">
        <v>19.957699999999999</v>
      </c>
      <c r="AI175" s="21">
        <v>-1.4865099999999999E-2</v>
      </c>
      <c r="AJ175" s="21">
        <v>165</v>
      </c>
      <c r="AK175" s="21">
        <v>0.73028599999999999</v>
      </c>
      <c r="AL175">
        <f t="shared" si="30"/>
        <v>18.351975308641972</v>
      </c>
      <c r="AM175">
        <f t="shared" si="31"/>
        <v>13.413385345185182</v>
      </c>
      <c r="AP175" s="9"/>
      <c r="AQ175" s="21">
        <v>0.98922699999999997</v>
      </c>
      <c r="AR175" s="21">
        <v>25.532499999999999</v>
      </c>
      <c r="AS175" s="21">
        <v>-1.4804100000000001E-2</v>
      </c>
      <c r="AT175" s="21">
        <v>165</v>
      </c>
      <c r="AU175" s="21">
        <v>0.98815900000000001</v>
      </c>
      <c r="AV175">
        <f t="shared" si="32"/>
        <v>18.276666666666667</v>
      </c>
      <c r="AW175">
        <f t="shared" si="33"/>
        <v>18.079772136666666</v>
      </c>
      <c r="AX175" s="9"/>
      <c r="AY175" s="21">
        <v>0.73089599999999999</v>
      </c>
      <c r="AZ175" s="21">
        <v>29.391999999999999</v>
      </c>
      <c r="BA175" s="21">
        <v>-1.4907800000000001E-2</v>
      </c>
      <c r="BB175" s="21">
        <v>165</v>
      </c>
      <c r="BC175" s="21">
        <v>0.73022500000000001</v>
      </c>
      <c r="BD175">
        <f t="shared" si="34"/>
        <v>18.404691358024692</v>
      </c>
      <c r="BE175">
        <f t="shared" si="35"/>
        <v>13.451915294814816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0.98419199999999996</v>
      </c>
      <c r="H176" s="21">
        <v>6.6940999999999997</v>
      </c>
      <c r="I176" s="21">
        <v>-1.46973E-2</v>
      </c>
      <c r="J176" s="21">
        <v>166</v>
      </c>
      <c r="K176" s="21">
        <v>0.98327600000000004</v>
      </c>
      <c r="L176">
        <f t="shared" si="24"/>
        <v>18.144814814814815</v>
      </c>
      <c r="M176">
        <f t="shared" si="25"/>
        <v>17.857981582222223</v>
      </c>
      <c r="N176" s="9"/>
      <c r="O176" s="21">
        <v>0.72738599999999998</v>
      </c>
      <c r="P176" s="21">
        <v>16.6219</v>
      </c>
      <c r="Q176" s="21">
        <v>-1.4938399999999999E-2</v>
      </c>
      <c r="R176" s="21">
        <v>217</v>
      </c>
      <c r="S176" s="21">
        <v>0.72665400000000002</v>
      </c>
      <c r="T176">
        <f t="shared" si="26"/>
        <v>18.442469135802465</v>
      </c>
      <c r="U176">
        <f t="shared" si="27"/>
        <v>13.414793854814812</v>
      </c>
      <c r="X176" s="9"/>
      <c r="Y176" s="21">
        <v>0.98419199999999996</v>
      </c>
      <c r="Z176" s="21">
        <v>16.1083</v>
      </c>
      <c r="AA176" s="21">
        <v>-1.47461E-2</v>
      </c>
      <c r="AB176" s="21">
        <v>166</v>
      </c>
      <c r="AC176" s="21">
        <v>0.98358199999999996</v>
      </c>
      <c r="AD176">
        <f t="shared" si="28"/>
        <v>18.205061728395062</v>
      </c>
      <c r="AE176">
        <f t="shared" si="29"/>
        <v>17.917276112592592</v>
      </c>
      <c r="AF176" s="9"/>
      <c r="AG176" s="21">
        <v>0.735931</v>
      </c>
      <c r="AH176" s="21">
        <v>19.9678</v>
      </c>
      <c r="AI176" s="21">
        <v>-1.4871199999999999E-2</v>
      </c>
      <c r="AJ176" s="21">
        <v>166</v>
      </c>
      <c r="AK176" s="21">
        <v>0.73526000000000002</v>
      </c>
      <c r="AL176">
        <f t="shared" si="30"/>
        <v>18.359506172839506</v>
      </c>
      <c r="AM176">
        <f t="shared" si="31"/>
        <v>13.511329737283951</v>
      </c>
      <c r="AP176" s="9"/>
      <c r="AQ176" s="21">
        <v>0.98419199999999996</v>
      </c>
      <c r="AR176" s="21">
        <v>25.5426</v>
      </c>
      <c r="AS176" s="21">
        <v>-1.4804100000000001E-2</v>
      </c>
      <c r="AT176" s="21">
        <v>166</v>
      </c>
      <c r="AU176" s="21">
        <v>0.98358199999999996</v>
      </c>
      <c r="AV176">
        <f t="shared" si="32"/>
        <v>18.276666666666667</v>
      </c>
      <c r="AW176">
        <f t="shared" si="33"/>
        <v>17.98774912</v>
      </c>
      <c r="AX176" s="9"/>
      <c r="AY176" s="21">
        <v>0.735931</v>
      </c>
      <c r="AZ176" s="21">
        <v>29.402000000000001</v>
      </c>
      <c r="BA176" s="21">
        <v>-1.48895E-2</v>
      </c>
      <c r="BB176" s="21">
        <v>166</v>
      </c>
      <c r="BC176" s="21">
        <v>0.73538199999999998</v>
      </c>
      <c r="BD176">
        <f t="shared" si="34"/>
        <v>18.382098765432101</v>
      </c>
      <c r="BE176">
        <f t="shared" si="35"/>
        <v>13.527956326543212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0.97915600000000003</v>
      </c>
      <c r="H177" s="21">
        <v>6.70418</v>
      </c>
      <c r="I177" s="21">
        <v>-1.4694199999999999E-2</v>
      </c>
      <c r="J177" s="21">
        <v>167</v>
      </c>
      <c r="K177" s="21">
        <v>0.97808799999999996</v>
      </c>
      <c r="L177">
        <f t="shared" si="24"/>
        <v>18.140987654320988</v>
      </c>
      <c r="M177">
        <f t="shared" si="25"/>
        <v>17.762856907654321</v>
      </c>
      <c r="N177" s="9"/>
      <c r="O177" s="21">
        <v>0.73242200000000002</v>
      </c>
      <c r="P177" s="21">
        <v>16.611899999999999</v>
      </c>
      <c r="Q177" s="21">
        <v>-1.49292E-2</v>
      </c>
      <c r="R177" s="21">
        <v>216</v>
      </c>
      <c r="S177" s="21">
        <v>0.73178100000000001</v>
      </c>
      <c r="T177">
        <f t="shared" si="26"/>
        <v>18.431111111111111</v>
      </c>
      <c r="U177">
        <f t="shared" si="27"/>
        <v>13.499351262222222</v>
      </c>
      <c r="X177" s="9"/>
      <c r="Y177" s="21">
        <v>0.97915600000000003</v>
      </c>
      <c r="Z177" s="21">
        <v>16.118400000000001</v>
      </c>
      <c r="AA177" s="21">
        <v>-1.4749099999999999E-2</v>
      </c>
      <c r="AB177" s="21">
        <v>167</v>
      </c>
      <c r="AC177" s="21">
        <v>0.97869899999999999</v>
      </c>
      <c r="AD177">
        <f t="shared" si="28"/>
        <v>18.208765432098765</v>
      </c>
      <c r="AE177">
        <f t="shared" si="29"/>
        <v>17.829221925432098</v>
      </c>
      <c r="AF177" s="9"/>
      <c r="AG177" s="21">
        <v>0.74096700000000004</v>
      </c>
      <c r="AH177" s="21">
        <v>19.977900000000002</v>
      </c>
      <c r="AI177" s="21">
        <v>-1.48743E-2</v>
      </c>
      <c r="AJ177" s="21">
        <v>167</v>
      </c>
      <c r="AK177" s="21">
        <v>0.74035600000000001</v>
      </c>
      <c r="AL177">
        <f t="shared" si="30"/>
        <v>18.363333333333333</v>
      </c>
      <c r="AM177">
        <f t="shared" si="31"/>
        <v>13.606624010000001</v>
      </c>
      <c r="AP177" s="9"/>
      <c r="AQ177" s="21">
        <v>0.97915600000000003</v>
      </c>
      <c r="AR177" s="21">
        <v>25.552600000000002</v>
      </c>
      <c r="AS177" s="21">
        <v>-1.4804100000000001E-2</v>
      </c>
      <c r="AT177" s="21">
        <v>167</v>
      </c>
      <c r="AU177" s="21">
        <v>0.97808799999999996</v>
      </c>
      <c r="AV177">
        <f t="shared" si="32"/>
        <v>18.276666666666667</v>
      </c>
      <c r="AW177">
        <f t="shared" si="33"/>
        <v>17.895707826666669</v>
      </c>
      <c r="AX177" s="9"/>
      <c r="AY177" s="21">
        <v>0.74096700000000004</v>
      </c>
      <c r="AZ177" s="21">
        <v>29.412099999999999</v>
      </c>
      <c r="BA177" s="21">
        <v>-1.48895E-2</v>
      </c>
      <c r="BB177" s="21">
        <v>167</v>
      </c>
      <c r="BC177" s="21">
        <v>0.74020399999999997</v>
      </c>
      <c r="BD177">
        <f t="shared" si="34"/>
        <v>18.382098765432101</v>
      </c>
      <c r="BE177">
        <f t="shared" si="35"/>
        <v>13.620528575925928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0.97412100000000001</v>
      </c>
      <c r="H178" s="21">
        <v>6.7142499999999998</v>
      </c>
      <c r="I178" s="21">
        <v>-1.46912E-2</v>
      </c>
      <c r="J178" s="21">
        <v>168</v>
      </c>
      <c r="K178" s="21">
        <v>0.97289999999999999</v>
      </c>
      <c r="L178">
        <f t="shared" si="24"/>
        <v>18.137283950617284</v>
      </c>
      <c r="M178">
        <f t="shared" si="25"/>
        <v>17.667909179259262</v>
      </c>
      <c r="N178" s="9"/>
      <c r="O178" s="21">
        <v>0.73745700000000003</v>
      </c>
      <c r="P178" s="21">
        <v>16.601800000000001</v>
      </c>
      <c r="Q178" s="21">
        <v>-1.4926099999999999E-2</v>
      </c>
      <c r="R178" s="21">
        <v>215</v>
      </c>
      <c r="S178" s="21">
        <v>0.73681600000000003</v>
      </c>
      <c r="T178">
        <f t="shared" si="26"/>
        <v>18.427283950617284</v>
      </c>
      <c r="U178">
        <f t="shared" si="27"/>
        <v>13.58932954037037</v>
      </c>
      <c r="X178" s="9"/>
      <c r="Y178" s="21">
        <v>0.97412100000000001</v>
      </c>
      <c r="Z178" s="21">
        <v>16.128499999999999</v>
      </c>
      <c r="AA178" s="21">
        <v>-1.47522E-2</v>
      </c>
      <c r="AB178" s="21">
        <v>168</v>
      </c>
      <c r="AC178" s="21">
        <v>0.97320600000000002</v>
      </c>
      <c r="AD178">
        <f t="shared" si="28"/>
        <v>18.212592592592593</v>
      </c>
      <c r="AE178">
        <f t="shared" si="29"/>
        <v>17.741268908888888</v>
      </c>
      <c r="AF178" s="9"/>
      <c r="AG178" s="21">
        <v>0.74600200000000005</v>
      </c>
      <c r="AH178" s="21">
        <v>19.9879</v>
      </c>
      <c r="AI178" s="21">
        <v>-1.48773E-2</v>
      </c>
      <c r="AJ178" s="21">
        <v>168</v>
      </c>
      <c r="AK178" s="21">
        <v>0.74548300000000001</v>
      </c>
      <c r="AL178">
        <f t="shared" si="30"/>
        <v>18.367037037037036</v>
      </c>
      <c r="AM178">
        <f t="shared" si="31"/>
        <v>13.701846363703703</v>
      </c>
      <c r="AP178" s="9"/>
      <c r="AQ178" s="21">
        <v>0.97412100000000001</v>
      </c>
      <c r="AR178" s="21">
        <v>25.5627</v>
      </c>
      <c r="AS178" s="21">
        <v>-1.4810200000000001E-2</v>
      </c>
      <c r="AT178" s="21">
        <v>168</v>
      </c>
      <c r="AU178" s="21">
        <v>0.97289999999999999</v>
      </c>
      <c r="AV178">
        <f t="shared" si="32"/>
        <v>18.284197530864198</v>
      </c>
      <c r="AW178">
        <f t="shared" si="33"/>
        <v>17.811020782962963</v>
      </c>
      <c r="AX178" s="9"/>
      <c r="AY178" s="21">
        <v>0.74600200000000005</v>
      </c>
      <c r="AZ178" s="21">
        <v>29.4222</v>
      </c>
      <c r="BA178" s="21">
        <v>-1.4892600000000001E-2</v>
      </c>
      <c r="BB178" s="21">
        <v>168</v>
      </c>
      <c r="BC178" s="21">
        <v>0.74536100000000005</v>
      </c>
      <c r="BD178">
        <f t="shared" si="34"/>
        <v>18.385925925925928</v>
      </c>
      <c r="BE178">
        <f t="shared" si="35"/>
        <v>13.715937512592594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0.969086</v>
      </c>
      <c r="H179" s="21">
        <v>6.7243199999999996</v>
      </c>
      <c r="I179" s="21">
        <v>-1.4694199999999999E-2</v>
      </c>
      <c r="J179" s="21">
        <v>169</v>
      </c>
      <c r="K179" s="21">
        <v>0.96832300000000004</v>
      </c>
      <c r="L179">
        <f t="shared" si="24"/>
        <v>18.140987654320988</v>
      </c>
      <c r="M179">
        <f t="shared" si="25"/>
        <v>17.580177161975307</v>
      </c>
      <c r="N179" s="9"/>
      <c r="O179" s="21">
        <v>0.74249299999999996</v>
      </c>
      <c r="P179" s="21">
        <v>16.591699999999999</v>
      </c>
      <c r="Q179" s="21">
        <v>-1.49231E-2</v>
      </c>
      <c r="R179" s="21">
        <v>214</v>
      </c>
      <c r="S179" s="21">
        <v>0.74188200000000004</v>
      </c>
      <c r="T179">
        <f t="shared" si="26"/>
        <v>18.423580246913577</v>
      </c>
      <c r="U179">
        <f t="shared" si="27"/>
        <v>13.679379368271603</v>
      </c>
      <c r="X179" s="9"/>
      <c r="Y179" s="21">
        <v>0.969086</v>
      </c>
      <c r="Z179" s="21">
        <v>16.138500000000001</v>
      </c>
      <c r="AA179" s="21">
        <v>-1.47552E-2</v>
      </c>
      <c r="AB179" s="21">
        <v>169</v>
      </c>
      <c r="AC179" s="21">
        <v>0.96832300000000004</v>
      </c>
      <c r="AD179">
        <f t="shared" si="28"/>
        <v>18.216296296296292</v>
      </c>
      <c r="AE179">
        <f t="shared" si="29"/>
        <v>17.653157712592588</v>
      </c>
      <c r="AF179" s="9"/>
      <c r="AG179" s="21">
        <v>0.75103799999999998</v>
      </c>
      <c r="AH179" s="21">
        <v>19.998000000000001</v>
      </c>
      <c r="AI179" s="21">
        <v>-1.48804E-2</v>
      </c>
      <c r="AJ179" s="21">
        <v>169</v>
      </c>
      <c r="AK179" s="21">
        <v>0.75039699999999998</v>
      </c>
      <c r="AL179">
        <f t="shared" si="30"/>
        <v>18.370864197530864</v>
      </c>
      <c r="AM179">
        <f t="shared" si="31"/>
        <v>13.797217105185185</v>
      </c>
      <c r="AP179" s="9"/>
      <c r="AQ179" s="21">
        <v>0.969086</v>
      </c>
      <c r="AR179" s="21">
        <v>25.572800000000001</v>
      </c>
      <c r="AS179" s="21">
        <v>-1.48132E-2</v>
      </c>
      <c r="AT179" s="21">
        <v>169</v>
      </c>
      <c r="AU179" s="21">
        <v>0.96771200000000002</v>
      </c>
      <c r="AV179">
        <f t="shared" si="32"/>
        <v>18.287901234567901</v>
      </c>
      <c r="AW179">
        <f t="shared" si="33"/>
        <v>17.722549055802467</v>
      </c>
      <c r="AX179" s="9"/>
      <c r="AY179" s="21">
        <v>0.75103799999999998</v>
      </c>
      <c r="AZ179" s="21">
        <v>29.432200000000002</v>
      </c>
      <c r="BA179" s="21">
        <v>-1.4892600000000001E-2</v>
      </c>
      <c r="BB179" s="21">
        <v>169</v>
      </c>
      <c r="BC179" s="21">
        <v>0.750336</v>
      </c>
      <c r="BD179">
        <f t="shared" si="34"/>
        <v>18.385925925925928</v>
      </c>
      <c r="BE179">
        <f t="shared" si="35"/>
        <v>13.808529035555557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0.96404999999999996</v>
      </c>
      <c r="H180" s="21">
        <v>6.7343900000000003</v>
      </c>
      <c r="I180" s="21">
        <v>-1.47064E-2</v>
      </c>
      <c r="J180" s="21">
        <v>170</v>
      </c>
      <c r="K180" s="21">
        <v>0.96313499999999996</v>
      </c>
      <c r="L180">
        <f t="shared" si="24"/>
        <v>18.156049382716049</v>
      </c>
      <c r="M180">
        <f t="shared" si="25"/>
        <v>17.503339407407406</v>
      </c>
      <c r="N180" s="9"/>
      <c r="O180" s="21">
        <v>0.74752799999999997</v>
      </c>
      <c r="P180" s="21">
        <v>16.581700000000001</v>
      </c>
      <c r="Q180" s="21">
        <v>-1.4926099999999999E-2</v>
      </c>
      <c r="R180" s="21">
        <v>213</v>
      </c>
      <c r="S180" s="21">
        <v>0.74685699999999999</v>
      </c>
      <c r="T180">
        <f t="shared" si="26"/>
        <v>18.427283950617284</v>
      </c>
      <c r="U180">
        <f t="shared" si="27"/>
        <v>13.774910717037036</v>
      </c>
      <c r="X180" s="9"/>
      <c r="Y180" s="21">
        <v>0.96404999999999996</v>
      </c>
      <c r="Z180" s="21">
        <v>16.148599999999998</v>
      </c>
      <c r="AA180" s="21">
        <v>-1.4767499999999999E-2</v>
      </c>
      <c r="AB180" s="21">
        <v>170</v>
      </c>
      <c r="AC180" s="21">
        <v>0.96343999999999996</v>
      </c>
      <c r="AD180">
        <f t="shared" si="28"/>
        <v>18.231481481481481</v>
      </c>
      <c r="AE180">
        <f t="shared" si="29"/>
        <v>17.576059722222222</v>
      </c>
      <c r="AF180" s="9"/>
      <c r="AG180" s="21">
        <v>0.756073</v>
      </c>
      <c r="AH180" s="21">
        <v>20.008099999999999</v>
      </c>
      <c r="AI180" s="21">
        <v>-1.48865E-2</v>
      </c>
      <c r="AJ180" s="21">
        <v>170</v>
      </c>
      <c r="AK180" s="21">
        <v>0.75531000000000004</v>
      </c>
      <c r="AL180">
        <f t="shared" si="30"/>
        <v>18.378395061728394</v>
      </c>
      <c r="AM180">
        <f t="shared" si="31"/>
        <v>13.895408289506172</v>
      </c>
      <c r="AP180" s="9"/>
      <c r="AQ180" s="21">
        <v>0.96404999999999996</v>
      </c>
      <c r="AR180" s="21">
        <v>25.582799999999999</v>
      </c>
      <c r="AS180" s="21">
        <v>-1.4819300000000001E-2</v>
      </c>
      <c r="AT180" s="21">
        <v>170</v>
      </c>
      <c r="AU180" s="21">
        <v>0.96282999999999996</v>
      </c>
      <c r="AV180">
        <f t="shared" si="32"/>
        <v>18.295432098765431</v>
      </c>
      <c r="AW180">
        <f t="shared" si="33"/>
        <v>17.637711314814812</v>
      </c>
      <c r="AX180" s="9"/>
      <c r="AY180" s="21">
        <v>0.756073</v>
      </c>
      <c r="AZ180" s="21">
        <v>29.442299999999999</v>
      </c>
      <c r="BA180" s="21">
        <v>-1.4898700000000001E-2</v>
      </c>
      <c r="BB180" s="21">
        <v>170</v>
      </c>
      <c r="BC180" s="21">
        <v>0.75561500000000004</v>
      </c>
      <c r="BD180">
        <f t="shared" si="34"/>
        <v>18.393456790123455</v>
      </c>
      <c r="BE180">
        <f t="shared" si="35"/>
        <v>13.906796055679012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0.95901499999999995</v>
      </c>
      <c r="H181" s="21">
        <v>6.7444600000000001</v>
      </c>
      <c r="I181" s="21">
        <v>-1.47247E-2</v>
      </c>
      <c r="J181" s="21">
        <v>171</v>
      </c>
      <c r="K181" s="21">
        <v>0.95794699999999999</v>
      </c>
      <c r="L181">
        <f t="shared" si="24"/>
        <v>18.178641975308643</v>
      </c>
      <c r="M181">
        <f t="shared" si="25"/>
        <v>17.433590333950619</v>
      </c>
      <c r="N181" s="9"/>
      <c r="O181" s="21">
        <v>0.75256299999999998</v>
      </c>
      <c r="P181" s="21">
        <v>16.5716</v>
      </c>
      <c r="Q181" s="21">
        <v>-1.4917E-2</v>
      </c>
      <c r="R181" s="21">
        <v>212</v>
      </c>
      <c r="S181" s="21">
        <v>0.75195299999999998</v>
      </c>
      <c r="T181">
        <f t="shared" si="26"/>
        <v>18.416049382716047</v>
      </c>
      <c r="U181">
        <f t="shared" si="27"/>
        <v>13.859237371604936</v>
      </c>
      <c r="X181" s="9"/>
      <c r="Y181" s="21">
        <v>0.95901499999999995</v>
      </c>
      <c r="Z181" s="21">
        <v>16.1587</v>
      </c>
      <c r="AA181" s="21">
        <v>-1.4782699999999999E-2</v>
      </c>
      <c r="AB181" s="21">
        <v>171</v>
      </c>
      <c r="AC181" s="21">
        <v>0.95825199999999999</v>
      </c>
      <c r="AD181">
        <f t="shared" si="28"/>
        <v>18.250246913580245</v>
      </c>
      <c r="AE181">
        <f t="shared" si="29"/>
        <v>17.502260543827159</v>
      </c>
      <c r="AF181" s="9"/>
      <c r="AG181" s="21">
        <v>0.76110800000000001</v>
      </c>
      <c r="AH181" s="21">
        <v>20.0181</v>
      </c>
      <c r="AI181" s="21">
        <v>-1.48865E-2</v>
      </c>
      <c r="AJ181" s="21">
        <v>171</v>
      </c>
      <c r="AK181" s="21">
        <v>0.76019300000000001</v>
      </c>
      <c r="AL181">
        <f t="shared" si="30"/>
        <v>18.378395061728394</v>
      </c>
      <c r="AM181">
        <f t="shared" si="31"/>
        <v>13.987943508641974</v>
      </c>
      <c r="AP181" s="9"/>
      <c r="AQ181" s="21">
        <v>0.95901499999999995</v>
      </c>
      <c r="AR181" s="21">
        <v>25.5929</v>
      </c>
      <c r="AS181" s="21">
        <v>-1.4822399999999999E-2</v>
      </c>
      <c r="AT181" s="21">
        <v>171</v>
      </c>
      <c r="AU181" s="21">
        <v>0.95825199999999999</v>
      </c>
      <c r="AV181">
        <f t="shared" si="32"/>
        <v>18.299259259259259</v>
      </c>
      <c r="AW181">
        <f t="shared" si="33"/>
        <v>17.549264118518519</v>
      </c>
      <c r="AX181" s="9"/>
      <c r="AY181" s="21">
        <v>0.76110800000000001</v>
      </c>
      <c r="AZ181" s="21">
        <v>29.452400000000001</v>
      </c>
      <c r="BA181" s="21">
        <v>-1.4904799999999999E-2</v>
      </c>
      <c r="BB181" s="21">
        <v>171</v>
      </c>
      <c r="BC181" s="21">
        <v>0.75988800000000001</v>
      </c>
      <c r="BD181">
        <f t="shared" si="34"/>
        <v>18.400987654320986</v>
      </c>
      <c r="BE181">
        <f t="shared" si="35"/>
        <v>14.005138911604936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0.95397900000000002</v>
      </c>
      <c r="H182" s="21">
        <v>6.7545299999999999</v>
      </c>
      <c r="I182" s="21">
        <v>-1.4733899999999999E-2</v>
      </c>
      <c r="J182" s="21">
        <v>172</v>
      </c>
      <c r="K182" s="21">
        <v>0.95367400000000002</v>
      </c>
      <c r="L182">
        <f t="shared" si="24"/>
        <v>18.189999999999998</v>
      </c>
      <c r="M182">
        <f t="shared" si="25"/>
        <v>17.352878009999998</v>
      </c>
      <c r="N182" s="9"/>
      <c r="O182" s="21">
        <v>0.75759900000000002</v>
      </c>
      <c r="P182" s="21">
        <v>16.561499999999999</v>
      </c>
      <c r="Q182" s="21">
        <v>-1.49109E-2</v>
      </c>
      <c r="R182" s="21">
        <v>211</v>
      </c>
      <c r="S182" s="21">
        <v>0.75683599999999995</v>
      </c>
      <c r="T182">
        <f t="shared" si="26"/>
        <v>18.408518518518516</v>
      </c>
      <c r="U182">
        <f t="shared" si="27"/>
        <v>13.94627522111111</v>
      </c>
      <c r="X182" s="9"/>
      <c r="Y182" s="21">
        <v>0.95397900000000002</v>
      </c>
      <c r="Z182" s="21">
        <v>16.168700000000001</v>
      </c>
      <c r="AA182" s="21">
        <v>-1.47949E-2</v>
      </c>
      <c r="AB182" s="21">
        <v>172</v>
      </c>
      <c r="AC182" s="21">
        <v>0.95306400000000002</v>
      </c>
      <c r="AD182">
        <f t="shared" si="28"/>
        <v>18.265308641975306</v>
      </c>
      <c r="AE182">
        <f t="shared" si="29"/>
        <v>17.424720872962961</v>
      </c>
      <c r="AF182" s="9"/>
      <c r="AG182" s="21">
        <v>0.76614400000000005</v>
      </c>
      <c r="AH182" s="21">
        <v>20.028199999999998</v>
      </c>
      <c r="AI182" s="21">
        <v>-1.48865E-2</v>
      </c>
      <c r="AJ182" s="21">
        <v>172</v>
      </c>
      <c r="AK182" s="21">
        <v>0.76538099999999998</v>
      </c>
      <c r="AL182">
        <f t="shared" si="30"/>
        <v>18.378395061728394</v>
      </c>
      <c r="AM182">
        <f t="shared" si="31"/>
        <v>14.080497106172841</v>
      </c>
      <c r="AP182" s="9"/>
      <c r="AQ182" s="21">
        <v>0.95397900000000002</v>
      </c>
      <c r="AR182" s="21">
        <v>25.603000000000002</v>
      </c>
      <c r="AS182" s="21">
        <v>-1.4825400000000001E-2</v>
      </c>
      <c r="AT182" s="21">
        <v>172</v>
      </c>
      <c r="AU182" s="21">
        <v>0.95275900000000002</v>
      </c>
      <c r="AV182">
        <f t="shared" si="32"/>
        <v>18.302962962962962</v>
      </c>
      <c r="AW182">
        <f t="shared" si="33"/>
        <v>17.460642304444445</v>
      </c>
      <c r="AX182" s="9"/>
      <c r="AY182" s="21">
        <v>0.76614400000000005</v>
      </c>
      <c r="AZ182" s="21">
        <v>29.462399999999999</v>
      </c>
      <c r="BA182" s="21">
        <v>-1.4904799999999999E-2</v>
      </c>
      <c r="BB182" s="21">
        <v>172</v>
      </c>
      <c r="BC182" s="21">
        <v>0.76538099999999998</v>
      </c>
      <c r="BD182">
        <f t="shared" si="34"/>
        <v>18.400987654320986</v>
      </c>
      <c r="BE182">
        <f t="shared" si="35"/>
        <v>14.097806285432098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0.94894400000000001</v>
      </c>
      <c r="H183" s="21">
        <v>6.7645999999999997</v>
      </c>
      <c r="I183" s="21">
        <v>-1.4733899999999999E-2</v>
      </c>
      <c r="J183" s="21">
        <v>173</v>
      </c>
      <c r="K183" s="21">
        <v>0.94818100000000005</v>
      </c>
      <c r="L183">
        <f t="shared" si="24"/>
        <v>18.189999999999998</v>
      </c>
      <c r="M183">
        <f t="shared" si="25"/>
        <v>17.261291359999998</v>
      </c>
      <c r="N183" s="9"/>
      <c r="O183" s="21">
        <v>0.76263400000000003</v>
      </c>
      <c r="P183" s="21">
        <v>16.551400000000001</v>
      </c>
      <c r="Q183" s="21">
        <v>-1.4917E-2</v>
      </c>
      <c r="R183" s="21">
        <v>210</v>
      </c>
      <c r="S183" s="21">
        <v>0.76171900000000003</v>
      </c>
      <c r="T183">
        <f t="shared" si="26"/>
        <v>18.416049382716047</v>
      </c>
      <c r="U183">
        <f t="shared" si="27"/>
        <v>14.04470540493827</v>
      </c>
      <c r="X183" s="9"/>
      <c r="Y183" s="21">
        <v>0.94894400000000001</v>
      </c>
      <c r="Z183" s="21">
        <v>16.178799999999999</v>
      </c>
      <c r="AA183" s="21">
        <v>-1.4798E-2</v>
      </c>
      <c r="AB183" s="21">
        <v>173</v>
      </c>
      <c r="AC183" s="21">
        <v>0.94757100000000005</v>
      </c>
      <c r="AD183">
        <f t="shared" si="28"/>
        <v>18.269135802469137</v>
      </c>
      <c r="AE183">
        <f t="shared" si="29"/>
        <v>17.336386804938272</v>
      </c>
      <c r="AF183" s="9"/>
      <c r="AG183" s="21">
        <v>0.77117899999999995</v>
      </c>
      <c r="AH183" s="21">
        <v>20.0383</v>
      </c>
      <c r="AI183" s="21">
        <v>-1.48895E-2</v>
      </c>
      <c r="AJ183" s="21">
        <v>173</v>
      </c>
      <c r="AK183" s="21">
        <v>0.77026399999999995</v>
      </c>
      <c r="AL183">
        <f t="shared" si="30"/>
        <v>18.382098765432101</v>
      </c>
      <c r="AM183">
        <f t="shared" si="31"/>
        <v>14.175888543827162</v>
      </c>
      <c r="AP183" s="9"/>
      <c r="AQ183" s="21">
        <v>0.94894400000000001</v>
      </c>
      <c r="AR183" s="21">
        <v>25.613</v>
      </c>
      <c r="AS183" s="21">
        <v>-1.4825400000000001E-2</v>
      </c>
      <c r="AT183" s="21">
        <v>173</v>
      </c>
      <c r="AU183" s="21">
        <v>0.94787600000000005</v>
      </c>
      <c r="AV183">
        <f t="shared" si="32"/>
        <v>18.302962962962962</v>
      </c>
      <c r="AW183">
        <f t="shared" si="33"/>
        <v>17.368486885925925</v>
      </c>
      <c r="AX183" s="9"/>
      <c r="AY183" s="21">
        <v>0.77117899999999995</v>
      </c>
      <c r="AZ183" s="21">
        <v>29.4725</v>
      </c>
      <c r="BA183" s="21">
        <v>-1.4907800000000001E-2</v>
      </c>
      <c r="BB183" s="21">
        <v>173</v>
      </c>
      <c r="BC183" s="21">
        <v>0.77026399999999995</v>
      </c>
      <c r="BD183">
        <f t="shared" si="34"/>
        <v>18.404691358024692</v>
      </c>
      <c r="BE183">
        <f t="shared" si="35"/>
        <v>14.193311476790123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0.943909</v>
      </c>
      <c r="H184" s="21">
        <v>6.7746700000000004</v>
      </c>
      <c r="I184" s="21">
        <v>-1.474E-2</v>
      </c>
      <c r="J184" s="21">
        <v>174</v>
      </c>
      <c r="K184" s="21">
        <v>0.94268799999999997</v>
      </c>
      <c r="L184">
        <f t="shared" si="24"/>
        <v>18.197530864197528</v>
      </c>
      <c r="M184">
        <f t="shared" si="25"/>
        <v>17.176813160493825</v>
      </c>
      <c r="N184" s="9"/>
      <c r="O184" s="21">
        <v>0.76766999999999996</v>
      </c>
      <c r="P184" s="21">
        <v>16.541399999999999</v>
      </c>
      <c r="Q184" s="21">
        <v>-1.4907800000000001E-2</v>
      </c>
      <c r="R184" s="21">
        <v>209</v>
      </c>
      <c r="S184" s="21">
        <v>0.76721200000000001</v>
      </c>
      <c r="T184">
        <f t="shared" si="26"/>
        <v>18.404691358024692</v>
      </c>
      <c r="U184">
        <f t="shared" si="27"/>
        <v>14.128729414814815</v>
      </c>
      <c r="X184" s="9"/>
      <c r="Y184" s="21">
        <v>0.943909</v>
      </c>
      <c r="Z184" s="21">
        <v>16.1889</v>
      </c>
      <c r="AA184" s="21">
        <v>-1.4801E-2</v>
      </c>
      <c r="AB184" s="21">
        <v>174</v>
      </c>
      <c r="AC184" s="21">
        <v>0.94268799999999997</v>
      </c>
      <c r="AD184">
        <f t="shared" si="28"/>
        <v>18.27283950617284</v>
      </c>
      <c r="AE184">
        <f t="shared" si="29"/>
        <v>17.247897665432099</v>
      </c>
      <c r="AF184" s="9"/>
      <c r="AG184" s="21">
        <v>0.77621499999999999</v>
      </c>
      <c r="AH184" s="21">
        <v>20.048400000000001</v>
      </c>
      <c r="AI184" s="21">
        <v>-1.48865E-2</v>
      </c>
      <c r="AJ184" s="21">
        <v>174</v>
      </c>
      <c r="AK184" s="21">
        <v>0.77545200000000003</v>
      </c>
      <c r="AL184">
        <f t="shared" si="30"/>
        <v>18.378395061728394</v>
      </c>
      <c r="AM184">
        <f t="shared" si="31"/>
        <v>14.265585922839506</v>
      </c>
      <c r="AP184" s="9"/>
      <c r="AQ184" s="21">
        <v>0.943909</v>
      </c>
      <c r="AR184" s="21">
        <v>25.623100000000001</v>
      </c>
      <c r="AS184" s="21">
        <v>-1.48285E-2</v>
      </c>
      <c r="AT184" s="21">
        <v>174</v>
      </c>
      <c r="AU184" s="21">
        <v>0.94299299999999997</v>
      </c>
      <c r="AV184">
        <f t="shared" si="32"/>
        <v>18.306790123456789</v>
      </c>
      <c r="AW184">
        <f t="shared" si="33"/>
        <v>17.279943958641976</v>
      </c>
      <c r="AX184" s="9"/>
      <c r="AY184" s="21">
        <v>0.77621499999999999</v>
      </c>
      <c r="AZ184" s="21">
        <v>29.482600000000001</v>
      </c>
      <c r="BA184" s="21">
        <v>-1.49109E-2</v>
      </c>
      <c r="BB184" s="21">
        <v>174</v>
      </c>
      <c r="BC184" s="21">
        <v>0.775146</v>
      </c>
      <c r="BD184">
        <f t="shared" si="34"/>
        <v>18.408518518518516</v>
      </c>
      <c r="BE184">
        <f t="shared" si="35"/>
        <v>14.28896820185185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0.93887299999999996</v>
      </c>
      <c r="H185" s="21">
        <v>6.7847400000000002</v>
      </c>
      <c r="I185" s="21">
        <v>-1.4742999999999999E-2</v>
      </c>
      <c r="J185" s="21">
        <v>175</v>
      </c>
      <c r="K185" s="21">
        <v>0.93811</v>
      </c>
      <c r="L185">
        <f t="shared" si="24"/>
        <v>18.201234567901235</v>
      </c>
      <c r="M185">
        <f t="shared" si="25"/>
        <v>17.088647702469135</v>
      </c>
      <c r="N185" s="9"/>
      <c r="O185" s="21">
        <v>0.77270499999999998</v>
      </c>
      <c r="P185" s="21">
        <v>16.531300000000002</v>
      </c>
      <c r="Q185" s="21">
        <v>-1.4904799999999999E-2</v>
      </c>
      <c r="R185" s="21">
        <v>208</v>
      </c>
      <c r="S185" s="21">
        <v>0.77178999999999998</v>
      </c>
      <c r="T185">
        <f t="shared" si="26"/>
        <v>18.400987654320986</v>
      </c>
      <c r="U185">
        <f t="shared" si="27"/>
        <v>14.218535165432098</v>
      </c>
      <c r="X185" s="9"/>
      <c r="Y185" s="21">
        <v>0.93887299999999996</v>
      </c>
      <c r="Z185" s="21">
        <v>16.199000000000002</v>
      </c>
      <c r="AA185" s="21">
        <v>-1.4804100000000001E-2</v>
      </c>
      <c r="AB185" s="21">
        <v>175</v>
      </c>
      <c r="AC185" s="21">
        <v>0.93811</v>
      </c>
      <c r="AD185">
        <f t="shared" si="28"/>
        <v>18.276666666666667</v>
      </c>
      <c r="AE185">
        <f t="shared" si="29"/>
        <v>17.159468863333334</v>
      </c>
      <c r="AF185" s="9"/>
      <c r="AG185" s="21">
        <v>0.78125</v>
      </c>
      <c r="AH185" s="21">
        <v>20.058399999999999</v>
      </c>
      <c r="AI185" s="21">
        <v>-1.48834E-2</v>
      </c>
      <c r="AJ185" s="21">
        <v>175</v>
      </c>
      <c r="AK185" s="21">
        <v>0.780945</v>
      </c>
      <c r="AL185">
        <f t="shared" si="30"/>
        <v>18.374567901234567</v>
      </c>
      <c r="AM185">
        <f t="shared" si="31"/>
        <v>14.355131172839505</v>
      </c>
      <c r="AP185" s="9"/>
      <c r="AQ185" s="21">
        <v>0.93887299999999996</v>
      </c>
      <c r="AR185" s="21">
        <v>25.633199999999999</v>
      </c>
      <c r="AS185" s="21">
        <v>-1.48285E-2</v>
      </c>
      <c r="AT185" s="21">
        <v>175</v>
      </c>
      <c r="AU185" s="21">
        <v>0.937805</v>
      </c>
      <c r="AV185">
        <f t="shared" si="32"/>
        <v>18.306790123456789</v>
      </c>
      <c r="AW185">
        <f t="shared" si="33"/>
        <v>17.187750963580246</v>
      </c>
      <c r="AX185" s="9"/>
      <c r="AY185" s="21">
        <v>0.78125</v>
      </c>
      <c r="AZ185" s="21">
        <v>29.492699999999999</v>
      </c>
      <c r="BA185" s="21">
        <v>-1.49109E-2</v>
      </c>
      <c r="BB185" s="21">
        <v>175</v>
      </c>
      <c r="BC185" s="21">
        <v>0.78064</v>
      </c>
      <c r="BD185">
        <f t="shared" si="34"/>
        <v>18.408518518518516</v>
      </c>
      <c r="BE185">
        <f t="shared" si="35"/>
        <v>14.38165509259259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0.93383799999999995</v>
      </c>
      <c r="H186" s="21">
        <v>6.79481</v>
      </c>
      <c r="I186" s="21">
        <v>-1.4749099999999999E-2</v>
      </c>
      <c r="J186" s="21">
        <v>176</v>
      </c>
      <c r="K186" s="21">
        <v>0.93292200000000003</v>
      </c>
      <c r="L186">
        <f t="shared" si="24"/>
        <v>18.208765432098765</v>
      </c>
      <c r="M186">
        <f t="shared" si="25"/>
        <v>17.004037093580244</v>
      </c>
      <c r="N186" s="9"/>
      <c r="O186" s="21">
        <v>0.77773999999999999</v>
      </c>
      <c r="P186" s="21">
        <v>16.5212</v>
      </c>
      <c r="Q186" s="21">
        <v>-1.48865E-2</v>
      </c>
      <c r="R186" s="21">
        <v>207</v>
      </c>
      <c r="S186" s="21">
        <v>0.77697799999999995</v>
      </c>
      <c r="T186">
        <f t="shared" si="26"/>
        <v>18.378395061728394</v>
      </c>
      <c r="U186">
        <f t="shared" si="27"/>
        <v>14.293612975308641</v>
      </c>
      <c r="X186" s="9"/>
      <c r="Y186" s="21">
        <v>0.93383799999999995</v>
      </c>
      <c r="Z186" s="21">
        <v>16.209</v>
      </c>
      <c r="AA186" s="21">
        <v>-1.4804100000000001E-2</v>
      </c>
      <c r="AB186" s="21">
        <v>176</v>
      </c>
      <c r="AC186" s="21">
        <v>0.93231200000000003</v>
      </c>
      <c r="AD186">
        <f t="shared" si="28"/>
        <v>18.276666666666667</v>
      </c>
      <c r="AE186">
        <f t="shared" si="29"/>
        <v>17.067445846666665</v>
      </c>
      <c r="AF186" s="9"/>
      <c r="AG186" s="21">
        <v>0.78628500000000001</v>
      </c>
      <c r="AH186" s="21">
        <v>20.0685</v>
      </c>
      <c r="AI186" s="21">
        <v>-1.48743E-2</v>
      </c>
      <c r="AJ186" s="21">
        <v>176</v>
      </c>
      <c r="AK186" s="21">
        <v>0.78521700000000005</v>
      </c>
      <c r="AL186">
        <f t="shared" si="30"/>
        <v>18.363333333333333</v>
      </c>
      <c r="AM186">
        <f t="shared" si="31"/>
        <v>14.438813550000001</v>
      </c>
      <c r="AP186" s="9"/>
      <c r="AQ186" s="21">
        <v>0.93383799999999995</v>
      </c>
      <c r="AR186" s="21">
        <v>25.6433</v>
      </c>
      <c r="AS186" s="21">
        <v>-1.48285E-2</v>
      </c>
      <c r="AT186" s="21">
        <v>176</v>
      </c>
      <c r="AU186" s="21">
        <v>0.93261700000000003</v>
      </c>
      <c r="AV186">
        <f t="shared" si="32"/>
        <v>18.306790123456789</v>
      </c>
      <c r="AW186">
        <f t="shared" si="33"/>
        <v>17.095576275308641</v>
      </c>
      <c r="AX186" s="9"/>
      <c r="AY186" s="21">
        <v>0.78628500000000001</v>
      </c>
      <c r="AZ186" s="21">
        <v>29.502700000000001</v>
      </c>
      <c r="BA186" s="21">
        <v>-1.49017E-2</v>
      </c>
      <c r="BB186" s="21">
        <v>176</v>
      </c>
      <c r="BC186" s="21">
        <v>0.78552200000000005</v>
      </c>
      <c r="BD186">
        <f t="shared" si="34"/>
        <v>18.397160493827158</v>
      </c>
      <c r="BE186">
        <f t="shared" si="35"/>
        <v>14.465411338888888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0.92880200000000002</v>
      </c>
      <c r="H187" s="21">
        <v>6.8048900000000003</v>
      </c>
      <c r="I187" s="21">
        <v>-1.47522E-2</v>
      </c>
      <c r="J187" s="21">
        <v>177</v>
      </c>
      <c r="K187" s="21">
        <v>0.92803999999999998</v>
      </c>
      <c r="L187">
        <f t="shared" si="24"/>
        <v>18.212592592592593</v>
      </c>
      <c r="M187">
        <f t="shared" si="25"/>
        <v>16.915892425185184</v>
      </c>
      <c r="N187" s="9"/>
      <c r="O187" s="21">
        <v>0.78277600000000003</v>
      </c>
      <c r="P187" s="21">
        <v>16.511199999999999</v>
      </c>
      <c r="Q187" s="21">
        <v>-1.48834E-2</v>
      </c>
      <c r="R187" s="21">
        <v>206</v>
      </c>
      <c r="S187" s="21">
        <v>0.78186</v>
      </c>
      <c r="T187">
        <f t="shared" si="26"/>
        <v>18.374567901234567</v>
      </c>
      <c r="U187">
        <f t="shared" si="27"/>
        <v>14.383170763456789</v>
      </c>
      <c r="X187" s="9"/>
      <c r="Y187" s="21">
        <v>0.92880200000000002</v>
      </c>
      <c r="Z187" s="21">
        <v>16.219100000000001</v>
      </c>
      <c r="AA187" s="21">
        <v>-1.4804100000000001E-2</v>
      </c>
      <c r="AB187" s="21">
        <v>177</v>
      </c>
      <c r="AC187" s="21">
        <v>0.92803999999999998</v>
      </c>
      <c r="AD187">
        <f t="shared" si="28"/>
        <v>18.276666666666667</v>
      </c>
      <c r="AE187">
        <f t="shared" si="29"/>
        <v>16.975404553333334</v>
      </c>
      <c r="AF187" s="9"/>
      <c r="AG187" s="21">
        <v>0.79132100000000005</v>
      </c>
      <c r="AH187" s="21">
        <v>20.078600000000002</v>
      </c>
      <c r="AI187" s="21">
        <v>-1.4871199999999999E-2</v>
      </c>
      <c r="AJ187" s="21">
        <v>177</v>
      </c>
      <c r="AK187" s="21">
        <v>0.79101600000000005</v>
      </c>
      <c r="AL187">
        <f t="shared" si="30"/>
        <v>18.359506172839506</v>
      </c>
      <c r="AM187">
        <f t="shared" si="31"/>
        <v>14.528262784197532</v>
      </c>
      <c r="AP187" s="9"/>
      <c r="AQ187" s="21">
        <v>0.92880200000000002</v>
      </c>
      <c r="AR187" s="21">
        <v>25.653300000000002</v>
      </c>
      <c r="AS187" s="21">
        <v>-1.4825400000000001E-2</v>
      </c>
      <c r="AT187" s="21">
        <v>177</v>
      </c>
      <c r="AU187" s="21">
        <v>0.92773399999999995</v>
      </c>
      <c r="AV187">
        <f t="shared" si="32"/>
        <v>18.302962962962962</v>
      </c>
      <c r="AW187">
        <f t="shared" si="33"/>
        <v>16.999828605925924</v>
      </c>
      <c r="AX187" s="9"/>
      <c r="AY187" s="21">
        <v>0.79132100000000005</v>
      </c>
      <c r="AZ187" s="21">
        <v>29.512799999999999</v>
      </c>
      <c r="BA187" s="21">
        <v>-1.4892600000000001E-2</v>
      </c>
      <c r="BB187" s="21">
        <v>177</v>
      </c>
      <c r="BC187" s="21">
        <v>0.79071000000000002</v>
      </c>
      <c r="BD187">
        <f t="shared" si="34"/>
        <v>18.385925925925928</v>
      </c>
      <c r="BE187">
        <f t="shared" si="35"/>
        <v>14.549169289629633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0.923767</v>
      </c>
      <c r="H188" s="21">
        <v>6.8149600000000001</v>
      </c>
      <c r="I188" s="21">
        <v>-1.47522E-2</v>
      </c>
      <c r="J188" s="21">
        <v>178</v>
      </c>
      <c r="K188" s="21">
        <v>0.92315700000000001</v>
      </c>
      <c r="L188">
        <f t="shared" si="24"/>
        <v>18.212592592592593</v>
      </c>
      <c r="M188">
        <f t="shared" si="25"/>
        <v>16.824192021481483</v>
      </c>
      <c r="N188" s="9"/>
      <c r="O188" s="21">
        <v>0.78781100000000004</v>
      </c>
      <c r="P188" s="21">
        <v>16.501100000000001</v>
      </c>
      <c r="Q188" s="21">
        <v>-1.48834E-2</v>
      </c>
      <c r="R188" s="21">
        <v>205</v>
      </c>
      <c r="S188" s="21">
        <v>0.78643799999999997</v>
      </c>
      <c r="T188">
        <f t="shared" si="26"/>
        <v>18.374567901234567</v>
      </c>
      <c r="U188">
        <f t="shared" si="27"/>
        <v>14.475686712839506</v>
      </c>
      <c r="X188" s="9"/>
      <c r="Y188" s="21">
        <v>0.923767</v>
      </c>
      <c r="Z188" s="21">
        <v>16.229199999999999</v>
      </c>
      <c r="AA188" s="21">
        <v>-1.48132E-2</v>
      </c>
      <c r="AB188" s="21">
        <v>178</v>
      </c>
      <c r="AC188" s="21">
        <v>0.92285200000000001</v>
      </c>
      <c r="AD188">
        <f t="shared" si="28"/>
        <v>18.287901234567901</v>
      </c>
      <c r="AE188">
        <f t="shared" si="29"/>
        <v>16.893759659753087</v>
      </c>
      <c r="AF188" s="9"/>
      <c r="AG188" s="21">
        <v>0.79635599999999995</v>
      </c>
      <c r="AH188" s="21">
        <v>20.0886</v>
      </c>
      <c r="AI188" s="21">
        <v>-1.4871199999999999E-2</v>
      </c>
      <c r="AJ188" s="21">
        <v>178</v>
      </c>
      <c r="AK188" s="21">
        <v>0.79559299999999999</v>
      </c>
      <c r="AL188">
        <f t="shared" si="30"/>
        <v>18.359506172839506</v>
      </c>
      <c r="AM188">
        <f t="shared" si="31"/>
        <v>14.620702897777777</v>
      </c>
      <c r="AP188" s="9"/>
      <c r="AQ188" s="21">
        <v>0.923767</v>
      </c>
      <c r="AR188" s="21">
        <v>25.663399999999999</v>
      </c>
      <c r="AS188" s="21">
        <v>-1.48346E-2</v>
      </c>
      <c r="AT188" s="21">
        <v>178</v>
      </c>
      <c r="AU188" s="21">
        <v>0.92254599999999998</v>
      </c>
      <c r="AV188">
        <f t="shared" si="32"/>
        <v>18.31432098765432</v>
      </c>
      <c r="AW188">
        <f t="shared" si="33"/>
        <v>16.918165355802468</v>
      </c>
      <c r="AX188" s="9"/>
      <c r="AY188" s="21">
        <v>0.79635599999999995</v>
      </c>
      <c r="AZ188" s="21">
        <v>29.5229</v>
      </c>
      <c r="BA188" s="21">
        <v>-1.48773E-2</v>
      </c>
      <c r="BB188" s="21">
        <v>178</v>
      </c>
      <c r="BC188" s="21">
        <v>0.79528799999999999</v>
      </c>
      <c r="BD188">
        <f t="shared" si="34"/>
        <v>18.367037037037036</v>
      </c>
      <c r="BE188">
        <f t="shared" si="35"/>
        <v>14.626700146666666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0.91873199999999999</v>
      </c>
      <c r="H189" s="21">
        <v>6.8250299999999999</v>
      </c>
      <c r="I189" s="21">
        <v>-1.47583E-2</v>
      </c>
      <c r="J189" s="21">
        <v>179</v>
      </c>
      <c r="K189" s="21">
        <v>0.91766400000000004</v>
      </c>
      <c r="L189">
        <f t="shared" si="24"/>
        <v>18.22012345679012</v>
      </c>
      <c r="M189">
        <f t="shared" si="25"/>
        <v>16.739410463703699</v>
      </c>
      <c r="N189" s="9"/>
      <c r="O189" s="21">
        <v>0.79284699999999997</v>
      </c>
      <c r="P189" s="21">
        <v>16.491</v>
      </c>
      <c r="Q189" s="21">
        <v>-1.48865E-2</v>
      </c>
      <c r="R189" s="21">
        <v>204</v>
      </c>
      <c r="S189" s="21">
        <v>0.79193100000000005</v>
      </c>
      <c r="T189">
        <f t="shared" si="26"/>
        <v>18.378395061728394</v>
      </c>
      <c r="U189">
        <f t="shared" si="27"/>
        <v>14.571255389506172</v>
      </c>
      <c r="X189" s="9"/>
      <c r="Y189" s="21">
        <v>0.91873199999999999</v>
      </c>
      <c r="Z189" s="21">
        <v>16.2392</v>
      </c>
      <c r="AA189" s="21">
        <v>-1.48285E-2</v>
      </c>
      <c r="AB189" s="21">
        <v>179</v>
      </c>
      <c r="AC189" s="21">
        <v>0.91796900000000003</v>
      </c>
      <c r="AD189">
        <f t="shared" si="28"/>
        <v>18.306790123456789</v>
      </c>
      <c r="AE189">
        <f t="shared" si="29"/>
        <v>16.819033903703701</v>
      </c>
      <c r="AF189" s="9"/>
      <c r="AG189" s="21">
        <v>0.80139199999999999</v>
      </c>
      <c r="AH189" s="21">
        <v>20.098700000000001</v>
      </c>
      <c r="AI189" s="21">
        <v>-1.4865099999999999E-2</v>
      </c>
      <c r="AJ189" s="21">
        <v>179</v>
      </c>
      <c r="AK189" s="21">
        <v>0.80078099999999997</v>
      </c>
      <c r="AL189">
        <f t="shared" si="30"/>
        <v>18.351975308641972</v>
      </c>
      <c r="AM189">
        <f t="shared" si="31"/>
        <v>14.707126196543207</v>
      </c>
      <c r="AP189" s="9"/>
      <c r="AQ189" s="21">
        <v>0.91873199999999999</v>
      </c>
      <c r="AR189" s="21">
        <v>25.673500000000001</v>
      </c>
      <c r="AS189" s="21">
        <v>-1.4837599999999999E-2</v>
      </c>
      <c r="AT189" s="21">
        <v>179</v>
      </c>
      <c r="AU189" s="21">
        <v>0.91827400000000003</v>
      </c>
      <c r="AV189">
        <f t="shared" si="32"/>
        <v>18.318024691358023</v>
      </c>
      <c r="AW189">
        <f t="shared" si="33"/>
        <v>16.829355460740739</v>
      </c>
      <c r="AX189" s="9"/>
      <c r="AY189" s="21">
        <v>0.80139199999999999</v>
      </c>
      <c r="AZ189" s="21">
        <v>29.532900000000001</v>
      </c>
      <c r="BA189" s="21">
        <v>-1.48682E-2</v>
      </c>
      <c r="BB189" s="21">
        <v>179</v>
      </c>
      <c r="BC189" s="21">
        <v>0.80108599999999996</v>
      </c>
      <c r="BD189">
        <f t="shared" si="34"/>
        <v>18.355802469135799</v>
      </c>
      <c r="BE189">
        <f t="shared" si="35"/>
        <v>14.710193252345677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0.91369599999999995</v>
      </c>
      <c r="H190" s="21">
        <v>6.8350999999999997</v>
      </c>
      <c r="I190" s="21">
        <v>-1.47644E-2</v>
      </c>
      <c r="J190" s="21">
        <v>180</v>
      </c>
      <c r="K190" s="21">
        <v>0.91247599999999995</v>
      </c>
      <c r="L190">
        <f t="shared" si="24"/>
        <v>18.227654320987654</v>
      </c>
      <c r="M190">
        <f t="shared" si="25"/>
        <v>16.654534842469133</v>
      </c>
      <c r="N190" s="9"/>
      <c r="O190" s="21">
        <v>0.79788199999999998</v>
      </c>
      <c r="P190" s="21">
        <v>16.480899999999998</v>
      </c>
      <c r="Q190" s="21">
        <v>-1.48895E-2</v>
      </c>
      <c r="R190" s="21">
        <v>203</v>
      </c>
      <c r="S190" s="21">
        <v>0.79681400000000002</v>
      </c>
      <c r="T190">
        <f t="shared" si="26"/>
        <v>18.382098765432101</v>
      </c>
      <c r="U190">
        <f t="shared" si="27"/>
        <v>14.666745727160496</v>
      </c>
      <c r="X190" s="9"/>
      <c r="Y190" s="21">
        <v>0.91369599999999995</v>
      </c>
      <c r="Z190" s="21">
        <v>16.249300000000002</v>
      </c>
      <c r="AA190" s="21">
        <v>-1.48346E-2</v>
      </c>
      <c r="AB190" s="21">
        <v>180</v>
      </c>
      <c r="AC190" s="21">
        <v>0.91308599999999995</v>
      </c>
      <c r="AD190">
        <f t="shared" si="28"/>
        <v>18.31432098765432</v>
      </c>
      <c r="AE190">
        <f t="shared" si="29"/>
        <v>16.733721829135799</v>
      </c>
      <c r="AF190" s="9"/>
      <c r="AG190" s="21">
        <v>0.806427</v>
      </c>
      <c r="AH190" s="21">
        <v>20.108799999999999</v>
      </c>
      <c r="AI190" s="21">
        <v>-1.48621E-2</v>
      </c>
      <c r="AJ190" s="21">
        <v>180</v>
      </c>
      <c r="AK190" s="21">
        <v>0.80566400000000005</v>
      </c>
      <c r="AL190">
        <f t="shared" si="30"/>
        <v>18.348271604938269</v>
      </c>
      <c r="AM190">
        <f t="shared" si="31"/>
        <v>14.796541625555554</v>
      </c>
      <c r="AP190" s="9"/>
      <c r="AQ190" s="21">
        <v>0.91369599999999995</v>
      </c>
      <c r="AR190" s="21">
        <v>25.683499999999999</v>
      </c>
      <c r="AS190" s="21">
        <v>-1.48407E-2</v>
      </c>
      <c r="AT190" s="21">
        <v>180</v>
      </c>
      <c r="AU190" s="21">
        <v>0.91247599999999995</v>
      </c>
      <c r="AV190">
        <f t="shared" si="32"/>
        <v>18.32185185185185</v>
      </c>
      <c r="AW190">
        <f t="shared" si="33"/>
        <v>16.740602749629627</v>
      </c>
      <c r="AX190" s="9"/>
      <c r="AY190" s="21">
        <v>0.806427</v>
      </c>
      <c r="AZ190" s="21">
        <v>29.542999999999999</v>
      </c>
      <c r="BA190" s="21">
        <v>-1.48682E-2</v>
      </c>
      <c r="BB190" s="21">
        <v>180</v>
      </c>
      <c r="BC190" s="21">
        <v>0.80566400000000005</v>
      </c>
      <c r="BD190">
        <f t="shared" si="34"/>
        <v>18.355802469135799</v>
      </c>
      <c r="BE190">
        <f t="shared" si="35"/>
        <v>14.802614717777775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0.90866100000000005</v>
      </c>
      <c r="H191" s="21">
        <v>6.8451700000000004</v>
      </c>
      <c r="I191" s="21">
        <v>-1.47736E-2</v>
      </c>
      <c r="J191" s="21">
        <v>181</v>
      </c>
      <c r="K191" s="21">
        <v>0.90759299999999998</v>
      </c>
      <c r="L191">
        <f t="shared" si="24"/>
        <v>18.239012345679011</v>
      </c>
      <c r="M191">
        <f t="shared" si="25"/>
        <v>16.573079197037035</v>
      </c>
      <c r="N191" s="9"/>
      <c r="O191" s="21">
        <v>0.80291699999999999</v>
      </c>
      <c r="P191" s="21">
        <v>16.4709</v>
      </c>
      <c r="Q191" s="21">
        <v>-1.48834E-2</v>
      </c>
      <c r="R191" s="21">
        <v>202</v>
      </c>
      <c r="S191" s="21">
        <v>0.80261199999999999</v>
      </c>
      <c r="T191">
        <f t="shared" si="26"/>
        <v>18.374567901234567</v>
      </c>
      <c r="U191">
        <f t="shared" si="27"/>
        <v>14.753252935555555</v>
      </c>
      <c r="X191" s="9"/>
      <c r="Y191" s="21">
        <v>0.90866100000000005</v>
      </c>
      <c r="Z191" s="21">
        <v>16.259399999999999</v>
      </c>
      <c r="AA191" s="21">
        <v>-1.4837599999999999E-2</v>
      </c>
      <c r="AB191" s="21">
        <v>181</v>
      </c>
      <c r="AC191" s="21">
        <v>0.90820299999999998</v>
      </c>
      <c r="AD191">
        <f t="shared" si="28"/>
        <v>18.318024691358023</v>
      </c>
      <c r="AE191">
        <f t="shared" si="29"/>
        <v>16.644874634074075</v>
      </c>
      <c r="AF191" s="9"/>
      <c r="AG191" s="21">
        <v>0.81146200000000002</v>
      </c>
      <c r="AH191" s="21">
        <v>20.1189</v>
      </c>
      <c r="AI191" s="21">
        <v>-1.4859000000000001E-2</v>
      </c>
      <c r="AJ191" s="21">
        <v>181</v>
      </c>
      <c r="AK191" s="21">
        <v>0.80993700000000002</v>
      </c>
      <c r="AL191">
        <f t="shared" si="30"/>
        <v>18.344444444444445</v>
      </c>
      <c r="AM191">
        <f t="shared" si="31"/>
        <v>14.885819577777779</v>
      </c>
      <c r="AP191" s="9"/>
      <c r="AQ191" s="21">
        <v>0.90866100000000005</v>
      </c>
      <c r="AR191" s="21">
        <v>25.6936</v>
      </c>
      <c r="AS191" s="21">
        <v>-1.48407E-2</v>
      </c>
      <c r="AT191" s="21">
        <v>181</v>
      </c>
      <c r="AU191" s="21">
        <v>0.90728799999999998</v>
      </c>
      <c r="AV191">
        <f t="shared" si="32"/>
        <v>18.32185185185185</v>
      </c>
      <c r="AW191">
        <f t="shared" si="33"/>
        <v>16.648352225555556</v>
      </c>
      <c r="AX191" s="9"/>
      <c r="AY191" s="21">
        <v>0.81146200000000002</v>
      </c>
      <c r="AZ191" s="21">
        <v>29.553100000000001</v>
      </c>
      <c r="BA191" s="21">
        <v>-1.4865099999999999E-2</v>
      </c>
      <c r="BB191" s="21">
        <v>181</v>
      </c>
      <c r="BC191" s="21">
        <v>0.81054700000000002</v>
      </c>
      <c r="BD191">
        <f t="shared" si="34"/>
        <v>18.351975308641972</v>
      </c>
      <c r="BE191">
        <f t="shared" si="35"/>
        <v>14.891930587901232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0.90362500000000001</v>
      </c>
      <c r="H192" s="21">
        <v>6.8552400000000002</v>
      </c>
      <c r="I192" s="21">
        <v>-1.4782699999999999E-2</v>
      </c>
      <c r="J192" s="21">
        <v>182</v>
      </c>
      <c r="K192" s="21">
        <v>0.90271000000000001</v>
      </c>
      <c r="L192">
        <f t="shared" si="24"/>
        <v>18.250246913580245</v>
      </c>
      <c r="M192">
        <f t="shared" si="25"/>
        <v>16.491379367283947</v>
      </c>
      <c r="N192" s="9"/>
      <c r="O192" s="21">
        <v>0.80795300000000003</v>
      </c>
      <c r="P192" s="21">
        <v>16.460799999999999</v>
      </c>
      <c r="Q192" s="21">
        <v>-1.48865E-2</v>
      </c>
      <c r="R192" s="21">
        <v>201</v>
      </c>
      <c r="S192" s="21">
        <v>0.80688499999999996</v>
      </c>
      <c r="T192">
        <f t="shared" si="26"/>
        <v>18.378395061728394</v>
      </c>
      <c r="U192">
        <f t="shared" si="27"/>
        <v>14.848879425308642</v>
      </c>
      <c r="X192" s="9"/>
      <c r="Y192" s="21">
        <v>0.90362500000000001</v>
      </c>
      <c r="Z192" s="21">
        <v>16.269500000000001</v>
      </c>
      <c r="AA192" s="21">
        <v>-1.4837599999999999E-2</v>
      </c>
      <c r="AB192" s="21">
        <v>182</v>
      </c>
      <c r="AC192" s="21">
        <v>0.90271000000000001</v>
      </c>
      <c r="AD192">
        <f t="shared" si="28"/>
        <v>18.318024691358023</v>
      </c>
      <c r="AE192">
        <f t="shared" si="29"/>
        <v>16.552625061728392</v>
      </c>
      <c r="AF192" s="9"/>
      <c r="AG192" s="21">
        <v>0.81649799999999995</v>
      </c>
      <c r="AH192" s="21">
        <v>20.128900000000002</v>
      </c>
      <c r="AI192" s="21">
        <v>-1.4849899999999999E-2</v>
      </c>
      <c r="AJ192" s="21">
        <v>182</v>
      </c>
      <c r="AK192" s="21">
        <v>0.81603999999999999</v>
      </c>
      <c r="AL192">
        <f t="shared" si="30"/>
        <v>18.333209876543208</v>
      </c>
      <c r="AM192">
        <f t="shared" si="31"/>
        <v>14.969029197777775</v>
      </c>
      <c r="AP192" s="9"/>
      <c r="AQ192" s="21">
        <v>0.90362500000000001</v>
      </c>
      <c r="AR192" s="21">
        <v>25.703700000000001</v>
      </c>
      <c r="AS192" s="21">
        <v>-1.48407E-2</v>
      </c>
      <c r="AT192" s="21">
        <v>182</v>
      </c>
      <c r="AU192" s="21">
        <v>0.90240500000000001</v>
      </c>
      <c r="AV192">
        <f t="shared" si="32"/>
        <v>18.32185185185185</v>
      </c>
      <c r="AW192">
        <f t="shared" si="33"/>
        <v>16.556083379629627</v>
      </c>
      <c r="AX192" s="9"/>
      <c r="AY192" s="21">
        <v>0.81649799999999995</v>
      </c>
      <c r="AZ192" s="21">
        <v>29.563199999999998</v>
      </c>
      <c r="BA192" s="21">
        <v>-1.48682E-2</v>
      </c>
      <c r="BB192" s="21">
        <v>182</v>
      </c>
      <c r="BC192" s="21">
        <v>0.81603999999999999</v>
      </c>
      <c r="BD192">
        <f t="shared" si="34"/>
        <v>18.355802469135799</v>
      </c>
      <c r="BE192">
        <f t="shared" si="35"/>
        <v>14.98747600444444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0.89859</v>
      </c>
      <c r="H193" s="21">
        <v>6.86531</v>
      </c>
      <c r="I193" s="21">
        <v>-1.47888E-2</v>
      </c>
      <c r="J193" s="21">
        <v>183</v>
      </c>
      <c r="K193" s="21">
        <v>0.89782700000000004</v>
      </c>
      <c r="L193">
        <f t="shared" si="24"/>
        <v>18.257777777777775</v>
      </c>
      <c r="M193">
        <f t="shared" si="25"/>
        <v>16.40625653333333</v>
      </c>
      <c r="N193" s="9"/>
      <c r="O193" s="21">
        <v>0.81298800000000004</v>
      </c>
      <c r="P193" s="21">
        <v>16.450700000000001</v>
      </c>
      <c r="Q193" s="21">
        <v>-1.48804E-2</v>
      </c>
      <c r="R193" s="21">
        <v>200</v>
      </c>
      <c r="S193" s="21">
        <v>0.81176800000000005</v>
      </c>
      <c r="T193">
        <f t="shared" si="26"/>
        <v>18.370864197530864</v>
      </c>
      <c r="U193">
        <f t="shared" si="27"/>
        <v>14.935292142222222</v>
      </c>
      <c r="X193" s="9"/>
      <c r="Y193" s="21">
        <v>0.89859</v>
      </c>
      <c r="Z193" s="21">
        <v>16.279499999999999</v>
      </c>
      <c r="AA193" s="21">
        <v>-1.4837599999999999E-2</v>
      </c>
      <c r="AB193" s="21">
        <v>183</v>
      </c>
      <c r="AC193" s="21">
        <v>0.89782700000000004</v>
      </c>
      <c r="AD193">
        <f t="shared" si="28"/>
        <v>18.318024691358023</v>
      </c>
      <c r="AE193">
        <f t="shared" si="29"/>
        <v>16.460393807407407</v>
      </c>
      <c r="AF193" s="9"/>
      <c r="AG193" s="21">
        <v>0.82153299999999996</v>
      </c>
      <c r="AH193" s="21">
        <v>20.138999999999999</v>
      </c>
      <c r="AI193" s="21">
        <v>-1.48529E-2</v>
      </c>
      <c r="AJ193" s="21">
        <v>183</v>
      </c>
      <c r="AK193" s="21">
        <v>0.82122799999999996</v>
      </c>
      <c r="AL193">
        <f t="shared" si="30"/>
        <v>18.336913580246915</v>
      </c>
      <c r="AM193">
        <f t="shared" si="31"/>
        <v>15.064379624320988</v>
      </c>
      <c r="AP193" s="9"/>
      <c r="AQ193" s="21">
        <v>0.89859</v>
      </c>
      <c r="AR193" s="21">
        <v>25.713799999999999</v>
      </c>
      <c r="AS193" s="21">
        <v>-1.48529E-2</v>
      </c>
      <c r="AT193" s="21">
        <v>183</v>
      </c>
      <c r="AU193" s="21">
        <v>0.89813200000000004</v>
      </c>
      <c r="AV193">
        <f t="shared" si="32"/>
        <v>18.336913580246915</v>
      </c>
      <c r="AW193">
        <f t="shared" si="33"/>
        <v>16.477367174074075</v>
      </c>
      <c r="AX193" s="9"/>
      <c r="AY193" s="21">
        <v>0.82153299999999996</v>
      </c>
      <c r="AZ193" s="21">
        <v>29.5732</v>
      </c>
      <c r="BA193" s="21">
        <v>-1.48682E-2</v>
      </c>
      <c r="BB193" s="21">
        <v>183</v>
      </c>
      <c r="BC193" s="21">
        <v>0.82061799999999996</v>
      </c>
      <c r="BD193">
        <f t="shared" si="34"/>
        <v>18.355802469135799</v>
      </c>
      <c r="BE193">
        <f t="shared" si="35"/>
        <v>15.07989746987654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0.89355499999999999</v>
      </c>
      <c r="H194" s="21">
        <v>6.8753799999999998</v>
      </c>
      <c r="I194" s="21">
        <v>-1.47949E-2</v>
      </c>
      <c r="J194" s="21">
        <v>184</v>
      </c>
      <c r="K194" s="21">
        <v>0.89355499999999999</v>
      </c>
      <c r="L194">
        <f t="shared" si="24"/>
        <v>18.265308641975306</v>
      </c>
      <c r="M194">
        <f t="shared" si="25"/>
        <v>16.321057863580243</v>
      </c>
      <c r="N194" s="9"/>
      <c r="O194" s="21">
        <v>0.81802399999999997</v>
      </c>
      <c r="P194" s="21">
        <v>16.4407</v>
      </c>
      <c r="Q194" s="21">
        <v>-1.4871199999999999E-2</v>
      </c>
      <c r="R194" s="21">
        <v>199</v>
      </c>
      <c r="S194" s="21">
        <v>0.81756600000000001</v>
      </c>
      <c r="T194">
        <f t="shared" si="26"/>
        <v>18.359506172839506</v>
      </c>
      <c r="U194">
        <f t="shared" si="27"/>
        <v>15.018516677530863</v>
      </c>
      <c r="X194" s="9"/>
      <c r="Y194" s="21">
        <v>0.89355499999999999</v>
      </c>
      <c r="Z194" s="21">
        <v>16.2896</v>
      </c>
      <c r="AA194" s="21">
        <v>-1.4843800000000001E-2</v>
      </c>
      <c r="AB194" s="21">
        <v>184</v>
      </c>
      <c r="AC194" s="21">
        <v>0.89324999999999999</v>
      </c>
      <c r="AD194">
        <f t="shared" si="28"/>
        <v>18.325679012345677</v>
      </c>
      <c r="AE194">
        <f t="shared" si="29"/>
        <v>16.37500210987654</v>
      </c>
      <c r="AF194" s="9"/>
      <c r="AG194" s="21">
        <v>0.826569</v>
      </c>
      <c r="AH194" s="21">
        <v>20.149100000000001</v>
      </c>
      <c r="AI194" s="21">
        <v>-1.4855999999999999E-2</v>
      </c>
      <c r="AJ194" s="21">
        <v>184</v>
      </c>
      <c r="AK194" s="21">
        <v>0.82641600000000004</v>
      </c>
      <c r="AL194">
        <f t="shared" si="30"/>
        <v>18.340740740740738</v>
      </c>
      <c r="AM194">
        <f t="shared" si="31"/>
        <v>15.159887733333331</v>
      </c>
      <c r="AP194" s="9"/>
      <c r="AQ194" s="21">
        <v>0.89355499999999999</v>
      </c>
      <c r="AR194" s="21">
        <v>25.723800000000001</v>
      </c>
      <c r="AS194" s="21">
        <v>-1.4871199999999999E-2</v>
      </c>
      <c r="AT194" s="21">
        <v>184</v>
      </c>
      <c r="AU194" s="21">
        <v>0.89263899999999996</v>
      </c>
      <c r="AV194">
        <f t="shared" si="32"/>
        <v>18.359506172839506</v>
      </c>
      <c r="AW194">
        <f t="shared" si="33"/>
        <v>16.405228538271604</v>
      </c>
      <c r="AX194" s="9"/>
      <c r="AY194" s="21">
        <v>0.826569</v>
      </c>
      <c r="AZ194" s="21">
        <v>29.583300000000001</v>
      </c>
      <c r="BA194" s="21">
        <v>-1.48743E-2</v>
      </c>
      <c r="BB194" s="21">
        <v>184</v>
      </c>
      <c r="BC194" s="21">
        <v>0.82550000000000001</v>
      </c>
      <c r="BD194">
        <f t="shared" si="34"/>
        <v>18.363333333333333</v>
      </c>
      <c r="BE194">
        <f t="shared" si="35"/>
        <v>15.17856207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0.88851899999999995</v>
      </c>
      <c r="H195" s="21">
        <v>6.8854499999999996</v>
      </c>
      <c r="I195" s="21">
        <v>-1.4804100000000001E-2</v>
      </c>
      <c r="J195" s="21">
        <v>185</v>
      </c>
      <c r="K195" s="21">
        <v>0.88745099999999999</v>
      </c>
      <c r="L195">
        <f t="shared" si="24"/>
        <v>18.276666666666667</v>
      </c>
      <c r="M195">
        <f t="shared" si="25"/>
        <v>16.239165589999999</v>
      </c>
      <c r="N195" s="9"/>
      <c r="O195" s="21">
        <v>0.82305899999999999</v>
      </c>
      <c r="P195" s="21">
        <v>16.430599999999998</v>
      </c>
      <c r="Q195" s="21">
        <v>-1.4865099999999999E-2</v>
      </c>
      <c r="R195" s="21">
        <v>198</v>
      </c>
      <c r="S195" s="21">
        <v>0.82244899999999999</v>
      </c>
      <c r="T195">
        <f t="shared" si="26"/>
        <v>18.351975308641972</v>
      </c>
      <c r="U195">
        <f t="shared" si="27"/>
        <v>15.104758445555552</v>
      </c>
      <c r="X195" s="9"/>
      <c r="Y195" s="21">
        <v>0.88851899999999995</v>
      </c>
      <c r="Z195" s="21">
        <v>16.299700000000001</v>
      </c>
      <c r="AA195" s="21">
        <v>-1.4849899999999999E-2</v>
      </c>
      <c r="AB195" s="21">
        <v>185</v>
      </c>
      <c r="AC195" s="21">
        <v>0.88745099999999999</v>
      </c>
      <c r="AD195">
        <f t="shared" si="28"/>
        <v>18.333209876543208</v>
      </c>
      <c r="AE195">
        <f t="shared" si="29"/>
        <v>16.289405306296292</v>
      </c>
      <c r="AF195" s="9"/>
      <c r="AG195" s="21">
        <v>0.83160400000000001</v>
      </c>
      <c r="AH195" s="21">
        <v>20.159099999999999</v>
      </c>
      <c r="AI195" s="21">
        <v>-1.48621E-2</v>
      </c>
      <c r="AJ195" s="21">
        <v>185</v>
      </c>
      <c r="AK195" s="21">
        <v>0.83068799999999998</v>
      </c>
      <c r="AL195">
        <f t="shared" si="30"/>
        <v>18.348271604938269</v>
      </c>
      <c r="AM195">
        <f t="shared" si="31"/>
        <v>15.258496059753083</v>
      </c>
      <c r="AP195" s="9"/>
      <c r="AQ195" s="21">
        <v>0.88851899999999995</v>
      </c>
      <c r="AR195" s="21">
        <v>25.733899999999998</v>
      </c>
      <c r="AS195" s="21">
        <v>-1.48773E-2</v>
      </c>
      <c r="AT195" s="21">
        <v>185</v>
      </c>
      <c r="AU195" s="21">
        <v>0.88775599999999999</v>
      </c>
      <c r="AV195">
        <f t="shared" si="32"/>
        <v>18.367037037037036</v>
      </c>
      <c r="AW195">
        <f t="shared" si="33"/>
        <v>16.319461381111111</v>
      </c>
      <c r="AX195" s="9"/>
      <c r="AY195" s="21">
        <v>0.83160400000000001</v>
      </c>
      <c r="AZ195" s="21">
        <v>29.593399999999999</v>
      </c>
      <c r="BA195" s="21">
        <v>-1.48743E-2</v>
      </c>
      <c r="BB195" s="21">
        <v>185</v>
      </c>
      <c r="BC195" s="21">
        <v>0.83099400000000001</v>
      </c>
      <c r="BD195">
        <f t="shared" si="34"/>
        <v>18.363333333333333</v>
      </c>
      <c r="BE195">
        <f t="shared" si="35"/>
        <v>15.271021453333333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0.88348400000000005</v>
      </c>
      <c r="H196" s="21">
        <v>6.8955200000000003</v>
      </c>
      <c r="I196" s="21">
        <v>-1.4804100000000001E-2</v>
      </c>
      <c r="J196" s="21">
        <v>186</v>
      </c>
      <c r="K196" s="21">
        <v>0.88256800000000002</v>
      </c>
      <c r="L196">
        <f t="shared" si="24"/>
        <v>18.276666666666667</v>
      </c>
      <c r="M196">
        <f t="shared" si="25"/>
        <v>16.147142573333333</v>
      </c>
      <c r="N196" s="9"/>
      <c r="O196" s="21">
        <v>0.828094</v>
      </c>
      <c r="P196" s="21">
        <v>16.420500000000001</v>
      </c>
      <c r="Q196" s="21">
        <v>-1.48682E-2</v>
      </c>
      <c r="R196" s="21">
        <v>197</v>
      </c>
      <c r="S196" s="21">
        <v>0.82824699999999996</v>
      </c>
      <c r="T196">
        <f t="shared" si="26"/>
        <v>18.355802469135799</v>
      </c>
      <c r="U196">
        <f t="shared" si="27"/>
        <v>15.20032988987654</v>
      </c>
      <c r="X196" s="9"/>
      <c r="Y196" s="21">
        <v>0.88348400000000005</v>
      </c>
      <c r="Z196" s="21">
        <v>16.309699999999999</v>
      </c>
      <c r="AA196" s="21">
        <v>-1.48529E-2</v>
      </c>
      <c r="AB196" s="21">
        <v>186</v>
      </c>
      <c r="AC196" s="21">
        <v>0.88226300000000002</v>
      </c>
      <c r="AD196">
        <f t="shared" si="28"/>
        <v>18.336913580246915</v>
      </c>
      <c r="AE196">
        <f t="shared" si="29"/>
        <v>16.200369757530865</v>
      </c>
      <c r="AF196" s="9"/>
      <c r="AG196" s="21">
        <v>0.83663900000000002</v>
      </c>
      <c r="AH196" s="21">
        <v>20.1692</v>
      </c>
      <c r="AI196" s="21">
        <v>-1.4865099999999999E-2</v>
      </c>
      <c r="AJ196" s="21">
        <v>186</v>
      </c>
      <c r="AK196" s="21">
        <v>0.83587599999999995</v>
      </c>
      <c r="AL196">
        <f t="shared" si="30"/>
        <v>18.351975308641972</v>
      </c>
      <c r="AM196">
        <f t="shared" si="31"/>
        <v>15.353978270246911</v>
      </c>
      <c r="AP196" s="9"/>
      <c r="AQ196" s="21">
        <v>0.88348400000000005</v>
      </c>
      <c r="AR196" s="21">
        <v>25.744</v>
      </c>
      <c r="AS196" s="21">
        <v>-1.48834E-2</v>
      </c>
      <c r="AT196" s="21">
        <v>186</v>
      </c>
      <c r="AU196" s="21">
        <v>0.88226300000000002</v>
      </c>
      <c r="AV196">
        <f t="shared" si="32"/>
        <v>18.374567901234567</v>
      </c>
      <c r="AW196">
        <f t="shared" si="33"/>
        <v>16.23363674765432</v>
      </c>
      <c r="AX196" s="9"/>
      <c r="AY196" s="21">
        <v>0.83663900000000002</v>
      </c>
      <c r="AZ196" s="21">
        <v>29.603400000000001</v>
      </c>
      <c r="BA196" s="21">
        <v>-1.48682E-2</v>
      </c>
      <c r="BB196" s="21">
        <v>186</v>
      </c>
      <c r="BC196" s="21">
        <v>0.83587599999999995</v>
      </c>
      <c r="BD196">
        <f t="shared" si="34"/>
        <v>18.355802469135799</v>
      </c>
      <c r="BE196">
        <f t="shared" si="35"/>
        <v>15.357180221975307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0.87844800000000001</v>
      </c>
      <c r="H197" s="21">
        <v>6.9055999999999997</v>
      </c>
      <c r="I197" s="21">
        <v>-1.4801E-2</v>
      </c>
      <c r="J197" s="21">
        <v>187</v>
      </c>
      <c r="K197" s="21">
        <v>0.87677000000000005</v>
      </c>
      <c r="L197">
        <f t="shared" si="24"/>
        <v>18.27283950617284</v>
      </c>
      <c r="M197">
        <f t="shared" si="25"/>
        <v>16.051739318518518</v>
      </c>
      <c r="N197" s="9"/>
      <c r="O197" s="21">
        <v>0.83313000000000004</v>
      </c>
      <c r="P197" s="21">
        <v>16.410399999999999</v>
      </c>
      <c r="Q197" s="21">
        <v>-1.48773E-2</v>
      </c>
      <c r="R197" s="21">
        <v>196</v>
      </c>
      <c r="S197" s="21">
        <v>0.83252000000000004</v>
      </c>
      <c r="T197">
        <f t="shared" si="26"/>
        <v>18.367037037037036</v>
      </c>
      <c r="U197">
        <f t="shared" si="27"/>
        <v>15.302129566666666</v>
      </c>
      <c r="X197" s="9"/>
      <c r="Y197" s="21">
        <v>0.87844800000000001</v>
      </c>
      <c r="Z197" s="21">
        <v>16.319800000000001</v>
      </c>
      <c r="AA197" s="21">
        <v>-1.48621E-2</v>
      </c>
      <c r="AB197" s="21">
        <v>187</v>
      </c>
      <c r="AC197" s="21">
        <v>0.87738000000000005</v>
      </c>
      <c r="AD197">
        <f t="shared" si="28"/>
        <v>18.348271604938269</v>
      </c>
      <c r="AE197">
        <f t="shared" si="29"/>
        <v>16.118002494814814</v>
      </c>
      <c r="AF197" s="9"/>
      <c r="AG197" s="21">
        <v>0.84167499999999995</v>
      </c>
      <c r="AH197" s="21">
        <v>20.179300000000001</v>
      </c>
      <c r="AI197" s="21">
        <v>-1.48621E-2</v>
      </c>
      <c r="AJ197" s="21">
        <v>187</v>
      </c>
      <c r="AK197" s="21">
        <v>0.84045400000000003</v>
      </c>
      <c r="AL197">
        <f t="shared" si="30"/>
        <v>18.348271604938269</v>
      </c>
      <c r="AM197">
        <f t="shared" si="31"/>
        <v>15.443281503086416</v>
      </c>
      <c r="AP197" s="9"/>
      <c r="AQ197" s="21">
        <v>0.87844800000000001</v>
      </c>
      <c r="AR197" s="21">
        <v>25.754000000000001</v>
      </c>
      <c r="AS197" s="21">
        <v>-1.48834E-2</v>
      </c>
      <c r="AT197" s="21">
        <v>187</v>
      </c>
      <c r="AU197" s="21">
        <v>0.87738000000000005</v>
      </c>
      <c r="AV197">
        <f t="shared" si="32"/>
        <v>18.374567901234567</v>
      </c>
      <c r="AW197">
        <f t="shared" si="33"/>
        <v>16.141102423703703</v>
      </c>
      <c r="AX197" s="9"/>
      <c r="AY197" s="21">
        <v>0.84167499999999995</v>
      </c>
      <c r="AZ197" s="21">
        <v>29.613499999999998</v>
      </c>
      <c r="BA197" s="21">
        <v>-1.4865099999999999E-2</v>
      </c>
      <c r="BB197" s="21">
        <v>187</v>
      </c>
      <c r="BC197" s="21">
        <v>0.84075900000000003</v>
      </c>
      <c r="BD197">
        <f t="shared" si="34"/>
        <v>18.351975308641972</v>
      </c>
      <c r="BE197">
        <f t="shared" si="35"/>
        <v>15.446398817901231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0.87341299999999999</v>
      </c>
      <c r="H198" s="21">
        <v>6.9156700000000004</v>
      </c>
      <c r="I198" s="21">
        <v>-1.4801E-2</v>
      </c>
      <c r="J198" s="21">
        <v>188</v>
      </c>
      <c r="K198" s="21">
        <v>0.872498</v>
      </c>
      <c r="L198">
        <f t="shared" si="24"/>
        <v>18.27283950617284</v>
      </c>
      <c r="M198">
        <f t="shared" si="25"/>
        <v>15.959735571604938</v>
      </c>
      <c r="N198" s="9"/>
      <c r="O198" s="21">
        <v>0.83816500000000005</v>
      </c>
      <c r="P198" s="21">
        <v>16.400400000000001</v>
      </c>
      <c r="Q198" s="21">
        <v>-1.48804E-2</v>
      </c>
      <c r="R198" s="21">
        <v>195</v>
      </c>
      <c r="S198" s="21">
        <v>0.83709699999999998</v>
      </c>
      <c r="T198">
        <f t="shared" si="26"/>
        <v>18.370864197530864</v>
      </c>
      <c r="U198">
        <f t="shared" si="27"/>
        <v>15.397815390123457</v>
      </c>
      <c r="X198" s="9"/>
      <c r="Y198" s="21">
        <v>0.87341299999999999</v>
      </c>
      <c r="Z198" s="21">
        <v>16.329899999999999</v>
      </c>
      <c r="AA198" s="21">
        <v>-1.4859000000000001E-2</v>
      </c>
      <c r="AB198" s="21">
        <v>188</v>
      </c>
      <c r="AC198" s="21">
        <v>0.87188699999999997</v>
      </c>
      <c r="AD198">
        <f t="shared" si="28"/>
        <v>18.344444444444445</v>
      </c>
      <c r="AE198">
        <f t="shared" si="29"/>
        <v>16.022276255555557</v>
      </c>
      <c r="AF198" s="9"/>
      <c r="AG198" s="21">
        <v>0.84670999999999996</v>
      </c>
      <c r="AH198" s="21">
        <v>20.189399999999999</v>
      </c>
      <c r="AI198" s="21">
        <v>-1.4855999999999999E-2</v>
      </c>
      <c r="AJ198" s="21">
        <v>188</v>
      </c>
      <c r="AK198" s="21">
        <v>0.84655800000000003</v>
      </c>
      <c r="AL198">
        <f t="shared" si="30"/>
        <v>18.340740740740738</v>
      </c>
      <c r="AM198">
        <f t="shared" si="31"/>
        <v>15.529288592592589</v>
      </c>
      <c r="AP198" s="9"/>
      <c r="AQ198" s="21">
        <v>0.87341299999999999</v>
      </c>
      <c r="AR198" s="21">
        <v>25.764099999999999</v>
      </c>
      <c r="AS198" s="21">
        <v>-1.48834E-2</v>
      </c>
      <c r="AT198" s="21">
        <v>188</v>
      </c>
      <c r="AU198" s="21">
        <v>0.872803</v>
      </c>
      <c r="AV198">
        <f t="shared" si="32"/>
        <v>18.374567901234567</v>
      </c>
      <c r="AW198">
        <f t="shared" si="33"/>
        <v>16.048586474320988</v>
      </c>
      <c r="AX198" s="9"/>
      <c r="AY198" s="21">
        <v>0.84670999999999996</v>
      </c>
      <c r="AZ198" s="21">
        <v>29.6236</v>
      </c>
      <c r="BA198" s="21">
        <v>-1.4865099999999999E-2</v>
      </c>
      <c r="BB198" s="21">
        <v>188</v>
      </c>
      <c r="BC198" s="21">
        <v>0.846252</v>
      </c>
      <c r="BD198">
        <f t="shared" si="34"/>
        <v>18.351975308641972</v>
      </c>
      <c r="BE198">
        <f t="shared" si="35"/>
        <v>15.538801013580244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0.86837799999999998</v>
      </c>
      <c r="H199" s="21">
        <v>6.9257400000000002</v>
      </c>
      <c r="I199" s="21">
        <v>-1.4801E-2</v>
      </c>
      <c r="J199" s="21">
        <v>189</v>
      </c>
      <c r="K199" s="21">
        <v>0.86731000000000003</v>
      </c>
      <c r="L199">
        <f t="shared" si="24"/>
        <v>18.27283950617284</v>
      </c>
      <c r="M199">
        <f t="shared" si="25"/>
        <v>15.867731824691358</v>
      </c>
      <c r="N199" s="9"/>
      <c r="O199" s="21">
        <v>0.84320099999999998</v>
      </c>
      <c r="P199" s="21">
        <v>16.3903</v>
      </c>
      <c r="Q199" s="21">
        <v>-1.48773E-2</v>
      </c>
      <c r="R199" s="21">
        <v>194</v>
      </c>
      <c r="S199" s="21">
        <v>0.84258999999999995</v>
      </c>
      <c r="T199">
        <f t="shared" si="26"/>
        <v>18.367037037037036</v>
      </c>
      <c r="U199">
        <f t="shared" si="27"/>
        <v>15.487103996666665</v>
      </c>
      <c r="X199" s="9"/>
      <c r="Y199" s="21">
        <v>0.86837799999999998</v>
      </c>
      <c r="Z199" s="21">
        <v>16.34</v>
      </c>
      <c r="AA199" s="21">
        <v>-1.48621E-2</v>
      </c>
      <c r="AB199" s="21">
        <v>189</v>
      </c>
      <c r="AC199" s="21">
        <v>0.86731000000000003</v>
      </c>
      <c r="AD199">
        <f t="shared" si="28"/>
        <v>18.348271604938269</v>
      </c>
      <c r="AE199">
        <f t="shared" si="29"/>
        <v>15.933235399753084</v>
      </c>
      <c r="AF199" s="9"/>
      <c r="AG199" s="21">
        <v>0.851746</v>
      </c>
      <c r="AH199" s="21">
        <v>20.199400000000001</v>
      </c>
      <c r="AI199" s="21">
        <v>-1.48468E-2</v>
      </c>
      <c r="AJ199" s="21">
        <v>189</v>
      </c>
      <c r="AK199" s="21">
        <v>0.85082999999999998</v>
      </c>
      <c r="AL199">
        <f t="shared" si="30"/>
        <v>18.329382716049381</v>
      </c>
      <c r="AM199">
        <f t="shared" si="31"/>
        <v>15.611978410864197</v>
      </c>
      <c r="AP199" s="9"/>
      <c r="AQ199" s="21">
        <v>0.86837799999999998</v>
      </c>
      <c r="AR199" s="21">
        <v>25.7742</v>
      </c>
      <c r="AS199" s="21">
        <v>-1.48895E-2</v>
      </c>
      <c r="AT199" s="21">
        <v>189</v>
      </c>
      <c r="AU199" s="21">
        <v>0.867004</v>
      </c>
      <c r="AV199">
        <f t="shared" si="32"/>
        <v>18.382098765432101</v>
      </c>
      <c r="AW199">
        <f t="shared" si="33"/>
        <v>15.962610161728396</v>
      </c>
      <c r="AX199" s="9"/>
      <c r="AY199" s="21">
        <v>0.851746</v>
      </c>
      <c r="AZ199" s="21">
        <v>29.633700000000001</v>
      </c>
      <c r="BA199" s="21">
        <v>-1.48621E-2</v>
      </c>
      <c r="BB199" s="21">
        <v>189</v>
      </c>
      <c r="BC199" s="21">
        <v>0.85082999999999998</v>
      </c>
      <c r="BD199">
        <f t="shared" si="34"/>
        <v>18.348271604938269</v>
      </c>
      <c r="BE199">
        <f t="shared" si="35"/>
        <v>15.62806694641975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0.86334200000000005</v>
      </c>
      <c r="H200" s="21">
        <v>6.93581</v>
      </c>
      <c r="I200" s="21">
        <v>-1.4804100000000001E-2</v>
      </c>
      <c r="J200" s="21">
        <v>190</v>
      </c>
      <c r="K200" s="21">
        <v>0.86273200000000005</v>
      </c>
      <c r="L200">
        <f t="shared" si="24"/>
        <v>18.276666666666667</v>
      </c>
      <c r="M200">
        <f t="shared" si="25"/>
        <v>15.779013953333335</v>
      </c>
      <c r="N200" s="9"/>
      <c r="O200" s="21">
        <v>0.84823599999999999</v>
      </c>
      <c r="P200" s="21">
        <v>16.380199999999999</v>
      </c>
      <c r="Q200" s="21">
        <v>-1.48682E-2</v>
      </c>
      <c r="R200" s="21">
        <v>193</v>
      </c>
      <c r="S200" s="21">
        <v>0.84777800000000003</v>
      </c>
      <c r="T200">
        <f t="shared" si="26"/>
        <v>18.355802469135799</v>
      </c>
      <c r="U200">
        <f t="shared" si="27"/>
        <v>15.570052463209874</v>
      </c>
      <c r="X200" s="9"/>
      <c r="Y200" s="21">
        <v>0.86334200000000005</v>
      </c>
      <c r="Z200" s="21">
        <v>16.350000000000001</v>
      </c>
      <c r="AA200" s="21">
        <v>-1.4865099999999999E-2</v>
      </c>
      <c r="AB200" s="21">
        <v>190</v>
      </c>
      <c r="AC200" s="21">
        <v>0.86212200000000005</v>
      </c>
      <c r="AD200">
        <f t="shared" si="28"/>
        <v>18.351975308641972</v>
      </c>
      <c r="AE200">
        <f t="shared" si="29"/>
        <v>15.844031066913578</v>
      </c>
      <c r="AF200" s="9"/>
      <c r="AG200" s="21">
        <v>0.85678100000000001</v>
      </c>
      <c r="AH200" s="21">
        <v>20.209499999999998</v>
      </c>
      <c r="AI200" s="21">
        <v>-1.4843800000000001E-2</v>
      </c>
      <c r="AJ200" s="21">
        <v>190</v>
      </c>
      <c r="AK200" s="21">
        <v>0.85601799999999995</v>
      </c>
      <c r="AL200">
        <f t="shared" si="30"/>
        <v>18.325679012345677</v>
      </c>
      <c r="AM200">
        <f t="shared" si="31"/>
        <v>15.701093589876542</v>
      </c>
      <c r="AP200" s="9"/>
      <c r="AQ200" s="21">
        <v>0.86334200000000005</v>
      </c>
      <c r="AR200" s="21">
        <v>25.784300000000002</v>
      </c>
      <c r="AS200" s="21">
        <v>-1.48956E-2</v>
      </c>
      <c r="AT200" s="21">
        <v>190</v>
      </c>
      <c r="AU200" s="21">
        <v>0.86242700000000005</v>
      </c>
      <c r="AV200">
        <f t="shared" si="32"/>
        <v>18.389629629629628</v>
      </c>
      <c r="AW200">
        <f t="shared" si="33"/>
        <v>15.876539623703703</v>
      </c>
      <c r="AX200" s="9"/>
      <c r="AY200" s="21">
        <v>0.85678100000000001</v>
      </c>
      <c r="AZ200" s="21">
        <v>29.643699999999999</v>
      </c>
      <c r="BA200" s="21">
        <v>-1.4859000000000001E-2</v>
      </c>
      <c r="BB200" s="21">
        <v>190</v>
      </c>
      <c r="BC200" s="21">
        <v>0.85632299999999995</v>
      </c>
      <c r="BD200">
        <f t="shared" si="34"/>
        <v>18.344444444444445</v>
      </c>
      <c r="BE200">
        <f t="shared" si="35"/>
        <v>15.717171455555556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0.85830700000000004</v>
      </c>
      <c r="H201" s="21">
        <v>6.9458799999999998</v>
      </c>
      <c r="I201" s="21">
        <v>-1.4801E-2</v>
      </c>
      <c r="J201" s="21">
        <v>191</v>
      </c>
      <c r="K201" s="21">
        <v>0.85754399999999997</v>
      </c>
      <c r="L201">
        <f t="shared" si="24"/>
        <v>18.27283950617284</v>
      </c>
      <c r="M201">
        <f t="shared" si="25"/>
        <v>15.683706058024692</v>
      </c>
      <c r="N201" s="9"/>
      <c r="O201" s="21">
        <v>0.853271</v>
      </c>
      <c r="P201" s="21">
        <v>16.370200000000001</v>
      </c>
      <c r="Q201" s="21">
        <v>-1.4871199999999999E-2</v>
      </c>
      <c r="R201" s="21">
        <v>192</v>
      </c>
      <c r="S201" s="21">
        <v>0.852356</v>
      </c>
      <c r="T201">
        <f t="shared" si="26"/>
        <v>18.359506172839506</v>
      </c>
      <c r="U201">
        <f t="shared" si="27"/>
        <v>15.665634191604939</v>
      </c>
      <c r="X201" s="9"/>
      <c r="Y201" s="21">
        <v>0.85830700000000004</v>
      </c>
      <c r="Z201" s="21">
        <v>16.360099999999999</v>
      </c>
      <c r="AA201" s="21">
        <v>-1.4871199999999999E-2</v>
      </c>
      <c r="AB201" s="21">
        <v>191</v>
      </c>
      <c r="AC201" s="21">
        <v>0.85723899999999997</v>
      </c>
      <c r="AD201">
        <f t="shared" si="28"/>
        <v>18.359506172839506</v>
      </c>
      <c r="AE201">
        <f t="shared" si="29"/>
        <v>15.758092664691359</v>
      </c>
      <c r="AF201" s="9"/>
      <c r="AG201" s="21">
        <v>0.86181600000000003</v>
      </c>
      <c r="AH201" s="21">
        <v>20.2196</v>
      </c>
      <c r="AI201" s="21">
        <v>-1.48407E-2</v>
      </c>
      <c r="AJ201" s="21">
        <v>191</v>
      </c>
      <c r="AK201" s="21">
        <v>0.86120600000000003</v>
      </c>
      <c r="AL201">
        <f t="shared" si="30"/>
        <v>18.32185185185185</v>
      </c>
      <c r="AM201">
        <f t="shared" si="31"/>
        <v>15.790065075555555</v>
      </c>
      <c r="AP201" s="9"/>
      <c r="AQ201" s="21">
        <v>0.85830700000000004</v>
      </c>
      <c r="AR201" s="21">
        <v>25.7943</v>
      </c>
      <c r="AS201" s="21">
        <v>-1.49017E-2</v>
      </c>
      <c r="AT201" s="21">
        <v>191</v>
      </c>
      <c r="AU201" s="21">
        <v>0.85693399999999997</v>
      </c>
      <c r="AV201">
        <f t="shared" si="32"/>
        <v>18.397160493827158</v>
      </c>
      <c r="AW201">
        <f t="shared" si="33"/>
        <v>15.790411631975308</v>
      </c>
      <c r="AX201" s="9"/>
      <c r="AY201" s="21">
        <v>0.86181600000000003</v>
      </c>
      <c r="AZ201" s="21">
        <v>29.6538</v>
      </c>
      <c r="BA201" s="21">
        <v>-1.48529E-2</v>
      </c>
      <c r="BB201" s="21">
        <v>191</v>
      </c>
      <c r="BC201" s="21">
        <v>0.86059600000000003</v>
      </c>
      <c r="BD201">
        <f t="shared" si="34"/>
        <v>18.336913580246915</v>
      </c>
      <c r="BE201">
        <f t="shared" si="35"/>
        <v>15.803045514074075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0.853271</v>
      </c>
      <c r="H202" s="21">
        <v>6.9559499999999996</v>
      </c>
      <c r="I202" s="21">
        <v>-1.4804100000000001E-2</v>
      </c>
      <c r="J202" s="21">
        <v>192</v>
      </c>
      <c r="K202" s="21">
        <v>0.852966</v>
      </c>
      <c r="L202">
        <f t="shared" si="24"/>
        <v>18.276666666666667</v>
      </c>
      <c r="M202">
        <f t="shared" si="25"/>
        <v>15.594949643333335</v>
      </c>
      <c r="N202" s="9"/>
      <c r="O202" s="21">
        <v>0.85830700000000004</v>
      </c>
      <c r="P202" s="21">
        <v>16.360099999999999</v>
      </c>
      <c r="Q202" s="21">
        <v>-1.4871199999999999E-2</v>
      </c>
      <c r="R202" s="21">
        <v>191</v>
      </c>
      <c r="S202" s="21">
        <v>0.85723899999999997</v>
      </c>
      <c r="T202">
        <f t="shared" si="26"/>
        <v>18.359506172839506</v>
      </c>
      <c r="U202">
        <f t="shared" si="27"/>
        <v>15.758092664691359</v>
      </c>
      <c r="X202" s="9"/>
      <c r="Y202" s="21">
        <v>0.853271</v>
      </c>
      <c r="Z202" s="21">
        <v>16.370200000000001</v>
      </c>
      <c r="AA202" s="21">
        <v>-1.4871199999999999E-2</v>
      </c>
      <c r="AB202" s="21">
        <v>192</v>
      </c>
      <c r="AC202" s="21">
        <v>0.852356</v>
      </c>
      <c r="AD202">
        <f t="shared" si="28"/>
        <v>18.359506172839506</v>
      </c>
      <c r="AE202">
        <f t="shared" si="29"/>
        <v>15.665634191604939</v>
      </c>
      <c r="AF202" s="9"/>
      <c r="AG202" s="21">
        <v>0.86685199999999996</v>
      </c>
      <c r="AH202" s="21">
        <v>20.229600000000001</v>
      </c>
      <c r="AI202" s="21">
        <v>-1.48407E-2</v>
      </c>
      <c r="AJ202" s="21">
        <v>192</v>
      </c>
      <c r="AK202" s="21">
        <v>0.865479</v>
      </c>
      <c r="AL202">
        <f t="shared" si="30"/>
        <v>18.32185185185185</v>
      </c>
      <c r="AM202">
        <f t="shared" si="31"/>
        <v>15.882333921481479</v>
      </c>
      <c r="AP202" s="9"/>
      <c r="AQ202" s="21">
        <v>0.853271</v>
      </c>
      <c r="AR202" s="21">
        <v>25.804400000000001</v>
      </c>
      <c r="AS202" s="21">
        <v>-1.49109E-2</v>
      </c>
      <c r="AT202" s="21">
        <v>192</v>
      </c>
      <c r="AU202" s="21">
        <v>0.851746</v>
      </c>
      <c r="AV202">
        <f t="shared" si="32"/>
        <v>18.408518518518516</v>
      </c>
      <c r="AW202">
        <f t="shared" si="33"/>
        <v>15.707455004814813</v>
      </c>
      <c r="AX202" s="9"/>
      <c r="AY202" s="21">
        <v>0.86685199999999996</v>
      </c>
      <c r="AZ202" s="21">
        <v>29.663900000000002</v>
      </c>
      <c r="BA202" s="21">
        <v>-1.4849899999999999E-2</v>
      </c>
      <c r="BB202" s="21">
        <v>192</v>
      </c>
      <c r="BC202" s="21">
        <v>0.866394</v>
      </c>
      <c r="BD202">
        <f t="shared" si="34"/>
        <v>18.333209876543208</v>
      </c>
      <c r="BE202">
        <f t="shared" si="35"/>
        <v>15.892179647901232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0.84823599999999999</v>
      </c>
      <c r="H203" s="21">
        <v>6.9660200000000003</v>
      </c>
      <c r="I203" s="21">
        <v>-1.4816299999999999E-2</v>
      </c>
      <c r="J203" s="21">
        <v>193</v>
      </c>
      <c r="K203" s="21">
        <v>0.84655800000000003</v>
      </c>
      <c r="L203">
        <f t="shared" si="24"/>
        <v>18.291728395061728</v>
      </c>
      <c r="M203">
        <f t="shared" si="25"/>
        <v>15.51570252691358</v>
      </c>
      <c r="N203" s="9"/>
      <c r="O203" s="21">
        <v>0.86334200000000005</v>
      </c>
      <c r="P203" s="21">
        <v>16.350000000000001</v>
      </c>
      <c r="Q203" s="21">
        <v>-1.4865099999999999E-2</v>
      </c>
      <c r="R203" s="21">
        <v>190</v>
      </c>
      <c r="S203" s="21">
        <v>0.86212200000000005</v>
      </c>
      <c r="T203">
        <f t="shared" si="26"/>
        <v>18.351975308641972</v>
      </c>
      <c r="U203">
        <f t="shared" si="27"/>
        <v>15.844031066913578</v>
      </c>
      <c r="X203" s="9"/>
      <c r="Y203" s="21">
        <v>0.84823599999999999</v>
      </c>
      <c r="Z203" s="21">
        <v>16.380199999999999</v>
      </c>
      <c r="AA203" s="21">
        <v>-1.48682E-2</v>
      </c>
      <c r="AB203" s="21">
        <v>193</v>
      </c>
      <c r="AC203" s="21">
        <v>0.84777800000000003</v>
      </c>
      <c r="AD203">
        <f t="shared" si="28"/>
        <v>18.355802469135799</v>
      </c>
      <c r="AE203">
        <f t="shared" si="29"/>
        <v>15.570052463209874</v>
      </c>
      <c r="AF203" s="9"/>
      <c r="AG203" s="21">
        <v>0.87188699999999997</v>
      </c>
      <c r="AH203" s="21">
        <v>20.239699999999999</v>
      </c>
      <c r="AI203" s="21">
        <v>-1.4825400000000001E-2</v>
      </c>
      <c r="AJ203" s="21">
        <v>193</v>
      </c>
      <c r="AK203" s="21">
        <v>0.87158199999999997</v>
      </c>
      <c r="AL203">
        <f t="shared" si="30"/>
        <v>18.302962962962962</v>
      </c>
      <c r="AM203">
        <f t="shared" si="31"/>
        <v>15.958115468888888</v>
      </c>
      <c r="AP203" s="9"/>
      <c r="AQ203" s="21">
        <v>0.84823599999999999</v>
      </c>
      <c r="AR203" s="21">
        <v>25.814499999999999</v>
      </c>
      <c r="AS203" s="21">
        <v>-1.4917E-2</v>
      </c>
      <c r="AT203" s="21">
        <v>193</v>
      </c>
      <c r="AU203" s="21">
        <v>0.84747300000000003</v>
      </c>
      <c r="AV203">
        <f t="shared" si="32"/>
        <v>18.416049382716047</v>
      </c>
      <c r="AW203">
        <f t="shared" si="33"/>
        <v>15.621156064197528</v>
      </c>
      <c r="AX203" s="9"/>
      <c r="AY203" s="21">
        <v>0.87188699999999997</v>
      </c>
      <c r="AZ203" s="21">
        <v>29.6739</v>
      </c>
      <c r="BA203" s="21">
        <v>-1.48468E-2</v>
      </c>
      <c r="BB203" s="21">
        <v>193</v>
      </c>
      <c r="BC203" s="21">
        <v>0.87066699999999997</v>
      </c>
      <c r="BD203">
        <f t="shared" si="34"/>
        <v>18.329382716049381</v>
      </c>
      <c r="BE203">
        <f t="shared" si="35"/>
        <v>15.981150508148145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0.84320099999999998</v>
      </c>
      <c r="H204" s="21">
        <v>6.9760900000000001</v>
      </c>
      <c r="I204" s="21">
        <v>-1.4825400000000001E-2</v>
      </c>
      <c r="J204" s="21">
        <v>194</v>
      </c>
      <c r="K204" s="21">
        <v>0.84197999999999995</v>
      </c>
      <c r="L204">
        <f t="shared" ref="L204:L267" si="36">-I204/$F$2*1000</f>
        <v>18.302962962962962</v>
      </c>
      <c r="M204">
        <f t="shared" ref="M204:M267" si="37">L204*G204</f>
        <v>15.433076673333332</v>
      </c>
      <c r="N204" s="9"/>
      <c r="O204" s="21">
        <v>0.86837799999999998</v>
      </c>
      <c r="P204" s="21">
        <v>16.34</v>
      </c>
      <c r="Q204" s="21">
        <v>-1.48621E-2</v>
      </c>
      <c r="R204" s="21">
        <v>189</v>
      </c>
      <c r="S204" s="21">
        <v>0.86731000000000003</v>
      </c>
      <c r="T204">
        <f t="shared" ref="T204:T267" si="38">-Q204/$F$2*1000</f>
        <v>18.348271604938269</v>
      </c>
      <c r="U204">
        <f t="shared" ref="U204:U267" si="39">T204*O204</f>
        <v>15.933235399753084</v>
      </c>
      <c r="X204" s="9"/>
      <c r="Y204" s="21">
        <v>0.84320099999999998</v>
      </c>
      <c r="Z204" s="21">
        <v>16.3903</v>
      </c>
      <c r="AA204" s="21">
        <v>-1.48773E-2</v>
      </c>
      <c r="AB204" s="21">
        <v>194</v>
      </c>
      <c r="AC204" s="21">
        <v>0.84258999999999995</v>
      </c>
      <c r="AD204">
        <f t="shared" ref="AD204:AD267" si="40">-AA204/$F$2*1000</f>
        <v>18.367037037037036</v>
      </c>
      <c r="AE204">
        <f t="shared" ref="AE204:AE267" si="41">AD204*Y204</f>
        <v>15.487103996666665</v>
      </c>
      <c r="AF204" s="9"/>
      <c r="AG204" s="21">
        <v>0.87692300000000001</v>
      </c>
      <c r="AH204" s="21">
        <v>20.2498</v>
      </c>
      <c r="AI204" s="21">
        <v>-1.4816299999999999E-2</v>
      </c>
      <c r="AJ204" s="21">
        <v>194</v>
      </c>
      <c r="AK204" s="21">
        <v>0.87646500000000005</v>
      </c>
      <c r="AL204">
        <f t="shared" ref="AL204:AL267" si="42">-AI204/$F$2*1000</f>
        <v>18.291728395061728</v>
      </c>
      <c r="AM204">
        <f t="shared" ref="AM204:AM267" si="43">AL204*AG204</f>
        <v>16.040437339382716</v>
      </c>
      <c r="AP204" s="9"/>
      <c r="AQ204" s="21">
        <v>0.84320099999999998</v>
      </c>
      <c r="AR204" s="21">
        <v>25.8245</v>
      </c>
      <c r="AS204" s="21">
        <v>-1.49109E-2</v>
      </c>
      <c r="AT204" s="21">
        <v>194</v>
      </c>
      <c r="AU204" s="21">
        <v>0.84258999999999995</v>
      </c>
      <c r="AV204">
        <f t="shared" ref="AV204:AV267" si="44">-AS204/$F$2*1000</f>
        <v>18.408518518518516</v>
      </c>
      <c r="AW204">
        <f t="shared" ref="AW204:AW267" si="45">AV204*AQ204</f>
        <v>15.522081223333331</v>
      </c>
      <c r="AX204" s="9"/>
      <c r="AY204" s="21">
        <v>0.87692300000000001</v>
      </c>
      <c r="AZ204" s="21">
        <v>29.684000000000001</v>
      </c>
      <c r="BA204" s="21">
        <v>-1.4849899999999999E-2</v>
      </c>
      <c r="BB204" s="21">
        <v>194</v>
      </c>
      <c r="BC204" s="21">
        <v>0.87646500000000005</v>
      </c>
      <c r="BD204">
        <f t="shared" ref="BD204:BD267" si="46">-BA204/$F$2*1000</f>
        <v>18.333209876543208</v>
      </c>
      <c r="BE204">
        <f t="shared" ref="BE204:BE267" si="47">BD204*AY204</f>
        <v>16.076813404567901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0.83816500000000005</v>
      </c>
      <c r="H205" s="21">
        <v>6.9861599999999999</v>
      </c>
      <c r="I205" s="21">
        <v>-1.4831499999999999E-2</v>
      </c>
      <c r="J205" s="21">
        <v>195</v>
      </c>
      <c r="K205" s="21">
        <v>0.83740199999999998</v>
      </c>
      <c r="L205">
        <f t="shared" si="36"/>
        <v>18.310493827160489</v>
      </c>
      <c r="M205">
        <f t="shared" si="37"/>
        <v>15.347215058641972</v>
      </c>
      <c r="N205" s="9"/>
      <c r="O205" s="21">
        <v>0.87341299999999999</v>
      </c>
      <c r="P205" s="21">
        <v>16.329899999999999</v>
      </c>
      <c r="Q205" s="21">
        <v>-1.4859000000000001E-2</v>
      </c>
      <c r="R205" s="21">
        <v>188</v>
      </c>
      <c r="S205" s="21">
        <v>0.87188699999999997</v>
      </c>
      <c r="T205">
        <f t="shared" si="38"/>
        <v>18.344444444444445</v>
      </c>
      <c r="U205">
        <f t="shared" si="39"/>
        <v>16.022276255555557</v>
      </c>
      <c r="X205" s="9"/>
      <c r="Y205" s="21">
        <v>0.83816500000000005</v>
      </c>
      <c r="Z205" s="21">
        <v>16.400400000000001</v>
      </c>
      <c r="AA205" s="21">
        <v>-1.48804E-2</v>
      </c>
      <c r="AB205" s="21">
        <v>195</v>
      </c>
      <c r="AC205" s="21">
        <v>0.83709699999999998</v>
      </c>
      <c r="AD205">
        <f t="shared" si="40"/>
        <v>18.370864197530864</v>
      </c>
      <c r="AE205">
        <f t="shared" si="41"/>
        <v>15.397815390123457</v>
      </c>
      <c r="AF205" s="9"/>
      <c r="AG205" s="21">
        <v>0.88195800000000002</v>
      </c>
      <c r="AH205" s="21">
        <v>20.259899999999998</v>
      </c>
      <c r="AI205" s="21">
        <v>-1.4819300000000001E-2</v>
      </c>
      <c r="AJ205" s="21">
        <v>195</v>
      </c>
      <c r="AK205" s="21">
        <v>0.88073699999999999</v>
      </c>
      <c r="AL205">
        <f t="shared" si="42"/>
        <v>18.295432098765431</v>
      </c>
      <c r="AM205">
        <f t="shared" si="43"/>
        <v>16.135802702962962</v>
      </c>
      <c r="AP205" s="9"/>
      <c r="AQ205" s="21">
        <v>0.83816500000000005</v>
      </c>
      <c r="AR205" s="21">
        <v>25.834599999999998</v>
      </c>
      <c r="AS205" s="21">
        <v>-1.4892600000000001E-2</v>
      </c>
      <c r="AT205" s="21">
        <v>195</v>
      </c>
      <c r="AU205" s="21">
        <v>0.83740199999999998</v>
      </c>
      <c r="AV205">
        <f t="shared" si="44"/>
        <v>18.385925925925928</v>
      </c>
      <c r="AW205">
        <f t="shared" si="45"/>
        <v>15.410439603703706</v>
      </c>
      <c r="AX205" s="9"/>
      <c r="AY205" s="21">
        <v>0.88195800000000002</v>
      </c>
      <c r="AZ205" s="21">
        <v>29.694099999999999</v>
      </c>
      <c r="BA205" s="21">
        <v>-1.48407E-2</v>
      </c>
      <c r="BB205" s="21">
        <v>195</v>
      </c>
      <c r="BC205" s="21">
        <v>0.88104199999999999</v>
      </c>
      <c r="BD205">
        <f t="shared" si="46"/>
        <v>18.32185185185185</v>
      </c>
      <c r="BE205">
        <f t="shared" si="47"/>
        <v>16.159103815555554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0.83313000000000004</v>
      </c>
      <c r="H206" s="21">
        <v>6.9962299999999997</v>
      </c>
      <c r="I206" s="21">
        <v>-1.4837599999999999E-2</v>
      </c>
      <c r="J206" s="21">
        <v>196</v>
      </c>
      <c r="K206" s="21">
        <v>0.83190900000000001</v>
      </c>
      <c r="L206">
        <f t="shared" si="36"/>
        <v>18.318024691358023</v>
      </c>
      <c r="M206">
        <f t="shared" si="37"/>
        <v>15.261295911111111</v>
      </c>
      <c r="N206" s="9"/>
      <c r="O206" s="21">
        <v>0.87844800000000001</v>
      </c>
      <c r="P206" s="21">
        <v>16.319800000000001</v>
      </c>
      <c r="Q206" s="21">
        <v>-1.48621E-2</v>
      </c>
      <c r="R206" s="21">
        <v>187</v>
      </c>
      <c r="S206" s="21">
        <v>0.87738000000000005</v>
      </c>
      <c r="T206">
        <f t="shared" si="38"/>
        <v>18.348271604938269</v>
      </c>
      <c r="U206">
        <f t="shared" si="39"/>
        <v>16.118002494814814</v>
      </c>
      <c r="X206" s="9"/>
      <c r="Y206" s="21">
        <v>0.83313000000000004</v>
      </c>
      <c r="Z206" s="21">
        <v>16.410399999999999</v>
      </c>
      <c r="AA206" s="21">
        <v>-1.48773E-2</v>
      </c>
      <c r="AB206" s="21">
        <v>196</v>
      </c>
      <c r="AC206" s="21">
        <v>0.83252000000000004</v>
      </c>
      <c r="AD206">
        <f t="shared" si="40"/>
        <v>18.367037037037036</v>
      </c>
      <c r="AE206">
        <f t="shared" si="41"/>
        <v>15.302129566666666</v>
      </c>
      <c r="AF206" s="9"/>
      <c r="AG206" s="21">
        <v>0.88699300000000003</v>
      </c>
      <c r="AH206" s="21">
        <v>20.2699</v>
      </c>
      <c r="AI206" s="21">
        <v>-1.48132E-2</v>
      </c>
      <c r="AJ206" s="21">
        <v>196</v>
      </c>
      <c r="AK206" s="21">
        <v>0.88561999999999996</v>
      </c>
      <c r="AL206">
        <f t="shared" si="42"/>
        <v>18.287901234567901</v>
      </c>
      <c r="AM206">
        <f t="shared" si="43"/>
        <v>16.221240379753088</v>
      </c>
      <c r="AP206" s="9"/>
      <c r="AQ206" s="21">
        <v>0.83313000000000004</v>
      </c>
      <c r="AR206" s="21">
        <v>25.8447</v>
      </c>
      <c r="AS206" s="21">
        <v>-1.48865E-2</v>
      </c>
      <c r="AT206" s="21">
        <v>196</v>
      </c>
      <c r="AU206" s="21">
        <v>0.83252000000000004</v>
      </c>
      <c r="AV206">
        <f t="shared" si="44"/>
        <v>18.378395061728394</v>
      </c>
      <c r="AW206">
        <f t="shared" si="45"/>
        <v>15.311592277777777</v>
      </c>
      <c r="AX206" s="9"/>
      <c r="AY206" s="21">
        <v>0.88699300000000003</v>
      </c>
      <c r="AZ206" s="21">
        <v>29.7042</v>
      </c>
      <c r="BA206" s="21">
        <v>-1.48346E-2</v>
      </c>
      <c r="BB206" s="21">
        <v>196</v>
      </c>
      <c r="BC206" s="21">
        <v>0.88622999999999996</v>
      </c>
      <c r="BD206">
        <f t="shared" si="46"/>
        <v>18.31432098765432</v>
      </c>
      <c r="BE206">
        <f t="shared" si="47"/>
        <v>16.244674515802469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0.828094</v>
      </c>
      <c r="H207" s="21">
        <v>7.00631</v>
      </c>
      <c r="I207" s="21">
        <v>-1.48346E-2</v>
      </c>
      <c r="J207" s="21">
        <v>197</v>
      </c>
      <c r="K207" s="21">
        <v>0.82733199999999996</v>
      </c>
      <c r="L207">
        <f t="shared" si="36"/>
        <v>18.31432098765432</v>
      </c>
      <c r="M207">
        <f t="shared" si="37"/>
        <v>15.165979323950616</v>
      </c>
      <c r="N207" s="9"/>
      <c r="O207" s="21">
        <v>0.88348400000000005</v>
      </c>
      <c r="P207" s="21">
        <v>16.309699999999999</v>
      </c>
      <c r="Q207" s="21">
        <v>-1.48529E-2</v>
      </c>
      <c r="R207" s="21">
        <v>186</v>
      </c>
      <c r="S207" s="21">
        <v>0.88226300000000002</v>
      </c>
      <c r="T207">
        <f t="shared" si="38"/>
        <v>18.336913580246915</v>
      </c>
      <c r="U207">
        <f t="shared" si="39"/>
        <v>16.200369757530865</v>
      </c>
      <c r="X207" s="9"/>
      <c r="Y207" s="21">
        <v>0.828094</v>
      </c>
      <c r="Z207" s="21">
        <v>16.420500000000001</v>
      </c>
      <c r="AA207" s="21">
        <v>-1.48682E-2</v>
      </c>
      <c r="AB207" s="21">
        <v>197</v>
      </c>
      <c r="AC207" s="21">
        <v>0.82824699999999996</v>
      </c>
      <c r="AD207">
        <f t="shared" si="40"/>
        <v>18.355802469135799</v>
      </c>
      <c r="AE207">
        <f t="shared" si="41"/>
        <v>15.20032988987654</v>
      </c>
      <c r="AF207" s="9"/>
      <c r="AG207" s="21">
        <v>0.89202899999999996</v>
      </c>
      <c r="AH207" s="21">
        <v>20.28</v>
      </c>
      <c r="AI207" s="21">
        <v>-1.4810200000000001E-2</v>
      </c>
      <c r="AJ207" s="21">
        <v>197</v>
      </c>
      <c r="AK207" s="21">
        <v>0.89111300000000004</v>
      </c>
      <c r="AL207">
        <f t="shared" si="42"/>
        <v>18.284197530864198</v>
      </c>
      <c r="AM207">
        <f t="shared" si="43"/>
        <v>16.310034439259258</v>
      </c>
      <c r="AP207" s="9"/>
      <c r="AQ207" s="21">
        <v>0.828094</v>
      </c>
      <c r="AR207" s="21">
        <v>25.854800000000001</v>
      </c>
      <c r="AS207" s="21">
        <v>-1.48865E-2</v>
      </c>
      <c r="AT207" s="21">
        <v>197</v>
      </c>
      <c r="AU207" s="21">
        <v>0.82733199999999996</v>
      </c>
      <c r="AV207">
        <f t="shared" si="44"/>
        <v>18.378395061728394</v>
      </c>
      <c r="AW207">
        <f t="shared" si="45"/>
        <v>15.219038680246912</v>
      </c>
      <c r="AX207" s="9"/>
      <c r="AY207" s="21">
        <v>0.89202899999999996</v>
      </c>
      <c r="AZ207" s="21">
        <v>29.714200000000002</v>
      </c>
      <c r="BA207" s="21">
        <v>-1.4837599999999999E-2</v>
      </c>
      <c r="BB207" s="21">
        <v>197</v>
      </c>
      <c r="BC207" s="21">
        <v>0.89141800000000004</v>
      </c>
      <c r="BD207">
        <f t="shared" si="46"/>
        <v>18.318024691358023</v>
      </c>
      <c r="BE207">
        <f t="shared" si="47"/>
        <v>16.340209247407405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0.82305899999999999</v>
      </c>
      <c r="H208" s="21">
        <v>7.0163799999999998</v>
      </c>
      <c r="I208" s="21">
        <v>-1.4837599999999999E-2</v>
      </c>
      <c r="J208" s="21">
        <v>198</v>
      </c>
      <c r="K208" s="21">
        <v>0.82183799999999996</v>
      </c>
      <c r="L208">
        <f t="shared" si="36"/>
        <v>18.318024691358023</v>
      </c>
      <c r="M208">
        <f t="shared" si="37"/>
        <v>15.076815084444442</v>
      </c>
      <c r="N208" s="9"/>
      <c r="O208" s="21">
        <v>0.88851899999999995</v>
      </c>
      <c r="P208" s="21">
        <v>16.299700000000001</v>
      </c>
      <c r="Q208" s="21">
        <v>-1.4849899999999999E-2</v>
      </c>
      <c r="R208" s="21">
        <v>185</v>
      </c>
      <c r="S208" s="21">
        <v>0.88745099999999999</v>
      </c>
      <c r="T208">
        <f t="shared" si="38"/>
        <v>18.333209876543208</v>
      </c>
      <c r="U208">
        <f t="shared" si="39"/>
        <v>16.289405306296292</v>
      </c>
      <c r="X208" s="9"/>
      <c r="Y208" s="21">
        <v>0.82305899999999999</v>
      </c>
      <c r="Z208" s="21">
        <v>16.430599999999998</v>
      </c>
      <c r="AA208" s="21">
        <v>-1.4865099999999999E-2</v>
      </c>
      <c r="AB208" s="21">
        <v>198</v>
      </c>
      <c r="AC208" s="21">
        <v>0.82244899999999999</v>
      </c>
      <c r="AD208">
        <f t="shared" si="40"/>
        <v>18.351975308641972</v>
      </c>
      <c r="AE208">
        <f t="shared" si="41"/>
        <v>15.104758445555552</v>
      </c>
      <c r="AF208" s="9"/>
      <c r="AG208" s="21">
        <v>0.89706399999999997</v>
      </c>
      <c r="AH208" s="21">
        <v>20.290099999999999</v>
      </c>
      <c r="AI208" s="21">
        <v>-1.4816299999999999E-2</v>
      </c>
      <c r="AJ208" s="21">
        <v>198</v>
      </c>
      <c r="AK208" s="21">
        <v>0.89630100000000001</v>
      </c>
      <c r="AL208">
        <f t="shared" si="42"/>
        <v>18.291728395061728</v>
      </c>
      <c r="AM208">
        <f t="shared" si="43"/>
        <v>16.408851040987653</v>
      </c>
      <c r="AP208" s="9"/>
      <c r="AQ208" s="21">
        <v>0.82305899999999999</v>
      </c>
      <c r="AR208" s="21">
        <v>25.864799999999999</v>
      </c>
      <c r="AS208" s="21">
        <v>-1.4892600000000001E-2</v>
      </c>
      <c r="AT208" s="21">
        <v>198</v>
      </c>
      <c r="AU208" s="21">
        <v>0.82244899999999999</v>
      </c>
      <c r="AV208">
        <f t="shared" si="44"/>
        <v>18.385925925925928</v>
      </c>
      <c r="AW208">
        <f t="shared" si="45"/>
        <v>15.132701806666669</v>
      </c>
      <c r="AX208" s="9"/>
      <c r="AY208" s="21">
        <v>0.89706399999999997</v>
      </c>
      <c r="AZ208" s="21">
        <v>29.724299999999999</v>
      </c>
      <c r="BA208" s="21">
        <v>-1.4849899999999999E-2</v>
      </c>
      <c r="BB208" s="21">
        <v>198</v>
      </c>
      <c r="BC208" s="21">
        <v>0.89660600000000001</v>
      </c>
      <c r="BD208">
        <f t="shared" si="46"/>
        <v>18.333209876543208</v>
      </c>
      <c r="BE208">
        <f t="shared" si="47"/>
        <v>16.446062584691354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0.81802399999999997</v>
      </c>
      <c r="H209" s="21">
        <v>7.0264499999999996</v>
      </c>
      <c r="I209" s="21">
        <v>-1.4837599999999999E-2</v>
      </c>
      <c r="J209" s="21">
        <v>199</v>
      </c>
      <c r="K209" s="21">
        <v>0.81726100000000002</v>
      </c>
      <c r="L209">
        <f t="shared" si="36"/>
        <v>18.318024691358023</v>
      </c>
      <c r="M209">
        <f t="shared" si="37"/>
        <v>14.984583830123455</v>
      </c>
      <c r="N209" s="9"/>
      <c r="O209" s="21">
        <v>0.89355499999999999</v>
      </c>
      <c r="P209" s="21">
        <v>16.2896</v>
      </c>
      <c r="Q209" s="21">
        <v>-1.4843800000000001E-2</v>
      </c>
      <c r="R209" s="21">
        <v>184</v>
      </c>
      <c r="S209" s="21">
        <v>0.89324999999999999</v>
      </c>
      <c r="T209">
        <f t="shared" si="38"/>
        <v>18.325679012345677</v>
      </c>
      <c r="U209">
        <f t="shared" si="39"/>
        <v>16.37500210987654</v>
      </c>
      <c r="X209" s="9"/>
      <c r="Y209" s="21">
        <v>0.81802399999999997</v>
      </c>
      <c r="Z209" s="21">
        <v>16.4407</v>
      </c>
      <c r="AA209" s="21">
        <v>-1.4871199999999999E-2</v>
      </c>
      <c r="AB209" s="21">
        <v>199</v>
      </c>
      <c r="AC209" s="21">
        <v>0.81756600000000001</v>
      </c>
      <c r="AD209">
        <f t="shared" si="40"/>
        <v>18.359506172839506</v>
      </c>
      <c r="AE209">
        <f t="shared" si="41"/>
        <v>15.018516677530863</v>
      </c>
      <c r="AF209" s="9"/>
      <c r="AG209" s="21">
        <v>0.90210000000000001</v>
      </c>
      <c r="AH209" s="21">
        <v>20.3001</v>
      </c>
      <c r="AI209" s="21">
        <v>-1.4819300000000001E-2</v>
      </c>
      <c r="AJ209" s="21">
        <v>199</v>
      </c>
      <c r="AK209" s="21">
        <v>0.90148899999999998</v>
      </c>
      <c r="AL209">
        <f t="shared" si="42"/>
        <v>18.295432098765431</v>
      </c>
      <c r="AM209">
        <f t="shared" si="43"/>
        <v>16.504309296296295</v>
      </c>
      <c r="AP209" s="9"/>
      <c r="AQ209" s="21">
        <v>0.81802399999999997</v>
      </c>
      <c r="AR209" s="21">
        <v>25.8749</v>
      </c>
      <c r="AS209" s="21">
        <v>-1.4898700000000001E-2</v>
      </c>
      <c r="AT209" s="21">
        <v>199</v>
      </c>
      <c r="AU209" s="21">
        <v>0.81664999999999999</v>
      </c>
      <c r="AV209">
        <f t="shared" si="44"/>
        <v>18.393456790123455</v>
      </c>
      <c r="AW209">
        <f t="shared" si="45"/>
        <v>15.04628909728395</v>
      </c>
      <c r="AX209" s="9"/>
      <c r="AY209" s="21">
        <v>0.90210000000000001</v>
      </c>
      <c r="AZ209" s="21">
        <v>29.734400000000001</v>
      </c>
      <c r="BA209" s="21">
        <v>-1.4855999999999999E-2</v>
      </c>
      <c r="BB209" s="21">
        <v>199</v>
      </c>
      <c r="BC209" s="21">
        <v>0.90057399999999999</v>
      </c>
      <c r="BD209">
        <f t="shared" si="46"/>
        <v>18.340740740740738</v>
      </c>
      <c r="BE209">
        <f t="shared" si="47"/>
        <v>16.54518222222222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0.81298800000000004</v>
      </c>
      <c r="H210" s="21">
        <v>7.0365200000000003</v>
      </c>
      <c r="I210" s="21">
        <v>-1.4831499999999999E-2</v>
      </c>
      <c r="J210" s="21">
        <v>200</v>
      </c>
      <c r="K210" s="21">
        <v>0.81237800000000004</v>
      </c>
      <c r="L210">
        <f t="shared" si="36"/>
        <v>18.310493827160489</v>
      </c>
      <c r="M210">
        <f t="shared" si="37"/>
        <v>14.886211755555552</v>
      </c>
      <c r="N210" s="9"/>
      <c r="O210" s="21">
        <v>0.89859</v>
      </c>
      <c r="P210" s="21">
        <v>16.279499999999999</v>
      </c>
      <c r="Q210" s="21">
        <v>-1.4837599999999999E-2</v>
      </c>
      <c r="R210" s="21">
        <v>183</v>
      </c>
      <c r="S210" s="21">
        <v>0.89782700000000004</v>
      </c>
      <c r="T210">
        <f t="shared" si="38"/>
        <v>18.318024691358023</v>
      </c>
      <c r="U210">
        <f t="shared" si="39"/>
        <v>16.460393807407407</v>
      </c>
      <c r="X210" s="9"/>
      <c r="Y210" s="21">
        <v>0.81298800000000004</v>
      </c>
      <c r="Z210" s="21">
        <v>16.450700000000001</v>
      </c>
      <c r="AA210" s="21">
        <v>-1.48804E-2</v>
      </c>
      <c r="AB210" s="21">
        <v>200</v>
      </c>
      <c r="AC210" s="21">
        <v>0.81176800000000005</v>
      </c>
      <c r="AD210">
        <f t="shared" si="40"/>
        <v>18.370864197530864</v>
      </c>
      <c r="AE210">
        <f t="shared" si="41"/>
        <v>14.935292142222222</v>
      </c>
      <c r="AF210" s="9"/>
      <c r="AG210" s="21">
        <v>0.90713500000000002</v>
      </c>
      <c r="AH210" s="21">
        <v>20.310199999999998</v>
      </c>
      <c r="AI210" s="21">
        <v>-1.4822399999999999E-2</v>
      </c>
      <c r="AJ210" s="21">
        <v>200</v>
      </c>
      <c r="AK210" s="21">
        <v>0.90576199999999996</v>
      </c>
      <c r="AL210">
        <f t="shared" si="42"/>
        <v>18.299259259259259</v>
      </c>
      <c r="AM210">
        <f t="shared" si="43"/>
        <v>16.599898548148147</v>
      </c>
      <c r="AP210" s="9"/>
      <c r="AQ210" s="21">
        <v>0.81298800000000004</v>
      </c>
      <c r="AR210" s="21">
        <v>25.885000000000002</v>
      </c>
      <c r="AS210" s="21">
        <v>-1.4904799999999999E-2</v>
      </c>
      <c r="AT210" s="21">
        <v>200</v>
      </c>
      <c r="AU210" s="21">
        <v>0.81207300000000004</v>
      </c>
      <c r="AV210">
        <f t="shared" si="44"/>
        <v>18.400987654320986</v>
      </c>
      <c r="AW210">
        <f t="shared" si="45"/>
        <v>14.95978215111111</v>
      </c>
      <c r="AX210" s="9"/>
      <c r="AY210" s="21">
        <v>0.90713500000000002</v>
      </c>
      <c r="AZ210" s="21">
        <v>29.744399999999999</v>
      </c>
      <c r="BA210" s="21">
        <v>-1.48529E-2</v>
      </c>
      <c r="BB210" s="21">
        <v>200</v>
      </c>
      <c r="BC210" s="21">
        <v>0.90667699999999996</v>
      </c>
      <c r="BD210">
        <f t="shared" si="46"/>
        <v>18.336913580246915</v>
      </c>
      <c r="BE210">
        <f t="shared" si="47"/>
        <v>16.634056100617286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0.80795300000000003</v>
      </c>
      <c r="H211" s="21">
        <v>7.0465900000000001</v>
      </c>
      <c r="I211" s="21">
        <v>-1.4831499999999999E-2</v>
      </c>
      <c r="J211" s="21">
        <v>201</v>
      </c>
      <c r="K211" s="21">
        <v>0.80688499999999996</v>
      </c>
      <c r="L211">
        <f t="shared" si="36"/>
        <v>18.310493827160489</v>
      </c>
      <c r="M211">
        <f t="shared" si="37"/>
        <v>14.794018419135799</v>
      </c>
      <c r="N211" s="9"/>
      <c r="O211" s="21">
        <v>0.90362500000000001</v>
      </c>
      <c r="P211" s="21">
        <v>16.269500000000001</v>
      </c>
      <c r="Q211" s="21">
        <v>-1.4837599999999999E-2</v>
      </c>
      <c r="R211" s="21">
        <v>182</v>
      </c>
      <c r="S211" s="21">
        <v>0.90271000000000001</v>
      </c>
      <c r="T211">
        <f t="shared" si="38"/>
        <v>18.318024691358023</v>
      </c>
      <c r="U211">
        <f t="shared" si="39"/>
        <v>16.552625061728392</v>
      </c>
      <c r="X211" s="9"/>
      <c r="Y211" s="21">
        <v>0.80795300000000003</v>
      </c>
      <c r="Z211" s="21">
        <v>16.460799999999999</v>
      </c>
      <c r="AA211" s="21">
        <v>-1.48865E-2</v>
      </c>
      <c r="AB211" s="21">
        <v>201</v>
      </c>
      <c r="AC211" s="21">
        <v>0.80688499999999996</v>
      </c>
      <c r="AD211">
        <f t="shared" si="40"/>
        <v>18.378395061728394</v>
      </c>
      <c r="AE211">
        <f t="shared" si="41"/>
        <v>14.848879425308642</v>
      </c>
      <c r="AF211" s="9"/>
      <c r="AG211" s="21">
        <v>0.91217000000000004</v>
      </c>
      <c r="AH211" s="21">
        <v>20.3203</v>
      </c>
      <c r="AI211" s="21">
        <v>-1.4822399999999999E-2</v>
      </c>
      <c r="AJ211" s="21">
        <v>201</v>
      </c>
      <c r="AK211" s="21">
        <v>0.91125500000000004</v>
      </c>
      <c r="AL211">
        <f t="shared" si="42"/>
        <v>18.299259259259259</v>
      </c>
      <c r="AM211">
        <f t="shared" si="43"/>
        <v>16.692035318518517</v>
      </c>
      <c r="AP211" s="9"/>
      <c r="AQ211" s="21">
        <v>0.80795300000000003</v>
      </c>
      <c r="AR211" s="21">
        <v>25.895</v>
      </c>
      <c r="AS211" s="21">
        <v>-1.4907800000000001E-2</v>
      </c>
      <c r="AT211" s="21">
        <v>201</v>
      </c>
      <c r="AU211" s="21">
        <v>0.80749499999999996</v>
      </c>
      <c r="AV211">
        <f t="shared" si="44"/>
        <v>18.404691358024692</v>
      </c>
      <c r="AW211">
        <f t="shared" si="45"/>
        <v>14.870125596790125</v>
      </c>
      <c r="AX211" s="9"/>
      <c r="AY211" s="21">
        <v>0.91217000000000004</v>
      </c>
      <c r="AZ211" s="21">
        <v>29.7545</v>
      </c>
      <c r="BA211" s="21">
        <v>-1.48529E-2</v>
      </c>
      <c r="BB211" s="21">
        <v>201</v>
      </c>
      <c r="BC211" s="21">
        <v>0.91156000000000004</v>
      </c>
      <c r="BD211">
        <f t="shared" si="46"/>
        <v>18.336913580246915</v>
      </c>
      <c r="BE211">
        <f t="shared" si="47"/>
        <v>16.726382460493827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0.80291699999999999</v>
      </c>
      <c r="H212" s="21">
        <v>7.0566599999999999</v>
      </c>
      <c r="I212" s="21">
        <v>-1.4843800000000001E-2</v>
      </c>
      <c r="J212" s="21">
        <v>202</v>
      </c>
      <c r="K212" s="21">
        <v>0.80169699999999999</v>
      </c>
      <c r="L212">
        <f t="shared" si="36"/>
        <v>18.325679012345677</v>
      </c>
      <c r="M212">
        <f t="shared" si="37"/>
        <v>14.713999215555555</v>
      </c>
      <c r="N212" s="9"/>
      <c r="O212" s="21">
        <v>0.90866100000000005</v>
      </c>
      <c r="P212" s="21">
        <v>16.259399999999999</v>
      </c>
      <c r="Q212" s="21">
        <v>-1.4837599999999999E-2</v>
      </c>
      <c r="R212" s="21">
        <v>181</v>
      </c>
      <c r="S212" s="21">
        <v>0.90820299999999998</v>
      </c>
      <c r="T212">
        <f t="shared" si="38"/>
        <v>18.318024691358023</v>
      </c>
      <c r="U212">
        <f t="shared" si="39"/>
        <v>16.644874634074075</v>
      </c>
      <c r="X212" s="9"/>
      <c r="Y212" s="21">
        <v>0.80291699999999999</v>
      </c>
      <c r="Z212" s="21">
        <v>16.4709</v>
      </c>
      <c r="AA212" s="21">
        <v>-1.48834E-2</v>
      </c>
      <c r="AB212" s="21">
        <v>202</v>
      </c>
      <c r="AC212" s="21">
        <v>0.80261199999999999</v>
      </c>
      <c r="AD212">
        <f t="shared" si="40"/>
        <v>18.374567901234567</v>
      </c>
      <c r="AE212">
        <f t="shared" si="41"/>
        <v>14.753252935555555</v>
      </c>
      <c r="AF212" s="9"/>
      <c r="AG212" s="21">
        <v>0.91720599999999997</v>
      </c>
      <c r="AH212" s="21">
        <v>20.330300000000001</v>
      </c>
      <c r="AI212" s="21">
        <v>-1.4825400000000001E-2</v>
      </c>
      <c r="AJ212" s="21">
        <v>202</v>
      </c>
      <c r="AK212" s="21">
        <v>0.91674800000000001</v>
      </c>
      <c r="AL212">
        <f t="shared" si="42"/>
        <v>18.302962962962962</v>
      </c>
      <c r="AM212">
        <f t="shared" si="43"/>
        <v>16.787587447407407</v>
      </c>
      <c r="AP212" s="9"/>
      <c r="AQ212" s="21">
        <v>0.80291699999999999</v>
      </c>
      <c r="AR212" s="21">
        <v>25.905100000000001</v>
      </c>
      <c r="AS212" s="21">
        <v>-1.4898700000000001E-2</v>
      </c>
      <c r="AT212" s="21">
        <v>202</v>
      </c>
      <c r="AU212" s="21">
        <v>0.80230699999999999</v>
      </c>
      <c r="AV212">
        <f t="shared" si="44"/>
        <v>18.393456790123455</v>
      </c>
      <c r="AW212">
        <f t="shared" si="45"/>
        <v>14.768419145555555</v>
      </c>
      <c r="AX212" s="9"/>
      <c r="AY212" s="21">
        <v>0.91720599999999997</v>
      </c>
      <c r="AZ212" s="21">
        <v>29.764600000000002</v>
      </c>
      <c r="BA212" s="21">
        <v>-1.4843800000000001E-2</v>
      </c>
      <c r="BB212" s="21">
        <v>202</v>
      </c>
      <c r="BC212" s="21">
        <v>0.91552699999999998</v>
      </c>
      <c r="BD212">
        <f t="shared" si="46"/>
        <v>18.325679012345677</v>
      </c>
      <c r="BE212">
        <f t="shared" si="47"/>
        <v>16.808422744197529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0.79788199999999998</v>
      </c>
      <c r="H213" s="21">
        <v>7.0667299999999997</v>
      </c>
      <c r="I213" s="21">
        <v>-1.4849899999999999E-2</v>
      </c>
      <c r="J213" s="21">
        <v>203</v>
      </c>
      <c r="K213" s="21">
        <v>0.79711900000000002</v>
      </c>
      <c r="L213">
        <f t="shared" si="36"/>
        <v>18.333209876543208</v>
      </c>
      <c r="M213">
        <f t="shared" si="37"/>
        <v>14.627738162716048</v>
      </c>
      <c r="N213" s="9"/>
      <c r="O213" s="21">
        <v>0.91369599999999995</v>
      </c>
      <c r="P213" s="21">
        <v>16.249300000000002</v>
      </c>
      <c r="Q213" s="21">
        <v>-1.48346E-2</v>
      </c>
      <c r="R213" s="21">
        <v>180</v>
      </c>
      <c r="S213" s="21">
        <v>0.91308599999999995</v>
      </c>
      <c r="T213">
        <f t="shared" si="38"/>
        <v>18.31432098765432</v>
      </c>
      <c r="U213">
        <f t="shared" si="39"/>
        <v>16.733721829135799</v>
      </c>
      <c r="X213" s="9"/>
      <c r="Y213" s="21">
        <v>0.79788199999999998</v>
      </c>
      <c r="Z213" s="21">
        <v>16.480899999999998</v>
      </c>
      <c r="AA213" s="21">
        <v>-1.48895E-2</v>
      </c>
      <c r="AB213" s="21">
        <v>203</v>
      </c>
      <c r="AC213" s="21">
        <v>0.79681400000000002</v>
      </c>
      <c r="AD213">
        <f t="shared" si="40"/>
        <v>18.382098765432101</v>
      </c>
      <c r="AE213">
        <f t="shared" si="41"/>
        <v>14.666745727160496</v>
      </c>
      <c r="AF213" s="9"/>
      <c r="AG213" s="21">
        <v>0.92224099999999998</v>
      </c>
      <c r="AH213" s="21">
        <v>20.340399999999999</v>
      </c>
      <c r="AI213" s="21">
        <v>-1.4816299999999999E-2</v>
      </c>
      <c r="AJ213" s="21">
        <v>203</v>
      </c>
      <c r="AK213" s="21">
        <v>0.92132599999999998</v>
      </c>
      <c r="AL213">
        <f t="shared" si="42"/>
        <v>18.291728395061728</v>
      </c>
      <c r="AM213">
        <f t="shared" si="43"/>
        <v>16.869381886790123</v>
      </c>
      <c r="AP213" s="9"/>
      <c r="AQ213" s="21">
        <v>0.79788199999999998</v>
      </c>
      <c r="AR213" s="21">
        <v>25.915199999999999</v>
      </c>
      <c r="AS213" s="21">
        <v>-1.49017E-2</v>
      </c>
      <c r="AT213" s="21">
        <v>203</v>
      </c>
      <c r="AU213" s="21">
        <v>0.79742400000000002</v>
      </c>
      <c r="AV213">
        <f t="shared" si="44"/>
        <v>18.397160493827158</v>
      </c>
      <c r="AW213">
        <f t="shared" si="45"/>
        <v>14.6787632091358</v>
      </c>
      <c r="AX213" s="9"/>
      <c r="AY213" s="21">
        <v>0.92224099999999998</v>
      </c>
      <c r="AZ213" s="21">
        <v>29.774699999999999</v>
      </c>
      <c r="BA213" s="21">
        <v>-1.48346E-2</v>
      </c>
      <c r="BB213" s="21">
        <v>203</v>
      </c>
      <c r="BC213" s="21">
        <v>0.92163099999999998</v>
      </c>
      <c r="BD213">
        <f t="shared" si="46"/>
        <v>18.31432098765432</v>
      </c>
      <c r="BE213">
        <f t="shared" si="47"/>
        <v>16.890217701975306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0.79284699999999997</v>
      </c>
      <c r="H214" s="21">
        <v>7.0768000000000004</v>
      </c>
      <c r="I214" s="21">
        <v>-1.4855999999999999E-2</v>
      </c>
      <c r="J214" s="21">
        <v>204</v>
      </c>
      <c r="K214" s="21">
        <v>0.79223600000000005</v>
      </c>
      <c r="L214">
        <f t="shared" si="36"/>
        <v>18.340740740740738</v>
      </c>
      <c r="M214">
        <f t="shared" si="37"/>
        <v>14.541401274074072</v>
      </c>
      <c r="N214" s="9"/>
      <c r="O214" s="21">
        <v>0.91873199999999999</v>
      </c>
      <c r="P214" s="21">
        <v>16.2392</v>
      </c>
      <c r="Q214" s="21">
        <v>-1.48285E-2</v>
      </c>
      <c r="R214" s="21">
        <v>179</v>
      </c>
      <c r="S214" s="21">
        <v>0.91796900000000003</v>
      </c>
      <c r="T214">
        <f t="shared" si="38"/>
        <v>18.306790123456789</v>
      </c>
      <c r="U214">
        <f t="shared" si="39"/>
        <v>16.819033903703701</v>
      </c>
      <c r="X214" s="9"/>
      <c r="Y214" s="21">
        <v>0.79284699999999997</v>
      </c>
      <c r="Z214" s="21">
        <v>16.491</v>
      </c>
      <c r="AA214" s="21">
        <v>-1.48865E-2</v>
      </c>
      <c r="AB214" s="21">
        <v>204</v>
      </c>
      <c r="AC214" s="21">
        <v>0.79193100000000005</v>
      </c>
      <c r="AD214">
        <f t="shared" si="40"/>
        <v>18.378395061728394</v>
      </c>
      <c r="AE214">
        <f t="shared" si="41"/>
        <v>14.571255389506172</v>
      </c>
      <c r="AF214" s="9"/>
      <c r="AG214" s="21">
        <v>0.92727700000000002</v>
      </c>
      <c r="AH214" s="21">
        <v>20.3505</v>
      </c>
      <c r="AI214" s="21">
        <v>-1.4801E-2</v>
      </c>
      <c r="AJ214" s="21">
        <v>204</v>
      </c>
      <c r="AK214" s="21">
        <v>0.92681899999999995</v>
      </c>
      <c r="AL214">
        <f t="shared" si="42"/>
        <v>18.27283950617284</v>
      </c>
      <c r="AM214">
        <f t="shared" si="43"/>
        <v>16.943983798765434</v>
      </c>
      <c r="AP214" s="9"/>
      <c r="AQ214" s="21">
        <v>0.79284699999999997</v>
      </c>
      <c r="AR214" s="21">
        <v>25.9252</v>
      </c>
      <c r="AS214" s="21">
        <v>-1.48956E-2</v>
      </c>
      <c r="AT214" s="21">
        <v>204</v>
      </c>
      <c r="AU214" s="21">
        <v>0.79193100000000005</v>
      </c>
      <c r="AV214">
        <f t="shared" si="44"/>
        <v>18.389629629629628</v>
      </c>
      <c r="AW214">
        <f t="shared" si="45"/>
        <v>14.58016268296296</v>
      </c>
      <c r="AX214" s="9"/>
      <c r="AY214" s="21">
        <v>0.92727700000000002</v>
      </c>
      <c r="AZ214" s="21">
        <v>29.784700000000001</v>
      </c>
      <c r="BA214" s="21">
        <v>-1.48346E-2</v>
      </c>
      <c r="BB214" s="21">
        <v>204</v>
      </c>
      <c r="BC214" s="21">
        <v>0.92590300000000003</v>
      </c>
      <c r="BD214">
        <f t="shared" si="46"/>
        <v>18.31432098765432</v>
      </c>
      <c r="BE214">
        <f t="shared" si="47"/>
        <v>16.982448622469136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0.78781100000000004</v>
      </c>
      <c r="H215" s="21">
        <v>7.0868700000000002</v>
      </c>
      <c r="I215" s="21">
        <v>-1.4855999999999999E-2</v>
      </c>
      <c r="J215" s="21">
        <v>205</v>
      </c>
      <c r="K215" s="21">
        <v>0.787659</v>
      </c>
      <c r="L215">
        <f t="shared" si="36"/>
        <v>18.340740740740738</v>
      </c>
      <c r="M215">
        <f t="shared" si="37"/>
        <v>14.449037303703703</v>
      </c>
      <c r="N215" s="9"/>
      <c r="O215" s="21">
        <v>0.923767</v>
      </c>
      <c r="P215" s="21">
        <v>16.229199999999999</v>
      </c>
      <c r="Q215" s="21">
        <v>-1.48132E-2</v>
      </c>
      <c r="R215" s="21">
        <v>178</v>
      </c>
      <c r="S215" s="21">
        <v>0.92285200000000001</v>
      </c>
      <c r="T215">
        <f t="shared" si="38"/>
        <v>18.287901234567901</v>
      </c>
      <c r="U215">
        <f t="shared" si="39"/>
        <v>16.893759659753087</v>
      </c>
      <c r="X215" s="9"/>
      <c r="Y215" s="21">
        <v>0.78781100000000004</v>
      </c>
      <c r="Z215" s="21">
        <v>16.501100000000001</v>
      </c>
      <c r="AA215" s="21">
        <v>-1.48834E-2</v>
      </c>
      <c r="AB215" s="21">
        <v>205</v>
      </c>
      <c r="AC215" s="21">
        <v>0.78643799999999997</v>
      </c>
      <c r="AD215">
        <f t="shared" si="40"/>
        <v>18.374567901234567</v>
      </c>
      <c r="AE215">
        <f t="shared" si="41"/>
        <v>14.475686712839506</v>
      </c>
      <c r="AF215" s="9"/>
      <c r="AG215" s="21">
        <v>0.93231200000000003</v>
      </c>
      <c r="AH215" s="21">
        <v>20.360600000000002</v>
      </c>
      <c r="AI215" s="21">
        <v>-1.4798E-2</v>
      </c>
      <c r="AJ215" s="21">
        <v>205</v>
      </c>
      <c r="AK215" s="21">
        <v>0.931091</v>
      </c>
      <c r="AL215">
        <f t="shared" si="42"/>
        <v>18.269135802469137</v>
      </c>
      <c r="AM215">
        <f t="shared" si="43"/>
        <v>17.032534538271605</v>
      </c>
      <c r="AP215" s="9"/>
      <c r="AQ215" s="21">
        <v>0.78781100000000004</v>
      </c>
      <c r="AR215" s="21">
        <v>25.935300000000002</v>
      </c>
      <c r="AS215" s="21">
        <v>-1.49017E-2</v>
      </c>
      <c r="AT215" s="21">
        <v>205</v>
      </c>
      <c r="AU215" s="21">
        <v>0.78674299999999997</v>
      </c>
      <c r="AV215">
        <f t="shared" si="44"/>
        <v>18.397160493827158</v>
      </c>
      <c r="AW215">
        <f t="shared" si="45"/>
        <v>14.493485405802469</v>
      </c>
      <c r="AX215" s="9"/>
      <c r="AY215" s="21">
        <v>0.93231200000000003</v>
      </c>
      <c r="AZ215" s="21">
        <v>29.794799999999999</v>
      </c>
      <c r="BA215" s="21">
        <v>-1.48346E-2</v>
      </c>
      <c r="BB215" s="21">
        <v>205</v>
      </c>
      <c r="BC215" s="21">
        <v>0.931091</v>
      </c>
      <c r="BD215">
        <f t="shared" si="46"/>
        <v>18.31432098765432</v>
      </c>
      <c r="BE215">
        <f t="shared" si="47"/>
        <v>17.074661228641975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0.78277600000000003</v>
      </c>
      <c r="H216" s="21">
        <v>7.09694</v>
      </c>
      <c r="I216" s="21">
        <v>-1.4855999999999999E-2</v>
      </c>
      <c r="J216" s="21">
        <v>206</v>
      </c>
      <c r="K216" s="21">
        <v>0.78216600000000003</v>
      </c>
      <c r="L216">
        <f t="shared" si="36"/>
        <v>18.340740740740738</v>
      </c>
      <c r="M216">
        <f t="shared" si="37"/>
        <v>14.356691674074073</v>
      </c>
      <c r="N216" s="9"/>
      <c r="O216" s="21">
        <v>0.92880200000000002</v>
      </c>
      <c r="P216" s="21">
        <v>16.219100000000001</v>
      </c>
      <c r="Q216" s="21">
        <v>-1.4804100000000001E-2</v>
      </c>
      <c r="R216" s="21">
        <v>177</v>
      </c>
      <c r="S216" s="21">
        <v>0.92803999999999998</v>
      </c>
      <c r="T216">
        <f t="shared" si="38"/>
        <v>18.276666666666667</v>
      </c>
      <c r="U216">
        <f t="shared" si="39"/>
        <v>16.975404553333334</v>
      </c>
      <c r="X216" s="9"/>
      <c r="Y216" s="21">
        <v>0.78277600000000003</v>
      </c>
      <c r="Z216" s="21">
        <v>16.511199999999999</v>
      </c>
      <c r="AA216" s="21">
        <v>-1.48834E-2</v>
      </c>
      <c r="AB216" s="21">
        <v>206</v>
      </c>
      <c r="AC216" s="21">
        <v>0.78186</v>
      </c>
      <c r="AD216">
        <f t="shared" si="40"/>
        <v>18.374567901234567</v>
      </c>
      <c r="AE216">
        <f t="shared" si="41"/>
        <v>14.383170763456789</v>
      </c>
      <c r="AF216" s="9"/>
      <c r="AG216" s="21">
        <v>0.93734700000000004</v>
      </c>
      <c r="AH216" s="21">
        <v>20.3706</v>
      </c>
      <c r="AI216" s="21">
        <v>-1.47919E-2</v>
      </c>
      <c r="AJ216" s="21">
        <v>206</v>
      </c>
      <c r="AK216" s="21">
        <v>0.93658399999999997</v>
      </c>
      <c r="AL216">
        <f t="shared" si="42"/>
        <v>18.261604938271603</v>
      </c>
      <c r="AM216">
        <f t="shared" si="43"/>
        <v>17.117460604074072</v>
      </c>
      <c r="AP216" s="9"/>
      <c r="AQ216" s="21">
        <v>0.78277600000000003</v>
      </c>
      <c r="AR216" s="21">
        <v>25.945399999999999</v>
      </c>
      <c r="AS216" s="21">
        <v>-1.4907800000000001E-2</v>
      </c>
      <c r="AT216" s="21">
        <v>206</v>
      </c>
      <c r="AU216" s="21">
        <v>0.78186</v>
      </c>
      <c r="AV216">
        <f t="shared" si="44"/>
        <v>18.404691358024692</v>
      </c>
      <c r="AW216">
        <f t="shared" si="45"/>
        <v>14.406750682469138</v>
      </c>
      <c r="AX216" s="9"/>
      <c r="AY216" s="21">
        <v>0.93734700000000004</v>
      </c>
      <c r="AZ216" s="21">
        <v>29.8049</v>
      </c>
      <c r="BA216" s="21">
        <v>-1.4831499999999999E-2</v>
      </c>
      <c r="BB216" s="21">
        <v>206</v>
      </c>
      <c r="BC216" s="21">
        <v>0.93689</v>
      </c>
      <c r="BD216">
        <f t="shared" si="46"/>
        <v>18.310493827160489</v>
      </c>
      <c r="BE216">
        <f t="shared" si="47"/>
        <v>17.163286457407402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0.77773999999999999</v>
      </c>
      <c r="H217" s="21">
        <v>7.1070200000000003</v>
      </c>
      <c r="I217" s="21">
        <v>-1.4855999999999999E-2</v>
      </c>
      <c r="J217" s="21">
        <v>207</v>
      </c>
      <c r="K217" s="21">
        <v>0.77636700000000003</v>
      </c>
      <c r="L217">
        <f t="shared" si="36"/>
        <v>18.340740740740738</v>
      </c>
      <c r="M217">
        <f t="shared" si="37"/>
        <v>14.264327703703701</v>
      </c>
      <c r="N217" s="9"/>
      <c r="O217" s="21">
        <v>0.93383799999999995</v>
      </c>
      <c r="P217" s="21">
        <v>16.209</v>
      </c>
      <c r="Q217" s="21">
        <v>-1.4804100000000001E-2</v>
      </c>
      <c r="R217" s="21">
        <v>176</v>
      </c>
      <c r="S217" s="21">
        <v>0.93231200000000003</v>
      </c>
      <c r="T217">
        <f t="shared" si="38"/>
        <v>18.276666666666667</v>
      </c>
      <c r="U217">
        <f t="shared" si="39"/>
        <v>17.067445846666665</v>
      </c>
      <c r="X217" s="9"/>
      <c r="Y217" s="21">
        <v>0.77773999999999999</v>
      </c>
      <c r="Z217" s="21">
        <v>16.5212</v>
      </c>
      <c r="AA217" s="21">
        <v>-1.48865E-2</v>
      </c>
      <c r="AB217" s="21">
        <v>207</v>
      </c>
      <c r="AC217" s="21">
        <v>0.77697799999999995</v>
      </c>
      <c r="AD217">
        <f t="shared" si="40"/>
        <v>18.378395061728394</v>
      </c>
      <c r="AE217">
        <f t="shared" si="41"/>
        <v>14.293612975308641</v>
      </c>
      <c r="AF217" s="9"/>
      <c r="AG217" s="21">
        <v>0.94238299999999997</v>
      </c>
      <c r="AH217" s="21">
        <v>20.380700000000001</v>
      </c>
      <c r="AI217" s="21">
        <v>-1.4782699999999999E-2</v>
      </c>
      <c r="AJ217" s="21">
        <v>207</v>
      </c>
      <c r="AK217" s="21">
        <v>0.94116200000000005</v>
      </c>
      <c r="AL217">
        <f t="shared" si="42"/>
        <v>18.250246913580245</v>
      </c>
      <c r="AM217">
        <f t="shared" si="43"/>
        <v>17.198722437160491</v>
      </c>
      <c r="AP217" s="9"/>
      <c r="AQ217" s="21">
        <v>0.77773999999999999</v>
      </c>
      <c r="AR217" s="21">
        <v>25.955500000000001</v>
      </c>
      <c r="AS217" s="21">
        <v>-1.4919999999999999E-2</v>
      </c>
      <c r="AT217" s="21">
        <v>207</v>
      </c>
      <c r="AU217" s="21">
        <v>0.77667200000000003</v>
      </c>
      <c r="AV217">
        <f t="shared" si="44"/>
        <v>18.41975308641975</v>
      </c>
      <c r="AW217">
        <f t="shared" si="45"/>
        <v>14.325778765432096</v>
      </c>
      <c r="AX217" s="9"/>
      <c r="AY217" s="21">
        <v>0.94238299999999997</v>
      </c>
      <c r="AZ217" s="21">
        <v>29.814900000000002</v>
      </c>
      <c r="BA217" s="21">
        <v>-1.4822399999999999E-2</v>
      </c>
      <c r="BB217" s="21">
        <v>207</v>
      </c>
      <c r="BC217" s="21">
        <v>0.94146700000000005</v>
      </c>
      <c r="BD217">
        <f t="shared" si="46"/>
        <v>18.299259259259259</v>
      </c>
      <c r="BE217">
        <f t="shared" si="47"/>
        <v>17.244910838518518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0.77270499999999998</v>
      </c>
      <c r="H218" s="21">
        <v>7.1170900000000001</v>
      </c>
      <c r="I218" s="21">
        <v>-1.4855999999999999E-2</v>
      </c>
      <c r="J218" s="21">
        <v>208</v>
      </c>
      <c r="K218" s="21">
        <v>0.77148399999999995</v>
      </c>
      <c r="L218">
        <f t="shared" si="36"/>
        <v>18.340740740740738</v>
      </c>
      <c r="M218">
        <f t="shared" si="37"/>
        <v>14.171982074074071</v>
      </c>
      <c r="N218" s="9"/>
      <c r="O218" s="21">
        <v>0.93887299999999996</v>
      </c>
      <c r="P218" s="21">
        <v>16.199000000000002</v>
      </c>
      <c r="Q218" s="21">
        <v>-1.4804100000000001E-2</v>
      </c>
      <c r="R218" s="21">
        <v>175</v>
      </c>
      <c r="S218" s="21">
        <v>0.93811</v>
      </c>
      <c r="T218">
        <f t="shared" si="38"/>
        <v>18.276666666666667</v>
      </c>
      <c r="U218">
        <f t="shared" si="39"/>
        <v>17.159468863333334</v>
      </c>
      <c r="X218" s="9"/>
      <c r="Y218" s="21">
        <v>0.77270499999999998</v>
      </c>
      <c r="Z218" s="21">
        <v>16.531300000000002</v>
      </c>
      <c r="AA218" s="21">
        <v>-1.4904799999999999E-2</v>
      </c>
      <c r="AB218" s="21">
        <v>208</v>
      </c>
      <c r="AC218" s="21">
        <v>0.77178999999999998</v>
      </c>
      <c r="AD218">
        <f t="shared" si="40"/>
        <v>18.400987654320986</v>
      </c>
      <c r="AE218">
        <f t="shared" si="41"/>
        <v>14.218535165432098</v>
      </c>
      <c r="AF218" s="9"/>
      <c r="AG218" s="21">
        <v>0.94741799999999998</v>
      </c>
      <c r="AH218" s="21">
        <v>20.390799999999999</v>
      </c>
      <c r="AI218" s="21">
        <v>-1.47797E-2</v>
      </c>
      <c r="AJ218" s="21">
        <v>208</v>
      </c>
      <c r="AK218" s="21">
        <v>0.94604500000000002</v>
      </c>
      <c r="AL218">
        <f t="shared" si="42"/>
        <v>18.246543209876542</v>
      </c>
      <c r="AM218">
        <f t="shared" si="43"/>
        <v>17.287103474814813</v>
      </c>
      <c r="AP218" s="9"/>
      <c r="AQ218" s="21">
        <v>0.77270499999999998</v>
      </c>
      <c r="AR218" s="21">
        <v>25.965499999999999</v>
      </c>
      <c r="AS218" s="21">
        <v>-1.49292E-2</v>
      </c>
      <c r="AT218" s="21">
        <v>208</v>
      </c>
      <c r="AU218" s="21">
        <v>0.77209499999999998</v>
      </c>
      <c r="AV218">
        <f t="shared" si="44"/>
        <v>18.431111111111111</v>
      </c>
      <c r="AW218">
        <f t="shared" si="45"/>
        <v>14.24181171111111</v>
      </c>
      <c r="AX218" s="9"/>
      <c r="AY218" s="21">
        <v>0.94741799999999998</v>
      </c>
      <c r="AZ218" s="21">
        <v>29.824999999999999</v>
      </c>
      <c r="BA218" s="21">
        <v>-1.4810200000000001E-2</v>
      </c>
      <c r="BB218" s="21">
        <v>208</v>
      </c>
      <c r="BC218" s="21">
        <v>0.94635000000000002</v>
      </c>
      <c r="BD218">
        <f t="shared" si="46"/>
        <v>18.284197530864198</v>
      </c>
      <c r="BE218">
        <f t="shared" si="47"/>
        <v>17.322777856296295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0.76766999999999996</v>
      </c>
      <c r="H219" s="21">
        <v>7.1271599999999999</v>
      </c>
      <c r="I219" s="21">
        <v>-1.4855999999999999E-2</v>
      </c>
      <c r="J219" s="21">
        <v>209</v>
      </c>
      <c r="K219" s="21">
        <v>0.76660200000000001</v>
      </c>
      <c r="L219">
        <f t="shared" si="36"/>
        <v>18.340740740740738</v>
      </c>
      <c r="M219">
        <f t="shared" si="37"/>
        <v>14.079636444444441</v>
      </c>
      <c r="N219" s="9"/>
      <c r="O219" s="21">
        <v>0.943909</v>
      </c>
      <c r="P219" s="21">
        <v>16.1889</v>
      </c>
      <c r="Q219" s="21">
        <v>-1.4801E-2</v>
      </c>
      <c r="R219" s="21">
        <v>174</v>
      </c>
      <c r="S219" s="21">
        <v>0.94268799999999997</v>
      </c>
      <c r="T219">
        <f t="shared" si="38"/>
        <v>18.27283950617284</v>
      </c>
      <c r="U219">
        <f t="shared" si="39"/>
        <v>17.247897665432099</v>
      </c>
      <c r="X219" s="9"/>
      <c r="Y219" s="21">
        <v>0.76766999999999996</v>
      </c>
      <c r="Z219" s="21">
        <v>16.541399999999999</v>
      </c>
      <c r="AA219" s="21">
        <v>-1.4907800000000001E-2</v>
      </c>
      <c r="AB219" s="21">
        <v>209</v>
      </c>
      <c r="AC219" s="21">
        <v>0.76721200000000001</v>
      </c>
      <c r="AD219">
        <f t="shared" si="40"/>
        <v>18.404691358024692</v>
      </c>
      <c r="AE219">
        <f t="shared" si="41"/>
        <v>14.128729414814815</v>
      </c>
      <c r="AF219" s="9"/>
      <c r="AG219" s="21">
        <v>0.95245400000000002</v>
      </c>
      <c r="AH219" s="21">
        <v>20.4008</v>
      </c>
      <c r="AI219" s="21">
        <v>-1.4776600000000001E-2</v>
      </c>
      <c r="AJ219" s="21">
        <v>209</v>
      </c>
      <c r="AK219" s="21">
        <v>0.95184299999999999</v>
      </c>
      <c r="AL219">
        <f t="shared" si="42"/>
        <v>18.242716049382715</v>
      </c>
      <c r="AM219">
        <f t="shared" si="43"/>
        <v>17.375347872098764</v>
      </c>
      <c r="AP219" s="9"/>
      <c r="AQ219" s="21">
        <v>0.76766999999999996</v>
      </c>
      <c r="AR219" s="21">
        <v>25.9756</v>
      </c>
      <c r="AS219" s="21">
        <v>-1.49292E-2</v>
      </c>
      <c r="AT219" s="21">
        <v>209</v>
      </c>
      <c r="AU219" s="21">
        <v>0.76660200000000001</v>
      </c>
      <c r="AV219">
        <f t="shared" si="44"/>
        <v>18.431111111111111</v>
      </c>
      <c r="AW219">
        <f t="shared" si="45"/>
        <v>14.149011066666667</v>
      </c>
      <c r="AX219" s="9"/>
      <c r="AY219" s="21">
        <v>0.95245400000000002</v>
      </c>
      <c r="AZ219" s="21">
        <v>29.835100000000001</v>
      </c>
      <c r="BA219" s="21">
        <v>-1.4804100000000001E-2</v>
      </c>
      <c r="BB219" s="21">
        <v>209</v>
      </c>
      <c r="BC219" s="21">
        <v>0.95153799999999999</v>
      </c>
      <c r="BD219">
        <f t="shared" si="46"/>
        <v>18.276666666666667</v>
      </c>
      <c r="BE219">
        <f t="shared" si="47"/>
        <v>17.407684273333334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0.76263400000000003</v>
      </c>
      <c r="H220" s="21">
        <v>7.1372299999999997</v>
      </c>
      <c r="I220" s="21">
        <v>-1.4855999999999999E-2</v>
      </c>
      <c r="J220" s="21">
        <v>210</v>
      </c>
      <c r="K220" s="21">
        <v>0.76202400000000003</v>
      </c>
      <c r="L220">
        <f t="shared" si="36"/>
        <v>18.340740740740738</v>
      </c>
      <c r="M220">
        <f t="shared" si="37"/>
        <v>13.987272474074073</v>
      </c>
      <c r="N220" s="9"/>
      <c r="O220" s="21">
        <v>0.94894400000000001</v>
      </c>
      <c r="P220" s="21">
        <v>16.178799999999999</v>
      </c>
      <c r="Q220" s="21">
        <v>-1.4798E-2</v>
      </c>
      <c r="R220" s="21">
        <v>173</v>
      </c>
      <c r="S220" s="21">
        <v>0.94757100000000005</v>
      </c>
      <c r="T220">
        <f t="shared" si="38"/>
        <v>18.269135802469137</v>
      </c>
      <c r="U220">
        <f t="shared" si="39"/>
        <v>17.336386804938272</v>
      </c>
      <c r="X220" s="9"/>
      <c r="Y220" s="21">
        <v>0.76263400000000003</v>
      </c>
      <c r="Z220" s="21">
        <v>16.551400000000001</v>
      </c>
      <c r="AA220" s="21">
        <v>-1.4917E-2</v>
      </c>
      <c r="AB220" s="21">
        <v>210</v>
      </c>
      <c r="AC220" s="21">
        <v>0.76171900000000003</v>
      </c>
      <c r="AD220">
        <f t="shared" si="40"/>
        <v>18.416049382716047</v>
      </c>
      <c r="AE220">
        <f t="shared" si="41"/>
        <v>14.04470540493827</v>
      </c>
      <c r="AF220" s="9"/>
      <c r="AG220" s="21">
        <v>0.95748900000000003</v>
      </c>
      <c r="AH220" s="21">
        <v>20.410900000000002</v>
      </c>
      <c r="AI220" s="21">
        <v>-1.47736E-2</v>
      </c>
      <c r="AJ220" s="21">
        <v>210</v>
      </c>
      <c r="AK220" s="21">
        <v>0.95611599999999997</v>
      </c>
      <c r="AL220">
        <f t="shared" si="42"/>
        <v>18.239012345679011</v>
      </c>
      <c r="AM220">
        <f t="shared" si="43"/>
        <v>17.463653691851853</v>
      </c>
      <c r="AP220" s="9"/>
      <c r="AQ220" s="21">
        <v>0.76263400000000003</v>
      </c>
      <c r="AR220" s="21">
        <v>25.985700000000001</v>
      </c>
      <c r="AS220" s="21">
        <v>-1.4932300000000001E-2</v>
      </c>
      <c r="AT220" s="21">
        <v>210</v>
      </c>
      <c r="AU220" s="21">
        <v>0.76171900000000003</v>
      </c>
      <c r="AV220">
        <f t="shared" si="44"/>
        <v>18.434938271604938</v>
      </c>
      <c r="AW220">
        <f t="shared" si="45"/>
        <v>14.059110713827161</v>
      </c>
      <c r="AX220" s="9"/>
      <c r="AY220" s="21">
        <v>0.95748900000000003</v>
      </c>
      <c r="AZ220" s="21">
        <v>29.845099999999999</v>
      </c>
      <c r="BA220" s="21">
        <v>-1.4801E-2</v>
      </c>
      <c r="BB220" s="21">
        <v>210</v>
      </c>
      <c r="BC220" s="21">
        <v>0.95642099999999997</v>
      </c>
      <c r="BD220">
        <f t="shared" si="46"/>
        <v>18.27283950617284</v>
      </c>
      <c r="BE220">
        <f t="shared" si="47"/>
        <v>17.496042825925926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0.75759900000000002</v>
      </c>
      <c r="H221" s="21">
        <v>7.1473000000000004</v>
      </c>
      <c r="I221" s="21">
        <v>-1.48529E-2</v>
      </c>
      <c r="J221" s="21">
        <v>211</v>
      </c>
      <c r="K221" s="21">
        <v>0.75683599999999995</v>
      </c>
      <c r="L221">
        <f t="shared" si="36"/>
        <v>18.336913580246915</v>
      </c>
      <c r="M221">
        <f t="shared" si="37"/>
        <v>13.892027391481482</v>
      </c>
      <c r="N221" s="9"/>
      <c r="O221" s="21">
        <v>0.95397900000000002</v>
      </c>
      <c r="P221" s="21">
        <v>16.168700000000001</v>
      </c>
      <c r="Q221" s="21">
        <v>-1.47949E-2</v>
      </c>
      <c r="R221" s="21">
        <v>172</v>
      </c>
      <c r="S221" s="21">
        <v>0.95306400000000002</v>
      </c>
      <c r="T221">
        <f t="shared" si="38"/>
        <v>18.265308641975306</v>
      </c>
      <c r="U221">
        <f t="shared" si="39"/>
        <v>17.424720872962961</v>
      </c>
      <c r="X221" s="9"/>
      <c r="Y221" s="21">
        <v>0.75759900000000002</v>
      </c>
      <c r="Z221" s="21">
        <v>16.561499999999999</v>
      </c>
      <c r="AA221" s="21">
        <v>-1.49109E-2</v>
      </c>
      <c r="AB221" s="21">
        <v>211</v>
      </c>
      <c r="AC221" s="21">
        <v>0.75683599999999995</v>
      </c>
      <c r="AD221">
        <f t="shared" si="40"/>
        <v>18.408518518518516</v>
      </c>
      <c r="AE221">
        <f t="shared" si="41"/>
        <v>13.94627522111111</v>
      </c>
      <c r="AF221" s="9"/>
      <c r="AG221" s="21">
        <v>0.96252400000000005</v>
      </c>
      <c r="AH221" s="21">
        <v>20.420999999999999</v>
      </c>
      <c r="AI221" s="21">
        <v>-1.4776600000000001E-2</v>
      </c>
      <c r="AJ221" s="21">
        <v>211</v>
      </c>
      <c r="AK221" s="21">
        <v>0.96130400000000005</v>
      </c>
      <c r="AL221">
        <f t="shared" si="42"/>
        <v>18.242716049382715</v>
      </c>
      <c r="AM221">
        <f t="shared" si="43"/>
        <v>17.559052022716049</v>
      </c>
      <c r="AP221" s="9"/>
      <c r="AQ221" s="21">
        <v>0.75759900000000002</v>
      </c>
      <c r="AR221" s="21">
        <v>25.995699999999999</v>
      </c>
      <c r="AS221" s="21">
        <v>-1.49292E-2</v>
      </c>
      <c r="AT221" s="21">
        <v>211</v>
      </c>
      <c r="AU221" s="21">
        <v>0.75622599999999995</v>
      </c>
      <c r="AV221">
        <f t="shared" si="44"/>
        <v>18.431111111111111</v>
      </c>
      <c r="AW221">
        <f t="shared" si="45"/>
        <v>13.963391346666667</v>
      </c>
      <c r="AX221" s="9"/>
      <c r="AY221" s="21">
        <v>0.96252400000000005</v>
      </c>
      <c r="AZ221" s="21">
        <v>29.8552</v>
      </c>
      <c r="BA221" s="21">
        <v>-1.47949E-2</v>
      </c>
      <c r="BB221" s="21">
        <v>211</v>
      </c>
      <c r="BC221" s="21">
        <v>0.96191400000000005</v>
      </c>
      <c r="BD221">
        <f t="shared" si="46"/>
        <v>18.265308641975306</v>
      </c>
      <c r="BE221">
        <f t="shared" si="47"/>
        <v>17.580797935308642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0.75256299999999998</v>
      </c>
      <c r="H222" s="21">
        <v>7.1573700000000002</v>
      </c>
      <c r="I222" s="21">
        <v>-1.4859000000000001E-2</v>
      </c>
      <c r="J222" s="21">
        <v>212</v>
      </c>
      <c r="K222" s="21">
        <v>0.75134299999999998</v>
      </c>
      <c r="L222">
        <f t="shared" si="36"/>
        <v>18.344444444444445</v>
      </c>
      <c r="M222">
        <f t="shared" si="37"/>
        <v>13.805350144444445</v>
      </c>
      <c r="N222" s="9"/>
      <c r="O222" s="21">
        <v>0.95901499999999995</v>
      </c>
      <c r="P222" s="21">
        <v>16.1587</v>
      </c>
      <c r="Q222" s="21">
        <v>-1.4782699999999999E-2</v>
      </c>
      <c r="R222" s="21">
        <v>171</v>
      </c>
      <c r="S222" s="21">
        <v>0.95825199999999999</v>
      </c>
      <c r="T222">
        <f t="shared" si="38"/>
        <v>18.250246913580245</v>
      </c>
      <c r="U222">
        <f t="shared" si="39"/>
        <v>17.502260543827159</v>
      </c>
      <c r="X222" s="9"/>
      <c r="Y222" s="21">
        <v>0.75256299999999998</v>
      </c>
      <c r="Z222" s="21">
        <v>16.5716</v>
      </c>
      <c r="AA222" s="21">
        <v>-1.4917E-2</v>
      </c>
      <c r="AB222" s="21">
        <v>212</v>
      </c>
      <c r="AC222" s="21">
        <v>0.75195299999999998</v>
      </c>
      <c r="AD222">
        <f t="shared" si="40"/>
        <v>18.416049382716047</v>
      </c>
      <c r="AE222">
        <f t="shared" si="41"/>
        <v>13.859237371604936</v>
      </c>
      <c r="AF222" s="9"/>
      <c r="AG222" s="21">
        <v>0.96755999999999998</v>
      </c>
      <c r="AH222" s="21">
        <v>20.431100000000001</v>
      </c>
      <c r="AI222" s="21">
        <v>-1.4776600000000001E-2</v>
      </c>
      <c r="AJ222" s="21">
        <v>212</v>
      </c>
      <c r="AK222" s="21">
        <v>0.96679700000000002</v>
      </c>
      <c r="AL222">
        <f t="shared" si="42"/>
        <v>18.242716049382715</v>
      </c>
      <c r="AM222">
        <f t="shared" si="43"/>
        <v>17.650922340740738</v>
      </c>
      <c r="AP222" s="9"/>
      <c r="AQ222" s="21">
        <v>0.75256299999999998</v>
      </c>
      <c r="AR222" s="21">
        <v>26.005800000000001</v>
      </c>
      <c r="AS222" s="21">
        <v>-1.49292E-2</v>
      </c>
      <c r="AT222" s="21">
        <v>212</v>
      </c>
      <c r="AU222" s="21">
        <v>0.75225799999999998</v>
      </c>
      <c r="AV222">
        <f t="shared" si="44"/>
        <v>18.431111111111111</v>
      </c>
      <c r="AW222">
        <f t="shared" si="45"/>
        <v>13.870572271111111</v>
      </c>
      <c r="AX222" s="9"/>
      <c r="AY222" s="21">
        <v>0.96755999999999998</v>
      </c>
      <c r="AZ222" s="21">
        <v>29.865300000000001</v>
      </c>
      <c r="BA222" s="21">
        <v>-1.47919E-2</v>
      </c>
      <c r="BB222" s="21">
        <v>212</v>
      </c>
      <c r="BC222" s="21">
        <v>0.96649200000000002</v>
      </c>
      <c r="BD222">
        <f t="shared" si="46"/>
        <v>18.261604938271603</v>
      </c>
      <c r="BE222">
        <f t="shared" si="47"/>
        <v>17.669198474074072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0.74752799999999997</v>
      </c>
      <c r="H223" s="21">
        <v>7.16744</v>
      </c>
      <c r="I223" s="21">
        <v>-1.4859000000000001E-2</v>
      </c>
      <c r="J223" s="21">
        <v>213</v>
      </c>
      <c r="K223" s="21">
        <v>0.74694799999999995</v>
      </c>
      <c r="L223">
        <f t="shared" si="36"/>
        <v>18.344444444444445</v>
      </c>
      <c r="M223">
        <f t="shared" si="37"/>
        <v>13.712985866666667</v>
      </c>
      <c r="N223" s="9"/>
      <c r="O223" s="21">
        <v>0.96404999999999996</v>
      </c>
      <c r="P223" s="21">
        <v>16.148599999999998</v>
      </c>
      <c r="Q223" s="21">
        <v>-1.4767499999999999E-2</v>
      </c>
      <c r="R223" s="21">
        <v>170</v>
      </c>
      <c r="S223" s="21">
        <v>0.96343999999999996</v>
      </c>
      <c r="T223">
        <f t="shared" si="38"/>
        <v>18.231481481481481</v>
      </c>
      <c r="U223">
        <f t="shared" si="39"/>
        <v>17.576059722222222</v>
      </c>
      <c r="X223" s="9"/>
      <c r="Y223" s="21">
        <v>0.74752799999999997</v>
      </c>
      <c r="Z223" s="21">
        <v>16.581700000000001</v>
      </c>
      <c r="AA223" s="21">
        <v>-1.4926099999999999E-2</v>
      </c>
      <c r="AB223" s="21">
        <v>213</v>
      </c>
      <c r="AC223" s="21">
        <v>0.74685699999999999</v>
      </c>
      <c r="AD223">
        <f t="shared" si="40"/>
        <v>18.427283950617284</v>
      </c>
      <c r="AE223">
        <f t="shared" si="41"/>
        <v>13.774910717037036</v>
      </c>
      <c r="AF223" s="9"/>
      <c r="AG223" s="21">
        <v>0.97259499999999999</v>
      </c>
      <c r="AH223" s="21">
        <v>20.441099999999999</v>
      </c>
      <c r="AI223" s="21">
        <v>-1.4776600000000001E-2</v>
      </c>
      <c r="AJ223" s="21">
        <v>213</v>
      </c>
      <c r="AK223" s="21">
        <v>0.97137499999999999</v>
      </c>
      <c r="AL223">
        <f t="shared" si="42"/>
        <v>18.242716049382715</v>
      </c>
      <c r="AM223">
        <f t="shared" si="43"/>
        <v>17.742774416049382</v>
      </c>
      <c r="AP223" s="9"/>
      <c r="AQ223" s="21">
        <v>0.74752799999999997</v>
      </c>
      <c r="AR223" s="21">
        <v>26.015899999999998</v>
      </c>
      <c r="AS223" s="21">
        <v>-1.4932300000000001E-2</v>
      </c>
      <c r="AT223" s="21">
        <v>213</v>
      </c>
      <c r="AU223" s="21">
        <v>0.74685699999999999</v>
      </c>
      <c r="AV223">
        <f t="shared" si="44"/>
        <v>18.434938271604938</v>
      </c>
      <c r="AW223">
        <f t="shared" si="45"/>
        <v>13.780632536296295</v>
      </c>
      <c r="AX223" s="9"/>
      <c r="AY223" s="21">
        <v>0.97259499999999999</v>
      </c>
      <c r="AZ223" s="21">
        <v>29.875399999999999</v>
      </c>
      <c r="BA223" s="21">
        <v>-1.47949E-2</v>
      </c>
      <c r="BB223" s="21">
        <v>213</v>
      </c>
      <c r="BC223" s="21">
        <v>0.97167999999999999</v>
      </c>
      <c r="BD223">
        <f t="shared" si="46"/>
        <v>18.265308641975306</v>
      </c>
      <c r="BE223">
        <f t="shared" si="47"/>
        <v>17.764747858641972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0.74249299999999996</v>
      </c>
      <c r="H224" s="21">
        <v>7.1775099999999998</v>
      </c>
      <c r="I224" s="21">
        <v>-1.4855999999999999E-2</v>
      </c>
      <c r="J224" s="21">
        <v>214</v>
      </c>
      <c r="K224" s="21">
        <v>0.74188200000000004</v>
      </c>
      <c r="L224">
        <f t="shared" si="36"/>
        <v>18.340740740740738</v>
      </c>
      <c r="M224">
        <f t="shared" si="37"/>
        <v>13.617871614814812</v>
      </c>
      <c r="N224" s="9"/>
      <c r="O224" s="21">
        <v>0.969086</v>
      </c>
      <c r="P224" s="21">
        <v>16.138500000000001</v>
      </c>
      <c r="Q224" s="21">
        <v>-1.47552E-2</v>
      </c>
      <c r="R224" s="21">
        <v>169</v>
      </c>
      <c r="S224" s="21">
        <v>0.96832300000000004</v>
      </c>
      <c r="T224">
        <f t="shared" si="38"/>
        <v>18.216296296296292</v>
      </c>
      <c r="U224">
        <f t="shared" si="39"/>
        <v>17.653157712592588</v>
      </c>
      <c r="X224" s="9"/>
      <c r="Y224" s="21">
        <v>0.74249299999999996</v>
      </c>
      <c r="Z224" s="21">
        <v>16.591699999999999</v>
      </c>
      <c r="AA224" s="21">
        <v>-1.49231E-2</v>
      </c>
      <c r="AB224" s="21">
        <v>214</v>
      </c>
      <c r="AC224" s="21">
        <v>0.74188200000000004</v>
      </c>
      <c r="AD224">
        <f t="shared" si="40"/>
        <v>18.423580246913577</v>
      </c>
      <c r="AE224">
        <f t="shared" si="41"/>
        <v>13.679379368271603</v>
      </c>
      <c r="AF224" s="9"/>
      <c r="AG224" s="21">
        <v>0.97763100000000003</v>
      </c>
      <c r="AH224" s="21">
        <v>20.4512</v>
      </c>
      <c r="AI224" s="21">
        <v>-1.47736E-2</v>
      </c>
      <c r="AJ224" s="21">
        <v>214</v>
      </c>
      <c r="AK224" s="21">
        <v>0.97656299999999996</v>
      </c>
      <c r="AL224">
        <f t="shared" si="42"/>
        <v>18.239012345679011</v>
      </c>
      <c r="AM224">
        <f t="shared" si="43"/>
        <v>17.831023878518518</v>
      </c>
      <c r="AP224" s="9"/>
      <c r="AQ224" s="21">
        <v>0.74249299999999996</v>
      </c>
      <c r="AR224" s="21">
        <v>26.026</v>
      </c>
      <c r="AS224" s="21">
        <v>-1.4932300000000001E-2</v>
      </c>
      <c r="AT224" s="21">
        <v>214</v>
      </c>
      <c r="AU224" s="21">
        <v>0.74188200000000004</v>
      </c>
      <c r="AV224">
        <f t="shared" si="44"/>
        <v>18.434938271604938</v>
      </c>
      <c r="AW224">
        <f t="shared" si="45"/>
        <v>13.687812622098765</v>
      </c>
      <c r="AX224" s="9"/>
      <c r="AY224" s="21">
        <v>0.97763100000000003</v>
      </c>
      <c r="AZ224" s="21">
        <v>29.885400000000001</v>
      </c>
      <c r="BA224" s="21">
        <v>-1.4798E-2</v>
      </c>
      <c r="BB224" s="21">
        <v>214</v>
      </c>
      <c r="BC224" s="21">
        <v>0.97686799999999996</v>
      </c>
      <c r="BD224">
        <f t="shared" si="46"/>
        <v>18.269135802469137</v>
      </c>
      <c r="BE224">
        <f t="shared" si="47"/>
        <v>17.860473503703705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0.73745700000000003</v>
      </c>
      <c r="H225" s="21">
        <v>7.1875799999999996</v>
      </c>
      <c r="I225" s="21">
        <v>-1.48621E-2</v>
      </c>
      <c r="J225" s="21">
        <v>215</v>
      </c>
      <c r="K225" s="21">
        <v>0.73678600000000005</v>
      </c>
      <c r="L225">
        <f t="shared" si="36"/>
        <v>18.348271604938269</v>
      </c>
      <c r="M225">
        <f t="shared" si="37"/>
        <v>13.531061332962961</v>
      </c>
      <c r="N225" s="9"/>
      <c r="O225" s="21">
        <v>0.97412100000000001</v>
      </c>
      <c r="P225" s="21">
        <v>16.128499999999999</v>
      </c>
      <c r="Q225" s="21">
        <v>-1.47522E-2</v>
      </c>
      <c r="R225" s="21">
        <v>168</v>
      </c>
      <c r="S225" s="21">
        <v>0.97320600000000002</v>
      </c>
      <c r="T225">
        <f t="shared" si="38"/>
        <v>18.212592592592593</v>
      </c>
      <c r="U225">
        <f t="shared" si="39"/>
        <v>17.741268908888888</v>
      </c>
      <c r="X225" s="9"/>
      <c r="Y225" s="21">
        <v>0.73745700000000003</v>
      </c>
      <c r="Z225" s="21">
        <v>16.601800000000001</v>
      </c>
      <c r="AA225" s="21">
        <v>-1.4926099999999999E-2</v>
      </c>
      <c r="AB225" s="21">
        <v>215</v>
      </c>
      <c r="AC225" s="21">
        <v>0.73681600000000003</v>
      </c>
      <c r="AD225">
        <f t="shared" si="40"/>
        <v>18.427283950617284</v>
      </c>
      <c r="AE225">
        <f t="shared" si="41"/>
        <v>13.58932954037037</v>
      </c>
      <c r="AF225" s="9"/>
      <c r="AG225" s="21">
        <v>0.98266600000000004</v>
      </c>
      <c r="AH225" s="21">
        <v>20.461300000000001</v>
      </c>
      <c r="AI225" s="21">
        <v>-1.4767499999999999E-2</v>
      </c>
      <c r="AJ225" s="21">
        <v>215</v>
      </c>
      <c r="AK225" s="21">
        <v>0.98175000000000001</v>
      </c>
      <c r="AL225">
        <f t="shared" si="42"/>
        <v>18.231481481481481</v>
      </c>
      <c r="AM225">
        <f t="shared" si="43"/>
        <v>17.91545698148148</v>
      </c>
      <c r="AP225" s="9"/>
      <c r="AQ225" s="21">
        <v>0.73745700000000003</v>
      </c>
      <c r="AR225" s="21">
        <v>26.036000000000001</v>
      </c>
      <c r="AS225" s="21">
        <v>-1.4932300000000001E-2</v>
      </c>
      <c r="AT225" s="21">
        <v>215</v>
      </c>
      <c r="AU225" s="21">
        <v>0.73672499999999996</v>
      </c>
      <c r="AV225">
        <f t="shared" si="44"/>
        <v>18.434938271604938</v>
      </c>
      <c r="AW225">
        <f t="shared" si="45"/>
        <v>13.594974272962963</v>
      </c>
      <c r="AX225" s="9"/>
      <c r="AY225" s="21">
        <v>0.98266600000000004</v>
      </c>
      <c r="AZ225" s="21">
        <v>29.895499999999998</v>
      </c>
      <c r="BA225" s="21">
        <v>-1.4804100000000001E-2</v>
      </c>
      <c r="BB225" s="21">
        <v>215</v>
      </c>
      <c r="BC225" s="21">
        <v>0.98175000000000001</v>
      </c>
      <c r="BD225">
        <f t="shared" si="46"/>
        <v>18.276666666666667</v>
      </c>
      <c r="BE225">
        <f t="shared" si="47"/>
        <v>17.959858926666669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0.73242200000000002</v>
      </c>
      <c r="H226" s="21">
        <v>7.1976500000000003</v>
      </c>
      <c r="I226" s="21">
        <v>-1.48621E-2</v>
      </c>
      <c r="J226" s="21">
        <v>216</v>
      </c>
      <c r="K226" s="21">
        <v>0.73178100000000001</v>
      </c>
      <c r="L226">
        <f t="shared" si="36"/>
        <v>18.348271604938269</v>
      </c>
      <c r="M226">
        <f t="shared" si="37"/>
        <v>13.438677785432096</v>
      </c>
      <c r="N226" s="9"/>
      <c r="O226" s="21">
        <v>0.97915600000000003</v>
      </c>
      <c r="P226" s="21">
        <v>16.118400000000001</v>
      </c>
      <c r="Q226" s="21">
        <v>-1.4749099999999999E-2</v>
      </c>
      <c r="R226" s="21">
        <v>167</v>
      </c>
      <c r="S226" s="21">
        <v>0.97869899999999999</v>
      </c>
      <c r="T226">
        <f t="shared" si="38"/>
        <v>18.208765432098765</v>
      </c>
      <c r="U226">
        <f t="shared" si="39"/>
        <v>17.829221925432098</v>
      </c>
      <c r="X226" s="9"/>
      <c r="Y226" s="21">
        <v>0.73242200000000002</v>
      </c>
      <c r="Z226" s="21">
        <v>16.611899999999999</v>
      </c>
      <c r="AA226" s="21">
        <v>-1.49292E-2</v>
      </c>
      <c r="AB226" s="21">
        <v>216</v>
      </c>
      <c r="AC226" s="21">
        <v>0.73178100000000001</v>
      </c>
      <c r="AD226">
        <f t="shared" si="40"/>
        <v>18.431111111111111</v>
      </c>
      <c r="AE226">
        <f t="shared" si="41"/>
        <v>13.499351262222222</v>
      </c>
      <c r="AF226" s="9"/>
      <c r="AG226" s="21">
        <v>0.98770100000000005</v>
      </c>
      <c r="AH226" s="21">
        <v>20.471299999999999</v>
      </c>
      <c r="AI226" s="21">
        <v>-1.4761399999999999E-2</v>
      </c>
      <c r="AJ226" s="21">
        <v>216</v>
      </c>
      <c r="AK226" s="21">
        <v>0.98632799999999998</v>
      </c>
      <c r="AL226">
        <f t="shared" si="42"/>
        <v>18.22395061728395</v>
      </c>
      <c r="AM226">
        <f t="shared" si="43"/>
        <v>17.999814248641975</v>
      </c>
      <c r="AP226" s="9"/>
      <c r="AQ226" s="21">
        <v>0.73242200000000002</v>
      </c>
      <c r="AR226" s="21">
        <v>26.046099999999999</v>
      </c>
      <c r="AS226" s="21">
        <v>-1.49353E-2</v>
      </c>
      <c r="AT226" s="21">
        <v>216</v>
      </c>
      <c r="AU226" s="21">
        <v>0.73178100000000001</v>
      </c>
      <c r="AV226">
        <f t="shared" si="44"/>
        <v>18.438641975308641</v>
      </c>
      <c r="AW226">
        <f t="shared" si="45"/>
        <v>13.504867032839506</v>
      </c>
      <c r="AX226" s="9"/>
      <c r="AY226" s="21">
        <v>0.98770100000000005</v>
      </c>
      <c r="AZ226" s="21">
        <v>29.9056</v>
      </c>
      <c r="BA226" s="21">
        <v>-1.4798E-2</v>
      </c>
      <c r="BB226" s="21">
        <v>216</v>
      </c>
      <c r="BC226" s="21">
        <v>0.98693799999999998</v>
      </c>
      <c r="BD226">
        <f t="shared" si="46"/>
        <v>18.269135802469137</v>
      </c>
      <c r="BE226">
        <f t="shared" si="47"/>
        <v>18.04444370123457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0.72738599999999998</v>
      </c>
      <c r="H227" s="21">
        <v>7.2077299999999997</v>
      </c>
      <c r="I227" s="21">
        <v>-1.4865099999999999E-2</v>
      </c>
      <c r="J227" s="21">
        <v>217</v>
      </c>
      <c r="K227" s="21">
        <v>0.72677599999999998</v>
      </c>
      <c r="L227">
        <f t="shared" si="36"/>
        <v>18.351975308641972</v>
      </c>
      <c r="M227">
        <f t="shared" si="37"/>
        <v>13.348969911851849</v>
      </c>
      <c r="N227" s="9"/>
      <c r="O227" s="21">
        <v>0.98419199999999996</v>
      </c>
      <c r="P227" s="21">
        <v>16.1083</v>
      </c>
      <c r="Q227" s="21">
        <v>-1.47461E-2</v>
      </c>
      <c r="R227" s="21">
        <v>166</v>
      </c>
      <c r="S227" s="21">
        <v>0.98358199999999996</v>
      </c>
      <c r="T227">
        <f t="shared" si="38"/>
        <v>18.205061728395062</v>
      </c>
      <c r="U227">
        <f t="shared" si="39"/>
        <v>17.917276112592592</v>
      </c>
      <c r="X227" s="9"/>
      <c r="Y227" s="21">
        <v>0.72738599999999998</v>
      </c>
      <c r="Z227" s="21">
        <v>16.6219</v>
      </c>
      <c r="AA227" s="21">
        <v>-1.4938399999999999E-2</v>
      </c>
      <c r="AB227" s="21">
        <v>217</v>
      </c>
      <c r="AC227" s="21">
        <v>0.72665400000000002</v>
      </c>
      <c r="AD227">
        <f t="shared" si="40"/>
        <v>18.442469135802465</v>
      </c>
      <c r="AE227">
        <f t="shared" si="41"/>
        <v>13.414793854814812</v>
      </c>
      <c r="AF227" s="9"/>
      <c r="AG227" s="21">
        <v>0.99273699999999998</v>
      </c>
      <c r="AH227" s="21">
        <v>20.481400000000001</v>
      </c>
      <c r="AI227" s="21">
        <v>-1.47583E-2</v>
      </c>
      <c r="AJ227" s="21">
        <v>217</v>
      </c>
      <c r="AK227" s="21">
        <v>0.99182099999999995</v>
      </c>
      <c r="AL227">
        <f t="shared" si="42"/>
        <v>18.22012345679012</v>
      </c>
      <c r="AM227">
        <f t="shared" si="43"/>
        <v>18.087790700123453</v>
      </c>
      <c r="AP227" s="9"/>
      <c r="AQ227" s="21">
        <v>0.72738599999999998</v>
      </c>
      <c r="AR227" s="21">
        <v>26.0562</v>
      </c>
      <c r="AS227" s="21">
        <v>-1.4947500000000001E-2</v>
      </c>
      <c r="AT227" s="21">
        <v>217</v>
      </c>
      <c r="AU227" s="21">
        <v>0.72683699999999996</v>
      </c>
      <c r="AV227">
        <f t="shared" si="44"/>
        <v>18.453703703703706</v>
      </c>
      <c r="AW227">
        <f t="shared" si="45"/>
        <v>13.422965722222223</v>
      </c>
      <c r="AX227" s="9"/>
      <c r="AY227" s="21">
        <v>0.99273699999999998</v>
      </c>
      <c r="AZ227" s="21">
        <v>29.915600000000001</v>
      </c>
      <c r="BA227" s="21">
        <v>-1.47949E-2</v>
      </c>
      <c r="BB227" s="21">
        <v>217</v>
      </c>
      <c r="BC227" s="21">
        <v>0.99212599999999995</v>
      </c>
      <c r="BD227">
        <f t="shared" si="46"/>
        <v>18.265308641975306</v>
      </c>
      <c r="BE227">
        <f t="shared" si="47"/>
        <v>18.132647705308639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0.72235099999999997</v>
      </c>
      <c r="H228" s="21">
        <v>7.2178000000000004</v>
      </c>
      <c r="I228" s="21">
        <v>-1.48621E-2</v>
      </c>
      <c r="J228" s="21">
        <v>218</v>
      </c>
      <c r="K228" s="21">
        <v>0.72170999999999996</v>
      </c>
      <c r="L228">
        <f t="shared" si="36"/>
        <v>18.348271604938269</v>
      </c>
      <c r="M228">
        <f t="shared" si="37"/>
        <v>13.253892342098762</v>
      </c>
      <c r="N228" s="9"/>
      <c r="O228" s="21">
        <v>0.98922699999999997</v>
      </c>
      <c r="P228" s="21">
        <v>16.098199999999999</v>
      </c>
      <c r="Q228" s="21">
        <v>-1.4749099999999999E-2</v>
      </c>
      <c r="R228" s="21">
        <v>165</v>
      </c>
      <c r="S228" s="21">
        <v>0.98846400000000001</v>
      </c>
      <c r="T228">
        <f t="shared" si="38"/>
        <v>18.208765432098765</v>
      </c>
      <c r="U228">
        <f t="shared" si="39"/>
        <v>18.012602402098764</v>
      </c>
      <c r="X228" s="9"/>
      <c r="Y228" s="21">
        <v>0.72235099999999997</v>
      </c>
      <c r="Z228" s="21">
        <v>16.632000000000001</v>
      </c>
      <c r="AA228" s="21">
        <v>-1.4947500000000001E-2</v>
      </c>
      <c r="AB228" s="21">
        <v>218</v>
      </c>
      <c r="AC228" s="21">
        <v>0.72174099999999997</v>
      </c>
      <c r="AD228">
        <f t="shared" si="40"/>
        <v>18.453703703703706</v>
      </c>
      <c r="AE228">
        <f t="shared" si="41"/>
        <v>13.330051324074075</v>
      </c>
      <c r="AF228" s="9"/>
      <c r="AG228" s="21">
        <v>0.99777199999999999</v>
      </c>
      <c r="AH228" s="21">
        <v>20.491499999999998</v>
      </c>
      <c r="AI228" s="21">
        <v>-1.47583E-2</v>
      </c>
      <c r="AJ228" s="21">
        <v>218</v>
      </c>
      <c r="AK228" s="21">
        <v>0.99670400000000003</v>
      </c>
      <c r="AL228">
        <f t="shared" si="42"/>
        <v>18.22012345679012</v>
      </c>
      <c r="AM228">
        <f t="shared" si="43"/>
        <v>18.179529021728392</v>
      </c>
      <c r="AP228" s="9"/>
      <c r="AQ228" s="21">
        <v>0.72235099999999997</v>
      </c>
      <c r="AR228" s="21">
        <v>26.066199999999998</v>
      </c>
      <c r="AS228" s="21">
        <v>-1.4947500000000001E-2</v>
      </c>
      <c r="AT228" s="21">
        <v>218</v>
      </c>
      <c r="AU228" s="21">
        <v>0.72167999999999999</v>
      </c>
      <c r="AV228">
        <f t="shared" si="44"/>
        <v>18.453703703703706</v>
      </c>
      <c r="AW228">
        <f t="shared" si="45"/>
        <v>13.330051324074075</v>
      </c>
      <c r="AX228" s="9"/>
      <c r="AY228" s="21">
        <v>0.99777199999999999</v>
      </c>
      <c r="AZ228" s="21">
        <v>29.925699999999999</v>
      </c>
      <c r="BA228" s="21">
        <v>-1.47919E-2</v>
      </c>
      <c r="BB228" s="21">
        <v>218</v>
      </c>
      <c r="BC228" s="21">
        <v>0.99700900000000003</v>
      </c>
      <c r="BD228">
        <f t="shared" si="46"/>
        <v>18.261604938271603</v>
      </c>
      <c r="BE228">
        <f t="shared" si="47"/>
        <v>18.220918082469133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0.71731599999999995</v>
      </c>
      <c r="H229" s="21">
        <v>7.2278700000000002</v>
      </c>
      <c r="I229" s="21">
        <v>-1.4859000000000001E-2</v>
      </c>
      <c r="J229" s="21">
        <v>219</v>
      </c>
      <c r="K229" s="21">
        <v>0.716553</v>
      </c>
      <c r="L229">
        <f t="shared" si="36"/>
        <v>18.344444444444445</v>
      </c>
      <c r="M229">
        <f t="shared" si="37"/>
        <v>13.158763511111111</v>
      </c>
      <c r="N229" s="9"/>
      <c r="O229" s="21">
        <v>0.99426300000000001</v>
      </c>
      <c r="P229" s="21">
        <v>16.088200000000001</v>
      </c>
      <c r="Q229" s="21">
        <v>-1.4749099999999999E-2</v>
      </c>
      <c r="R229" s="21">
        <v>164</v>
      </c>
      <c r="S229" s="21">
        <v>0.99334699999999998</v>
      </c>
      <c r="T229">
        <f t="shared" si="38"/>
        <v>18.208765432098765</v>
      </c>
      <c r="U229">
        <f t="shared" si="39"/>
        <v>18.104301744814816</v>
      </c>
      <c r="X229" s="9"/>
      <c r="Y229" s="21">
        <v>0.71731599999999995</v>
      </c>
      <c r="Z229" s="21">
        <v>16.642099999999999</v>
      </c>
      <c r="AA229" s="21">
        <v>-1.4938399999999999E-2</v>
      </c>
      <c r="AB229" s="21">
        <v>219</v>
      </c>
      <c r="AC229" s="21">
        <v>0.71667499999999995</v>
      </c>
      <c r="AD229">
        <f t="shared" si="40"/>
        <v>18.442469135802465</v>
      </c>
      <c r="AE229">
        <f t="shared" si="41"/>
        <v>13.22907819061728</v>
      </c>
      <c r="AF229" s="9"/>
      <c r="AG229" s="21">
        <v>1.00281</v>
      </c>
      <c r="AH229" s="21">
        <v>20.5016</v>
      </c>
      <c r="AI229" s="21">
        <v>-1.47552E-2</v>
      </c>
      <c r="AJ229" s="21">
        <v>219</v>
      </c>
      <c r="AK229" s="21">
        <v>1.00159</v>
      </c>
      <c r="AL229">
        <f t="shared" si="42"/>
        <v>18.216296296296292</v>
      </c>
      <c r="AM229">
        <f t="shared" si="43"/>
        <v>18.267484088888885</v>
      </c>
      <c r="AP229" s="9"/>
      <c r="AQ229" s="21">
        <v>0.71731599999999995</v>
      </c>
      <c r="AR229" s="21">
        <v>26.0763</v>
      </c>
      <c r="AS229" s="21">
        <v>-1.49506E-2</v>
      </c>
      <c r="AT229" s="21">
        <v>219</v>
      </c>
      <c r="AU229" s="21">
        <v>0.71673600000000004</v>
      </c>
      <c r="AV229">
        <f t="shared" si="44"/>
        <v>18.45753086419753</v>
      </c>
      <c r="AW229">
        <f t="shared" si="45"/>
        <v>13.239882209382714</v>
      </c>
      <c r="AX229" s="9"/>
      <c r="AY229" s="21">
        <v>1.00281</v>
      </c>
      <c r="AZ229" s="21">
        <v>29.9358</v>
      </c>
      <c r="BA229" s="21">
        <v>-1.4776600000000001E-2</v>
      </c>
      <c r="BB229" s="21">
        <v>219</v>
      </c>
      <c r="BC229" s="21">
        <v>1.0018899999999999</v>
      </c>
      <c r="BD229">
        <f t="shared" si="46"/>
        <v>18.242716049382715</v>
      </c>
      <c r="BE229">
        <f t="shared" si="47"/>
        <v>18.29397808148148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0.71228000000000002</v>
      </c>
      <c r="H230" s="21">
        <v>7.23794</v>
      </c>
      <c r="I230" s="21">
        <v>-1.4865099999999999E-2</v>
      </c>
      <c r="J230" s="21">
        <v>220</v>
      </c>
      <c r="K230" s="21">
        <v>0.71160900000000005</v>
      </c>
      <c r="L230">
        <f t="shared" si="36"/>
        <v>18.351975308641972</v>
      </c>
      <c r="M230">
        <f t="shared" si="37"/>
        <v>13.071744972839504</v>
      </c>
      <c r="N230" s="9"/>
      <c r="O230" s="21">
        <v>0.99929800000000002</v>
      </c>
      <c r="P230" s="21">
        <v>16.078099999999999</v>
      </c>
      <c r="Q230" s="21">
        <v>-1.47522E-2</v>
      </c>
      <c r="R230" s="21">
        <v>163</v>
      </c>
      <c r="S230" s="21">
        <v>0.99822999999999995</v>
      </c>
      <c r="T230">
        <f t="shared" si="38"/>
        <v>18.212592592592593</v>
      </c>
      <c r="U230">
        <f t="shared" si="39"/>
        <v>18.199807352592593</v>
      </c>
      <c r="X230" s="9"/>
      <c r="Y230" s="21">
        <v>0.71228000000000002</v>
      </c>
      <c r="Z230" s="21">
        <v>16.652200000000001</v>
      </c>
      <c r="AA230" s="21">
        <v>-1.4932300000000001E-2</v>
      </c>
      <c r="AB230" s="21">
        <v>220</v>
      </c>
      <c r="AC230" s="21">
        <v>0.71167000000000002</v>
      </c>
      <c r="AD230">
        <f t="shared" si="40"/>
        <v>18.434938271604938</v>
      </c>
      <c r="AE230">
        <f t="shared" si="41"/>
        <v>13.130837832098766</v>
      </c>
      <c r="AF230" s="9"/>
      <c r="AG230" s="21">
        <v>1.0078400000000001</v>
      </c>
      <c r="AH230" s="21">
        <v>20.511600000000001</v>
      </c>
      <c r="AI230" s="21">
        <v>-1.47522E-2</v>
      </c>
      <c r="AJ230" s="21">
        <v>220</v>
      </c>
      <c r="AK230" s="21">
        <v>1.00708</v>
      </c>
      <c r="AL230">
        <f t="shared" si="42"/>
        <v>18.212592592592593</v>
      </c>
      <c r="AM230">
        <f t="shared" si="43"/>
        <v>18.355379318518519</v>
      </c>
      <c r="AP230" s="9"/>
      <c r="AQ230" s="21">
        <v>0.71228000000000002</v>
      </c>
      <c r="AR230" s="21">
        <v>26.086400000000001</v>
      </c>
      <c r="AS230" s="21">
        <v>-1.49506E-2</v>
      </c>
      <c r="AT230" s="21">
        <v>220</v>
      </c>
      <c r="AU230" s="21">
        <v>0.71167000000000002</v>
      </c>
      <c r="AV230">
        <f t="shared" si="44"/>
        <v>18.45753086419753</v>
      </c>
      <c r="AW230">
        <f t="shared" si="45"/>
        <v>13.146930083950616</v>
      </c>
      <c r="AX230" s="9"/>
      <c r="AY230" s="21">
        <v>1.0078400000000001</v>
      </c>
      <c r="AZ230" s="21">
        <v>29.945900000000002</v>
      </c>
      <c r="BA230" s="21">
        <v>-1.47736E-2</v>
      </c>
      <c r="BB230" s="21">
        <v>220</v>
      </c>
      <c r="BC230" s="21">
        <v>1.00708</v>
      </c>
      <c r="BD230">
        <f t="shared" si="46"/>
        <v>18.239012345679011</v>
      </c>
      <c r="BE230">
        <f t="shared" si="47"/>
        <v>18.382006202469135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0.70724500000000001</v>
      </c>
      <c r="H231" s="21">
        <v>7.2480099999999998</v>
      </c>
      <c r="I231" s="21">
        <v>-1.48773E-2</v>
      </c>
      <c r="J231" s="21">
        <v>221</v>
      </c>
      <c r="K231" s="21">
        <v>0.70660400000000001</v>
      </c>
      <c r="L231">
        <f t="shared" si="36"/>
        <v>18.367037037037036</v>
      </c>
      <c r="M231">
        <f t="shared" si="37"/>
        <v>12.98999510925926</v>
      </c>
      <c r="N231" s="9"/>
      <c r="O231" s="21">
        <v>1.0043299999999999</v>
      </c>
      <c r="P231" s="21">
        <v>16.068000000000001</v>
      </c>
      <c r="Q231" s="21">
        <v>-1.47552E-2</v>
      </c>
      <c r="R231" s="21">
        <v>162</v>
      </c>
      <c r="S231" s="21">
        <v>1.0037199999999999</v>
      </c>
      <c r="T231">
        <f t="shared" si="38"/>
        <v>18.216296296296292</v>
      </c>
      <c r="U231">
        <f t="shared" si="39"/>
        <v>18.295172859259253</v>
      </c>
      <c r="X231" s="9"/>
      <c r="Y231" s="21">
        <v>0.70724500000000001</v>
      </c>
      <c r="Z231" s="21">
        <v>16.662199999999999</v>
      </c>
      <c r="AA231" s="21">
        <v>-1.4932300000000001E-2</v>
      </c>
      <c r="AB231" s="21">
        <v>221</v>
      </c>
      <c r="AC231" s="21">
        <v>0.70666499999999999</v>
      </c>
      <c r="AD231">
        <f t="shared" si="40"/>
        <v>18.434938271604938</v>
      </c>
      <c r="AE231">
        <f t="shared" si="41"/>
        <v>13.038017917901234</v>
      </c>
      <c r="AF231" s="9"/>
      <c r="AG231" s="21">
        <v>1.01288</v>
      </c>
      <c r="AH231" s="21">
        <v>20.521699999999999</v>
      </c>
      <c r="AI231" s="21">
        <v>-1.47461E-2</v>
      </c>
      <c r="AJ231" s="21">
        <v>221</v>
      </c>
      <c r="AK231" s="21">
        <v>1.01227</v>
      </c>
      <c r="AL231">
        <f t="shared" si="42"/>
        <v>18.205061728395062</v>
      </c>
      <c r="AM231">
        <f t="shared" si="43"/>
        <v>18.439542923456791</v>
      </c>
      <c r="AP231" s="9"/>
      <c r="AQ231" s="21">
        <v>0.70724500000000001</v>
      </c>
      <c r="AR231" s="21">
        <v>26.096499999999999</v>
      </c>
      <c r="AS231" s="21">
        <v>-1.49506E-2</v>
      </c>
      <c r="AT231" s="21">
        <v>221</v>
      </c>
      <c r="AU231" s="21">
        <v>0.70663500000000001</v>
      </c>
      <c r="AV231">
        <f t="shared" si="44"/>
        <v>18.45753086419753</v>
      </c>
      <c r="AW231">
        <f t="shared" si="45"/>
        <v>13.053996416049381</v>
      </c>
      <c r="AX231" s="9"/>
      <c r="AY231" s="21">
        <v>1.01288</v>
      </c>
      <c r="AZ231" s="21">
        <v>29.9559</v>
      </c>
      <c r="BA231" s="21">
        <v>-1.4770500000000001E-2</v>
      </c>
      <c r="BB231" s="21">
        <v>221</v>
      </c>
      <c r="BC231" s="21">
        <v>1.01166</v>
      </c>
      <c r="BD231">
        <f t="shared" si="46"/>
        <v>18.235185185185184</v>
      </c>
      <c r="BE231">
        <f t="shared" si="47"/>
        <v>18.47005437037037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0.70220899999999997</v>
      </c>
      <c r="H232" s="21">
        <v>7.2580799999999996</v>
      </c>
      <c r="I232" s="21">
        <v>-1.48743E-2</v>
      </c>
      <c r="J232" s="21">
        <v>222</v>
      </c>
      <c r="K232" s="21">
        <v>0.70159899999999997</v>
      </c>
      <c r="L232">
        <f t="shared" si="36"/>
        <v>18.363333333333333</v>
      </c>
      <c r="M232">
        <f t="shared" si="37"/>
        <v>12.894897936666666</v>
      </c>
      <c r="N232" s="9"/>
      <c r="O232" s="21">
        <v>1.0093700000000001</v>
      </c>
      <c r="P232" s="21">
        <v>16.058</v>
      </c>
      <c r="Q232" s="21">
        <v>-1.47583E-2</v>
      </c>
      <c r="R232" s="21">
        <v>161</v>
      </c>
      <c r="S232" s="21">
        <v>1.0083</v>
      </c>
      <c r="T232">
        <f t="shared" si="38"/>
        <v>18.22012345679012</v>
      </c>
      <c r="U232">
        <f t="shared" si="39"/>
        <v>18.390846013580244</v>
      </c>
      <c r="X232" s="9"/>
      <c r="Y232" s="21">
        <v>0.70220899999999997</v>
      </c>
      <c r="Z232" s="21">
        <v>16.6723</v>
      </c>
      <c r="AA232" s="21">
        <v>-1.4938399999999999E-2</v>
      </c>
      <c r="AB232" s="21">
        <v>222</v>
      </c>
      <c r="AC232" s="21">
        <v>0.70172100000000004</v>
      </c>
      <c r="AD232">
        <f t="shared" si="40"/>
        <v>18.442469135802465</v>
      </c>
      <c r="AE232">
        <f t="shared" si="41"/>
        <v>12.950467809382713</v>
      </c>
      <c r="AF232" s="9"/>
      <c r="AG232" s="21">
        <v>1.0179100000000001</v>
      </c>
      <c r="AH232" s="21">
        <v>20.5318</v>
      </c>
      <c r="AI232" s="21">
        <v>-1.4733899999999999E-2</v>
      </c>
      <c r="AJ232" s="21">
        <v>222</v>
      </c>
      <c r="AK232" s="21">
        <v>1.01624</v>
      </c>
      <c r="AL232">
        <f t="shared" si="42"/>
        <v>18.189999999999998</v>
      </c>
      <c r="AM232">
        <f t="shared" si="43"/>
        <v>18.515782899999998</v>
      </c>
      <c r="AP232" s="9"/>
      <c r="AQ232" s="21">
        <v>0.70220899999999997</v>
      </c>
      <c r="AR232" s="21">
        <v>26.1065</v>
      </c>
      <c r="AS232" s="21">
        <v>-1.4941400000000001E-2</v>
      </c>
      <c r="AT232" s="21">
        <v>222</v>
      </c>
      <c r="AU232" s="21">
        <v>0.70153799999999999</v>
      </c>
      <c r="AV232">
        <f t="shared" si="44"/>
        <v>18.446172839506172</v>
      </c>
      <c r="AW232">
        <f t="shared" si="45"/>
        <v>12.953068583456789</v>
      </c>
      <c r="AX232" s="9"/>
      <c r="AY232" s="21">
        <v>1.0179100000000001</v>
      </c>
      <c r="AZ232" s="21">
        <v>29.966000000000001</v>
      </c>
      <c r="BA232" s="21">
        <v>-1.4767499999999999E-2</v>
      </c>
      <c r="BB232" s="21">
        <v>222</v>
      </c>
      <c r="BC232" s="21">
        <v>1.01685</v>
      </c>
      <c r="BD232">
        <f t="shared" si="46"/>
        <v>18.231481481481481</v>
      </c>
      <c r="BE232">
        <f t="shared" si="47"/>
        <v>18.558007314814816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0.69717399999999996</v>
      </c>
      <c r="H233" s="21">
        <v>7.2681500000000003</v>
      </c>
      <c r="I233" s="21">
        <v>-1.48773E-2</v>
      </c>
      <c r="J233" s="21">
        <v>223</v>
      </c>
      <c r="K233" s="21">
        <v>0.69659400000000005</v>
      </c>
      <c r="L233">
        <f t="shared" si="36"/>
        <v>18.367037037037036</v>
      </c>
      <c r="M233">
        <f t="shared" si="37"/>
        <v>12.805020679259258</v>
      </c>
      <c r="N233" s="9"/>
      <c r="O233" s="21">
        <v>1.0144</v>
      </c>
      <c r="P233" s="21">
        <v>16.047899999999998</v>
      </c>
      <c r="Q233" s="21">
        <v>-1.47522E-2</v>
      </c>
      <c r="R233" s="21">
        <v>160</v>
      </c>
      <c r="S233" s="21">
        <v>1.01349</v>
      </c>
      <c r="T233">
        <f t="shared" si="38"/>
        <v>18.212592592592593</v>
      </c>
      <c r="U233">
        <f t="shared" si="39"/>
        <v>18.474853925925924</v>
      </c>
      <c r="X233" s="9"/>
      <c r="Y233" s="21">
        <v>0.69717399999999996</v>
      </c>
      <c r="Z233" s="21">
        <v>16.682400000000001</v>
      </c>
      <c r="AA233" s="21">
        <v>-1.4944499999999999E-2</v>
      </c>
      <c r="AB233" s="21">
        <v>223</v>
      </c>
      <c r="AC233" s="21">
        <v>0.69647199999999998</v>
      </c>
      <c r="AD233">
        <f t="shared" si="40"/>
        <v>18.45</v>
      </c>
      <c r="AE233">
        <f t="shared" si="41"/>
        <v>12.862860299999999</v>
      </c>
      <c r="AF233" s="9"/>
      <c r="AG233" s="21">
        <v>1.02295</v>
      </c>
      <c r="AH233" s="21">
        <v>20.541799999999999</v>
      </c>
      <c r="AI233" s="21">
        <v>-1.47247E-2</v>
      </c>
      <c r="AJ233" s="21">
        <v>223</v>
      </c>
      <c r="AK233" s="21">
        <v>1.02203</v>
      </c>
      <c r="AL233">
        <f t="shared" si="42"/>
        <v>18.178641975308643</v>
      </c>
      <c r="AM233">
        <f t="shared" si="43"/>
        <v>18.595841808641978</v>
      </c>
      <c r="AP233" s="9"/>
      <c r="AQ233" s="21">
        <v>0.69717399999999996</v>
      </c>
      <c r="AR233" s="21">
        <v>26.116599999999998</v>
      </c>
      <c r="AS233" s="21">
        <v>-1.4941400000000001E-2</v>
      </c>
      <c r="AT233" s="21">
        <v>223</v>
      </c>
      <c r="AU233" s="21">
        <v>0.69650299999999998</v>
      </c>
      <c r="AV233">
        <f t="shared" si="44"/>
        <v>18.446172839506172</v>
      </c>
      <c r="AW233">
        <f t="shared" si="45"/>
        <v>12.860192103209876</v>
      </c>
      <c r="AX233" s="9"/>
      <c r="AY233" s="21">
        <v>1.02295</v>
      </c>
      <c r="AZ233" s="21">
        <v>29.976099999999999</v>
      </c>
      <c r="BA233" s="21">
        <v>-1.4761399999999999E-2</v>
      </c>
      <c r="BB233" s="21">
        <v>223</v>
      </c>
      <c r="BC233" s="21">
        <v>1.02173</v>
      </c>
      <c r="BD233">
        <f t="shared" si="46"/>
        <v>18.22395061728395</v>
      </c>
      <c r="BE233">
        <f t="shared" si="47"/>
        <v>18.642190283950619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0.69213899999999995</v>
      </c>
      <c r="H234" s="21">
        <v>7.2782200000000001</v>
      </c>
      <c r="I234" s="21">
        <v>-1.48804E-2</v>
      </c>
      <c r="J234" s="21">
        <v>224</v>
      </c>
      <c r="K234" s="21">
        <v>0.69149799999999995</v>
      </c>
      <c r="L234">
        <f t="shared" si="36"/>
        <v>18.370864197530864</v>
      </c>
      <c r="M234">
        <f t="shared" si="37"/>
        <v>12.715191574814813</v>
      </c>
      <c r="N234" s="9"/>
      <c r="O234" s="21">
        <v>1.0194399999999999</v>
      </c>
      <c r="P234" s="21">
        <v>16.037800000000001</v>
      </c>
      <c r="Q234" s="21">
        <v>-1.4742999999999999E-2</v>
      </c>
      <c r="R234" s="21">
        <v>159</v>
      </c>
      <c r="S234" s="21">
        <v>1.01807</v>
      </c>
      <c r="T234">
        <f t="shared" si="38"/>
        <v>18.201234567901235</v>
      </c>
      <c r="U234">
        <f t="shared" si="39"/>
        <v>18.555066567901232</v>
      </c>
      <c r="X234" s="9"/>
      <c r="Y234" s="21">
        <v>0.69213899999999995</v>
      </c>
      <c r="Z234" s="21">
        <v>16.692399999999999</v>
      </c>
      <c r="AA234" s="21">
        <v>-1.4944499999999999E-2</v>
      </c>
      <c r="AB234" s="21">
        <v>224</v>
      </c>
      <c r="AC234" s="21">
        <v>0.69143699999999997</v>
      </c>
      <c r="AD234">
        <f t="shared" si="40"/>
        <v>18.45</v>
      </c>
      <c r="AE234">
        <f t="shared" si="41"/>
        <v>12.769964549999999</v>
      </c>
      <c r="AF234" s="9"/>
      <c r="AG234" s="21">
        <v>1.0279799999999999</v>
      </c>
      <c r="AH234" s="21">
        <v>20.5519</v>
      </c>
      <c r="AI234" s="21">
        <v>-1.4715600000000001E-2</v>
      </c>
      <c r="AJ234" s="21">
        <v>224</v>
      </c>
      <c r="AK234" s="21">
        <v>1.0275300000000001</v>
      </c>
      <c r="AL234">
        <f t="shared" si="42"/>
        <v>18.167407407407406</v>
      </c>
      <c r="AM234">
        <f t="shared" si="43"/>
        <v>18.675731466666665</v>
      </c>
      <c r="AP234" s="9"/>
      <c r="AQ234" s="21">
        <v>0.69213899999999995</v>
      </c>
      <c r="AR234" s="21">
        <v>26.1267</v>
      </c>
      <c r="AS234" s="21">
        <v>-1.49567E-2</v>
      </c>
      <c r="AT234" s="21">
        <v>224</v>
      </c>
      <c r="AU234" s="21">
        <v>0.69152800000000003</v>
      </c>
      <c r="AV234">
        <f t="shared" si="44"/>
        <v>18.46506172839506</v>
      </c>
      <c r="AW234">
        <f t="shared" si="45"/>
        <v>12.780389359629627</v>
      </c>
      <c r="AX234" s="9"/>
      <c r="AY234" s="21">
        <v>1.0279799999999999</v>
      </c>
      <c r="AZ234" s="21">
        <v>29.9861</v>
      </c>
      <c r="BA234" s="21">
        <v>-1.47552E-2</v>
      </c>
      <c r="BB234" s="21">
        <v>224</v>
      </c>
      <c r="BC234" s="21">
        <v>1.0275300000000001</v>
      </c>
      <c r="BD234">
        <f t="shared" si="46"/>
        <v>18.216296296296292</v>
      </c>
      <c r="BE234">
        <f t="shared" si="47"/>
        <v>18.725988266666661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0.68710300000000002</v>
      </c>
      <c r="H235" s="21">
        <v>7.2882899999999999</v>
      </c>
      <c r="I235" s="21">
        <v>-1.48743E-2</v>
      </c>
      <c r="J235" s="21">
        <v>225</v>
      </c>
      <c r="K235" s="21">
        <v>0.68646200000000002</v>
      </c>
      <c r="L235">
        <f t="shared" si="36"/>
        <v>18.363333333333333</v>
      </c>
      <c r="M235">
        <f t="shared" si="37"/>
        <v>12.617501423333334</v>
      </c>
      <c r="N235" s="9"/>
      <c r="O235" s="21">
        <v>1.0244800000000001</v>
      </c>
      <c r="P235" s="21">
        <v>16.027799999999999</v>
      </c>
      <c r="Q235" s="21">
        <v>-1.4736900000000001E-2</v>
      </c>
      <c r="R235" s="21">
        <v>158</v>
      </c>
      <c r="S235" s="21">
        <v>1.02356</v>
      </c>
      <c r="T235">
        <f t="shared" si="38"/>
        <v>18.193703703703704</v>
      </c>
      <c r="U235">
        <f t="shared" si="39"/>
        <v>18.639085570370373</v>
      </c>
      <c r="X235" s="9"/>
      <c r="Y235" s="21">
        <v>0.68710300000000002</v>
      </c>
      <c r="Z235" s="21">
        <v>16.702500000000001</v>
      </c>
      <c r="AA235" s="21">
        <v>-1.4947500000000001E-2</v>
      </c>
      <c r="AB235" s="21">
        <v>225</v>
      </c>
      <c r="AC235" s="21">
        <v>0.68640100000000004</v>
      </c>
      <c r="AD235">
        <f t="shared" si="40"/>
        <v>18.453703703703706</v>
      </c>
      <c r="AE235">
        <f t="shared" si="41"/>
        <v>12.679595175925927</v>
      </c>
      <c r="AF235" s="9"/>
      <c r="AG235" s="21">
        <v>1.03302</v>
      </c>
      <c r="AH235" s="21">
        <v>20.562000000000001</v>
      </c>
      <c r="AI235" s="21">
        <v>-1.4715600000000001E-2</v>
      </c>
      <c r="AJ235" s="21">
        <v>225</v>
      </c>
      <c r="AK235" s="21">
        <v>1.03241</v>
      </c>
      <c r="AL235">
        <f t="shared" si="42"/>
        <v>18.167407407407406</v>
      </c>
      <c r="AM235">
        <f t="shared" si="43"/>
        <v>18.7672952</v>
      </c>
      <c r="AP235" s="9"/>
      <c r="AQ235" s="21">
        <v>0.68710300000000002</v>
      </c>
      <c r="AR235" s="21">
        <v>26.136700000000001</v>
      </c>
      <c r="AS235" s="21">
        <v>-1.49719E-2</v>
      </c>
      <c r="AT235" s="21">
        <v>225</v>
      </c>
      <c r="AU235" s="21">
        <v>0.68652299999999999</v>
      </c>
      <c r="AV235">
        <f t="shared" si="44"/>
        <v>18.483827160493824</v>
      </c>
      <c r="AW235">
        <f t="shared" si="45"/>
        <v>12.700293093456789</v>
      </c>
      <c r="AX235" s="9"/>
      <c r="AY235" s="21">
        <v>1.03302</v>
      </c>
      <c r="AZ235" s="21">
        <v>29.996200000000002</v>
      </c>
      <c r="BA235" s="21">
        <v>-1.4749099999999999E-2</v>
      </c>
      <c r="BB235" s="21">
        <v>225</v>
      </c>
      <c r="BC235" s="21">
        <v>1.0318000000000001</v>
      </c>
      <c r="BD235">
        <f t="shared" si="46"/>
        <v>18.208765432098765</v>
      </c>
      <c r="BE235">
        <f t="shared" si="47"/>
        <v>18.810018866666667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0.68206800000000001</v>
      </c>
      <c r="H236" s="21">
        <v>7.2983599999999997</v>
      </c>
      <c r="I236" s="21">
        <v>-1.48682E-2</v>
      </c>
      <c r="J236" s="21">
        <v>226</v>
      </c>
      <c r="K236" s="21">
        <v>0.68145800000000001</v>
      </c>
      <c r="L236">
        <f t="shared" si="36"/>
        <v>18.355802469135799</v>
      </c>
      <c r="M236">
        <f t="shared" si="37"/>
        <v>12.519905478518517</v>
      </c>
      <c r="N236" s="9"/>
      <c r="O236" s="21">
        <v>1.0295099999999999</v>
      </c>
      <c r="P236" s="21">
        <v>16.017700000000001</v>
      </c>
      <c r="Q236" s="21">
        <v>-1.4736900000000001E-2</v>
      </c>
      <c r="R236" s="21">
        <v>157</v>
      </c>
      <c r="S236" s="21">
        <v>1.0287500000000001</v>
      </c>
      <c r="T236">
        <f t="shared" si="38"/>
        <v>18.193703703703704</v>
      </c>
      <c r="U236">
        <f t="shared" si="39"/>
        <v>18.730599899999998</v>
      </c>
      <c r="X236" s="9"/>
      <c r="Y236" s="21">
        <v>0.68206800000000001</v>
      </c>
      <c r="Z236" s="21">
        <v>16.712599999999998</v>
      </c>
      <c r="AA236" s="21">
        <v>-1.4947500000000001E-2</v>
      </c>
      <c r="AB236" s="21">
        <v>226</v>
      </c>
      <c r="AC236" s="21">
        <v>0.68145800000000001</v>
      </c>
      <c r="AD236">
        <f t="shared" si="40"/>
        <v>18.453703703703706</v>
      </c>
      <c r="AE236">
        <f t="shared" si="41"/>
        <v>12.586680777777779</v>
      </c>
      <c r="AF236" s="9"/>
      <c r="AG236" s="21">
        <v>1.03806</v>
      </c>
      <c r="AH236" s="21">
        <v>20.572099999999999</v>
      </c>
      <c r="AI236" s="21">
        <v>-1.47186E-2</v>
      </c>
      <c r="AJ236" s="21">
        <v>226</v>
      </c>
      <c r="AK236" s="21">
        <v>1.0369900000000001</v>
      </c>
      <c r="AL236">
        <f t="shared" si="42"/>
        <v>18.171111111111109</v>
      </c>
      <c r="AM236">
        <f t="shared" si="43"/>
        <v>18.8627036</v>
      </c>
      <c r="AP236" s="9"/>
      <c r="AQ236" s="21">
        <v>0.68206800000000001</v>
      </c>
      <c r="AR236" s="21">
        <v>26.146799999999999</v>
      </c>
      <c r="AS236" s="21">
        <v>-1.49689E-2</v>
      </c>
      <c r="AT236" s="21">
        <v>226</v>
      </c>
      <c r="AU236" s="21">
        <v>0.681396</v>
      </c>
      <c r="AV236">
        <f t="shared" si="44"/>
        <v>18.480123456790125</v>
      </c>
      <c r="AW236">
        <f t="shared" si="45"/>
        <v>12.604700845925928</v>
      </c>
      <c r="AX236" s="9"/>
      <c r="AY236" s="21">
        <v>1.03806</v>
      </c>
      <c r="AZ236" s="21">
        <v>30.0063</v>
      </c>
      <c r="BA236" s="21">
        <v>-1.4742999999999999E-2</v>
      </c>
      <c r="BB236" s="21">
        <v>226</v>
      </c>
      <c r="BC236" s="21">
        <v>1.03668</v>
      </c>
      <c r="BD236">
        <f t="shared" si="46"/>
        <v>18.201234567901235</v>
      </c>
      <c r="BE236">
        <f t="shared" si="47"/>
        <v>18.893973555555554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0.67703199999999997</v>
      </c>
      <c r="H237" s="21">
        <v>7.30844</v>
      </c>
      <c r="I237" s="21">
        <v>-1.4865099999999999E-2</v>
      </c>
      <c r="J237" s="21">
        <v>227</v>
      </c>
      <c r="K237" s="21">
        <v>0.67642199999999997</v>
      </c>
      <c r="L237">
        <f t="shared" si="36"/>
        <v>18.351975308641972</v>
      </c>
      <c r="M237">
        <f t="shared" si="37"/>
        <v>12.42487454716049</v>
      </c>
      <c r="N237" s="9"/>
      <c r="O237" s="21">
        <v>1.0345500000000001</v>
      </c>
      <c r="P237" s="21">
        <v>16.0076</v>
      </c>
      <c r="Q237" s="21">
        <v>-1.47308E-2</v>
      </c>
      <c r="R237" s="21">
        <v>156</v>
      </c>
      <c r="S237" s="21">
        <v>1.03363</v>
      </c>
      <c r="T237">
        <f t="shared" si="38"/>
        <v>18.186172839506174</v>
      </c>
      <c r="U237">
        <f t="shared" si="39"/>
        <v>18.814505111111114</v>
      </c>
      <c r="X237" s="9"/>
      <c r="Y237" s="21">
        <v>0.67703199999999997</v>
      </c>
      <c r="Z237" s="21">
        <v>16.7227</v>
      </c>
      <c r="AA237" s="21">
        <v>-1.4947500000000001E-2</v>
      </c>
      <c r="AB237" s="21">
        <v>227</v>
      </c>
      <c r="AC237" s="21">
        <v>0.67645299999999997</v>
      </c>
      <c r="AD237">
        <f t="shared" si="40"/>
        <v>18.453703703703706</v>
      </c>
      <c r="AE237">
        <f t="shared" si="41"/>
        <v>12.493747925925927</v>
      </c>
      <c r="AF237" s="9"/>
      <c r="AG237" s="21">
        <v>1.0430900000000001</v>
      </c>
      <c r="AH237" s="21">
        <v>20.582100000000001</v>
      </c>
      <c r="AI237" s="21">
        <v>-1.47186E-2</v>
      </c>
      <c r="AJ237" s="21">
        <v>227</v>
      </c>
      <c r="AK237" s="21">
        <v>1.0421800000000001</v>
      </c>
      <c r="AL237">
        <f t="shared" si="42"/>
        <v>18.171111111111109</v>
      </c>
      <c r="AM237">
        <f t="shared" si="43"/>
        <v>18.954104288888889</v>
      </c>
      <c r="AP237" s="9"/>
      <c r="AQ237" s="21">
        <v>0.67703199999999997</v>
      </c>
      <c r="AR237" s="21">
        <v>26.1569</v>
      </c>
      <c r="AS237" s="21">
        <v>-1.49658E-2</v>
      </c>
      <c r="AT237" s="21">
        <v>227</v>
      </c>
      <c r="AU237" s="21">
        <v>0.67639199999999999</v>
      </c>
      <c r="AV237">
        <f t="shared" si="44"/>
        <v>18.476296296296297</v>
      </c>
      <c r="AW237">
        <f t="shared" si="45"/>
        <v>12.509043834074074</v>
      </c>
      <c r="AX237" s="9"/>
      <c r="AY237" s="21">
        <v>1.0430900000000001</v>
      </c>
      <c r="AZ237" s="21">
        <v>30.016400000000001</v>
      </c>
      <c r="BA237" s="21">
        <v>-1.474E-2</v>
      </c>
      <c r="BB237" s="21">
        <v>227</v>
      </c>
      <c r="BC237" s="21">
        <v>1.0424800000000001</v>
      </c>
      <c r="BD237">
        <f t="shared" si="46"/>
        <v>18.197530864197528</v>
      </c>
      <c r="BE237">
        <f t="shared" si="47"/>
        <v>18.981662469135802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0.67199699999999996</v>
      </c>
      <c r="H238" s="21">
        <v>7.3185099999999998</v>
      </c>
      <c r="I238" s="21">
        <v>-1.4859000000000001E-2</v>
      </c>
      <c r="J238" s="21">
        <v>228</v>
      </c>
      <c r="K238" s="21">
        <v>0.67135599999999995</v>
      </c>
      <c r="L238">
        <f t="shared" si="36"/>
        <v>18.344444444444445</v>
      </c>
      <c r="M238">
        <f t="shared" si="37"/>
        <v>12.327411633333332</v>
      </c>
      <c r="N238" s="9"/>
      <c r="O238" s="21">
        <v>1.0395799999999999</v>
      </c>
      <c r="P238" s="21">
        <v>15.9975</v>
      </c>
      <c r="Q238" s="21">
        <v>-1.47186E-2</v>
      </c>
      <c r="R238" s="21">
        <v>155</v>
      </c>
      <c r="S238" s="21">
        <v>1.03851</v>
      </c>
      <c r="T238">
        <f t="shared" si="38"/>
        <v>18.171111111111109</v>
      </c>
      <c r="U238">
        <f t="shared" si="39"/>
        <v>18.890323688888888</v>
      </c>
      <c r="X238" s="9"/>
      <c r="Y238" s="21">
        <v>0.67199699999999996</v>
      </c>
      <c r="Z238" s="21">
        <v>16.732700000000001</v>
      </c>
      <c r="AA238" s="21">
        <v>-1.4944499999999999E-2</v>
      </c>
      <c r="AB238" s="21">
        <v>228</v>
      </c>
      <c r="AC238" s="21">
        <v>0.67135599999999995</v>
      </c>
      <c r="AD238">
        <f t="shared" si="40"/>
        <v>18.45</v>
      </c>
      <c r="AE238">
        <f t="shared" si="41"/>
        <v>12.398344649999999</v>
      </c>
      <c r="AF238" s="9"/>
      <c r="AG238" s="21">
        <v>1.04813</v>
      </c>
      <c r="AH238" s="21">
        <v>20.592199999999998</v>
      </c>
      <c r="AI238" s="21">
        <v>-1.47125E-2</v>
      </c>
      <c r="AJ238" s="21">
        <v>228</v>
      </c>
      <c r="AK238" s="21">
        <v>1.0470600000000001</v>
      </c>
      <c r="AL238">
        <f t="shared" si="42"/>
        <v>18.163580246913579</v>
      </c>
      <c r="AM238">
        <f t="shared" si="43"/>
        <v>19.03779336419753</v>
      </c>
      <c r="AP238" s="9"/>
      <c r="AQ238" s="21">
        <v>0.67199699999999996</v>
      </c>
      <c r="AR238" s="21">
        <v>26.167000000000002</v>
      </c>
      <c r="AS238" s="21">
        <v>-1.4953599999999999E-2</v>
      </c>
      <c r="AT238" s="21">
        <v>228</v>
      </c>
      <c r="AU238" s="21">
        <v>0.67138699999999996</v>
      </c>
      <c r="AV238">
        <f t="shared" si="44"/>
        <v>18.461234567901233</v>
      </c>
      <c r="AW238">
        <f t="shared" si="45"/>
        <v>12.405894245925923</v>
      </c>
      <c r="AX238" s="9"/>
      <c r="AY238" s="21">
        <v>1.04813</v>
      </c>
      <c r="AZ238" s="21">
        <v>30.026399999999999</v>
      </c>
      <c r="BA238" s="21">
        <v>-1.4733899999999999E-2</v>
      </c>
      <c r="BB238" s="21">
        <v>228</v>
      </c>
      <c r="BC238" s="21">
        <v>1.0467500000000001</v>
      </c>
      <c r="BD238">
        <f t="shared" si="46"/>
        <v>18.189999999999998</v>
      </c>
      <c r="BE238">
        <f t="shared" si="47"/>
        <v>19.065484699999999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0.66696200000000005</v>
      </c>
      <c r="H239" s="21">
        <v>7.3285799999999997</v>
      </c>
      <c r="I239" s="21">
        <v>-1.4855999999999999E-2</v>
      </c>
      <c r="J239" s="21">
        <v>229</v>
      </c>
      <c r="K239" s="21">
        <v>0.66632100000000005</v>
      </c>
      <c r="L239">
        <f t="shared" si="36"/>
        <v>18.340740740740738</v>
      </c>
      <c r="M239">
        <f t="shared" si="37"/>
        <v>12.232577125925925</v>
      </c>
      <c r="N239" s="9"/>
      <c r="O239" s="21">
        <v>1.0446200000000001</v>
      </c>
      <c r="P239" s="21">
        <v>15.987500000000001</v>
      </c>
      <c r="Q239" s="21">
        <v>-1.47095E-2</v>
      </c>
      <c r="R239" s="21">
        <v>154</v>
      </c>
      <c r="S239" s="21">
        <v>1.0437000000000001</v>
      </c>
      <c r="T239">
        <f t="shared" si="38"/>
        <v>18.159876543209876</v>
      </c>
      <c r="U239">
        <f t="shared" si="39"/>
        <v>18.970170234567902</v>
      </c>
      <c r="X239" s="9"/>
      <c r="Y239" s="21">
        <v>0.66696200000000005</v>
      </c>
      <c r="Z239" s="21">
        <v>16.742799999999999</v>
      </c>
      <c r="AA239" s="21">
        <v>-1.4941400000000001E-2</v>
      </c>
      <c r="AB239" s="21">
        <v>229</v>
      </c>
      <c r="AC239" s="21">
        <v>0.66632100000000005</v>
      </c>
      <c r="AD239">
        <f t="shared" si="40"/>
        <v>18.446172839506172</v>
      </c>
      <c r="AE239">
        <f t="shared" si="41"/>
        <v>12.302896329382717</v>
      </c>
      <c r="AF239" s="9"/>
      <c r="AG239" s="21">
        <v>1.0531600000000001</v>
      </c>
      <c r="AH239" s="21">
        <v>20.6023</v>
      </c>
      <c r="AI239" s="21">
        <v>-1.47034E-2</v>
      </c>
      <c r="AJ239" s="21">
        <v>229</v>
      </c>
      <c r="AK239" s="21">
        <v>1.0528599999999999</v>
      </c>
      <c r="AL239">
        <f t="shared" si="42"/>
        <v>18.152345679012342</v>
      </c>
      <c r="AM239">
        <f t="shared" si="43"/>
        <v>19.117324375308641</v>
      </c>
      <c r="AP239" s="9"/>
      <c r="AQ239" s="21">
        <v>0.66696200000000005</v>
      </c>
      <c r="AR239" s="21">
        <v>26.177</v>
      </c>
      <c r="AS239" s="21">
        <v>-1.4944499999999999E-2</v>
      </c>
      <c r="AT239" s="21">
        <v>229</v>
      </c>
      <c r="AU239" s="21">
        <v>0.66629000000000005</v>
      </c>
      <c r="AV239">
        <f t="shared" si="44"/>
        <v>18.45</v>
      </c>
      <c r="AW239">
        <f t="shared" si="45"/>
        <v>12.3054489</v>
      </c>
      <c r="AX239" s="9"/>
      <c r="AY239" s="21">
        <v>1.0531600000000001</v>
      </c>
      <c r="AZ239" s="21">
        <v>30.0365</v>
      </c>
      <c r="BA239" s="21">
        <v>-1.4733899999999999E-2</v>
      </c>
      <c r="BB239" s="21">
        <v>229</v>
      </c>
      <c r="BC239" s="21">
        <v>1.0516399999999999</v>
      </c>
      <c r="BD239">
        <f t="shared" si="46"/>
        <v>18.189999999999998</v>
      </c>
      <c r="BE239">
        <f t="shared" si="47"/>
        <v>19.156980399999998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0.66192600000000001</v>
      </c>
      <c r="H240" s="21">
        <v>7.3386500000000003</v>
      </c>
      <c r="I240" s="21">
        <v>-1.48529E-2</v>
      </c>
      <c r="J240" s="21">
        <v>230</v>
      </c>
      <c r="K240" s="21">
        <v>0.66122400000000003</v>
      </c>
      <c r="L240">
        <f t="shared" si="36"/>
        <v>18.336913580246915</v>
      </c>
      <c r="M240">
        <f t="shared" si="37"/>
        <v>12.137679858518519</v>
      </c>
      <c r="N240" s="9"/>
      <c r="O240" s="21">
        <v>1.04965</v>
      </c>
      <c r="P240" s="21">
        <v>15.977399999999999</v>
      </c>
      <c r="Q240" s="21">
        <v>-1.47034E-2</v>
      </c>
      <c r="R240" s="21">
        <v>153</v>
      </c>
      <c r="S240" s="21">
        <v>1.0485800000000001</v>
      </c>
      <c r="T240">
        <f t="shared" si="38"/>
        <v>18.152345679012342</v>
      </c>
      <c r="U240">
        <f t="shared" si="39"/>
        <v>19.053609641975303</v>
      </c>
      <c r="X240" s="9"/>
      <c r="Y240" s="21">
        <v>0.66192600000000001</v>
      </c>
      <c r="Z240" s="21">
        <v>16.7529</v>
      </c>
      <c r="AA240" s="21">
        <v>-1.4941400000000001E-2</v>
      </c>
      <c r="AB240" s="21">
        <v>230</v>
      </c>
      <c r="AC240" s="21">
        <v>0.66140699999999997</v>
      </c>
      <c r="AD240">
        <f t="shared" si="40"/>
        <v>18.446172839506172</v>
      </c>
      <c r="AE240">
        <f t="shared" si="41"/>
        <v>12.210001402962963</v>
      </c>
      <c r="AF240" s="9"/>
      <c r="AG240" s="21">
        <v>1.0582</v>
      </c>
      <c r="AH240" s="21">
        <v>20.612300000000001</v>
      </c>
      <c r="AI240" s="21">
        <v>-1.4688100000000001E-2</v>
      </c>
      <c r="AJ240" s="21">
        <v>230</v>
      </c>
      <c r="AK240" s="21">
        <v>1.0580400000000001</v>
      </c>
      <c r="AL240">
        <f t="shared" si="42"/>
        <v>18.133456790123457</v>
      </c>
      <c r="AM240">
        <f t="shared" si="43"/>
        <v>19.188823975308644</v>
      </c>
      <c r="AP240" s="9"/>
      <c r="AQ240" s="21">
        <v>0.66192600000000001</v>
      </c>
      <c r="AR240" s="21">
        <v>26.187100000000001</v>
      </c>
      <c r="AS240" s="21">
        <v>-1.4941400000000001E-2</v>
      </c>
      <c r="AT240" s="21">
        <v>230</v>
      </c>
      <c r="AU240" s="21">
        <v>0.66128500000000001</v>
      </c>
      <c r="AV240">
        <f t="shared" si="44"/>
        <v>18.446172839506172</v>
      </c>
      <c r="AW240">
        <f t="shared" si="45"/>
        <v>12.210001402962963</v>
      </c>
      <c r="AX240" s="9"/>
      <c r="AY240" s="21">
        <v>1.0582</v>
      </c>
      <c r="AZ240" s="21">
        <v>30.046600000000002</v>
      </c>
      <c r="BA240" s="21">
        <v>-1.474E-2</v>
      </c>
      <c r="BB240" s="21">
        <v>230</v>
      </c>
      <c r="BC240" s="21">
        <v>1.0574300000000001</v>
      </c>
      <c r="BD240">
        <f t="shared" si="46"/>
        <v>18.197530864197528</v>
      </c>
      <c r="BE240">
        <f t="shared" si="47"/>
        <v>19.256627160493824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0.656891</v>
      </c>
      <c r="H241" s="21">
        <v>7.3487200000000001</v>
      </c>
      <c r="I241" s="21">
        <v>-1.48621E-2</v>
      </c>
      <c r="J241" s="21">
        <v>231</v>
      </c>
      <c r="K241" s="21">
        <v>0.65634199999999998</v>
      </c>
      <c r="L241">
        <f t="shared" si="36"/>
        <v>18.348271604938269</v>
      </c>
      <c r="M241">
        <f t="shared" si="37"/>
        <v>12.052814482839505</v>
      </c>
      <c r="N241" s="9"/>
      <c r="O241" s="21">
        <v>1.0546899999999999</v>
      </c>
      <c r="P241" s="21">
        <v>15.9673</v>
      </c>
      <c r="Q241" s="21">
        <v>-1.4694199999999999E-2</v>
      </c>
      <c r="R241" s="21">
        <v>152</v>
      </c>
      <c r="S241" s="21">
        <v>1.0540799999999999</v>
      </c>
      <c r="T241">
        <f t="shared" si="38"/>
        <v>18.140987654320988</v>
      </c>
      <c r="U241">
        <f t="shared" si="39"/>
        <v>19.133118269135799</v>
      </c>
      <c r="X241" s="9"/>
      <c r="Y241" s="21">
        <v>0.656891</v>
      </c>
      <c r="Z241" s="21">
        <v>16.762899999999998</v>
      </c>
      <c r="AA241" s="21">
        <v>-1.4941400000000001E-2</v>
      </c>
      <c r="AB241" s="21">
        <v>231</v>
      </c>
      <c r="AC241" s="21">
        <v>0.65631099999999998</v>
      </c>
      <c r="AD241">
        <f t="shared" si="40"/>
        <v>18.446172839506172</v>
      </c>
      <c r="AE241">
        <f t="shared" si="41"/>
        <v>12.117124922716048</v>
      </c>
      <c r="AF241" s="9"/>
      <c r="AG241" s="21">
        <v>1.0632299999999999</v>
      </c>
      <c r="AH241" s="21">
        <v>20.622399999999999</v>
      </c>
      <c r="AI241" s="21">
        <v>-1.46759E-2</v>
      </c>
      <c r="AJ241" s="21">
        <v>231</v>
      </c>
      <c r="AK241" s="21">
        <v>1.0623199999999999</v>
      </c>
      <c r="AL241">
        <f t="shared" si="42"/>
        <v>18.118395061728396</v>
      </c>
      <c r="AM241">
        <f t="shared" si="43"/>
        <v>19.264021181481482</v>
      </c>
      <c r="AP241" s="9"/>
      <c r="AQ241" s="21">
        <v>0.656891</v>
      </c>
      <c r="AR241" s="21">
        <v>26.197199999999999</v>
      </c>
      <c r="AS241" s="21">
        <v>-1.4953599999999999E-2</v>
      </c>
      <c r="AT241" s="21">
        <v>231</v>
      </c>
      <c r="AU241" s="21">
        <v>0.656281</v>
      </c>
      <c r="AV241">
        <f t="shared" si="44"/>
        <v>18.461234567901233</v>
      </c>
      <c r="AW241">
        <f t="shared" si="45"/>
        <v>12.127018836543209</v>
      </c>
      <c r="AX241" s="9"/>
      <c r="AY241" s="21">
        <v>1.0632299999999999</v>
      </c>
      <c r="AZ241" s="21">
        <v>30.0566</v>
      </c>
      <c r="BA241" s="21">
        <v>-1.4736900000000001E-2</v>
      </c>
      <c r="BB241" s="21">
        <v>231</v>
      </c>
      <c r="BC241" s="21">
        <v>1.0617099999999999</v>
      </c>
      <c r="BD241">
        <f t="shared" si="46"/>
        <v>18.193703703703704</v>
      </c>
      <c r="BE241">
        <f t="shared" si="47"/>
        <v>19.344091588888887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0.65185499999999996</v>
      </c>
      <c r="H242" s="21">
        <v>7.3587899999999999</v>
      </c>
      <c r="I242" s="21">
        <v>-1.4871199999999999E-2</v>
      </c>
      <c r="J242" s="21">
        <v>232</v>
      </c>
      <c r="K242" s="21">
        <v>0.65115400000000001</v>
      </c>
      <c r="L242">
        <f t="shared" si="36"/>
        <v>18.359506172839506</v>
      </c>
      <c r="M242">
        <f t="shared" si="37"/>
        <v>11.967735896296295</v>
      </c>
      <c r="N242" s="9"/>
      <c r="O242" s="21">
        <v>1.05972</v>
      </c>
      <c r="P242" s="21">
        <v>15.9573</v>
      </c>
      <c r="Q242" s="21">
        <v>-1.46851E-2</v>
      </c>
      <c r="R242" s="21">
        <v>151</v>
      </c>
      <c r="S242" s="21">
        <v>1.0592699999999999</v>
      </c>
      <c r="T242">
        <f t="shared" si="38"/>
        <v>18.12975308641975</v>
      </c>
      <c r="U242">
        <f t="shared" si="39"/>
        <v>19.212461940740738</v>
      </c>
      <c r="X242" s="9"/>
      <c r="Y242" s="21">
        <v>0.65185499999999996</v>
      </c>
      <c r="Z242" s="21">
        <v>16.773</v>
      </c>
      <c r="AA242" s="21">
        <v>-1.49506E-2</v>
      </c>
      <c r="AB242" s="21">
        <v>232</v>
      </c>
      <c r="AC242" s="21">
        <v>0.65124499999999996</v>
      </c>
      <c r="AD242">
        <f t="shared" si="40"/>
        <v>18.45753086419753</v>
      </c>
      <c r="AE242">
        <f t="shared" si="41"/>
        <v>12.03163378148148</v>
      </c>
      <c r="AF242" s="9"/>
      <c r="AG242" s="21">
        <v>1.0682700000000001</v>
      </c>
      <c r="AH242" s="21">
        <v>20.6325</v>
      </c>
      <c r="AI242" s="21">
        <v>-1.4672899999999999E-2</v>
      </c>
      <c r="AJ242" s="21">
        <v>232</v>
      </c>
      <c r="AK242" s="21">
        <v>1.0674999999999999</v>
      </c>
      <c r="AL242">
        <f t="shared" si="42"/>
        <v>18.11469135802469</v>
      </c>
      <c r="AM242">
        <f t="shared" si="43"/>
        <v>19.351381337037036</v>
      </c>
      <c r="AP242" s="9"/>
      <c r="AQ242" s="21">
        <v>0.65185499999999996</v>
      </c>
      <c r="AR242" s="21">
        <v>26.2072</v>
      </c>
      <c r="AS242" s="21">
        <v>-1.49628E-2</v>
      </c>
      <c r="AT242" s="21">
        <v>232</v>
      </c>
      <c r="AU242" s="21">
        <v>0.65124499999999996</v>
      </c>
      <c r="AV242">
        <f t="shared" si="44"/>
        <v>18.472592592592594</v>
      </c>
      <c r="AW242">
        <f t="shared" si="45"/>
        <v>12.041451844444445</v>
      </c>
      <c r="AX242" s="9"/>
      <c r="AY242" s="21">
        <v>1.0682700000000001</v>
      </c>
      <c r="AZ242" s="21">
        <v>30.066700000000001</v>
      </c>
      <c r="BA242" s="21">
        <v>-1.4733899999999999E-2</v>
      </c>
      <c r="BB242" s="21">
        <v>232</v>
      </c>
      <c r="BC242" s="21">
        <v>1.0674999999999999</v>
      </c>
      <c r="BD242">
        <f t="shared" si="46"/>
        <v>18.189999999999998</v>
      </c>
      <c r="BE242">
        <f t="shared" si="47"/>
        <v>19.431831299999999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0.64681999999999995</v>
      </c>
      <c r="H243" s="21">
        <v>7.3688599999999997</v>
      </c>
      <c r="I243" s="21">
        <v>-1.48773E-2</v>
      </c>
      <c r="J243" s="21">
        <v>233</v>
      </c>
      <c r="K243" s="21">
        <v>0.64620999999999995</v>
      </c>
      <c r="L243">
        <f t="shared" si="36"/>
        <v>18.367037037037036</v>
      </c>
      <c r="M243">
        <f t="shared" si="37"/>
        <v>11.880166896296295</v>
      </c>
      <c r="N243" s="9"/>
      <c r="O243" s="21">
        <v>1.0647599999999999</v>
      </c>
      <c r="P243" s="21">
        <v>15.9472</v>
      </c>
      <c r="Q243" s="21">
        <v>-1.46759E-2</v>
      </c>
      <c r="R243" s="21">
        <v>150</v>
      </c>
      <c r="S243" s="21">
        <v>1.0635399999999999</v>
      </c>
      <c r="T243">
        <f t="shared" si="38"/>
        <v>18.118395061728396</v>
      </c>
      <c r="U243">
        <f t="shared" si="39"/>
        <v>19.291742325925927</v>
      </c>
      <c r="X243" s="9"/>
      <c r="Y243" s="21">
        <v>0.64681999999999995</v>
      </c>
      <c r="Z243" s="21">
        <v>16.783100000000001</v>
      </c>
      <c r="AA243" s="21">
        <v>-1.4959699999999999E-2</v>
      </c>
      <c r="AB243" s="21">
        <v>233</v>
      </c>
      <c r="AC243" s="21">
        <v>0.64620999999999995</v>
      </c>
      <c r="AD243">
        <f t="shared" si="40"/>
        <v>18.468765432098763</v>
      </c>
      <c r="AE243">
        <f t="shared" si="41"/>
        <v>11.945966856790122</v>
      </c>
      <c r="AF243" s="9"/>
      <c r="AG243" s="21">
        <v>1.0732999999999999</v>
      </c>
      <c r="AH243" s="21">
        <v>20.642499999999998</v>
      </c>
      <c r="AI243" s="21">
        <v>-1.46667E-2</v>
      </c>
      <c r="AJ243" s="21">
        <v>233</v>
      </c>
      <c r="AK243" s="21">
        <v>1.07239</v>
      </c>
      <c r="AL243">
        <f t="shared" si="42"/>
        <v>18.107037037037035</v>
      </c>
      <c r="AM243">
        <f t="shared" si="43"/>
        <v>19.434282851851847</v>
      </c>
      <c r="AP243" s="9"/>
      <c r="AQ243" s="21">
        <v>0.64681999999999995</v>
      </c>
      <c r="AR243" s="21">
        <v>26.217300000000002</v>
      </c>
      <c r="AS243" s="21">
        <v>-1.49658E-2</v>
      </c>
      <c r="AT243" s="21">
        <v>233</v>
      </c>
      <c r="AU243" s="21">
        <v>0.64624000000000004</v>
      </c>
      <c r="AV243">
        <f t="shared" si="44"/>
        <v>18.476296296296297</v>
      </c>
      <c r="AW243">
        <f t="shared" si="45"/>
        <v>11.950837970370371</v>
      </c>
      <c r="AX243" s="9"/>
      <c r="AY243" s="21">
        <v>1.0732999999999999</v>
      </c>
      <c r="AZ243" s="21">
        <v>30.076799999999999</v>
      </c>
      <c r="BA243" s="21">
        <v>-1.47247E-2</v>
      </c>
      <c r="BB243" s="21">
        <v>233</v>
      </c>
      <c r="BC243" s="21">
        <v>1.0720799999999999</v>
      </c>
      <c r="BD243">
        <f t="shared" si="46"/>
        <v>18.178641975308643</v>
      </c>
      <c r="BE243">
        <f t="shared" si="47"/>
        <v>19.511136432098766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0.64178500000000005</v>
      </c>
      <c r="H244" s="21">
        <v>7.3789300000000004</v>
      </c>
      <c r="I244" s="21">
        <v>-1.48865E-2</v>
      </c>
      <c r="J244" s="21">
        <v>234</v>
      </c>
      <c r="K244" s="21">
        <v>0.64117400000000002</v>
      </c>
      <c r="L244">
        <f t="shared" si="36"/>
        <v>18.378395061728394</v>
      </c>
      <c r="M244">
        <f t="shared" si="37"/>
        <v>11.794978274691358</v>
      </c>
      <c r="N244" s="9"/>
      <c r="O244" s="21">
        <v>1.06979</v>
      </c>
      <c r="P244" s="21">
        <v>15.937099999999999</v>
      </c>
      <c r="Q244" s="21">
        <v>-1.46698E-2</v>
      </c>
      <c r="R244" s="21">
        <v>149</v>
      </c>
      <c r="S244" s="21">
        <v>1.06873</v>
      </c>
      <c r="T244">
        <f t="shared" si="38"/>
        <v>18.110864197530866</v>
      </c>
      <c r="U244">
        <f t="shared" si="39"/>
        <v>19.374821409876546</v>
      </c>
      <c r="X244" s="9"/>
      <c r="Y244" s="21">
        <v>0.64178500000000005</v>
      </c>
      <c r="Z244" s="21">
        <v>16.793099999999999</v>
      </c>
      <c r="AA244" s="21">
        <v>-1.49628E-2</v>
      </c>
      <c r="AB244" s="21">
        <v>234</v>
      </c>
      <c r="AC244" s="21">
        <v>0.64108299999999996</v>
      </c>
      <c r="AD244">
        <f t="shared" si="40"/>
        <v>18.472592592592594</v>
      </c>
      <c r="AE244">
        <f t="shared" si="41"/>
        <v>11.855432837037039</v>
      </c>
      <c r="AF244" s="9"/>
      <c r="AG244" s="21">
        <v>1.0783400000000001</v>
      </c>
      <c r="AH244" s="21">
        <v>20.6526</v>
      </c>
      <c r="AI244" s="21">
        <v>-1.46637E-2</v>
      </c>
      <c r="AJ244" s="21">
        <v>234</v>
      </c>
      <c r="AK244" s="21">
        <v>1.0778799999999999</v>
      </c>
      <c r="AL244">
        <f t="shared" si="42"/>
        <v>18.103333333333332</v>
      </c>
      <c r="AM244">
        <f t="shared" si="43"/>
        <v>19.521548466666665</v>
      </c>
      <c r="AP244" s="9"/>
      <c r="AQ244" s="21">
        <v>0.64178500000000005</v>
      </c>
      <c r="AR244" s="21">
        <v>26.227399999999999</v>
      </c>
      <c r="AS244" s="21">
        <v>-1.49658E-2</v>
      </c>
      <c r="AT244" s="21">
        <v>234</v>
      </c>
      <c r="AU244" s="21">
        <v>0.64111300000000004</v>
      </c>
      <c r="AV244">
        <f t="shared" si="44"/>
        <v>18.476296296296297</v>
      </c>
      <c r="AW244">
        <f t="shared" si="45"/>
        <v>11.85780981851852</v>
      </c>
      <c r="AX244" s="9"/>
      <c r="AY244" s="21">
        <v>1.0783400000000001</v>
      </c>
      <c r="AZ244" s="21">
        <v>30.0869</v>
      </c>
      <c r="BA244" s="21">
        <v>-1.4715600000000001E-2</v>
      </c>
      <c r="BB244" s="21">
        <v>234</v>
      </c>
      <c r="BC244" s="21">
        <v>1.07758</v>
      </c>
      <c r="BD244">
        <f t="shared" si="46"/>
        <v>18.167407407407406</v>
      </c>
      <c r="BE244">
        <f t="shared" si="47"/>
        <v>19.590642103703704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0.63674900000000001</v>
      </c>
      <c r="H245" s="21">
        <v>7.3890000000000002</v>
      </c>
      <c r="I245" s="21">
        <v>-1.48895E-2</v>
      </c>
      <c r="J245" s="21">
        <v>235</v>
      </c>
      <c r="K245" s="21">
        <v>0.63607800000000003</v>
      </c>
      <c r="L245">
        <f t="shared" si="36"/>
        <v>18.382098765432101</v>
      </c>
      <c r="M245">
        <f t="shared" si="37"/>
        <v>11.704783006790125</v>
      </c>
      <c r="N245" s="9"/>
      <c r="O245" s="21">
        <v>1.07483</v>
      </c>
      <c r="P245" s="21">
        <v>15.927</v>
      </c>
      <c r="Q245" s="21">
        <v>-1.46667E-2</v>
      </c>
      <c r="R245" s="21">
        <v>148</v>
      </c>
      <c r="S245" s="21">
        <v>1.0739099999999999</v>
      </c>
      <c r="T245">
        <f t="shared" si="38"/>
        <v>18.107037037037035</v>
      </c>
      <c r="U245">
        <f t="shared" si="39"/>
        <v>19.461986618518516</v>
      </c>
      <c r="X245" s="9"/>
      <c r="Y245" s="21">
        <v>0.63674900000000001</v>
      </c>
      <c r="Z245" s="21">
        <v>16.8032</v>
      </c>
      <c r="AA245" s="21">
        <v>-1.49719E-2</v>
      </c>
      <c r="AB245" s="21">
        <v>235</v>
      </c>
      <c r="AC245" s="21">
        <v>0.63610800000000001</v>
      </c>
      <c r="AD245">
        <f t="shared" si="40"/>
        <v>18.483827160493824</v>
      </c>
      <c r="AE245">
        <f t="shared" si="41"/>
        <v>11.769558460617283</v>
      </c>
      <c r="AF245" s="9"/>
      <c r="AG245" s="21">
        <v>1.0833699999999999</v>
      </c>
      <c r="AH245" s="21">
        <v>20.662700000000001</v>
      </c>
      <c r="AI245" s="21">
        <v>-1.46576E-2</v>
      </c>
      <c r="AJ245" s="21">
        <v>235</v>
      </c>
      <c r="AK245" s="21">
        <v>1.0821499999999999</v>
      </c>
      <c r="AL245">
        <f t="shared" si="42"/>
        <v>18.095802469135801</v>
      </c>
      <c r="AM245">
        <f t="shared" si="43"/>
        <v>19.604449520987654</v>
      </c>
      <c r="AP245" s="9"/>
      <c r="AQ245" s="21">
        <v>0.63674900000000001</v>
      </c>
      <c r="AR245" s="21">
        <v>26.237400000000001</v>
      </c>
      <c r="AS245" s="21">
        <v>-1.49689E-2</v>
      </c>
      <c r="AT245" s="21">
        <v>235</v>
      </c>
      <c r="AU245" s="21">
        <v>0.63616899999999998</v>
      </c>
      <c r="AV245">
        <f t="shared" si="44"/>
        <v>18.480123456790125</v>
      </c>
      <c r="AW245">
        <f t="shared" si="45"/>
        <v>11.767200130987655</v>
      </c>
      <c r="AX245" s="9"/>
      <c r="AY245" s="21">
        <v>1.0833699999999999</v>
      </c>
      <c r="AZ245" s="21">
        <v>30.096900000000002</v>
      </c>
      <c r="BA245" s="21">
        <v>-1.47095E-2</v>
      </c>
      <c r="BB245" s="21">
        <v>235</v>
      </c>
      <c r="BC245" s="21">
        <v>1.08246</v>
      </c>
      <c r="BD245">
        <f t="shared" si="46"/>
        <v>18.159876543209876</v>
      </c>
      <c r="BE245">
        <f t="shared" si="47"/>
        <v>19.673865450617281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0.631714</v>
      </c>
      <c r="H246" s="21">
        <v>7.39907</v>
      </c>
      <c r="I246" s="21">
        <v>-1.4892600000000001E-2</v>
      </c>
      <c r="J246" s="21">
        <v>236</v>
      </c>
      <c r="K246" s="21">
        <v>0.63113399999999997</v>
      </c>
      <c r="L246">
        <f t="shared" si="36"/>
        <v>18.385925925925928</v>
      </c>
      <c r="M246">
        <f t="shared" si="37"/>
        <v>11.614646810370372</v>
      </c>
      <c r="N246" s="9"/>
      <c r="O246" s="21">
        <v>1.07986</v>
      </c>
      <c r="P246" s="21">
        <v>15.917</v>
      </c>
      <c r="Q246" s="21">
        <v>-1.46637E-2</v>
      </c>
      <c r="R246" s="21">
        <v>147</v>
      </c>
      <c r="S246" s="21">
        <v>1.0784899999999999</v>
      </c>
      <c r="T246">
        <f t="shared" si="38"/>
        <v>18.103333333333332</v>
      </c>
      <c r="U246">
        <f t="shared" si="39"/>
        <v>19.549065533333334</v>
      </c>
      <c r="X246" s="9"/>
      <c r="Y246" s="21">
        <v>0.631714</v>
      </c>
      <c r="Z246" s="21">
        <v>16.813300000000002</v>
      </c>
      <c r="AA246" s="21">
        <v>-1.49658E-2</v>
      </c>
      <c r="AB246" s="21">
        <v>236</v>
      </c>
      <c r="AC246" s="21">
        <v>0.63119499999999995</v>
      </c>
      <c r="AD246">
        <f t="shared" si="40"/>
        <v>18.476296296296297</v>
      </c>
      <c r="AE246">
        <f t="shared" si="41"/>
        <v>11.67173503851852</v>
      </c>
      <c r="AF246" s="9"/>
      <c r="AG246" s="21">
        <v>1.0884100000000001</v>
      </c>
      <c r="AH246" s="21">
        <v>20.672799999999999</v>
      </c>
      <c r="AI246" s="21">
        <v>-1.4648400000000001E-2</v>
      </c>
      <c r="AJ246" s="21">
        <v>236</v>
      </c>
      <c r="AK246" s="21">
        <v>1.08765</v>
      </c>
      <c r="AL246">
        <f t="shared" si="42"/>
        <v>18.084444444444443</v>
      </c>
      <c r="AM246">
        <f t="shared" si="43"/>
        <v>19.683290177777778</v>
      </c>
      <c r="AP246" s="9"/>
      <c r="AQ246" s="21">
        <v>0.631714</v>
      </c>
      <c r="AR246" s="21">
        <v>26.247499999999999</v>
      </c>
      <c r="AS246" s="21">
        <v>-1.49628E-2</v>
      </c>
      <c r="AT246" s="21">
        <v>236</v>
      </c>
      <c r="AU246" s="21">
        <v>0.63113399999999997</v>
      </c>
      <c r="AV246">
        <f t="shared" si="44"/>
        <v>18.472592592592594</v>
      </c>
      <c r="AW246">
        <f t="shared" si="45"/>
        <v>11.669395357037038</v>
      </c>
      <c r="AX246" s="9"/>
      <c r="AY246" s="21">
        <v>1.0884100000000001</v>
      </c>
      <c r="AZ246" s="21">
        <v>30.106999999999999</v>
      </c>
      <c r="BA246" s="21">
        <v>-1.47034E-2</v>
      </c>
      <c r="BB246" s="21">
        <v>236</v>
      </c>
      <c r="BC246" s="21">
        <v>1.08734</v>
      </c>
      <c r="BD246">
        <f t="shared" si="46"/>
        <v>18.152345679012342</v>
      </c>
      <c r="BE246">
        <f t="shared" si="47"/>
        <v>19.757194560493826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0.62667799999999996</v>
      </c>
      <c r="H247" s="21">
        <v>7.4091500000000003</v>
      </c>
      <c r="I247" s="21">
        <v>-1.4907800000000001E-2</v>
      </c>
      <c r="J247" s="21">
        <v>237</v>
      </c>
      <c r="K247" s="21">
        <v>0.62606799999999996</v>
      </c>
      <c r="L247">
        <f t="shared" si="36"/>
        <v>18.404691358024692</v>
      </c>
      <c r="M247">
        <f t="shared" si="37"/>
        <v>11.533815170864198</v>
      </c>
      <c r="N247" s="9"/>
      <c r="O247" s="21">
        <v>1.0849</v>
      </c>
      <c r="P247" s="21">
        <v>15.9069</v>
      </c>
      <c r="Q247" s="21">
        <v>-1.46637E-2</v>
      </c>
      <c r="R247" s="21">
        <v>146</v>
      </c>
      <c r="S247" s="21">
        <v>1.0833699999999999</v>
      </c>
      <c r="T247">
        <f t="shared" si="38"/>
        <v>18.103333333333332</v>
      </c>
      <c r="U247">
        <f t="shared" si="39"/>
        <v>19.640306333333331</v>
      </c>
      <c r="X247" s="9"/>
      <c r="Y247" s="21">
        <v>0.62667799999999996</v>
      </c>
      <c r="Z247" s="21">
        <v>16.823399999999999</v>
      </c>
      <c r="AA247" s="21">
        <v>-1.49689E-2</v>
      </c>
      <c r="AB247" s="21">
        <v>237</v>
      </c>
      <c r="AC247" s="21">
        <v>0.62612900000000005</v>
      </c>
      <c r="AD247">
        <f t="shared" si="40"/>
        <v>18.480123456790125</v>
      </c>
      <c r="AE247">
        <f t="shared" si="41"/>
        <v>11.581086807654321</v>
      </c>
      <c r="AF247" s="9"/>
      <c r="AG247" s="21">
        <v>1.09344</v>
      </c>
      <c r="AH247" s="21">
        <v>20.6828</v>
      </c>
      <c r="AI247" s="21">
        <v>-1.4645399999999999E-2</v>
      </c>
      <c r="AJ247" s="21">
        <v>237</v>
      </c>
      <c r="AK247" s="21">
        <v>1.09253</v>
      </c>
      <c r="AL247">
        <f t="shared" si="42"/>
        <v>18.080740740740737</v>
      </c>
      <c r="AM247">
        <f t="shared" si="43"/>
        <v>19.770205155555551</v>
      </c>
      <c r="AP247" s="9"/>
      <c r="AQ247" s="21">
        <v>0.62667799999999996</v>
      </c>
      <c r="AR247" s="21">
        <v>26.2576</v>
      </c>
      <c r="AS247" s="21">
        <v>-1.49628E-2</v>
      </c>
      <c r="AT247" s="21">
        <v>237</v>
      </c>
      <c r="AU247" s="21">
        <v>0.62606799999999996</v>
      </c>
      <c r="AV247">
        <f t="shared" si="44"/>
        <v>18.472592592592594</v>
      </c>
      <c r="AW247">
        <f t="shared" si="45"/>
        <v>11.576367380740741</v>
      </c>
      <c r="AX247" s="9"/>
      <c r="AY247" s="21">
        <v>1.09344</v>
      </c>
      <c r="AZ247" s="21">
        <v>30.117100000000001</v>
      </c>
      <c r="BA247" s="21">
        <v>-1.4700299999999999E-2</v>
      </c>
      <c r="BB247" s="21">
        <v>237</v>
      </c>
      <c r="BC247" s="21">
        <v>1.09222</v>
      </c>
      <c r="BD247">
        <f t="shared" si="46"/>
        <v>18.148518518518514</v>
      </c>
      <c r="BE247">
        <f t="shared" si="47"/>
        <v>19.844316088888885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0.62164299999999995</v>
      </c>
      <c r="H248" s="21">
        <v>7.4192200000000001</v>
      </c>
      <c r="I248" s="21">
        <v>-1.4917E-2</v>
      </c>
      <c r="J248" s="21">
        <v>238</v>
      </c>
      <c r="K248" s="21">
        <v>0.62103299999999995</v>
      </c>
      <c r="L248">
        <f t="shared" si="36"/>
        <v>18.416049382716047</v>
      </c>
      <c r="M248">
        <f t="shared" si="37"/>
        <v>11.44820818641975</v>
      </c>
      <c r="N248" s="9"/>
      <c r="O248" s="21">
        <v>1.0899399999999999</v>
      </c>
      <c r="P248" s="21">
        <v>15.896800000000001</v>
      </c>
      <c r="Q248" s="21">
        <v>-1.46576E-2</v>
      </c>
      <c r="R248" s="21">
        <v>145</v>
      </c>
      <c r="S248" s="21">
        <v>1.08887</v>
      </c>
      <c r="T248">
        <f t="shared" si="38"/>
        <v>18.095802469135801</v>
      </c>
      <c r="U248">
        <f t="shared" si="39"/>
        <v>19.723338943209875</v>
      </c>
      <c r="X248" s="9"/>
      <c r="Y248" s="21">
        <v>0.62164299999999995</v>
      </c>
      <c r="Z248" s="21">
        <v>16.833400000000001</v>
      </c>
      <c r="AA248" s="21">
        <v>-1.49689E-2</v>
      </c>
      <c r="AB248" s="21">
        <v>238</v>
      </c>
      <c r="AC248" s="21">
        <v>0.62085000000000001</v>
      </c>
      <c r="AD248">
        <f t="shared" si="40"/>
        <v>18.480123456790125</v>
      </c>
      <c r="AE248">
        <f t="shared" si="41"/>
        <v>11.488039386049383</v>
      </c>
      <c r="AF248" s="9"/>
      <c r="AG248" s="21">
        <v>1.0984799999999999</v>
      </c>
      <c r="AH248" s="21">
        <v>20.692900000000002</v>
      </c>
      <c r="AI248" s="21">
        <v>-1.4639299999999999E-2</v>
      </c>
      <c r="AJ248" s="21">
        <v>238</v>
      </c>
      <c r="AK248" s="21">
        <v>1.09772</v>
      </c>
      <c r="AL248">
        <f t="shared" si="42"/>
        <v>18.07320987654321</v>
      </c>
      <c r="AM248">
        <f t="shared" si="43"/>
        <v>19.853059585185182</v>
      </c>
      <c r="AP248" s="9"/>
      <c r="AQ248" s="21">
        <v>0.62164299999999995</v>
      </c>
      <c r="AR248" s="21">
        <v>26.267700000000001</v>
      </c>
      <c r="AS248" s="21">
        <v>-1.49689E-2</v>
      </c>
      <c r="AT248" s="21">
        <v>238</v>
      </c>
      <c r="AU248" s="21">
        <v>0.62100200000000005</v>
      </c>
      <c r="AV248">
        <f t="shared" si="44"/>
        <v>18.480123456790125</v>
      </c>
      <c r="AW248">
        <f t="shared" si="45"/>
        <v>11.488039386049383</v>
      </c>
      <c r="AX248" s="9"/>
      <c r="AY248" s="21">
        <v>1.0984799999999999</v>
      </c>
      <c r="AZ248" s="21">
        <v>30.127099999999999</v>
      </c>
      <c r="BA248" s="21">
        <v>-1.46973E-2</v>
      </c>
      <c r="BB248" s="21">
        <v>238</v>
      </c>
      <c r="BC248" s="21">
        <v>1.09711</v>
      </c>
      <c r="BD248">
        <f t="shared" si="46"/>
        <v>18.144814814814815</v>
      </c>
      <c r="BE248">
        <f t="shared" si="47"/>
        <v>19.931716177777776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0.61660800000000004</v>
      </c>
      <c r="H249" s="21">
        <v>7.4292899999999999</v>
      </c>
      <c r="I249" s="21">
        <v>-1.4917E-2</v>
      </c>
      <c r="J249" s="21">
        <v>239</v>
      </c>
      <c r="K249" s="21">
        <v>0.61599700000000002</v>
      </c>
      <c r="L249">
        <f t="shared" si="36"/>
        <v>18.416049382716047</v>
      </c>
      <c r="M249">
        <f t="shared" si="37"/>
        <v>11.355483377777777</v>
      </c>
      <c r="N249" s="9"/>
      <c r="O249" s="21">
        <v>1.09497</v>
      </c>
      <c r="P249" s="21">
        <v>15.886799999999999</v>
      </c>
      <c r="Q249" s="21">
        <v>-1.46515E-2</v>
      </c>
      <c r="R249" s="21">
        <v>144</v>
      </c>
      <c r="S249" s="21">
        <v>1.09406</v>
      </c>
      <c r="T249">
        <f t="shared" si="38"/>
        <v>18.088271604938271</v>
      </c>
      <c r="U249">
        <f t="shared" si="39"/>
        <v>19.806114759259259</v>
      </c>
      <c r="X249" s="9"/>
      <c r="Y249" s="21">
        <v>0.61660800000000004</v>
      </c>
      <c r="Z249" s="21">
        <v>16.843499999999999</v>
      </c>
      <c r="AA249" s="21">
        <v>-1.4975E-2</v>
      </c>
      <c r="AB249" s="21">
        <v>239</v>
      </c>
      <c r="AC249" s="21">
        <v>0.61593600000000004</v>
      </c>
      <c r="AD249">
        <f t="shared" si="40"/>
        <v>18.487654320987652</v>
      </c>
      <c r="AE249">
        <f t="shared" si="41"/>
        <v>11.399635555555555</v>
      </c>
      <c r="AF249" s="9"/>
      <c r="AG249" s="21">
        <v>1.1035200000000001</v>
      </c>
      <c r="AH249" s="21">
        <v>20.702999999999999</v>
      </c>
      <c r="AI249" s="21">
        <v>-1.4639299999999999E-2</v>
      </c>
      <c r="AJ249" s="21">
        <v>239</v>
      </c>
      <c r="AK249" s="21">
        <v>1.10229</v>
      </c>
      <c r="AL249">
        <f t="shared" si="42"/>
        <v>18.07320987654321</v>
      </c>
      <c r="AM249">
        <f t="shared" si="43"/>
        <v>19.944148562962965</v>
      </c>
      <c r="AP249" s="9"/>
      <c r="AQ249" s="21">
        <v>0.61660800000000004</v>
      </c>
      <c r="AR249" s="21">
        <v>26.277699999999999</v>
      </c>
      <c r="AS249" s="21">
        <v>-1.4978E-2</v>
      </c>
      <c r="AT249" s="21">
        <v>239</v>
      </c>
      <c r="AU249" s="21">
        <v>0.61599700000000002</v>
      </c>
      <c r="AV249">
        <f t="shared" si="44"/>
        <v>18.491358024691355</v>
      </c>
      <c r="AW249">
        <f t="shared" si="45"/>
        <v>11.401919288888887</v>
      </c>
      <c r="AX249" s="9"/>
      <c r="AY249" s="21">
        <v>1.1035200000000001</v>
      </c>
      <c r="AZ249" s="21">
        <v>30.1372</v>
      </c>
      <c r="BA249" s="21">
        <v>-1.4688100000000001E-2</v>
      </c>
      <c r="BB249" s="21">
        <v>239</v>
      </c>
      <c r="BC249" s="21">
        <v>1.1026</v>
      </c>
      <c r="BD249">
        <f t="shared" si="46"/>
        <v>18.133456790123457</v>
      </c>
      <c r="BE249">
        <f t="shared" si="47"/>
        <v>20.01063223703704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0.611572</v>
      </c>
      <c r="H250" s="21">
        <v>7.4393599999999998</v>
      </c>
      <c r="I250" s="21">
        <v>-1.4919999999999999E-2</v>
      </c>
      <c r="J250" s="21">
        <v>240</v>
      </c>
      <c r="K250" s="21">
        <v>0.61099199999999998</v>
      </c>
      <c r="L250">
        <f t="shared" si="36"/>
        <v>18.41975308641975</v>
      </c>
      <c r="M250">
        <f t="shared" si="37"/>
        <v>11.2650052345679</v>
      </c>
      <c r="N250" s="9"/>
      <c r="O250" s="21">
        <v>1.1000099999999999</v>
      </c>
      <c r="P250" s="21">
        <v>15.8767</v>
      </c>
      <c r="Q250" s="21">
        <v>-1.4648400000000001E-2</v>
      </c>
      <c r="R250" s="21">
        <v>143</v>
      </c>
      <c r="S250" s="21">
        <v>1.09833</v>
      </c>
      <c r="T250">
        <f t="shared" si="38"/>
        <v>18.084444444444443</v>
      </c>
      <c r="U250">
        <f t="shared" si="39"/>
        <v>19.893069733333331</v>
      </c>
      <c r="X250" s="9"/>
      <c r="Y250" s="21">
        <v>0.611572</v>
      </c>
      <c r="Z250" s="21">
        <v>16.8536</v>
      </c>
      <c r="AA250" s="21">
        <v>-1.4987199999999999E-2</v>
      </c>
      <c r="AB250" s="21">
        <v>240</v>
      </c>
      <c r="AC250" s="21">
        <v>0.61099199999999998</v>
      </c>
      <c r="AD250">
        <f t="shared" si="40"/>
        <v>18.502716049382713</v>
      </c>
      <c r="AE250">
        <f t="shared" si="41"/>
        <v>11.315743059753084</v>
      </c>
      <c r="AF250" s="9"/>
      <c r="AG250" s="21">
        <v>1.1085499999999999</v>
      </c>
      <c r="AH250" s="21">
        <v>20.713000000000001</v>
      </c>
      <c r="AI250" s="21">
        <v>-1.46362E-2</v>
      </c>
      <c r="AJ250" s="21">
        <v>240</v>
      </c>
      <c r="AK250" s="21">
        <v>1.10748</v>
      </c>
      <c r="AL250">
        <f t="shared" si="42"/>
        <v>18.069382716049383</v>
      </c>
      <c r="AM250">
        <f t="shared" si="43"/>
        <v>20.030814209876542</v>
      </c>
      <c r="AP250" s="9"/>
      <c r="AQ250" s="21">
        <v>0.611572</v>
      </c>
      <c r="AR250" s="21">
        <v>26.287800000000001</v>
      </c>
      <c r="AS250" s="21">
        <v>-1.4981100000000001E-2</v>
      </c>
      <c r="AT250" s="21">
        <v>240</v>
      </c>
      <c r="AU250" s="21">
        <v>0.610931</v>
      </c>
      <c r="AV250">
        <f t="shared" si="44"/>
        <v>18.495185185185186</v>
      </c>
      <c r="AW250">
        <f t="shared" si="45"/>
        <v>11.311137394074075</v>
      </c>
      <c r="AX250" s="9"/>
      <c r="AY250" s="21">
        <v>1.1085499999999999</v>
      </c>
      <c r="AZ250" s="21">
        <v>30.147300000000001</v>
      </c>
      <c r="BA250" s="21">
        <v>-1.4678999999999999E-2</v>
      </c>
      <c r="BB250" s="21">
        <v>240</v>
      </c>
      <c r="BC250" s="21">
        <v>1.1077900000000001</v>
      </c>
      <c r="BD250">
        <f t="shared" si="46"/>
        <v>18.12222222222222</v>
      </c>
      <c r="BE250">
        <f t="shared" si="47"/>
        <v>20.089389444444439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0.60653699999999999</v>
      </c>
      <c r="H251" s="21">
        <v>7.4494300000000004</v>
      </c>
      <c r="I251" s="21">
        <v>-1.49292E-2</v>
      </c>
      <c r="J251" s="21">
        <v>241</v>
      </c>
      <c r="K251" s="21">
        <v>0.60595699999999997</v>
      </c>
      <c r="L251">
        <f t="shared" si="36"/>
        <v>18.431111111111111</v>
      </c>
      <c r="M251">
        <f t="shared" si="37"/>
        <v>11.17915084</v>
      </c>
      <c r="N251" s="9"/>
      <c r="O251" s="21">
        <v>1.10504</v>
      </c>
      <c r="P251" s="21">
        <v>15.8666</v>
      </c>
      <c r="Q251" s="21">
        <v>-1.4648400000000001E-2</v>
      </c>
      <c r="R251" s="21">
        <v>142</v>
      </c>
      <c r="S251" s="21">
        <v>1.10382</v>
      </c>
      <c r="T251">
        <f t="shared" si="38"/>
        <v>18.084444444444443</v>
      </c>
      <c r="U251">
        <f t="shared" si="39"/>
        <v>19.984034488888888</v>
      </c>
      <c r="X251" s="9"/>
      <c r="Y251" s="21">
        <v>0.60653699999999999</v>
      </c>
      <c r="Z251" s="21">
        <v>16.863600000000002</v>
      </c>
      <c r="AA251" s="21">
        <v>-1.4996300000000001E-2</v>
      </c>
      <c r="AB251" s="21">
        <v>241</v>
      </c>
      <c r="AC251" s="21">
        <v>0.60598799999999997</v>
      </c>
      <c r="AD251">
        <f t="shared" si="40"/>
        <v>18.51395061728395</v>
      </c>
      <c r="AE251">
        <f t="shared" si="41"/>
        <v>11.229396065555555</v>
      </c>
      <c r="AF251" s="9"/>
      <c r="AG251" s="21">
        <v>1.1135900000000001</v>
      </c>
      <c r="AH251" s="21">
        <v>20.723099999999999</v>
      </c>
      <c r="AI251" s="21">
        <v>-1.46362E-2</v>
      </c>
      <c r="AJ251" s="21">
        <v>241</v>
      </c>
      <c r="AK251" s="21">
        <v>1.11267</v>
      </c>
      <c r="AL251">
        <f t="shared" si="42"/>
        <v>18.069382716049383</v>
      </c>
      <c r="AM251">
        <f t="shared" si="43"/>
        <v>20.121883898765432</v>
      </c>
      <c r="AP251" s="9"/>
      <c r="AQ251" s="21">
        <v>0.60653699999999999</v>
      </c>
      <c r="AR251" s="21">
        <v>26.297899999999998</v>
      </c>
      <c r="AS251" s="21">
        <v>-1.4987199999999999E-2</v>
      </c>
      <c r="AT251" s="21">
        <v>241</v>
      </c>
      <c r="AU251" s="21">
        <v>0.60589599999999999</v>
      </c>
      <c r="AV251">
        <f t="shared" si="44"/>
        <v>18.502716049382713</v>
      </c>
      <c r="AW251">
        <f t="shared" si="45"/>
        <v>11.222581884444443</v>
      </c>
      <c r="AX251" s="9"/>
      <c r="AY251" s="21">
        <v>1.1135900000000001</v>
      </c>
      <c r="AZ251" s="21">
        <v>30.157299999999999</v>
      </c>
      <c r="BA251" s="21">
        <v>-1.4672899999999999E-2</v>
      </c>
      <c r="BB251" s="21">
        <v>241</v>
      </c>
      <c r="BC251" s="21">
        <v>1.11267</v>
      </c>
      <c r="BD251">
        <f t="shared" si="46"/>
        <v>18.11469135802469</v>
      </c>
      <c r="BE251">
        <f t="shared" si="47"/>
        <v>20.172339149382715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0.60150099999999995</v>
      </c>
      <c r="H252" s="21">
        <v>7.4595000000000002</v>
      </c>
      <c r="I252" s="21">
        <v>-1.49353E-2</v>
      </c>
      <c r="J252" s="21">
        <v>242</v>
      </c>
      <c r="K252" s="21">
        <v>0.60086099999999998</v>
      </c>
      <c r="L252">
        <f t="shared" si="36"/>
        <v>18.438641975308641</v>
      </c>
      <c r="M252">
        <f t="shared" si="37"/>
        <v>11.090861586790123</v>
      </c>
      <c r="N252" s="9"/>
      <c r="O252" s="21">
        <v>1.11008</v>
      </c>
      <c r="P252" s="21">
        <v>15.8565</v>
      </c>
      <c r="Q252" s="21">
        <v>-1.4648400000000001E-2</v>
      </c>
      <c r="R252" s="21">
        <v>141</v>
      </c>
      <c r="S252" s="21">
        <v>1.1090100000000001</v>
      </c>
      <c r="T252">
        <f t="shared" si="38"/>
        <v>18.084444444444443</v>
      </c>
      <c r="U252">
        <f t="shared" si="39"/>
        <v>20.075180088888889</v>
      </c>
      <c r="X252" s="9"/>
      <c r="Y252" s="21">
        <v>0.60150099999999995</v>
      </c>
      <c r="Z252" s="21">
        <v>16.873699999999999</v>
      </c>
      <c r="AA252" s="21">
        <v>-1.50055E-2</v>
      </c>
      <c r="AB252" s="21">
        <v>242</v>
      </c>
      <c r="AC252" s="21">
        <v>0.6008</v>
      </c>
      <c r="AD252">
        <f t="shared" si="40"/>
        <v>18.525308641975307</v>
      </c>
      <c r="AE252">
        <f t="shared" si="41"/>
        <v>11.142991673456789</v>
      </c>
      <c r="AF252" s="9"/>
      <c r="AG252" s="21">
        <v>1.1186199999999999</v>
      </c>
      <c r="AH252" s="21">
        <v>20.7332</v>
      </c>
      <c r="AI252" s="21">
        <v>-1.46301E-2</v>
      </c>
      <c r="AJ252" s="21">
        <v>242</v>
      </c>
      <c r="AK252" s="21">
        <v>1.1178600000000001</v>
      </c>
      <c r="AL252">
        <f t="shared" si="42"/>
        <v>18.061851851851848</v>
      </c>
      <c r="AM252">
        <f t="shared" si="43"/>
        <v>20.204348718518514</v>
      </c>
      <c r="AP252" s="9"/>
      <c r="AQ252" s="21">
        <v>0.60150099999999995</v>
      </c>
      <c r="AR252" s="21">
        <v>26.3079</v>
      </c>
      <c r="AS252" s="21">
        <v>-1.4993299999999999E-2</v>
      </c>
      <c r="AT252" s="21">
        <v>242</v>
      </c>
      <c r="AU252" s="21">
        <v>0.60089099999999995</v>
      </c>
      <c r="AV252">
        <f t="shared" si="44"/>
        <v>18.510246913580243</v>
      </c>
      <c r="AW252">
        <f t="shared" si="45"/>
        <v>11.133932028765429</v>
      </c>
      <c r="AX252" s="9"/>
      <c r="AY252" s="21">
        <v>1.1186199999999999</v>
      </c>
      <c r="AZ252" s="21">
        <v>30.167400000000001</v>
      </c>
      <c r="BA252" s="21">
        <v>-1.46698E-2</v>
      </c>
      <c r="BB252" s="21">
        <v>242</v>
      </c>
      <c r="BC252" s="21">
        <v>1.1178600000000001</v>
      </c>
      <c r="BD252">
        <f t="shared" si="46"/>
        <v>18.110864197530866</v>
      </c>
      <c r="BE252">
        <f t="shared" si="47"/>
        <v>20.259174908641977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0.59646600000000005</v>
      </c>
      <c r="H253" s="21">
        <v>7.46957</v>
      </c>
      <c r="I253" s="21">
        <v>-1.4941400000000001E-2</v>
      </c>
      <c r="J253" s="21">
        <v>243</v>
      </c>
      <c r="K253" s="21">
        <v>0.59585600000000005</v>
      </c>
      <c r="L253">
        <f t="shared" si="36"/>
        <v>18.446172839506172</v>
      </c>
      <c r="M253">
        <f t="shared" si="37"/>
        <v>11.002514928888889</v>
      </c>
      <c r="N253" s="9"/>
      <c r="O253" s="21">
        <v>1.11511</v>
      </c>
      <c r="P253" s="21">
        <v>15.846500000000001</v>
      </c>
      <c r="Q253" s="21">
        <v>-1.4645399999999999E-2</v>
      </c>
      <c r="R253" s="21">
        <v>140</v>
      </c>
      <c r="S253" s="21">
        <v>1.1145</v>
      </c>
      <c r="T253">
        <f t="shared" si="38"/>
        <v>18.080740740740737</v>
      </c>
      <c r="U253">
        <f t="shared" si="39"/>
        <v>20.162014807407402</v>
      </c>
      <c r="X253" s="9"/>
      <c r="Y253" s="21">
        <v>0.59646600000000005</v>
      </c>
      <c r="Z253" s="21">
        <v>16.883800000000001</v>
      </c>
      <c r="AA253" s="21">
        <v>-1.50116E-2</v>
      </c>
      <c r="AB253" s="21">
        <v>243</v>
      </c>
      <c r="AC253" s="21">
        <v>0.59582500000000005</v>
      </c>
      <c r="AD253">
        <f t="shared" si="40"/>
        <v>18.532839506172838</v>
      </c>
      <c r="AE253">
        <f t="shared" si="41"/>
        <v>11.054208648888888</v>
      </c>
      <c r="AF253" s="9"/>
      <c r="AG253" s="21">
        <v>1.1236600000000001</v>
      </c>
      <c r="AH253" s="21">
        <v>20.743300000000001</v>
      </c>
      <c r="AI253" s="21">
        <v>-1.4621E-2</v>
      </c>
      <c r="AJ253" s="21">
        <v>243</v>
      </c>
      <c r="AK253" s="21">
        <v>1.1224400000000001</v>
      </c>
      <c r="AL253">
        <f t="shared" si="42"/>
        <v>18.050617283950618</v>
      </c>
      <c r="AM253">
        <f t="shared" si="43"/>
        <v>20.282756617283955</v>
      </c>
      <c r="AP253" s="9"/>
      <c r="AQ253" s="21">
        <v>0.59646600000000005</v>
      </c>
      <c r="AR253" s="21">
        <v>26.318000000000001</v>
      </c>
      <c r="AS253" s="21">
        <v>-1.49994E-2</v>
      </c>
      <c r="AT253" s="21">
        <v>243</v>
      </c>
      <c r="AU253" s="21">
        <v>0.59582500000000005</v>
      </c>
      <c r="AV253">
        <f t="shared" si="44"/>
        <v>18.517777777777777</v>
      </c>
      <c r="AW253">
        <f t="shared" si="45"/>
        <v>11.045224840000001</v>
      </c>
      <c r="AX253" s="9"/>
      <c r="AY253" s="21">
        <v>1.1236600000000001</v>
      </c>
      <c r="AZ253" s="21">
        <v>30.177499999999998</v>
      </c>
      <c r="BA253" s="21">
        <v>-1.46637E-2</v>
      </c>
      <c r="BB253" s="21">
        <v>243</v>
      </c>
      <c r="BC253" s="21">
        <v>1.1227400000000001</v>
      </c>
      <c r="BD253">
        <f t="shared" si="46"/>
        <v>18.103333333333332</v>
      </c>
      <c r="BE253">
        <f t="shared" si="47"/>
        <v>20.341991533333335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0.59143100000000004</v>
      </c>
      <c r="H254" s="21">
        <v>7.4796399999999998</v>
      </c>
      <c r="I254" s="21">
        <v>-1.49353E-2</v>
      </c>
      <c r="J254" s="21">
        <v>244</v>
      </c>
      <c r="K254" s="21">
        <v>0.59085100000000002</v>
      </c>
      <c r="L254">
        <f t="shared" si="36"/>
        <v>18.438641975308641</v>
      </c>
      <c r="M254">
        <f t="shared" si="37"/>
        <v>10.905184462098767</v>
      </c>
      <c r="N254" s="9"/>
      <c r="O254" s="21">
        <v>1.12015</v>
      </c>
      <c r="P254" s="21">
        <v>15.836399999999999</v>
      </c>
      <c r="Q254" s="21">
        <v>-1.4648400000000001E-2</v>
      </c>
      <c r="R254" s="21">
        <v>139</v>
      </c>
      <c r="S254" s="21">
        <v>1.11938</v>
      </c>
      <c r="T254">
        <f t="shared" si="38"/>
        <v>18.084444444444443</v>
      </c>
      <c r="U254">
        <f t="shared" si="39"/>
        <v>20.257290444444443</v>
      </c>
      <c r="X254" s="9"/>
      <c r="Y254" s="21">
        <v>0.59143100000000004</v>
      </c>
      <c r="Z254" s="21">
        <v>16.893899999999999</v>
      </c>
      <c r="AA254" s="21">
        <v>-1.5020800000000001E-2</v>
      </c>
      <c r="AB254" s="21">
        <v>244</v>
      </c>
      <c r="AC254" s="21">
        <v>0.59088099999999999</v>
      </c>
      <c r="AD254">
        <f t="shared" si="40"/>
        <v>18.544197530864199</v>
      </c>
      <c r="AE254">
        <f t="shared" si="41"/>
        <v>10.967613289876544</v>
      </c>
      <c r="AF254" s="9"/>
      <c r="AG254" s="21">
        <v>1.12869</v>
      </c>
      <c r="AH254" s="21">
        <v>20.753299999999999</v>
      </c>
      <c r="AI254" s="21">
        <v>-1.46088E-2</v>
      </c>
      <c r="AJ254" s="21">
        <v>244</v>
      </c>
      <c r="AK254" s="21">
        <v>1.1282300000000001</v>
      </c>
      <c r="AL254">
        <f t="shared" si="42"/>
        <v>18.035555555555554</v>
      </c>
      <c r="AM254">
        <f t="shared" si="43"/>
        <v>20.356551199999998</v>
      </c>
      <c r="AP254" s="9"/>
      <c r="AQ254" s="21">
        <v>0.59143100000000004</v>
      </c>
      <c r="AR254" s="21">
        <v>26.328099999999999</v>
      </c>
      <c r="AS254" s="21">
        <v>-1.50055E-2</v>
      </c>
      <c r="AT254" s="21">
        <v>244</v>
      </c>
      <c r="AU254" s="21">
        <v>0.59075900000000003</v>
      </c>
      <c r="AV254">
        <f t="shared" si="44"/>
        <v>18.525308641975307</v>
      </c>
      <c r="AW254">
        <f t="shared" si="45"/>
        <v>10.956441815432099</v>
      </c>
      <c r="AX254" s="9"/>
      <c r="AY254" s="21">
        <v>1.12869</v>
      </c>
      <c r="AZ254" s="21">
        <v>30.1876</v>
      </c>
      <c r="BA254" s="21">
        <v>-1.46637E-2</v>
      </c>
      <c r="BB254" s="21">
        <v>244</v>
      </c>
      <c r="BC254" s="21">
        <v>1.1279300000000001</v>
      </c>
      <c r="BD254">
        <f t="shared" si="46"/>
        <v>18.103333333333332</v>
      </c>
      <c r="BE254">
        <f t="shared" si="47"/>
        <v>20.433051299999999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0.586395</v>
      </c>
      <c r="H255" s="21">
        <v>7.4897099999999996</v>
      </c>
      <c r="I255" s="21">
        <v>-1.49292E-2</v>
      </c>
      <c r="J255" s="21">
        <v>245</v>
      </c>
      <c r="K255" s="21">
        <v>0.585785</v>
      </c>
      <c r="L255">
        <f t="shared" si="36"/>
        <v>18.431111111111111</v>
      </c>
      <c r="M255">
        <f t="shared" si="37"/>
        <v>10.8079114</v>
      </c>
      <c r="N255" s="9"/>
      <c r="O255" s="21">
        <v>1.1251800000000001</v>
      </c>
      <c r="P255" s="21">
        <v>15.8263</v>
      </c>
      <c r="Q255" s="21">
        <v>-1.4645399999999999E-2</v>
      </c>
      <c r="R255" s="21">
        <v>138</v>
      </c>
      <c r="S255" s="21">
        <v>1.1236600000000001</v>
      </c>
      <c r="T255">
        <f t="shared" si="38"/>
        <v>18.080740740740737</v>
      </c>
      <c r="U255">
        <f t="shared" si="39"/>
        <v>20.344087866666662</v>
      </c>
      <c r="X255" s="9"/>
      <c r="Y255" s="21">
        <v>0.586395</v>
      </c>
      <c r="Z255" s="21">
        <v>16.9039</v>
      </c>
      <c r="AA255" s="21">
        <v>-1.5020800000000001E-2</v>
      </c>
      <c r="AB255" s="21">
        <v>245</v>
      </c>
      <c r="AC255" s="21">
        <v>0.58572400000000002</v>
      </c>
      <c r="AD255">
        <f t="shared" si="40"/>
        <v>18.544197530864199</v>
      </c>
      <c r="AE255">
        <f t="shared" si="41"/>
        <v>10.874224711111113</v>
      </c>
      <c r="AF255" s="9"/>
      <c r="AG255" s="21">
        <v>1.1337299999999999</v>
      </c>
      <c r="AH255" s="21">
        <v>20.763400000000001</v>
      </c>
      <c r="AI255" s="21">
        <v>-1.4611799999999999E-2</v>
      </c>
      <c r="AJ255" s="21">
        <v>245</v>
      </c>
      <c r="AK255" s="21">
        <v>1.1331199999999999</v>
      </c>
      <c r="AL255">
        <f t="shared" si="42"/>
        <v>18.039259259259257</v>
      </c>
      <c r="AM255">
        <f t="shared" si="43"/>
        <v>20.451649399999997</v>
      </c>
      <c r="AP255" s="9"/>
      <c r="AQ255" s="21">
        <v>0.586395</v>
      </c>
      <c r="AR255" s="21">
        <v>26.338200000000001</v>
      </c>
      <c r="AS255" s="21">
        <v>-1.5008499999999999E-2</v>
      </c>
      <c r="AT255" s="21">
        <v>245</v>
      </c>
      <c r="AU255" s="21">
        <v>0.585785</v>
      </c>
      <c r="AV255">
        <f t="shared" si="44"/>
        <v>18.529012345679011</v>
      </c>
      <c r="AW255">
        <f t="shared" si="45"/>
        <v>10.865320194444443</v>
      </c>
      <c r="AX255" s="9"/>
      <c r="AY255" s="21">
        <v>1.1337299999999999</v>
      </c>
      <c r="AZ255" s="21">
        <v>30.197600000000001</v>
      </c>
      <c r="BA255" s="21">
        <v>-1.4660599999999999E-2</v>
      </c>
      <c r="BB255" s="21">
        <v>245</v>
      </c>
      <c r="BC255" s="21">
        <v>1.1325099999999999</v>
      </c>
      <c r="BD255">
        <f t="shared" si="46"/>
        <v>18.099506172839504</v>
      </c>
      <c r="BE255">
        <f t="shared" si="47"/>
        <v>20.519953133333331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0.58135999999999999</v>
      </c>
      <c r="H256" s="21">
        <v>7.4997800000000003</v>
      </c>
      <c r="I256" s="21">
        <v>-1.49292E-2</v>
      </c>
      <c r="J256" s="21">
        <v>246</v>
      </c>
      <c r="K256" s="21">
        <v>0.58056600000000003</v>
      </c>
      <c r="L256">
        <f t="shared" si="36"/>
        <v>18.431111111111111</v>
      </c>
      <c r="M256">
        <f t="shared" si="37"/>
        <v>10.715110755555555</v>
      </c>
      <c r="N256" s="9"/>
      <c r="O256" s="21">
        <v>1.13022</v>
      </c>
      <c r="P256" s="21">
        <v>15.8163</v>
      </c>
      <c r="Q256" s="21">
        <v>-1.4639299999999999E-2</v>
      </c>
      <c r="R256" s="21">
        <v>137</v>
      </c>
      <c r="S256" s="21">
        <v>1.1294599999999999</v>
      </c>
      <c r="T256">
        <f t="shared" si="38"/>
        <v>18.07320987654321</v>
      </c>
      <c r="U256">
        <f t="shared" si="39"/>
        <v>20.426703266666667</v>
      </c>
      <c r="X256" s="9"/>
      <c r="Y256" s="21">
        <v>0.58135999999999999</v>
      </c>
      <c r="Z256" s="21">
        <v>16.914000000000001</v>
      </c>
      <c r="AA256" s="21">
        <v>-1.5020800000000001E-2</v>
      </c>
      <c r="AB256" s="21">
        <v>246</v>
      </c>
      <c r="AC256" s="21">
        <v>0.58065800000000001</v>
      </c>
      <c r="AD256">
        <f t="shared" si="40"/>
        <v>18.544197530864199</v>
      </c>
      <c r="AE256">
        <f t="shared" si="41"/>
        <v>10.780854676543211</v>
      </c>
      <c r="AF256" s="9"/>
      <c r="AG256" s="21">
        <v>1.13876</v>
      </c>
      <c r="AH256" s="21">
        <v>20.773499999999999</v>
      </c>
      <c r="AI256" s="21">
        <v>-1.46088E-2</v>
      </c>
      <c r="AJ256" s="21">
        <v>246</v>
      </c>
      <c r="AK256" s="21">
        <v>1.1376999999999999</v>
      </c>
      <c r="AL256">
        <f t="shared" si="42"/>
        <v>18.035555555555554</v>
      </c>
      <c r="AM256">
        <f t="shared" si="43"/>
        <v>20.538169244444443</v>
      </c>
      <c r="AP256" s="9"/>
      <c r="AQ256" s="21">
        <v>0.58135999999999999</v>
      </c>
      <c r="AR256" s="21">
        <v>26.348199999999999</v>
      </c>
      <c r="AS256" s="21">
        <v>-1.50177E-2</v>
      </c>
      <c r="AT256" s="21">
        <v>246</v>
      </c>
      <c r="AU256" s="21">
        <v>0.58081099999999997</v>
      </c>
      <c r="AV256">
        <f t="shared" si="44"/>
        <v>18.540370370370372</v>
      </c>
      <c r="AW256">
        <f t="shared" si="45"/>
        <v>10.77862971851852</v>
      </c>
      <c r="AX256" s="9"/>
      <c r="AY256" s="21">
        <v>1.13876</v>
      </c>
      <c r="AZ256" s="21">
        <v>30.207699999999999</v>
      </c>
      <c r="BA256" s="21">
        <v>-1.46515E-2</v>
      </c>
      <c r="BB256" s="21">
        <v>246</v>
      </c>
      <c r="BC256" s="21">
        <v>1.1386099999999999</v>
      </c>
      <c r="BD256">
        <f t="shared" si="46"/>
        <v>18.088271604938271</v>
      </c>
      <c r="BE256">
        <f t="shared" si="47"/>
        <v>20.598200172839505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0.57632399999999995</v>
      </c>
      <c r="H257" s="21">
        <v>7.5098599999999998</v>
      </c>
      <c r="I257" s="21">
        <v>-1.4926099999999999E-2</v>
      </c>
      <c r="J257" s="21">
        <v>247</v>
      </c>
      <c r="K257" s="21">
        <v>0.57571399999999995</v>
      </c>
      <c r="L257">
        <f t="shared" si="36"/>
        <v>18.427283950617284</v>
      </c>
      <c r="M257">
        <f t="shared" si="37"/>
        <v>10.620085995555554</v>
      </c>
      <c r="N257" s="9"/>
      <c r="O257" s="21">
        <v>1.1352500000000001</v>
      </c>
      <c r="P257" s="21">
        <v>15.8062</v>
      </c>
      <c r="Q257" s="21">
        <v>-1.4633200000000001E-2</v>
      </c>
      <c r="R257" s="21">
        <v>136</v>
      </c>
      <c r="S257" s="21">
        <v>1.1343399999999999</v>
      </c>
      <c r="T257">
        <f t="shared" si="38"/>
        <v>18.065679012345679</v>
      </c>
      <c r="U257">
        <f t="shared" si="39"/>
        <v>20.509062098765433</v>
      </c>
      <c r="X257" s="9"/>
      <c r="Y257" s="21">
        <v>0.57632399999999995</v>
      </c>
      <c r="Z257" s="21">
        <v>16.924099999999999</v>
      </c>
      <c r="AA257" s="21">
        <v>-1.50238E-2</v>
      </c>
      <c r="AB257" s="21">
        <v>247</v>
      </c>
      <c r="AC257" s="21">
        <v>0.57574499999999995</v>
      </c>
      <c r="AD257">
        <f t="shared" si="40"/>
        <v>18.547901234567902</v>
      </c>
      <c r="AE257">
        <f t="shared" si="41"/>
        <v>10.68960063111111</v>
      </c>
      <c r="AF257" s="9"/>
      <c r="AG257" s="21">
        <v>1.1437999999999999</v>
      </c>
      <c r="AH257" s="21">
        <v>20.7835</v>
      </c>
      <c r="AI257" s="21">
        <v>-1.4605699999999999E-2</v>
      </c>
      <c r="AJ257" s="21">
        <v>247</v>
      </c>
      <c r="AK257" s="21">
        <v>1.1428799999999999</v>
      </c>
      <c r="AL257">
        <f t="shared" si="42"/>
        <v>18.031728395061727</v>
      </c>
      <c r="AM257">
        <f t="shared" si="43"/>
        <v>20.624690938271602</v>
      </c>
      <c r="AP257" s="9"/>
      <c r="AQ257" s="21">
        <v>0.57632399999999995</v>
      </c>
      <c r="AR257" s="21">
        <v>26.3583</v>
      </c>
      <c r="AS257" s="21">
        <v>-1.5020800000000001E-2</v>
      </c>
      <c r="AT257" s="21">
        <v>247</v>
      </c>
      <c r="AU257" s="21">
        <v>0.57565299999999997</v>
      </c>
      <c r="AV257">
        <f t="shared" si="44"/>
        <v>18.544197530864199</v>
      </c>
      <c r="AW257">
        <f t="shared" si="45"/>
        <v>10.687466097777778</v>
      </c>
      <c r="AX257" s="9"/>
      <c r="AY257" s="21">
        <v>1.1437999999999999</v>
      </c>
      <c r="AZ257" s="21">
        <v>30.2178</v>
      </c>
      <c r="BA257" s="21">
        <v>-1.4645399999999999E-2</v>
      </c>
      <c r="BB257" s="21">
        <v>247</v>
      </c>
      <c r="BC257" s="21">
        <v>1.1425799999999999</v>
      </c>
      <c r="BD257">
        <f t="shared" si="46"/>
        <v>18.080740740740737</v>
      </c>
      <c r="BE257">
        <f t="shared" si="47"/>
        <v>20.680751259259253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0.57128900000000005</v>
      </c>
      <c r="H258" s="21">
        <v>7.5199299999999996</v>
      </c>
      <c r="I258" s="21">
        <v>-1.49231E-2</v>
      </c>
      <c r="J258" s="21">
        <v>248</v>
      </c>
      <c r="K258" s="21">
        <v>0.57052599999999998</v>
      </c>
      <c r="L258">
        <f t="shared" si="36"/>
        <v>18.423580246913577</v>
      </c>
      <c r="M258">
        <f t="shared" si="37"/>
        <v>10.525188735679011</v>
      </c>
      <c r="N258" s="9"/>
      <c r="O258" s="21">
        <v>1.14029</v>
      </c>
      <c r="P258" s="21">
        <v>15.796099999999999</v>
      </c>
      <c r="Q258" s="21">
        <v>-1.4621E-2</v>
      </c>
      <c r="R258" s="21">
        <v>135</v>
      </c>
      <c r="S258" s="21">
        <v>1.1395299999999999</v>
      </c>
      <c r="T258">
        <f t="shared" si="38"/>
        <v>18.050617283950618</v>
      </c>
      <c r="U258">
        <f t="shared" si="39"/>
        <v>20.582938382716051</v>
      </c>
      <c r="X258" s="9"/>
      <c r="Y258" s="21">
        <v>0.57128900000000005</v>
      </c>
      <c r="Z258" s="21">
        <v>16.934100000000001</v>
      </c>
      <c r="AA258" s="21">
        <v>-1.5026899999999999E-2</v>
      </c>
      <c r="AB258" s="21">
        <v>248</v>
      </c>
      <c r="AC258" s="21">
        <v>0.57058699999999996</v>
      </c>
      <c r="AD258">
        <f t="shared" si="40"/>
        <v>18.551728395061726</v>
      </c>
      <c r="AE258">
        <f t="shared" si="41"/>
        <v>10.598398363086419</v>
      </c>
      <c r="AF258" s="9"/>
      <c r="AG258" s="21">
        <v>1.14883</v>
      </c>
      <c r="AH258" s="21">
        <v>20.793600000000001</v>
      </c>
      <c r="AI258" s="21">
        <v>-1.4611799999999999E-2</v>
      </c>
      <c r="AJ258" s="21">
        <v>248</v>
      </c>
      <c r="AK258" s="21">
        <v>1.14838</v>
      </c>
      <c r="AL258">
        <f t="shared" si="42"/>
        <v>18.039259259259257</v>
      </c>
      <c r="AM258">
        <f t="shared" si="43"/>
        <v>20.724042214814812</v>
      </c>
      <c r="AP258" s="9"/>
      <c r="AQ258" s="21">
        <v>0.57128900000000005</v>
      </c>
      <c r="AR258" s="21">
        <v>26.368400000000001</v>
      </c>
      <c r="AS258" s="21">
        <v>-1.50238E-2</v>
      </c>
      <c r="AT258" s="21">
        <v>248</v>
      </c>
      <c r="AU258" s="21">
        <v>0.57058699999999996</v>
      </c>
      <c r="AV258">
        <f t="shared" si="44"/>
        <v>18.547901234567902</v>
      </c>
      <c r="AW258">
        <f t="shared" si="45"/>
        <v>10.596211948395064</v>
      </c>
      <c r="AX258" s="9"/>
      <c r="AY258" s="21">
        <v>1.14883</v>
      </c>
      <c r="AZ258" s="21">
        <v>30.227799999999998</v>
      </c>
      <c r="BA258" s="21">
        <v>-1.4639299999999999E-2</v>
      </c>
      <c r="BB258" s="21">
        <v>248</v>
      </c>
      <c r="BC258" s="21">
        <v>1.14838</v>
      </c>
      <c r="BD258">
        <f t="shared" si="46"/>
        <v>18.07320987654321</v>
      </c>
      <c r="BE258">
        <f t="shared" si="47"/>
        <v>20.763045702469135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0.56625400000000004</v>
      </c>
      <c r="H259" s="21">
        <v>7.53</v>
      </c>
      <c r="I259" s="21">
        <v>-1.4926099999999999E-2</v>
      </c>
      <c r="J259" s="21">
        <v>249</v>
      </c>
      <c r="K259" s="21">
        <v>0.56561300000000003</v>
      </c>
      <c r="L259">
        <f t="shared" si="36"/>
        <v>18.427283950617284</v>
      </c>
      <c r="M259">
        <f t="shared" si="37"/>
        <v>10.434523246172841</v>
      </c>
      <c r="N259" s="9"/>
      <c r="O259" s="21">
        <v>1.1453199999999999</v>
      </c>
      <c r="P259" s="21">
        <v>15.786</v>
      </c>
      <c r="Q259" s="21">
        <v>-1.4611799999999999E-2</v>
      </c>
      <c r="R259" s="21">
        <v>134</v>
      </c>
      <c r="S259" s="21">
        <v>1.1440999999999999</v>
      </c>
      <c r="T259">
        <f t="shared" si="38"/>
        <v>18.039259259259257</v>
      </c>
      <c r="U259">
        <f t="shared" si="39"/>
        <v>20.660724414814812</v>
      </c>
      <c r="X259" s="9"/>
      <c r="Y259" s="21">
        <v>0.56625400000000004</v>
      </c>
      <c r="Z259" s="21">
        <v>16.944199999999999</v>
      </c>
      <c r="AA259" s="21">
        <v>-1.5036000000000001E-2</v>
      </c>
      <c r="AB259" s="21">
        <v>249</v>
      </c>
      <c r="AC259" s="21">
        <v>0.56564300000000001</v>
      </c>
      <c r="AD259">
        <f t="shared" si="40"/>
        <v>18.562962962962963</v>
      </c>
      <c r="AE259">
        <f t="shared" si="41"/>
        <v>10.511352029629631</v>
      </c>
      <c r="AF259" s="9"/>
      <c r="AG259" s="21">
        <v>1.15387</v>
      </c>
      <c r="AH259" s="21">
        <v>20.803699999999999</v>
      </c>
      <c r="AI259" s="21">
        <v>-1.4611799999999999E-2</v>
      </c>
      <c r="AJ259" s="21">
        <v>249</v>
      </c>
      <c r="AK259" s="21">
        <v>1.15326</v>
      </c>
      <c r="AL259">
        <f t="shared" si="42"/>
        <v>18.039259259259257</v>
      </c>
      <c r="AM259">
        <f t="shared" si="43"/>
        <v>20.814960081481477</v>
      </c>
      <c r="AP259" s="9"/>
      <c r="AQ259" s="21">
        <v>0.56625400000000004</v>
      </c>
      <c r="AR259" s="21">
        <v>26.378399999999999</v>
      </c>
      <c r="AS259" s="21">
        <v>-1.5029900000000001E-2</v>
      </c>
      <c r="AT259" s="21">
        <v>249</v>
      </c>
      <c r="AU259" s="21">
        <v>0.56561300000000003</v>
      </c>
      <c r="AV259">
        <f t="shared" si="44"/>
        <v>18.555432098765429</v>
      </c>
      <c r="AW259">
        <f t="shared" si="45"/>
        <v>10.50708764765432</v>
      </c>
      <c r="AX259" s="9"/>
      <c r="AY259" s="21">
        <v>1.15387</v>
      </c>
      <c r="AZ259" s="21">
        <v>30.2379</v>
      </c>
      <c r="BA259" s="21">
        <v>-1.46362E-2</v>
      </c>
      <c r="BB259" s="21">
        <v>249</v>
      </c>
      <c r="BC259" s="21">
        <v>1.15265</v>
      </c>
      <c r="BD259">
        <f t="shared" si="46"/>
        <v>18.069382716049383</v>
      </c>
      <c r="BE259">
        <f t="shared" si="47"/>
        <v>20.8497186345679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0.56121799999999999</v>
      </c>
      <c r="H260" s="21">
        <v>7.5400700000000001</v>
      </c>
      <c r="I260" s="21">
        <v>-1.4932300000000001E-2</v>
      </c>
      <c r="J260" s="21">
        <v>250</v>
      </c>
      <c r="K260" s="21">
        <v>0.56054700000000002</v>
      </c>
      <c r="L260">
        <f t="shared" si="36"/>
        <v>18.434938271604938</v>
      </c>
      <c r="M260">
        <f t="shared" si="37"/>
        <v>10.34601918691358</v>
      </c>
      <c r="N260" s="9"/>
      <c r="O260" s="21">
        <v>1.15036</v>
      </c>
      <c r="P260" s="21">
        <v>15.776</v>
      </c>
      <c r="Q260" s="21">
        <v>-1.4605699999999999E-2</v>
      </c>
      <c r="R260" s="21">
        <v>133</v>
      </c>
      <c r="S260" s="21">
        <v>1.1496</v>
      </c>
      <c r="T260">
        <f t="shared" si="38"/>
        <v>18.031728395061727</v>
      </c>
      <c r="U260">
        <f t="shared" si="39"/>
        <v>20.742979076543207</v>
      </c>
      <c r="X260" s="9"/>
      <c r="Y260" s="21">
        <v>0.56121799999999999</v>
      </c>
      <c r="Z260" s="21">
        <v>16.9543</v>
      </c>
      <c r="AA260" s="21">
        <v>-1.5042099999999999E-2</v>
      </c>
      <c r="AB260" s="21">
        <v>250</v>
      </c>
      <c r="AC260" s="21">
        <v>0.56066899999999997</v>
      </c>
      <c r="AD260">
        <f t="shared" si="40"/>
        <v>18.570493827160494</v>
      </c>
      <c r="AE260">
        <f t="shared" si="41"/>
        <v>10.422095404691358</v>
      </c>
      <c r="AF260" s="9"/>
      <c r="AG260" s="21">
        <v>1.1589100000000001</v>
      </c>
      <c r="AH260" s="21">
        <v>20.813800000000001</v>
      </c>
      <c r="AI260" s="21">
        <v>-1.46088E-2</v>
      </c>
      <c r="AJ260" s="21">
        <v>250</v>
      </c>
      <c r="AK260" s="21">
        <v>1.15784</v>
      </c>
      <c r="AL260">
        <f t="shared" si="42"/>
        <v>18.035555555555554</v>
      </c>
      <c r="AM260">
        <f t="shared" si="43"/>
        <v>20.90158568888889</v>
      </c>
      <c r="AP260" s="9"/>
      <c r="AQ260" s="21">
        <v>0.56121799999999999</v>
      </c>
      <c r="AR260" s="21">
        <v>26.388500000000001</v>
      </c>
      <c r="AS260" s="21">
        <v>-1.50238E-2</v>
      </c>
      <c r="AT260" s="21">
        <v>250</v>
      </c>
      <c r="AU260" s="21">
        <v>0.56063799999999997</v>
      </c>
      <c r="AV260">
        <f t="shared" si="44"/>
        <v>18.547901234567902</v>
      </c>
      <c r="AW260">
        <f t="shared" si="45"/>
        <v>10.40941603506173</v>
      </c>
      <c r="AX260" s="9"/>
      <c r="AY260" s="21">
        <v>1.1589100000000001</v>
      </c>
      <c r="AZ260" s="21">
        <v>30.248000000000001</v>
      </c>
      <c r="BA260" s="21">
        <v>-1.46362E-2</v>
      </c>
      <c r="BB260" s="21">
        <v>250</v>
      </c>
      <c r="BC260" s="21">
        <v>1.1575299999999999</v>
      </c>
      <c r="BD260">
        <f t="shared" si="46"/>
        <v>18.069382716049383</v>
      </c>
      <c r="BE260">
        <f t="shared" si="47"/>
        <v>20.940788323456793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0.55618299999999998</v>
      </c>
      <c r="H261" s="21">
        <v>7.5501399999999999</v>
      </c>
      <c r="I261" s="21">
        <v>-1.4932300000000001E-2</v>
      </c>
      <c r="J261" s="21">
        <v>251</v>
      </c>
      <c r="K261" s="21">
        <v>0.55554199999999998</v>
      </c>
      <c r="L261">
        <f t="shared" si="36"/>
        <v>18.434938271604938</v>
      </c>
      <c r="M261">
        <f t="shared" si="37"/>
        <v>10.253199272716049</v>
      </c>
      <c r="N261" s="9"/>
      <c r="O261" s="21">
        <v>1.1554</v>
      </c>
      <c r="P261" s="21">
        <v>15.7659</v>
      </c>
      <c r="Q261" s="21">
        <v>-1.4599600000000001E-2</v>
      </c>
      <c r="R261" s="21">
        <v>132</v>
      </c>
      <c r="S261" s="21">
        <v>1.15448</v>
      </c>
      <c r="T261">
        <f t="shared" si="38"/>
        <v>18.0241975308642</v>
      </c>
      <c r="U261">
        <f t="shared" si="39"/>
        <v>20.825157827160496</v>
      </c>
      <c r="X261" s="9"/>
      <c r="Y261" s="21">
        <v>0.55618299999999998</v>
      </c>
      <c r="Z261" s="21">
        <v>16.964400000000001</v>
      </c>
      <c r="AA261" s="21">
        <v>-1.50391E-2</v>
      </c>
      <c r="AB261" s="21">
        <v>251</v>
      </c>
      <c r="AC261" s="21">
        <v>0.55551099999999998</v>
      </c>
      <c r="AD261">
        <f t="shared" si="40"/>
        <v>18.566790123456791</v>
      </c>
      <c r="AE261">
        <f t="shared" si="41"/>
        <v>10.326533031234568</v>
      </c>
      <c r="AF261" s="9"/>
      <c r="AG261" s="21">
        <v>1.16394</v>
      </c>
      <c r="AH261" s="21">
        <v>20.823799999999999</v>
      </c>
      <c r="AI261" s="21">
        <v>-1.45966E-2</v>
      </c>
      <c r="AJ261" s="21">
        <v>251</v>
      </c>
      <c r="AK261" s="21">
        <v>1.16333</v>
      </c>
      <c r="AL261">
        <f t="shared" si="42"/>
        <v>18.020493827160493</v>
      </c>
      <c r="AM261">
        <f t="shared" si="43"/>
        <v>20.974773585185183</v>
      </c>
      <c r="AP261" s="9"/>
      <c r="AQ261" s="21">
        <v>0.55618299999999998</v>
      </c>
      <c r="AR261" s="21">
        <v>26.398599999999998</v>
      </c>
      <c r="AS261" s="21">
        <v>-1.5014599999999999E-2</v>
      </c>
      <c r="AT261" s="21">
        <v>251</v>
      </c>
      <c r="AU261" s="21">
        <v>0.55560299999999996</v>
      </c>
      <c r="AV261">
        <f t="shared" si="44"/>
        <v>18.536543209876541</v>
      </c>
      <c r="AW261">
        <f t="shared" si="45"/>
        <v>10.309710212098764</v>
      </c>
      <c r="AX261" s="9"/>
      <c r="AY261" s="21">
        <v>1.16394</v>
      </c>
      <c r="AZ261" s="21">
        <v>30.258099999999999</v>
      </c>
      <c r="BA261" s="21">
        <v>-1.4633200000000001E-2</v>
      </c>
      <c r="BB261" s="21">
        <v>251</v>
      </c>
      <c r="BC261" s="21">
        <v>1.16272</v>
      </c>
      <c r="BD261">
        <f t="shared" si="46"/>
        <v>18.065679012345679</v>
      </c>
      <c r="BE261">
        <f t="shared" si="47"/>
        <v>21.02736642962963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0.55114700000000005</v>
      </c>
      <c r="H262" s="21">
        <v>7.5602099999999997</v>
      </c>
      <c r="I262" s="21">
        <v>-1.4938399999999999E-2</v>
      </c>
      <c r="J262" s="21">
        <v>252</v>
      </c>
      <c r="K262" s="21">
        <v>0.55056799999999995</v>
      </c>
      <c r="L262">
        <f t="shared" si="36"/>
        <v>18.442469135802465</v>
      </c>
      <c r="M262">
        <f t="shared" si="37"/>
        <v>10.164511536790123</v>
      </c>
      <c r="N262" s="9"/>
      <c r="O262" s="21">
        <v>1.1604300000000001</v>
      </c>
      <c r="P262" s="21">
        <v>15.755800000000001</v>
      </c>
      <c r="Q262" s="21">
        <v>-1.4599600000000001E-2</v>
      </c>
      <c r="R262" s="21">
        <v>131</v>
      </c>
      <c r="S262" s="21">
        <v>1.15967</v>
      </c>
      <c r="T262">
        <f t="shared" si="38"/>
        <v>18.0241975308642</v>
      </c>
      <c r="U262">
        <f t="shared" si="39"/>
        <v>20.915819540740745</v>
      </c>
      <c r="X262" s="9"/>
      <c r="Y262" s="21">
        <v>0.55114700000000005</v>
      </c>
      <c r="Z262" s="21">
        <v>16.974399999999999</v>
      </c>
      <c r="AA262" s="21">
        <v>-1.5032999999999999E-2</v>
      </c>
      <c r="AB262" s="21">
        <v>252</v>
      </c>
      <c r="AC262" s="21">
        <v>0.55050699999999997</v>
      </c>
      <c r="AD262">
        <f t="shared" si="40"/>
        <v>18.559259259259257</v>
      </c>
      <c r="AE262">
        <f t="shared" si="41"/>
        <v>10.228880062962963</v>
      </c>
      <c r="AF262" s="9"/>
      <c r="AG262" s="21">
        <v>1.1689799999999999</v>
      </c>
      <c r="AH262" s="21">
        <v>20.8339</v>
      </c>
      <c r="AI262" s="21">
        <v>-1.4584400000000001E-2</v>
      </c>
      <c r="AJ262" s="21">
        <v>252</v>
      </c>
      <c r="AK262" s="21">
        <v>1.16852</v>
      </c>
      <c r="AL262">
        <f t="shared" si="42"/>
        <v>18.005432098765432</v>
      </c>
      <c r="AM262">
        <f t="shared" si="43"/>
        <v>21.047990014814815</v>
      </c>
      <c r="AP262" s="9"/>
      <c r="AQ262" s="21">
        <v>0.55114700000000005</v>
      </c>
      <c r="AR262" s="21">
        <v>26.4087</v>
      </c>
      <c r="AS262" s="21">
        <v>-1.4993299999999999E-2</v>
      </c>
      <c r="AT262" s="21">
        <v>252</v>
      </c>
      <c r="AU262" s="21">
        <v>0.55047599999999997</v>
      </c>
      <c r="AV262">
        <f t="shared" si="44"/>
        <v>18.510246913580243</v>
      </c>
      <c r="AW262">
        <f t="shared" si="45"/>
        <v>10.201867055679012</v>
      </c>
      <c r="AX262" s="9"/>
      <c r="AY262" s="21">
        <v>1.1689799999999999</v>
      </c>
      <c r="AZ262" s="21">
        <v>30.2681</v>
      </c>
      <c r="BA262" s="21">
        <v>-1.4624E-2</v>
      </c>
      <c r="BB262" s="21">
        <v>252</v>
      </c>
      <c r="BC262" s="21">
        <v>1.16791</v>
      </c>
      <c r="BD262">
        <f t="shared" si="46"/>
        <v>18.054320987654318</v>
      </c>
      <c r="BE262">
        <f t="shared" si="47"/>
        <v>21.105140148148141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0.54611200000000004</v>
      </c>
      <c r="H263" s="21">
        <v>7.5702800000000003</v>
      </c>
      <c r="I263" s="21">
        <v>-1.4947500000000001E-2</v>
      </c>
      <c r="J263" s="21">
        <v>253</v>
      </c>
      <c r="K263" s="21">
        <v>0.54550200000000004</v>
      </c>
      <c r="L263">
        <f t="shared" si="36"/>
        <v>18.453703703703706</v>
      </c>
      <c r="M263">
        <f t="shared" si="37"/>
        <v>10.077789037037039</v>
      </c>
      <c r="N263" s="9"/>
      <c r="O263" s="21">
        <v>1.16547</v>
      </c>
      <c r="P263" s="21">
        <v>15.745799999999999</v>
      </c>
      <c r="Q263" s="21">
        <v>-1.4593500000000001E-2</v>
      </c>
      <c r="R263" s="21">
        <v>130</v>
      </c>
      <c r="S263" s="21">
        <v>1.16486</v>
      </c>
      <c r="T263">
        <f t="shared" si="38"/>
        <v>18.016666666666666</v>
      </c>
      <c r="U263">
        <f t="shared" si="39"/>
        <v>20.997884499999998</v>
      </c>
      <c r="X263" s="9"/>
      <c r="Y263" s="21">
        <v>0.54611200000000004</v>
      </c>
      <c r="Z263" s="21">
        <v>16.984500000000001</v>
      </c>
      <c r="AA263" s="21">
        <v>-1.50238E-2</v>
      </c>
      <c r="AB263" s="21">
        <v>253</v>
      </c>
      <c r="AC263" s="21">
        <v>0.54553200000000002</v>
      </c>
      <c r="AD263">
        <f t="shared" si="40"/>
        <v>18.547901234567902</v>
      </c>
      <c r="AE263">
        <f t="shared" si="41"/>
        <v>10.129231439012347</v>
      </c>
      <c r="AF263" s="9"/>
      <c r="AG263" s="21">
        <v>1.17401</v>
      </c>
      <c r="AH263" s="21">
        <v>20.844000000000001</v>
      </c>
      <c r="AI263" s="21">
        <v>-1.4572099999999999E-2</v>
      </c>
      <c r="AJ263" s="21">
        <v>253</v>
      </c>
      <c r="AK263" s="21">
        <v>1.1734</v>
      </c>
      <c r="AL263">
        <f t="shared" si="42"/>
        <v>17.990246913580243</v>
      </c>
      <c r="AM263">
        <f t="shared" si="43"/>
        <v>21.12072977901234</v>
      </c>
      <c r="AP263" s="9"/>
      <c r="AQ263" s="21">
        <v>0.54611200000000004</v>
      </c>
      <c r="AR263" s="21">
        <v>26.418700000000001</v>
      </c>
      <c r="AS263" s="21">
        <v>-1.49902E-2</v>
      </c>
      <c r="AT263" s="21">
        <v>253</v>
      </c>
      <c r="AU263" s="21">
        <v>0.54550200000000004</v>
      </c>
      <c r="AV263">
        <f t="shared" si="44"/>
        <v>18.506419753086419</v>
      </c>
      <c r="AW263">
        <f t="shared" si="45"/>
        <v>10.106577904197531</v>
      </c>
      <c r="AX263" s="9"/>
      <c r="AY263" s="21">
        <v>1.17401</v>
      </c>
      <c r="AZ263" s="21">
        <v>30.278199999999998</v>
      </c>
      <c r="BA263" s="21">
        <v>-1.4624E-2</v>
      </c>
      <c r="BB263" s="21">
        <v>253</v>
      </c>
      <c r="BC263" s="21">
        <v>1.1734</v>
      </c>
      <c r="BD263">
        <f t="shared" si="46"/>
        <v>18.054320987654318</v>
      </c>
      <c r="BE263">
        <f t="shared" si="47"/>
        <v>21.195953382716045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0.54107700000000003</v>
      </c>
      <c r="H264" s="21">
        <v>7.5803500000000001</v>
      </c>
      <c r="I264" s="21">
        <v>-1.4938399999999999E-2</v>
      </c>
      <c r="J264" s="21">
        <v>254</v>
      </c>
      <c r="K264" s="21">
        <v>0.54034400000000005</v>
      </c>
      <c r="L264">
        <f t="shared" si="36"/>
        <v>18.442469135802465</v>
      </c>
      <c r="M264">
        <f t="shared" si="37"/>
        <v>9.9787958725925918</v>
      </c>
      <c r="N264" s="9"/>
      <c r="O264" s="21">
        <v>1.1705000000000001</v>
      </c>
      <c r="P264" s="21">
        <v>15.7357</v>
      </c>
      <c r="Q264" s="21">
        <v>-1.45874E-2</v>
      </c>
      <c r="R264" s="21">
        <v>129</v>
      </c>
      <c r="S264" s="21">
        <v>1.16943</v>
      </c>
      <c r="T264">
        <f t="shared" si="38"/>
        <v>18.009135802469135</v>
      </c>
      <c r="U264">
        <f t="shared" si="39"/>
        <v>21.079693456790125</v>
      </c>
      <c r="X264" s="9"/>
      <c r="Y264" s="21">
        <v>0.54107700000000003</v>
      </c>
      <c r="Z264" s="21">
        <v>16.994599999999998</v>
      </c>
      <c r="AA264" s="21">
        <v>-1.5026899999999999E-2</v>
      </c>
      <c r="AB264" s="21">
        <v>254</v>
      </c>
      <c r="AC264" s="21">
        <v>0.54043600000000003</v>
      </c>
      <c r="AD264">
        <f t="shared" si="40"/>
        <v>18.551728395061726</v>
      </c>
      <c r="AE264">
        <f t="shared" si="41"/>
        <v>10.037913544814813</v>
      </c>
      <c r="AF264" s="9"/>
      <c r="AG264" s="21">
        <v>1.1790499999999999</v>
      </c>
      <c r="AH264" s="21">
        <v>20.853999999999999</v>
      </c>
      <c r="AI264" s="21">
        <v>-1.45691E-2</v>
      </c>
      <c r="AJ264" s="21">
        <v>254</v>
      </c>
      <c r="AK264" s="21">
        <v>1.17859</v>
      </c>
      <c r="AL264">
        <f t="shared" si="42"/>
        <v>17.98654320987654</v>
      </c>
      <c r="AM264">
        <f t="shared" si="43"/>
        <v>21.207033771604934</v>
      </c>
      <c r="AP264" s="9"/>
      <c r="AQ264" s="21">
        <v>0.54107700000000003</v>
      </c>
      <c r="AR264" s="21">
        <v>26.428799999999999</v>
      </c>
      <c r="AS264" s="21">
        <v>-1.49902E-2</v>
      </c>
      <c r="AT264" s="21">
        <v>254</v>
      </c>
      <c r="AU264" s="21">
        <v>0.54043600000000003</v>
      </c>
      <c r="AV264">
        <f t="shared" si="44"/>
        <v>18.506419753086419</v>
      </c>
      <c r="AW264">
        <f t="shared" si="45"/>
        <v>10.013398080740741</v>
      </c>
      <c r="AX264" s="9"/>
      <c r="AY264" s="21">
        <v>1.1790499999999999</v>
      </c>
      <c r="AZ264" s="21">
        <v>30.2883</v>
      </c>
      <c r="BA264" s="21">
        <v>-1.4621E-2</v>
      </c>
      <c r="BB264" s="21">
        <v>254</v>
      </c>
      <c r="BC264" s="21">
        <v>1.17828</v>
      </c>
      <c r="BD264">
        <f t="shared" si="46"/>
        <v>18.050617283950618</v>
      </c>
      <c r="BE264">
        <f t="shared" si="47"/>
        <v>21.282580308641975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0.53604099999999999</v>
      </c>
      <c r="H265" s="21">
        <v>7.5904199999999999</v>
      </c>
      <c r="I265" s="21">
        <v>-1.4941400000000001E-2</v>
      </c>
      <c r="J265" s="21">
        <v>255</v>
      </c>
      <c r="K265" s="21">
        <v>0.53533900000000001</v>
      </c>
      <c r="L265">
        <f t="shared" si="36"/>
        <v>18.446172839506172</v>
      </c>
      <c r="M265">
        <f t="shared" si="37"/>
        <v>9.8879049350617283</v>
      </c>
      <c r="N265" s="9"/>
      <c r="O265" s="21">
        <v>1.17554</v>
      </c>
      <c r="P265" s="21">
        <v>15.7256</v>
      </c>
      <c r="Q265" s="21">
        <v>-1.45813E-2</v>
      </c>
      <c r="R265" s="21">
        <v>128</v>
      </c>
      <c r="S265" s="21">
        <v>1.17462</v>
      </c>
      <c r="T265">
        <f t="shared" si="38"/>
        <v>18.001604938271605</v>
      </c>
      <c r="U265">
        <f t="shared" si="39"/>
        <v>21.161606669135804</v>
      </c>
      <c r="X265" s="9"/>
      <c r="Y265" s="21">
        <v>0.53604099999999999</v>
      </c>
      <c r="Z265" s="21">
        <v>17.0046</v>
      </c>
      <c r="AA265" s="21">
        <v>-1.50238E-2</v>
      </c>
      <c r="AB265" s="21">
        <v>255</v>
      </c>
      <c r="AC265" s="21">
        <v>0.53537000000000001</v>
      </c>
      <c r="AD265">
        <f t="shared" si="40"/>
        <v>18.547901234567902</v>
      </c>
      <c r="AE265">
        <f t="shared" si="41"/>
        <v>9.9424355256790129</v>
      </c>
      <c r="AF265" s="9"/>
      <c r="AG265" s="21">
        <v>1.18408</v>
      </c>
      <c r="AH265" s="21">
        <v>20.864100000000001</v>
      </c>
      <c r="AI265" s="21">
        <v>-1.4572099999999999E-2</v>
      </c>
      <c r="AJ265" s="21">
        <v>255</v>
      </c>
      <c r="AK265" s="21">
        <v>1.1837800000000001</v>
      </c>
      <c r="AL265">
        <f t="shared" si="42"/>
        <v>17.990246913580243</v>
      </c>
      <c r="AM265">
        <f t="shared" si="43"/>
        <v>21.301891565432094</v>
      </c>
      <c r="AP265" s="9"/>
      <c r="AQ265" s="21">
        <v>0.53604099999999999</v>
      </c>
      <c r="AR265" s="21">
        <v>26.4389</v>
      </c>
      <c r="AS265" s="21">
        <v>-1.4993299999999999E-2</v>
      </c>
      <c r="AT265" s="21">
        <v>255</v>
      </c>
      <c r="AU265" s="21">
        <v>0.53537000000000001</v>
      </c>
      <c r="AV265">
        <f t="shared" si="44"/>
        <v>18.510246913580243</v>
      </c>
      <c r="AW265">
        <f t="shared" si="45"/>
        <v>9.9222512658024673</v>
      </c>
      <c r="AX265" s="9"/>
      <c r="AY265" s="21">
        <v>1.18408</v>
      </c>
      <c r="AZ265" s="21">
        <v>30.298300000000001</v>
      </c>
      <c r="BA265" s="21">
        <v>-1.46149E-2</v>
      </c>
      <c r="BB265" s="21">
        <v>255</v>
      </c>
      <c r="BC265" s="21">
        <v>1.1831700000000001</v>
      </c>
      <c r="BD265">
        <f t="shared" si="46"/>
        <v>18.043086419753088</v>
      </c>
      <c r="BE265">
        <f t="shared" si="47"/>
        <v>21.364457767901236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0.53100599999999998</v>
      </c>
      <c r="H266" s="21">
        <v>7.6004899999999997</v>
      </c>
      <c r="I266" s="21">
        <v>-1.4947500000000001E-2</v>
      </c>
      <c r="J266" s="21">
        <v>256</v>
      </c>
      <c r="K266" s="21">
        <v>0.53039599999999998</v>
      </c>
      <c r="L266">
        <f t="shared" si="36"/>
        <v>18.453703703703706</v>
      </c>
      <c r="M266">
        <f t="shared" si="37"/>
        <v>9.7990273888888897</v>
      </c>
      <c r="N266" s="9"/>
      <c r="O266" s="21">
        <v>1.1805699999999999</v>
      </c>
      <c r="P266" s="21">
        <v>15.7156</v>
      </c>
      <c r="Q266" s="21">
        <v>-1.4578199999999999E-2</v>
      </c>
      <c r="R266" s="21">
        <v>127</v>
      </c>
      <c r="S266" s="21">
        <v>1.17981</v>
      </c>
      <c r="T266">
        <f t="shared" si="38"/>
        <v>17.997777777777777</v>
      </c>
      <c r="U266">
        <f t="shared" si="39"/>
        <v>21.247636511111107</v>
      </c>
      <c r="X266" s="9"/>
      <c r="Y266" s="21">
        <v>0.53100599999999998</v>
      </c>
      <c r="Z266" s="21">
        <v>17.014700000000001</v>
      </c>
      <c r="AA266" s="21">
        <v>-1.50238E-2</v>
      </c>
      <c r="AB266" s="21">
        <v>256</v>
      </c>
      <c r="AC266" s="21">
        <v>0.530304</v>
      </c>
      <c r="AD266">
        <f t="shared" si="40"/>
        <v>18.547901234567902</v>
      </c>
      <c r="AE266">
        <f t="shared" si="41"/>
        <v>9.849046842962963</v>
      </c>
      <c r="AF266" s="9"/>
      <c r="AG266" s="21">
        <v>1.18912</v>
      </c>
      <c r="AH266" s="21">
        <v>20.874199999999998</v>
      </c>
      <c r="AI266" s="21">
        <v>-1.4566000000000001E-2</v>
      </c>
      <c r="AJ266" s="21">
        <v>256</v>
      </c>
      <c r="AK266" s="21">
        <v>1.18774</v>
      </c>
      <c r="AL266">
        <f t="shared" si="42"/>
        <v>17.982716049382717</v>
      </c>
      <c r="AM266">
        <f t="shared" si="43"/>
        <v>21.383607308641974</v>
      </c>
      <c r="AP266" s="9"/>
      <c r="AQ266" s="21">
        <v>0.53100599999999998</v>
      </c>
      <c r="AR266" s="21">
        <v>26.448899999999998</v>
      </c>
      <c r="AS266" s="21">
        <v>-1.4993299999999999E-2</v>
      </c>
      <c r="AT266" s="21">
        <v>256</v>
      </c>
      <c r="AU266" s="21">
        <v>0.530304</v>
      </c>
      <c r="AV266">
        <f t="shared" si="44"/>
        <v>18.510246913580243</v>
      </c>
      <c r="AW266">
        <f t="shared" si="45"/>
        <v>9.8290521725925899</v>
      </c>
      <c r="AX266" s="9"/>
      <c r="AY266" s="21">
        <v>1.18912</v>
      </c>
      <c r="AZ266" s="21">
        <v>30.308399999999999</v>
      </c>
      <c r="BA266" s="21">
        <v>-1.4605699999999999E-2</v>
      </c>
      <c r="BB266" s="21">
        <v>256</v>
      </c>
      <c r="BC266" s="21">
        <v>1.18835</v>
      </c>
      <c r="BD266">
        <f t="shared" si="46"/>
        <v>18.031728395061727</v>
      </c>
      <c r="BE266">
        <f t="shared" si="47"/>
        <v>21.441888869135799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0.52597000000000005</v>
      </c>
      <c r="H267" s="21">
        <v>7.6105700000000001</v>
      </c>
      <c r="I267" s="21">
        <v>-1.4959699999999999E-2</v>
      </c>
      <c r="J267" s="21">
        <v>257</v>
      </c>
      <c r="K267" s="21">
        <v>0.52523799999999998</v>
      </c>
      <c r="L267">
        <f t="shared" si="36"/>
        <v>18.468765432098763</v>
      </c>
      <c r="M267">
        <f t="shared" si="37"/>
        <v>9.7140165543209882</v>
      </c>
      <c r="N267" s="9"/>
      <c r="O267" s="21">
        <v>1.1856100000000001</v>
      </c>
      <c r="P267" s="21">
        <v>15.705500000000001</v>
      </c>
      <c r="Q267" s="21">
        <v>-1.45691E-2</v>
      </c>
      <c r="R267" s="21">
        <v>126</v>
      </c>
      <c r="S267" s="21">
        <v>1.1853</v>
      </c>
      <c r="T267">
        <f t="shared" si="38"/>
        <v>17.98654320987654</v>
      </c>
      <c r="U267">
        <f t="shared" si="39"/>
        <v>21.325025495061727</v>
      </c>
      <c r="X267" s="9"/>
      <c r="Y267" s="21">
        <v>0.52597000000000005</v>
      </c>
      <c r="Z267" s="21">
        <v>17.024799999999999</v>
      </c>
      <c r="AA267" s="21">
        <v>-1.50177E-2</v>
      </c>
      <c r="AB267" s="21">
        <v>257</v>
      </c>
      <c r="AC267" s="21">
        <v>0.52532999999999996</v>
      </c>
      <c r="AD267">
        <f t="shared" si="40"/>
        <v>18.540370370370372</v>
      </c>
      <c r="AE267">
        <f t="shared" si="41"/>
        <v>9.7516786037037058</v>
      </c>
      <c r="AF267" s="9"/>
      <c r="AG267" s="21">
        <v>1.19415</v>
      </c>
      <c r="AH267" s="21">
        <v>20.8843</v>
      </c>
      <c r="AI267" s="21">
        <v>-1.4563E-2</v>
      </c>
      <c r="AJ267" s="21">
        <v>257</v>
      </c>
      <c r="AK267" s="21">
        <v>1.1932400000000001</v>
      </c>
      <c r="AL267">
        <f t="shared" si="42"/>
        <v>17.979012345679013</v>
      </c>
      <c r="AM267">
        <f t="shared" si="43"/>
        <v>21.469637592592594</v>
      </c>
      <c r="AP267" s="9"/>
      <c r="AQ267" s="21">
        <v>0.52597000000000005</v>
      </c>
      <c r="AR267" s="21">
        <v>26.459</v>
      </c>
      <c r="AS267" s="21">
        <v>-1.4981100000000001E-2</v>
      </c>
      <c r="AT267" s="21">
        <v>257</v>
      </c>
      <c r="AU267" s="21">
        <v>0.52536000000000005</v>
      </c>
      <c r="AV267">
        <f t="shared" si="44"/>
        <v>18.495185185185186</v>
      </c>
      <c r="AW267">
        <f t="shared" si="45"/>
        <v>9.727912551851853</v>
      </c>
      <c r="AX267" s="9"/>
      <c r="AY267" s="21">
        <v>1.19415</v>
      </c>
      <c r="AZ267" s="21">
        <v>30.3185</v>
      </c>
      <c r="BA267" s="21">
        <v>-1.4599600000000001E-2</v>
      </c>
      <c r="BB267" s="21">
        <v>257</v>
      </c>
      <c r="BC267" s="21">
        <v>1.19293</v>
      </c>
      <c r="BD267">
        <f t="shared" si="46"/>
        <v>18.0241975308642</v>
      </c>
      <c r="BE267">
        <f t="shared" si="47"/>
        <v>21.523595481481486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0.52093500000000004</v>
      </c>
      <c r="H268" s="21">
        <v>7.6206399999999999</v>
      </c>
      <c r="I268" s="21">
        <v>-1.49628E-2</v>
      </c>
      <c r="J268" s="21">
        <v>258</v>
      </c>
      <c r="K268" s="21">
        <v>0.52041599999999999</v>
      </c>
      <c r="L268">
        <f t="shared" ref="L268:L331" si="48">-I268/$F$2*1000</f>
        <v>18.472592592592594</v>
      </c>
      <c r="M268">
        <f t="shared" ref="M268:M331" si="49">L268*G268</f>
        <v>9.6230200222222244</v>
      </c>
      <c r="N268" s="9"/>
      <c r="O268" s="21">
        <v>1.1906399999999999</v>
      </c>
      <c r="P268" s="21">
        <v>15.695399999999999</v>
      </c>
      <c r="Q268" s="21">
        <v>-1.4563E-2</v>
      </c>
      <c r="R268" s="21">
        <v>125</v>
      </c>
      <c r="S268" s="21">
        <v>1.1895800000000001</v>
      </c>
      <c r="T268">
        <f t="shared" ref="T268:T331" si="50">-Q268/$F$2*1000</f>
        <v>17.979012345679013</v>
      </c>
      <c r="U268">
        <f t="shared" ref="U268:U331" si="51">T268*O268</f>
        <v>21.40653125925926</v>
      </c>
      <c r="X268" s="9"/>
      <c r="Y268" s="21">
        <v>0.52093500000000004</v>
      </c>
      <c r="Z268" s="21">
        <v>17.0349</v>
      </c>
      <c r="AA268" s="21">
        <v>-1.50055E-2</v>
      </c>
      <c r="AB268" s="21">
        <v>258</v>
      </c>
      <c r="AC268" s="21">
        <v>0.52029400000000003</v>
      </c>
      <c r="AD268">
        <f t="shared" ref="AD268:AD331" si="52">-AA268/$F$2*1000</f>
        <v>18.525308641975307</v>
      </c>
      <c r="AE268">
        <f t="shared" ref="AE268:AE331" si="53">AD268*Y268</f>
        <v>9.6504816574074077</v>
      </c>
      <c r="AF268" s="9"/>
      <c r="AG268" s="21">
        <v>1.19919</v>
      </c>
      <c r="AH268" s="21">
        <v>20.894300000000001</v>
      </c>
      <c r="AI268" s="21">
        <v>-1.4559900000000001E-2</v>
      </c>
      <c r="AJ268" s="21">
        <v>258</v>
      </c>
      <c r="AK268" s="21">
        <v>1.1981200000000001</v>
      </c>
      <c r="AL268">
        <f t="shared" ref="AL268:AL331" si="54">-AI268/$F$2*1000</f>
        <v>17.975185185185186</v>
      </c>
      <c r="AM268">
        <f t="shared" ref="AM268:AM331" si="55">AL268*AG268</f>
        <v>21.555662322222222</v>
      </c>
      <c r="AP268" s="9"/>
      <c r="AQ268" s="21">
        <v>0.52093500000000004</v>
      </c>
      <c r="AR268" s="21">
        <v>26.469100000000001</v>
      </c>
      <c r="AS268" s="21">
        <v>-1.4975E-2</v>
      </c>
      <c r="AT268" s="21">
        <v>258</v>
      </c>
      <c r="AU268" s="21">
        <v>0.52035500000000001</v>
      </c>
      <c r="AV268">
        <f t="shared" ref="AV268:AV331" si="56">-AS268/$F$2*1000</f>
        <v>18.487654320987652</v>
      </c>
      <c r="AW268">
        <f t="shared" ref="AW268:AW331" si="57">AV268*AQ268</f>
        <v>9.6308662037037038</v>
      </c>
      <c r="AX268" s="9"/>
      <c r="AY268" s="21">
        <v>1.19919</v>
      </c>
      <c r="AZ268" s="21">
        <v>30.328600000000002</v>
      </c>
      <c r="BA268" s="21">
        <v>-1.4593500000000001E-2</v>
      </c>
      <c r="BB268" s="21">
        <v>258</v>
      </c>
      <c r="BC268" s="21">
        <v>1.1987300000000001</v>
      </c>
      <c r="BD268">
        <f t="shared" ref="BD268:BD331" si="58">-BA268/$F$2*1000</f>
        <v>18.016666666666666</v>
      </c>
      <c r="BE268">
        <f t="shared" ref="BE268:BE331" si="59">BD268*AY268</f>
        <v>21.605406499999997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0.51590000000000003</v>
      </c>
      <c r="H269" s="21">
        <v>7.6307099999999997</v>
      </c>
      <c r="I269" s="21">
        <v>-1.49628E-2</v>
      </c>
      <c r="J269" s="21">
        <v>259</v>
      </c>
      <c r="K269" s="21">
        <v>0.51519800000000004</v>
      </c>
      <c r="L269">
        <f t="shared" si="48"/>
        <v>18.472592592592594</v>
      </c>
      <c r="M269">
        <f t="shared" si="49"/>
        <v>9.5300105185185195</v>
      </c>
      <c r="N269" s="9"/>
      <c r="O269" s="21">
        <v>1.1956800000000001</v>
      </c>
      <c r="P269" s="21">
        <v>15.6853</v>
      </c>
      <c r="Q269" s="21">
        <v>-1.4556899999999999E-2</v>
      </c>
      <c r="R269" s="21">
        <v>124</v>
      </c>
      <c r="S269" s="21">
        <v>1.1950700000000001</v>
      </c>
      <c r="T269">
        <f t="shared" si="50"/>
        <v>17.971481481481479</v>
      </c>
      <c r="U269">
        <f t="shared" si="51"/>
        <v>21.488140977777778</v>
      </c>
      <c r="X269" s="9"/>
      <c r="Y269" s="21">
        <v>0.51590000000000003</v>
      </c>
      <c r="Z269" s="21">
        <v>17.044899999999998</v>
      </c>
      <c r="AA269" s="21">
        <v>-1.5002400000000001E-2</v>
      </c>
      <c r="AB269" s="21">
        <v>259</v>
      </c>
      <c r="AC269" s="21">
        <v>0.51525900000000002</v>
      </c>
      <c r="AD269">
        <f t="shared" si="52"/>
        <v>18.521481481481484</v>
      </c>
      <c r="AE269">
        <f t="shared" si="53"/>
        <v>9.5552322962962979</v>
      </c>
      <c r="AF269" s="9"/>
      <c r="AG269" s="21">
        <v>1.2042200000000001</v>
      </c>
      <c r="AH269" s="21">
        <v>20.904399999999999</v>
      </c>
      <c r="AI269" s="21">
        <v>-1.4563E-2</v>
      </c>
      <c r="AJ269" s="21">
        <v>259</v>
      </c>
      <c r="AK269" s="21">
        <v>1.2036100000000001</v>
      </c>
      <c r="AL269">
        <f t="shared" si="54"/>
        <v>17.979012345679013</v>
      </c>
      <c r="AM269">
        <f t="shared" si="55"/>
        <v>21.650686246913583</v>
      </c>
      <c r="AP269" s="9"/>
      <c r="AQ269" s="21">
        <v>0.51590000000000003</v>
      </c>
      <c r="AR269" s="21">
        <v>26.479199999999999</v>
      </c>
      <c r="AS269" s="21">
        <v>-1.49719E-2</v>
      </c>
      <c r="AT269" s="21">
        <v>259</v>
      </c>
      <c r="AU269" s="21">
        <v>0.51525900000000002</v>
      </c>
      <c r="AV269">
        <f t="shared" si="56"/>
        <v>18.483827160493824</v>
      </c>
      <c r="AW269">
        <f t="shared" si="57"/>
        <v>9.5358064320987648</v>
      </c>
      <c r="AX269" s="9"/>
      <c r="AY269" s="21">
        <v>1.2042200000000001</v>
      </c>
      <c r="AZ269" s="21">
        <v>30.3386</v>
      </c>
      <c r="BA269" s="21">
        <v>-1.4590499999999999E-2</v>
      </c>
      <c r="BB269" s="21">
        <v>259</v>
      </c>
      <c r="BC269" s="21">
        <v>1.2033100000000001</v>
      </c>
      <c r="BD269">
        <f t="shared" si="58"/>
        <v>18.012962962962959</v>
      </c>
      <c r="BE269">
        <f t="shared" si="59"/>
        <v>21.691570259259255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0.51086399999999998</v>
      </c>
      <c r="H270" s="21">
        <v>7.6407800000000003</v>
      </c>
      <c r="I270" s="21">
        <v>-1.4959699999999999E-2</v>
      </c>
      <c r="J270" s="21">
        <v>260</v>
      </c>
      <c r="K270" s="21">
        <v>0.51025399999999999</v>
      </c>
      <c r="L270">
        <f t="shared" si="48"/>
        <v>18.468765432098763</v>
      </c>
      <c r="M270">
        <f t="shared" si="49"/>
        <v>9.4350273837037015</v>
      </c>
      <c r="N270" s="9"/>
      <c r="O270" s="21">
        <v>1.2007099999999999</v>
      </c>
      <c r="P270" s="21">
        <v>15.6753</v>
      </c>
      <c r="Q270" s="21">
        <v>-1.45538E-2</v>
      </c>
      <c r="R270" s="21">
        <v>123</v>
      </c>
      <c r="S270" s="21">
        <v>1.1999500000000001</v>
      </c>
      <c r="T270">
        <f t="shared" si="50"/>
        <v>17.967654320987652</v>
      </c>
      <c r="U270">
        <f t="shared" si="51"/>
        <v>21.573942219753082</v>
      </c>
      <c r="X270" s="9"/>
      <c r="Y270" s="21">
        <v>0.51086399999999998</v>
      </c>
      <c r="Z270" s="21">
        <v>17.055</v>
      </c>
      <c r="AA270" s="21">
        <v>-1.49994E-2</v>
      </c>
      <c r="AB270" s="21">
        <v>260</v>
      </c>
      <c r="AC270" s="21">
        <v>0.51022299999999998</v>
      </c>
      <c r="AD270">
        <f t="shared" si="52"/>
        <v>18.517777777777777</v>
      </c>
      <c r="AE270">
        <f t="shared" si="53"/>
        <v>9.4600660266666665</v>
      </c>
      <c r="AF270" s="9"/>
      <c r="AG270" s="21">
        <v>1.20926</v>
      </c>
      <c r="AH270" s="21">
        <v>20.9145</v>
      </c>
      <c r="AI270" s="21">
        <v>-1.4550799999999999E-2</v>
      </c>
      <c r="AJ270" s="21">
        <v>260</v>
      </c>
      <c r="AK270" s="21">
        <v>1.2088000000000001</v>
      </c>
      <c r="AL270">
        <f t="shared" si="54"/>
        <v>17.963950617283949</v>
      </c>
      <c r="AM270">
        <f t="shared" si="55"/>
        <v>21.723086923456787</v>
      </c>
      <c r="AP270" s="9"/>
      <c r="AQ270" s="21">
        <v>0.51086399999999998</v>
      </c>
      <c r="AR270" s="21">
        <v>26.4892</v>
      </c>
      <c r="AS270" s="21">
        <v>-1.49628E-2</v>
      </c>
      <c r="AT270" s="21">
        <v>260</v>
      </c>
      <c r="AU270" s="21">
        <v>0.51025399999999999</v>
      </c>
      <c r="AV270">
        <f t="shared" si="56"/>
        <v>18.472592592592594</v>
      </c>
      <c r="AW270">
        <f t="shared" si="57"/>
        <v>9.4369825422222231</v>
      </c>
      <c r="AX270" s="9"/>
      <c r="AY270" s="21">
        <v>1.20926</v>
      </c>
      <c r="AZ270" s="21">
        <v>30.348700000000001</v>
      </c>
      <c r="BA270" s="21">
        <v>-1.45813E-2</v>
      </c>
      <c r="BB270" s="21">
        <v>260</v>
      </c>
      <c r="BC270" s="21">
        <v>1.2084999999999999</v>
      </c>
      <c r="BD270">
        <f t="shared" si="58"/>
        <v>18.001604938271605</v>
      </c>
      <c r="BE270">
        <f t="shared" si="59"/>
        <v>21.768620787654321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0.50582899999999997</v>
      </c>
      <c r="H271" s="21">
        <v>7.6508500000000002</v>
      </c>
      <c r="I271" s="21">
        <v>-1.49506E-2</v>
      </c>
      <c r="J271" s="21">
        <v>261</v>
      </c>
      <c r="K271" s="21">
        <v>0.50524899999999995</v>
      </c>
      <c r="L271">
        <f t="shared" si="48"/>
        <v>18.45753086419753</v>
      </c>
      <c r="M271">
        <f t="shared" si="49"/>
        <v>9.3363543795061723</v>
      </c>
      <c r="N271" s="9"/>
      <c r="O271" s="21">
        <v>1.2057500000000001</v>
      </c>
      <c r="P271" s="21">
        <v>15.6652</v>
      </c>
      <c r="Q271" s="21">
        <v>-1.4544700000000001E-2</v>
      </c>
      <c r="R271" s="21">
        <v>122</v>
      </c>
      <c r="S271" s="21">
        <v>1.2048300000000001</v>
      </c>
      <c r="T271">
        <f t="shared" si="50"/>
        <v>17.956419753086422</v>
      </c>
      <c r="U271">
        <f t="shared" si="51"/>
        <v>21.650953117283954</v>
      </c>
      <c r="X271" s="9"/>
      <c r="Y271" s="21">
        <v>0.50582899999999997</v>
      </c>
      <c r="Z271" s="21">
        <v>17.065100000000001</v>
      </c>
      <c r="AA271" s="21">
        <v>-1.5002400000000001E-2</v>
      </c>
      <c r="AB271" s="21">
        <v>261</v>
      </c>
      <c r="AC271" s="21">
        <v>0.50512699999999999</v>
      </c>
      <c r="AD271">
        <f t="shared" si="52"/>
        <v>18.521481481481484</v>
      </c>
      <c r="AE271">
        <f t="shared" si="53"/>
        <v>9.3687024562962975</v>
      </c>
      <c r="AF271" s="9"/>
      <c r="AG271" s="21">
        <v>1.2142900000000001</v>
      </c>
      <c r="AH271" s="21">
        <v>20.924499999999998</v>
      </c>
      <c r="AI271" s="21">
        <v>-1.4544700000000001E-2</v>
      </c>
      <c r="AJ271" s="21">
        <v>261</v>
      </c>
      <c r="AK271" s="21">
        <v>1.2136800000000001</v>
      </c>
      <c r="AL271">
        <f t="shared" si="54"/>
        <v>17.956419753086422</v>
      </c>
      <c r="AM271">
        <f t="shared" si="55"/>
        <v>21.804300941975313</v>
      </c>
      <c r="AP271" s="9"/>
      <c r="AQ271" s="21">
        <v>0.50582899999999997</v>
      </c>
      <c r="AR271" s="21">
        <v>26.499300000000002</v>
      </c>
      <c r="AS271" s="21">
        <v>-1.4978E-2</v>
      </c>
      <c r="AT271" s="21">
        <v>261</v>
      </c>
      <c r="AU271" s="21">
        <v>0.50534100000000004</v>
      </c>
      <c r="AV271">
        <f t="shared" si="56"/>
        <v>18.491358024691355</v>
      </c>
      <c r="AW271">
        <f t="shared" si="57"/>
        <v>9.3534651382716021</v>
      </c>
      <c r="AX271" s="9"/>
      <c r="AY271" s="21">
        <v>1.2142900000000001</v>
      </c>
      <c r="AZ271" s="21">
        <v>30.358799999999999</v>
      </c>
      <c r="BA271" s="21">
        <v>-1.4578199999999999E-2</v>
      </c>
      <c r="BB271" s="21">
        <v>261</v>
      </c>
      <c r="BC271" s="21">
        <v>1.2133799999999999</v>
      </c>
      <c r="BD271">
        <f t="shared" si="58"/>
        <v>17.997777777777777</v>
      </c>
      <c r="BE271">
        <f t="shared" si="59"/>
        <v>21.854521577777778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0.50079300000000004</v>
      </c>
      <c r="H272" s="21">
        <v>7.66092</v>
      </c>
      <c r="I272" s="21">
        <v>-1.49506E-2</v>
      </c>
      <c r="J272" s="21">
        <v>262</v>
      </c>
      <c r="K272" s="21">
        <v>0.50021400000000005</v>
      </c>
      <c r="L272">
        <f t="shared" si="48"/>
        <v>18.45753086419753</v>
      </c>
      <c r="M272">
        <f t="shared" si="49"/>
        <v>9.2434022540740735</v>
      </c>
      <c r="N272" s="9"/>
      <c r="O272" s="21">
        <v>1.21078</v>
      </c>
      <c r="P272" s="21">
        <v>15.655099999999999</v>
      </c>
      <c r="Q272" s="21">
        <v>-1.45386E-2</v>
      </c>
      <c r="R272" s="21">
        <v>121</v>
      </c>
      <c r="S272" s="21">
        <v>1.2100200000000001</v>
      </c>
      <c r="T272">
        <f t="shared" si="50"/>
        <v>17.948888888888888</v>
      </c>
      <c r="U272">
        <f t="shared" si="51"/>
        <v>21.732155688888888</v>
      </c>
      <c r="X272" s="9"/>
      <c r="Y272" s="21">
        <v>0.50079300000000004</v>
      </c>
      <c r="Z272" s="21">
        <v>17.075099999999999</v>
      </c>
      <c r="AA272" s="21">
        <v>-1.4996300000000001E-2</v>
      </c>
      <c r="AB272" s="21">
        <v>262</v>
      </c>
      <c r="AC272" s="21">
        <v>0.50024400000000002</v>
      </c>
      <c r="AD272">
        <f t="shared" si="52"/>
        <v>18.51395061728395</v>
      </c>
      <c r="AE272">
        <f t="shared" si="53"/>
        <v>9.2716568714814827</v>
      </c>
      <c r="AF272" s="9"/>
      <c r="AG272" s="21">
        <v>1.21933</v>
      </c>
      <c r="AH272" s="21">
        <v>20.9346</v>
      </c>
      <c r="AI272" s="21">
        <v>-1.45416E-2</v>
      </c>
      <c r="AJ272" s="21">
        <v>262</v>
      </c>
      <c r="AK272" s="21">
        <v>1.2182599999999999</v>
      </c>
      <c r="AL272">
        <f t="shared" si="54"/>
        <v>17.952592592592595</v>
      </c>
      <c r="AM272">
        <f t="shared" si="55"/>
        <v>21.890134725925929</v>
      </c>
      <c r="AP272" s="9"/>
      <c r="AQ272" s="21">
        <v>0.50079300000000004</v>
      </c>
      <c r="AR272" s="21">
        <v>26.509399999999999</v>
      </c>
      <c r="AS272" s="21">
        <v>-1.49994E-2</v>
      </c>
      <c r="AT272" s="21">
        <v>262</v>
      </c>
      <c r="AU272" s="21">
        <v>0.50012199999999996</v>
      </c>
      <c r="AV272">
        <f t="shared" si="56"/>
        <v>18.517777777777777</v>
      </c>
      <c r="AW272">
        <f t="shared" si="57"/>
        <v>9.2735734866666668</v>
      </c>
      <c r="AX272" s="9"/>
      <c r="AY272" s="21">
        <v>1.21933</v>
      </c>
      <c r="AZ272" s="21">
        <v>30.3688</v>
      </c>
      <c r="BA272" s="21">
        <v>-1.45691E-2</v>
      </c>
      <c r="BB272" s="21">
        <v>262</v>
      </c>
      <c r="BC272" s="21">
        <v>1.2188699999999999</v>
      </c>
      <c r="BD272">
        <f t="shared" si="58"/>
        <v>17.98654320987654</v>
      </c>
      <c r="BE272">
        <f t="shared" si="59"/>
        <v>21.931531732098762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0.49575799999999998</v>
      </c>
      <c r="H273" s="21">
        <v>7.6709899999999998</v>
      </c>
      <c r="I273" s="21">
        <v>-1.4959699999999999E-2</v>
      </c>
      <c r="J273" s="21">
        <v>263</v>
      </c>
      <c r="K273" s="21">
        <v>0.49511699999999997</v>
      </c>
      <c r="L273">
        <f t="shared" si="48"/>
        <v>18.468765432098763</v>
      </c>
      <c r="M273">
        <f t="shared" si="49"/>
        <v>9.1560382130864184</v>
      </c>
      <c r="N273" s="9"/>
      <c r="O273" s="21">
        <v>1.2158199999999999</v>
      </c>
      <c r="P273" s="21">
        <v>15.645099999999999</v>
      </c>
      <c r="Q273" s="21">
        <v>-1.45355E-2</v>
      </c>
      <c r="R273" s="21">
        <v>120</v>
      </c>
      <c r="S273" s="21">
        <v>1.2152099999999999</v>
      </c>
      <c r="T273">
        <f t="shared" si="50"/>
        <v>17.945061728395061</v>
      </c>
      <c r="U273">
        <f t="shared" si="51"/>
        <v>21.817964950617281</v>
      </c>
      <c r="X273" s="9"/>
      <c r="Y273" s="21">
        <v>0.49575799999999998</v>
      </c>
      <c r="Z273" s="21">
        <v>17.0852</v>
      </c>
      <c r="AA273" s="21">
        <v>-1.50055E-2</v>
      </c>
      <c r="AB273" s="21">
        <v>263</v>
      </c>
      <c r="AC273" s="21">
        <v>0.495056</v>
      </c>
      <c r="AD273">
        <f t="shared" si="52"/>
        <v>18.525308641975307</v>
      </c>
      <c r="AE273">
        <f t="shared" si="53"/>
        <v>9.1840699617283938</v>
      </c>
      <c r="AF273" s="9"/>
      <c r="AG273" s="21">
        <v>1.22437</v>
      </c>
      <c r="AH273" s="21">
        <v>20.944700000000001</v>
      </c>
      <c r="AI273" s="21">
        <v>-1.45325E-2</v>
      </c>
      <c r="AJ273" s="21">
        <v>263</v>
      </c>
      <c r="AK273" s="21">
        <v>1.2234499999999999</v>
      </c>
      <c r="AL273">
        <f t="shared" si="54"/>
        <v>17.941358024691358</v>
      </c>
      <c r="AM273">
        <f t="shared" si="55"/>
        <v>21.966860524691356</v>
      </c>
      <c r="AP273" s="9"/>
      <c r="AQ273" s="21">
        <v>0.49575799999999998</v>
      </c>
      <c r="AR273" s="21">
        <v>26.519400000000001</v>
      </c>
      <c r="AS273" s="21">
        <v>-1.50116E-2</v>
      </c>
      <c r="AT273" s="21">
        <v>263</v>
      </c>
      <c r="AU273" s="21">
        <v>0.49517800000000001</v>
      </c>
      <c r="AV273">
        <f t="shared" si="56"/>
        <v>18.532839506172838</v>
      </c>
      <c r="AW273">
        <f t="shared" si="57"/>
        <v>9.1878034479012332</v>
      </c>
      <c r="AX273" s="9"/>
      <c r="AY273" s="21">
        <v>1.22437</v>
      </c>
      <c r="AZ273" s="21">
        <v>30.378900000000002</v>
      </c>
      <c r="BA273" s="21">
        <v>-1.45538E-2</v>
      </c>
      <c r="BB273" s="21">
        <v>263</v>
      </c>
      <c r="BC273" s="21">
        <v>1.2237499999999999</v>
      </c>
      <c r="BD273">
        <f t="shared" si="58"/>
        <v>17.967654320987652</v>
      </c>
      <c r="BE273">
        <f t="shared" si="59"/>
        <v>21.999056920987652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0.49072300000000002</v>
      </c>
      <c r="H274" s="21">
        <v>7.6810600000000004</v>
      </c>
      <c r="I274" s="21">
        <v>-1.49689E-2</v>
      </c>
      <c r="J274" s="21">
        <v>264</v>
      </c>
      <c r="K274" s="21">
        <v>0.49017300000000003</v>
      </c>
      <c r="L274">
        <f t="shared" si="48"/>
        <v>18.480123456790125</v>
      </c>
      <c r="M274">
        <f t="shared" si="49"/>
        <v>9.0686216230864201</v>
      </c>
      <c r="N274" s="9"/>
      <c r="O274" s="21">
        <v>1.2208600000000001</v>
      </c>
      <c r="P274" s="21">
        <v>15.635</v>
      </c>
      <c r="Q274" s="21">
        <v>-1.45325E-2</v>
      </c>
      <c r="R274" s="21">
        <v>119</v>
      </c>
      <c r="S274" s="21">
        <v>1.2197899999999999</v>
      </c>
      <c r="T274">
        <f t="shared" si="50"/>
        <v>17.941358024691358</v>
      </c>
      <c r="U274">
        <f t="shared" si="51"/>
        <v>21.903886358024693</v>
      </c>
      <c r="X274" s="9"/>
      <c r="Y274" s="21">
        <v>0.49072300000000002</v>
      </c>
      <c r="Z274" s="21">
        <v>17.095300000000002</v>
      </c>
      <c r="AA274" s="21">
        <v>-1.5020800000000001E-2</v>
      </c>
      <c r="AB274" s="21">
        <v>264</v>
      </c>
      <c r="AC274" s="21">
        <v>0.490143</v>
      </c>
      <c r="AD274">
        <f t="shared" si="52"/>
        <v>18.544197530864199</v>
      </c>
      <c r="AE274">
        <f t="shared" si="53"/>
        <v>9.100064244938272</v>
      </c>
      <c r="AF274" s="9"/>
      <c r="AG274" s="21">
        <v>1.2294</v>
      </c>
      <c r="AH274" s="21">
        <v>20.954699999999999</v>
      </c>
      <c r="AI274" s="21">
        <v>-1.45264E-2</v>
      </c>
      <c r="AJ274" s="21">
        <v>264</v>
      </c>
      <c r="AK274" s="21">
        <v>1.22803</v>
      </c>
      <c r="AL274">
        <f t="shared" si="54"/>
        <v>17.933827160493827</v>
      </c>
      <c r="AM274">
        <f t="shared" si="55"/>
        <v>22.047847111111111</v>
      </c>
      <c r="AP274" s="9"/>
      <c r="AQ274" s="21">
        <v>0.49072300000000002</v>
      </c>
      <c r="AR274" s="21">
        <v>26.529499999999999</v>
      </c>
      <c r="AS274" s="21">
        <v>-1.50055E-2</v>
      </c>
      <c r="AT274" s="21">
        <v>264</v>
      </c>
      <c r="AU274" s="21">
        <v>0.49008200000000002</v>
      </c>
      <c r="AV274">
        <f t="shared" si="56"/>
        <v>18.525308641975307</v>
      </c>
      <c r="AW274">
        <f t="shared" si="57"/>
        <v>9.0907950327160485</v>
      </c>
      <c r="AX274" s="9"/>
      <c r="AY274" s="21">
        <v>1.2294</v>
      </c>
      <c r="AZ274" s="21">
        <v>30.388999999999999</v>
      </c>
      <c r="BA274" s="21">
        <v>-1.45477E-2</v>
      </c>
      <c r="BB274" s="21">
        <v>264</v>
      </c>
      <c r="BC274" s="21">
        <v>1.2283299999999999</v>
      </c>
      <c r="BD274">
        <f t="shared" si="58"/>
        <v>17.960123456790122</v>
      </c>
      <c r="BE274">
        <f t="shared" si="59"/>
        <v>22.080175777777775</v>
      </c>
    </row>
    <row r="275" spans="6:101" x14ac:dyDescent="0.25">
      <c r="F275" s="9"/>
      <c r="G275" s="21">
        <v>0.48568699999999998</v>
      </c>
      <c r="H275" s="21">
        <v>7.6911300000000002</v>
      </c>
      <c r="I275" s="21">
        <v>-1.4978E-2</v>
      </c>
      <c r="J275" s="21">
        <v>265</v>
      </c>
      <c r="K275" s="21">
        <v>0.48522900000000002</v>
      </c>
      <c r="L275">
        <f t="shared" si="48"/>
        <v>18.491358024691355</v>
      </c>
      <c r="M275">
        <f t="shared" si="49"/>
        <v>8.9810122049382688</v>
      </c>
      <c r="N275" s="9"/>
      <c r="O275" s="21">
        <v>1.2258899999999999</v>
      </c>
      <c r="P275" s="21">
        <v>15.6249</v>
      </c>
      <c r="Q275" s="21">
        <v>-1.4523299999999999E-2</v>
      </c>
      <c r="R275" s="21">
        <v>118</v>
      </c>
      <c r="S275" s="21">
        <v>1.22559</v>
      </c>
      <c r="T275">
        <f t="shared" si="50"/>
        <v>17.93</v>
      </c>
      <c r="U275">
        <f t="shared" si="51"/>
        <v>21.980207699999998</v>
      </c>
      <c r="X275" s="9"/>
      <c r="Y275" s="21">
        <v>0.48568699999999998</v>
      </c>
      <c r="Z275" s="21">
        <v>17.1053</v>
      </c>
      <c r="AA275" s="21">
        <v>-1.50238E-2</v>
      </c>
      <c r="AB275" s="21">
        <v>265</v>
      </c>
      <c r="AC275" s="21">
        <v>0.484985</v>
      </c>
      <c r="AD275">
        <f t="shared" si="52"/>
        <v>18.547901234567902</v>
      </c>
      <c r="AE275">
        <f t="shared" si="53"/>
        <v>9.008474506913581</v>
      </c>
      <c r="AF275" s="9"/>
      <c r="AG275" s="21">
        <v>1.23444</v>
      </c>
      <c r="AH275" s="21">
        <v>20.9648</v>
      </c>
      <c r="AI275" s="21">
        <v>-1.4523299999999999E-2</v>
      </c>
      <c r="AJ275" s="21">
        <v>265</v>
      </c>
      <c r="AK275" s="21">
        <v>1.23322</v>
      </c>
      <c r="AL275">
        <f t="shared" si="54"/>
        <v>17.93</v>
      </c>
      <c r="AM275">
        <f t="shared" si="55"/>
        <v>22.133509199999999</v>
      </c>
      <c r="AP275" s="9"/>
      <c r="AQ275" s="21">
        <v>0.48568699999999998</v>
      </c>
      <c r="AR275" s="21">
        <v>26.5396</v>
      </c>
      <c r="AS275" s="21">
        <v>-1.5008499999999999E-2</v>
      </c>
      <c r="AT275" s="21">
        <v>265</v>
      </c>
      <c r="AU275" s="21">
        <v>0.48495500000000002</v>
      </c>
      <c r="AV275">
        <f t="shared" si="56"/>
        <v>18.529012345679011</v>
      </c>
      <c r="AW275">
        <f t="shared" si="57"/>
        <v>8.9993004191358015</v>
      </c>
      <c r="AX275" s="9"/>
      <c r="AY275" s="21">
        <v>1.23444</v>
      </c>
      <c r="AZ275" s="21">
        <v>30.399100000000001</v>
      </c>
      <c r="BA275" s="21">
        <v>-1.45355E-2</v>
      </c>
      <c r="BB275" s="21">
        <v>265</v>
      </c>
      <c r="BC275" s="21">
        <v>1.23322</v>
      </c>
      <c r="BD275">
        <f t="shared" si="58"/>
        <v>17.945061728395061</v>
      </c>
      <c r="BE275">
        <f t="shared" si="59"/>
        <v>22.152101999999999</v>
      </c>
    </row>
    <row r="276" spans="6:101" x14ac:dyDescent="0.25">
      <c r="F276" s="9"/>
      <c r="G276" s="21">
        <v>0.48065200000000002</v>
      </c>
      <c r="H276" s="21">
        <v>7.7012</v>
      </c>
      <c r="I276" s="21">
        <v>-1.4975E-2</v>
      </c>
      <c r="J276" s="21">
        <v>266</v>
      </c>
      <c r="K276" s="21">
        <v>0.480072</v>
      </c>
      <c r="L276">
        <f t="shared" si="48"/>
        <v>18.487654320987652</v>
      </c>
      <c r="M276">
        <f t="shared" si="49"/>
        <v>8.8861280246913577</v>
      </c>
      <c r="N276" s="9"/>
      <c r="O276" s="21">
        <v>1.2309300000000001</v>
      </c>
      <c r="P276" s="21">
        <v>15.614800000000001</v>
      </c>
      <c r="Q276" s="21">
        <v>-1.4517199999999999E-2</v>
      </c>
      <c r="R276" s="21">
        <v>117</v>
      </c>
      <c r="S276" s="21">
        <v>1.2301599999999999</v>
      </c>
      <c r="T276">
        <f t="shared" si="50"/>
        <v>17.922469135802466</v>
      </c>
      <c r="U276">
        <f t="shared" si="51"/>
        <v>22.061304933333332</v>
      </c>
      <c r="X276" s="9"/>
      <c r="Y276" s="21">
        <v>0.48065200000000002</v>
      </c>
      <c r="Z276" s="21">
        <v>17.115400000000001</v>
      </c>
      <c r="AA276" s="21">
        <v>-1.50391E-2</v>
      </c>
      <c r="AB276" s="21">
        <v>266</v>
      </c>
      <c r="AC276" s="21">
        <v>0.48004200000000002</v>
      </c>
      <c r="AD276">
        <f t="shared" si="52"/>
        <v>18.566790123456791</v>
      </c>
      <c r="AE276">
        <f t="shared" si="53"/>
        <v>8.9241648064197534</v>
      </c>
      <c r="AF276" s="9"/>
      <c r="AG276" s="21">
        <v>1.2394700000000001</v>
      </c>
      <c r="AH276" s="21">
        <v>20.974900000000002</v>
      </c>
      <c r="AI276" s="21">
        <v>-1.4517199999999999E-2</v>
      </c>
      <c r="AJ276" s="21">
        <v>266</v>
      </c>
      <c r="AK276" s="21">
        <v>1.23932</v>
      </c>
      <c r="AL276">
        <f t="shared" si="54"/>
        <v>17.922469135802466</v>
      </c>
      <c r="AM276">
        <f t="shared" si="55"/>
        <v>22.214362819753084</v>
      </c>
      <c r="AP276" s="9"/>
      <c r="AQ276" s="21">
        <v>0.48065200000000002</v>
      </c>
      <c r="AR276" s="21">
        <v>26.549700000000001</v>
      </c>
      <c r="AS276" s="21">
        <v>-1.5002400000000001E-2</v>
      </c>
      <c r="AT276" s="21">
        <v>266</v>
      </c>
      <c r="AU276" s="21">
        <v>0.48001100000000002</v>
      </c>
      <c r="AV276">
        <f t="shared" si="56"/>
        <v>18.521481481481484</v>
      </c>
      <c r="AW276">
        <f t="shared" si="57"/>
        <v>8.9023871170370388</v>
      </c>
      <c r="AX276" s="9"/>
      <c r="AY276" s="21">
        <v>1.2394700000000001</v>
      </c>
      <c r="AZ276" s="21">
        <v>30.409099999999999</v>
      </c>
      <c r="BA276" s="21">
        <v>-1.4523299999999999E-2</v>
      </c>
      <c r="BB276" s="21">
        <v>266</v>
      </c>
      <c r="BC276" s="21">
        <v>1.2383999999999999</v>
      </c>
      <c r="BD276">
        <f t="shared" si="58"/>
        <v>17.93</v>
      </c>
      <c r="BE276">
        <f t="shared" si="59"/>
        <v>22.223697100000003</v>
      </c>
    </row>
    <row r="277" spans="6:101" x14ac:dyDescent="0.25">
      <c r="F277" s="9"/>
      <c r="G277" s="21">
        <v>0.47561599999999998</v>
      </c>
      <c r="H277" s="21">
        <v>7.7112800000000004</v>
      </c>
      <c r="I277" s="21">
        <v>-1.4975E-2</v>
      </c>
      <c r="J277" s="21">
        <v>267</v>
      </c>
      <c r="K277" s="21">
        <v>0.47500599999999998</v>
      </c>
      <c r="L277">
        <f t="shared" si="48"/>
        <v>18.487654320987652</v>
      </c>
      <c r="M277">
        <f t="shared" si="49"/>
        <v>8.7930241975308618</v>
      </c>
      <c r="N277" s="9"/>
      <c r="O277" s="21">
        <v>1.2359599999999999</v>
      </c>
      <c r="P277" s="21">
        <v>15.604799999999999</v>
      </c>
      <c r="Q277" s="21">
        <v>-1.4505000000000001E-2</v>
      </c>
      <c r="R277" s="21">
        <v>116</v>
      </c>
      <c r="S277" s="21">
        <v>1.23505</v>
      </c>
      <c r="T277">
        <f t="shared" si="50"/>
        <v>17.907407407407408</v>
      </c>
      <c r="U277">
        <f t="shared" si="51"/>
        <v>22.13283925925926</v>
      </c>
      <c r="X277" s="9"/>
      <c r="Y277" s="21">
        <v>0.47561599999999998</v>
      </c>
      <c r="Z277" s="21">
        <v>17.125499999999999</v>
      </c>
      <c r="AA277" s="21">
        <v>-1.5042099999999999E-2</v>
      </c>
      <c r="AB277" s="21">
        <v>267</v>
      </c>
      <c r="AC277" s="21">
        <v>0.475159</v>
      </c>
      <c r="AD277">
        <f t="shared" si="52"/>
        <v>18.570493827160494</v>
      </c>
      <c r="AE277">
        <f t="shared" si="53"/>
        <v>8.8324239920987644</v>
      </c>
      <c r="AF277" s="9"/>
      <c r="AG277" s="21">
        <v>1.24451</v>
      </c>
      <c r="AH277" s="21">
        <v>20.984999999999999</v>
      </c>
      <c r="AI277" s="21">
        <v>-1.4511100000000001E-2</v>
      </c>
      <c r="AJ277" s="21">
        <v>267</v>
      </c>
      <c r="AK277" s="21">
        <v>1.24329</v>
      </c>
      <c r="AL277">
        <f t="shared" si="54"/>
        <v>17.914938271604939</v>
      </c>
      <c r="AM277">
        <f t="shared" si="55"/>
        <v>22.295319828395062</v>
      </c>
      <c r="AP277" s="9"/>
      <c r="AQ277" s="21">
        <v>0.47561599999999998</v>
      </c>
      <c r="AR277" s="21">
        <v>26.559699999999999</v>
      </c>
      <c r="AS277" s="21">
        <v>-1.49994E-2</v>
      </c>
      <c r="AT277" s="21">
        <v>267</v>
      </c>
      <c r="AU277" s="21">
        <v>0.47506700000000002</v>
      </c>
      <c r="AV277">
        <f t="shared" si="56"/>
        <v>18.517777777777777</v>
      </c>
      <c r="AW277">
        <f t="shared" si="57"/>
        <v>8.8073513955555551</v>
      </c>
      <c r="AX277" s="9"/>
      <c r="AY277" s="21">
        <v>1.24451</v>
      </c>
      <c r="AZ277" s="21">
        <v>30.4192</v>
      </c>
      <c r="BA277" s="21">
        <v>-1.4511100000000001E-2</v>
      </c>
      <c r="BB277" s="21">
        <v>267</v>
      </c>
      <c r="BC277" s="21">
        <v>1.2439</v>
      </c>
      <c r="BD277">
        <f t="shared" si="58"/>
        <v>17.914938271604939</v>
      </c>
      <c r="BE277">
        <f t="shared" si="59"/>
        <v>22.295319828395062</v>
      </c>
    </row>
    <row r="278" spans="6:101" x14ac:dyDescent="0.25">
      <c r="F278" s="9"/>
      <c r="G278" s="21">
        <v>0.47058100000000003</v>
      </c>
      <c r="H278" s="21">
        <v>7.7213500000000002</v>
      </c>
      <c r="I278" s="21">
        <v>-1.49719E-2</v>
      </c>
      <c r="J278" s="21">
        <v>268</v>
      </c>
      <c r="K278" s="21">
        <v>0.470001</v>
      </c>
      <c r="L278">
        <f t="shared" si="48"/>
        <v>18.483827160493824</v>
      </c>
      <c r="M278">
        <f t="shared" si="49"/>
        <v>8.6981378690123456</v>
      </c>
      <c r="N278" s="9"/>
      <c r="O278" s="21">
        <v>1.2410000000000001</v>
      </c>
      <c r="P278" s="21">
        <v>15.5947</v>
      </c>
      <c r="Q278" s="21">
        <v>-1.44958E-2</v>
      </c>
      <c r="R278" s="21">
        <v>115</v>
      </c>
      <c r="S278" s="21">
        <v>1.23993</v>
      </c>
      <c r="T278">
        <f t="shared" si="50"/>
        <v>17.896049382716047</v>
      </c>
      <c r="U278">
        <f t="shared" si="51"/>
        <v>22.208997283950616</v>
      </c>
      <c r="X278" s="9"/>
      <c r="Y278" s="21">
        <v>0.47058100000000003</v>
      </c>
      <c r="Z278" s="21">
        <v>17.1356</v>
      </c>
      <c r="AA278" s="21">
        <v>-1.50391E-2</v>
      </c>
      <c r="AB278" s="21">
        <v>268</v>
      </c>
      <c r="AC278" s="21">
        <v>0.47003200000000001</v>
      </c>
      <c r="AD278">
        <f t="shared" si="52"/>
        <v>18.566790123456791</v>
      </c>
      <c r="AE278">
        <f t="shared" si="53"/>
        <v>8.7371786630864197</v>
      </c>
      <c r="AF278" s="9"/>
      <c r="AG278" s="21">
        <v>1.2495400000000001</v>
      </c>
      <c r="AH278" s="21">
        <v>20.995000000000001</v>
      </c>
      <c r="AI278" s="21">
        <v>-1.4501999999999999E-2</v>
      </c>
      <c r="AJ278" s="21">
        <v>268</v>
      </c>
      <c r="AK278" s="21">
        <v>1.24939</v>
      </c>
      <c r="AL278">
        <f t="shared" si="54"/>
        <v>17.903703703703702</v>
      </c>
      <c r="AM278">
        <f t="shared" si="55"/>
        <v>22.371393925925926</v>
      </c>
      <c r="AP278" s="9"/>
      <c r="AQ278" s="21">
        <v>0.47058100000000003</v>
      </c>
      <c r="AR278" s="21">
        <v>26.569800000000001</v>
      </c>
      <c r="AS278" s="21">
        <v>-1.50116E-2</v>
      </c>
      <c r="AT278" s="21">
        <v>268</v>
      </c>
      <c r="AU278" s="21">
        <v>0.470001</v>
      </c>
      <c r="AV278">
        <f t="shared" si="56"/>
        <v>18.532839506172838</v>
      </c>
      <c r="AW278">
        <f t="shared" si="57"/>
        <v>8.7212021476543207</v>
      </c>
      <c r="AX278" s="9"/>
      <c r="AY278" s="21">
        <v>1.2495400000000001</v>
      </c>
      <c r="AZ278" s="21">
        <v>30.429300000000001</v>
      </c>
      <c r="BA278" s="21">
        <v>-1.4505000000000001E-2</v>
      </c>
      <c r="BB278" s="21">
        <v>268</v>
      </c>
      <c r="BC278" s="21">
        <v>1.24817</v>
      </c>
      <c r="BD278">
        <f t="shared" si="58"/>
        <v>17.907407407407408</v>
      </c>
      <c r="BE278">
        <f t="shared" si="59"/>
        <v>22.376021851851856</v>
      </c>
    </row>
    <row r="279" spans="6:101" x14ac:dyDescent="0.25">
      <c r="F279" s="9"/>
      <c r="G279" s="21">
        <v>0.46554600000000002</v>
      </c>
      <c r="H279" s="21">
        <v>7.73142</v>
      </c>
      <c r="I279" s="21">
        <v>-1.49719E-2</v>
      </c>
      <c r="J279" s="21">
        <v>269</v>
      </c>
      <c r="K279" s="21">
        <v>0.46496599999999999</v>
      </c>
      <c r="L279">
        <f t="shared" si="48"/>
        <v>18.483827160493824</v>
      </c>
      <c r="M279">
        <f t="shared" si="49"/>
        <v>8.6050717992592585</v>
      </c>
      <c r="N279" s="9"/>
      <c r="O279" s="21">
        <v>1.24603</v>
      </c>
      <c r="P279" s="21">
        <v>15.5846</v>
      </c>
      <c r="Q279" s="21">
        <v>-1.44806E-2</v>
      </c>
      <c r="R279" s="21">
        <v>114</v>
      </c>
      <c r="S279" s="21">
        <v>1.24512</v>
      </c>
      <c r="T279">
        <f t="shared" si="50"/>
        <v>17.877283950617283</v>
      </c>
      <c r="U279">
        <f t="shared" si="51"/>
        <v>22.275632120987652</v>
      </c>
      <c r="X279" s="9"/>
      <c r="Y279" s="21">
        <v>0.46554600000000002</v>
      </c>
      <c r="Z279" s="21">
        <v>17.145600000000002</v>
      </c>
      <c r="AA279" s="21">
        <v>-1.50391E-2</v>
      </c>
      <c r="AB279" s="21">
        <v>269</v>
      </c>
      <c r="AC279" s="21">
        <v>0.46493499999999999</v>
      </c>
      <c r="AD279">
        <f t="shared" si="52"/>
        <v>18.566790123456791</v>
      </c>
      <c r="AE279">
        <f t="shared" si="53"/>
        <v>8.6436948748148161</v>
      </c>
      <c r="AF279" s="9"/>
      <c r="AG279" s="21">
        <v>1.25458</v>
      </c>
      <c r="AH279" s="21">
        <v>21.005099999999999</v>
      </c>
      <c r="AI279" s="21">
        <v>-1.44928E-2</v>
      </c>
      <c r="AJ279" s="21">
        <v>269</v>
      </c>
      <c r="AK279" s="21">
        <v>1.25397</v>
      </c>
      <c r="AL279">
        <f t="shared" si="54"/>
        <v>17.892345679012344</v>
      </c>
      <c r="AM279">
        <f t="shared" si="55"/>
        <v>22.447379041975307</v>
      </c>
      <c r="AP279" s="9"/>
      <c r="AQ279" s="21">
        <v>0.46554600000000002</v>
      </c>
      <c r="AR279" s="21">
        <v>26.579899999999999</v>
      </c>
      <c r="AS279" s="21">
        <v>-1.5014599999999999E-2</v>
      </c>
      <c r="AT279" s="21">
        <v>269</v>
      </c>
      <c r="AU279" s="21">
        <v>0.46487400000000001</v>
      </c>
      <c r="AV279">
        <f t="shared" si="56"/>
        <v>18.536543209876541</v>
      </c>
      <c r="AW279">
        <f t="shared" si="57"/>
        <v>8.629613545185185</v>
      </c>
      <c r="AX279" s="9"/>
      <c r="AY279" s="21">
        <v>1.25458</v>
      </c>
      <c r="AZ279" s="21">
        <v>30.439299999999999</v>
      </c>
      <c r="BA279" s="21">
        <v>-1.44989E-2</v>
      </c>
      <c r="BB279" s="21">
        <v>269</v>
      </c>
      <c r="BC279" s="21">
        <v>1.25397</v>
      </c>
      <c r="BD279">
        <f t="shared" si="58"/>
        <v>17.899876543209874</v>
      </c>
      <c r="BE279">
        <f t="shared" si="59"/>
        <v>22.456827113580246</v>
      </c>
    </row>
    <row r="280" spans="6:101" x14ac:dyDescent="0.25">
      <c r="F280" s="9"/>
      <c r="G280" s="21">
        <v>0.46050999999999997</v>
      </c>
      <c r="H280" s="21">
        <v>7.7414899999999998</v>
      </c>
      <c r="I280" s="21">
        <v>-1.4975E-2</v>
      </c>
      <c r="J280" s="21">
        <v>270</v>
      </c>
      <c r="K280" s="21">
        <v>0.45989999999999998</v>
      </c>
      <c r="L280">
        <f t="shared" si="48"/>
        <v>18.487654320987652</v>
      </c>
      <c r="M280">
        <f t="shared" si="49"/>
        <v>8.5137496913580222</v>
      </c>
      <c r="N280" s="9"/>
      <c r="O280" s="21">
        <v>1.2510699999999999</v>
      </c>
      <c r="P280" s="21">
        <v>15.5746</v>
      </c>
      <c r="Q280" s="21">
        <v>-1.4471400000000001E-2</v>
      </c>
      <c r="R280" s="21">
        <v>113</v>
      </c>
      <c r="S280" s="21">
        <v>1.25</v>
      </c>
      <c r="T280">
        <f t="shared" si="50"/>
        <v>17.865925925925925</v>
      </c>
      <c r="U280">
        <f t="shared" si="51"/>
        <v>22.351523948148145</v>
      </c>
      <c r="X280" s="9"/>
      <c r="Y280" s="21">
        <v>0.46050999999999997</v>
      </c>
      <c r="Z280" s="21">
        <v>17.1557</v>
      </c>
      <c r="AA280" s="21">
        <v>-1.50391E-2</v>
      </c>
      <c r="AB280" s="21">
        <v>270</v>
      </c>
      <c r="AC280" s="21">
        <v>0.45989999999999998</v>
      </c>
      <c r="AD280">
        <f t="shared" si="52"/>
        <v>18.566790123456791</v>
      </c>
      <c r="AE280">
        <f t="shared" si="53"/>
        <v>8.5501925197530859</v>
      </c>
      <c r="AF280" s="9"/>
      <c r="AG280" s="21">
        <v>1.2596099999999999</v>
      </c>
      <c r="AH280" s="21">
        <v>21.0152</v>
      </c>
      <c r="AI280" s="21">
        <v>-1.4483599999999999E-2</v>
      </c>
      <c r="AJ280" s="21">
        <v>270</v>
      </c>
      <c r="AK280" s="21">
        <v>1.2591600000000001</v>
      </c>
      <c r="AL280">
        <f t="shared" si="54"/>
        <v>17.880987654320986</v>
      </c>
      <c r="AM280">
        <f t="shared" si="55"/>
        <v>22.523070859259256</v>
      </c>
      <c r="AP280" s="9"/>
      <c r="AQ280" s="21">
        <v>0.46050999999999997</v>
      </c>
      <c r="AR280" s="21">
        <v>26.5899</v>
      </c>
      <c r="AS280" s="21">
        <v>-1.5020800000000001E-2</v>
      </c>
      <c r="AT280" s="21">
        <v>270</v>
      </c>
      <c r="AU280" s="21">
        <v>0.45996100000000001</v>
      </c>
      <c r="AV280">
        <f t="shared" si="56"/>
        <v>18.544197530864199</v>
      </c>
      <c r="AW280">
        <f t="shared" si="57"/>
        <v>8.5397884049382711</v>
      </c>
      <c r="AX280" s="9"/>
      <c r="AY280" s="21">
        <v>1.2596099999999999</v>
      </c>
      <c r="AZ280" s="21">
        <v>30.449400000000001</v>
      </c>
      <c r="BA280" s="21">
        <v>-1.44928E-2</v>
      </c>
      <c r="BB280" s="21">
        <v>270</v>
      </c>
      <c r="BC280" s="21">
        <v>1.25854</v>
      </c>
      <c r="BD280">
        <f t="shared" si="58"/>
        <v>17.892345679012344</v>
      </c>
      <c r="BE280">
        <f t="shared" si="59"/>
        <v>22.537377540740735</v>
      </c>
    </row>
    <row r="281" spans="6:101" x14ac:dyDescent="0.25">
      <c r="F281" s="9"/>
      <c r="G281" s="21">
        <v>0.45547500000000002</v>
      </c>
      <c r="H281" s="21">
        <v>7.7515599999999996</v>
      </c>
      <c r="I281" s="21">
        <v>-1.4981100000000001E-2</v>
      </c>
      <c r="J281" s="21">
        <v>271</v>
      </c>
      <c r="K281" s="21">
        <v>0.45489499999999999</v>
      </c>
      <c r="L281">
        <f t="shared" si="48"/>
        <v>18.495185185185186</v>
      </c>
      <c r="M281">
        <f t="shared" si="49"/>
        <v>8.4240944722222224</v>
      </c>
      <c r="N281" s="9"/>
      <c r="O281" s="21">
        <v>1.2561</v>
      </c>
      <c r="P281" s="21">
        <v>15.564500000000001</v>
      </c>
      <c r="Q281" s="21">
        <v>-1.4468399999999999E-2</v>
      </c>
      <c r="R281" s="21">
        <v>112</v>
      </c>
      <c r="S281" s="21">
        <v>1.25488</v>
      </c>
      <c r="T281">
        <f t="shared" si="50"/>
        <v>17.862222222222222</v>
      </c>
      <c r="U281">
        <f t="shared" si="51"/>
        <v>22.436737333333333</v>
      </c>
      <c r="X281" s="9"/>
      <c r="Y281" s="21">
        <v>0.45547500000000002</v>
      </c>
      <c r="Z281" s="21">
        <v>17.165800000000001</v>
      </c>
      <c r="AA281" s="21">
        <v>-1.50452E-2</v>
      </c>
      <c r="AB281" s="21">
        <v>271</v>
      </c>
      <c r="AC281" s="21">
        <v>0.45486500000000002</v>
      </c>
      <c r="AD281">
        <f t="shared" si="52"/>
        <v>18.574320987654321</v>
      </c>
      <c r="AE281">
        <f t="shared" si="53"/>
        <v>8.4601388518518519</v>
      </c>
      <c r="AF281" s="9"/>
      <c r="AG281" s="21">
        <v>1.2646500000000001</v>
      </c>
      <c r="AH281" s="21">
        <v>21.025200000000002</v>
      </c>
      <c r="AI281" s="21">
        <v>-1.44745E-2</v>
      </c>
      <c r="AJ281" s="21">
        <v>271</v>
      </c>
      <c r="AK281" s="21">
        <v>1.2640400000000001</v>
      </c>
      <c r="AL281">
        <f t="shared" si="54"/>
        <v>17.869753086419752</v>
      </c>
      <c r="AM281">
        <f t="shared" si="55"/>
        <v>22.59898324074074</v>
      </c>
      <c r="AP281" s="9"/>
      <c r="AQ281" s="21">
        <v>0.45547500000000002</v>
      </c>
      <c r="AR281" s="21">
        <v>26.6</v>
      </c>
      <c r="AS281" s="21">
        <v>-1.5014599999999999E-2</v>
      </c>
      <c r="AT281" s="21">
        <v>271</v>
      </c>
      <c r="AU281" s="21">
        <v>0.45480300000000001</v>
      </c>
      <c r="AV281">
        <f t="shared" si="56"/>
        <v>18.536543209876541</v>
      </c>
      <c r="AW281">
        <f t="shared" si="57"/>
        <v>8.4429320185185173</v>
      </c>
      <c r="AX281" s="9"/>
      <c r="AY281" s="21">
        <v>1.2646500000000001</v>
      </c>
      <c r="AZ281" s="21">
        <v>30.459499999999998</v>
      </c>
      <c r="BA281" s="21">
        <v>-1.4489699999999999E-2</v>
      </c>
      <c r="BB281" s="21">
        <v>271</v>
      </c>
      <c r="BC281" s="21">
        <v>1.2640400000000001</v>
      </c>
      <c r="BD281">
        <f t="shared" si="58"/>
        <v>17.888518518518516</v>
      </c>
      <c r="BE281">
        <f t="shared" si="59"/>
        <v>22.622714944444443</v>
      </c>
    </row>
    <row r="282" spans="6:101" x14ac:dyDescent="0.25">
      <c r="F282" s="9"/>
      <c r="G282" s="21">
        <v>0.45043899999999998</v>
      </c>
      <c r="H282" s="21">
        <v>7.7616300000000003</v>
      </c>
      <c r="I282" s="21">
        <v>-1.4978E-2</v>
      </c>
      <c r="J282" s="21">
        <v>272</v>
      </c>
      <c r="K282" s="21">
        <v>0.44985999999999998</v>
      </c>
      <c r="L282">
        <f t="shared" si="48"/>
        <v>18.491358024691355</v>
      </c>
      <c r="M282">
        <f t="shared" si="49"/>
        <v>8.3292288172839495</v>
      </c>
      <c r="N282" s="9"/>
      <c r="O282" s="21">
        <v>1.2611399999999999</v>
      </c>
      <c r="P282" s="21">
        <v>15.554399999999999</v>
      </c>
      <c r="Q282" s="21">
        <v>-1.44653E-2</v>
      </c>
      <c r="R282" s="21">
        <v>111</v>
      </c>
      <c r="S282" s="21">
        <v>1.2609900000000001</v>
      </c>
      <c r="T282">
        <f t="shared" si="50"/>
        <v>17.858395061728395</v>
      </c>
      <c r="U282">
        <f t="shared" si="51"/>
        <v>22.521936348148145</v>
      </c>
      <c r="X282" s="9"/>
      <c r="Y282" s="21">
        <v>0.45043899999999998</v>
      </c>
      <c r="Z282" s="21">
        <v>17.175799999999999</v>
      </c>
      <c r="AA282" s="21">
        <v>-1.50574E-2</v>
      </c>
      <c r="AB282" s="21">
        <v>272</v>
      </c>
      <c r="AC282" s="21">
        <v>0.44982899999999998</v>
      </c>
      <c r="AD282">
        <f t="shared" si="52"/>
        <v>18.589382716049382</v>
      </c>
      <c r="AE282">
        <f t="shared" si="53"/>
        <v>8.3733829612345669</v>
      </c>
      <c r="AF282" s="9"/>
      <c r="AG282" s="21">
        <v>1.2696799999999999</v>
      </c>
      <c r="AH282" s="21">
        <v>21.035299999999999</v>
      </c>
      <c r="AI282" s="21">
        <v>-1.4468399999999999E-2</v>
      </c>
      <c r="AJ282" s="21">
        <v>272</v>
      </c>
      <c r="AK282" s="21">
        <v>1.2686200000000001</v>
      </c>
      <c r="AL282">
        <f t="shared" si="54"/>
        <v>17.862222222222222</v>
      </c>
      <c r="AM282">
        <f t="shared" si="55"/>
        <v>22.679306311111109</v>
      </c>
      <c r="AP282" s="9"/>
      <c r="AQ282" s="21">
        <v>0.45043899999999998</v>
      </c>
      <c r="AR282" s="21">
        <v>26.610099999999999</v>
      </c>
      <c r="AS282" s="21">
        <v>-1.50177E-2</v>
      </c>
      <c r="AT282" s="21">
        <v>272</v>
      </c>
      <c r="AU282" s="21">
        <v>0.44998199999999999</v>
      </c>
      <c r="AV282">
        <f t="shared" si="56"/>
        <v>18.540370370370372</v>
      </c>
      <c r="AW282">
        <f t="shared" si="57"/>
        <v>8.35130588925926</v>
      </c>
      <c r="AX282" s="9"/>
      <c r="AY282" s="21">
        <v>1.2696799999999999</v>
      </c>
      <c r="AZ282" s="21">
        <v>30.4695</v>
      </c>
      <c r="BA282" s="21">
        <v>-1.4483599999999999E-2</v>
      </c>
      <c r="BB282" s="21">
        <v>272</v>
      </c>
      <c r="BC282" s="21">
        <v>1.26892</v>
      </c>
      <c r="BD282">
        <f t="shared" si="58"/>
        <v>17.880987654320986</v>
      </c>
      <c r="BE282">
        <f t="shared" si="59"/>
        <v>22.70313240493827</v>
      </c>
    </row>
    <row r="283" spans="6:101" x14ac:dyDescent="0.25">
      <c r="F283" s="9"/>
      <c r="G283" s="21">
        <v>0.44540400000000002</v>
      </c>
      <c r="H283" s="21">
        <v>7.7717000000000001</v>
      </c>
      <c r="I283" s="21">
        <v>-1.49658E-2</v>
      </c>
      <c r="J283" s="21">
        <v>273</v>
      </c>
      <c r="K283" s="21">
        <v>0.44473299999999999</v>
      </c>
      <c r="L283">
        <f t="shared" si="48"/>
        <v>18.476296296296297</v>
      </c>
      <c r="M283">
        <f t="shared" si="49"/>
        <v>8.2294162755555558</v>
      </c>
      <c r="N283" s="9"/>
      <c r="O283" s="21">
        <v>1.26617</v>
      </c>
      <c r="P283" s="21">
        <v>15.5443</v>
      </c>
      <c r="Q283" s="21">
        <v>-1.44531E-2</v>
      </c>
      <c r="R283" s="21">
        <v>110</v>
      </c>
      <c r="S283" s="21">
        <v>1.2652600000000001</v>
      </c>
      <c r="T283">
        <f t="shared" si="50"/>
        <v>17.843333333333334</v>
      </c>
      <c r="U283">
        <f t="shared" si="51"/>
        <v>22.592693366666669</v>
      </c>
      <c r="X283" s="9"/>
      <c r="Y283" s="21">
        <v>0.44540400000000002</v>
      </c>
      <c r="Z283" s="21">
        <v>17.1859</v>
      </c>
      <c r="AA283" s="21">
        <v>-1.50726E-2</v>
      </c>
      <c r="AB283" s="21">
        <v>273</v>
      </c>
      <c r="AC283" s="21">
        <v>0.44479400000000002</v>
      </c>
      <c r="AD283">
        <f t="shared" si="52"/>
        <v>18.60814814814815</v>
      </c>
      <c r="AE283">
        <f t="shared" si="53"/>
        <v>8.288143617777779</v>
      </c>
      <c r="AF283" s="9"/>
      <c r="AG283" s="21">
        <v>1.2747200000000001</v>
      </c>
      <c r="AH283" s="21">
        <v>21.045400000000001</v>
      </c>
      <c r="AI283" s="21">
        <v>-1.4456200000000001E-2</v>
      </c>
      <c r="AJ283" s="21">
        <v>273</v>
      </c>
      <c r="AK283" s="21">
        <v>1.2741100000000001</v>
      </c>
      <c r="AL283">
        <f t="shared" si="54"/>
        <v>17.847160493827161</v>
      </c>
      <c r="AM283">
        <f t="shared" si="55"/>
        <v>22.750132424691362</v>
      </c>
      <c r="AP283" s="9"/>
      <c r="AQ283" s="21">
        <v>0.44540400000000002</v>
      </c>
      <c r="AR283" s="21">
        <v>26.620100000000001</v>
      </c>
      <c r="AS283" s="21">
        <v>-1.50177E-2</v>
      </c>
      <c r="AT283" s="21">
        <v>273</v>
      </c>
      <c r="AU283" s="21">
        <v>0.44479400000000002</v>
      </c>
      <c r="AV283">
        <f t="shared" si="56"/>
        <v>18.540370370370372</v>
      </c>
      <c r="AW283">
        <f t="shared" si="57"/>
        <v>8.2579551244444449</v>
      </c>
      <c r="AX283" s="9"/>
      <c r="AY283" s="21">
        <v>1.2747200000000001</v>
      </c>
      <c r="AZ283" s="21">
        <v>30.479600000000001</v>
      </c>
      <c r="BA283" s="21">
        <v>-1.44806E-2</v>
      </c>
      <c r="BB283" s="21">
        <v>273</v>
      </c>
      <c r="BC283" s="21">
        <v>1.2738</v>
      </c>
      <c r="BD283">
        <f t="shared" si="58"/>
        <v>17.877283950617283</v>
      </c>
      <c r="BE283">
        <f t="shared" si="59"/>
        <v>22.788531397530864</v>
      </c>
    </row>
    <row r="284" spans="6:101" x14ac:dyDescent="0.25">
      <c r="F284" s="9"/>
      <c r="G284" s="21">
        <v>0.44036900000000001</v>
      </c>
      <c r="H284" s="21">
        <v>7.7817699999999999</v>
      </c>
      <c r="I284" s="21">
        <v>-1.49689E-2</v>
      </c>
      <c r="J284" s="21">
        <v>274</v>
      </c>
      <c r="K284" s="21">
        <v>0.43985000000000002</v>
      </c>
      <c r="L284">
        <f t="shared" si="48"/>
        <v>18.480123456790125</v>
      </c>
      <c r="M284">
        <f t="shared" si="49"/>
        <v>8.1380734865432114</v>
      </c>
      <c r="N284" s="9"/>
      <c r="O284" s="21">
        <v>1.27121</v>
      </c>
      <c r="P284" s="21">
        <v>15.5343</v>
      </c>
      <c r="Q284" s="21">
        <v>-1.4444E-2</v>
      </c>
      <c r="R284" s="21">
        <v>109</v>
      </c>
      <c r="S284" s="21">
        <v>1.2698400000000001</v>
      </c>
      <c r="T284">
        <f t="shared" si="50"/>
        <v>17.832098765432097</v>
      </c>
      <c r="U284">
        <f t="shared" si="51"/>
        <v>22.668342271604935</v>
      </c>
      <c r="X284" s="9"/>
      <c r="Y284" s="21">
        <v>0.44036900000000001</v>
      </c>
      <c r="Z284" s="21">
        <v>17.196000000000002</v>
      </c>
      <c r="AA284" s="21">
        <v>-1.5069600000000001E-2</v>
      </c>
      <c r="AB284" s="21">
        <v>274</v>
      </c>
      <c r="AC284" s="21">
        <v>0.43978899999999999</v>
      </c>
      <c r="AD284">
        <f t="shared" si="52"/>
        <v>18.604444444444443</v>
      </c>
      <c r="AE284">
        <f t="shared" si="53"/>
        <v>8.1928205955555544</v>
      </c>
      <c r="AF284" s="9"/>
      <c r="AG284" s="21">
        <v>1.2797499999999999</v>
      </c>
      <c r="AH284" s="21">
        <v>21.055499999999999</v>
      </c>
      <c r="AI284" s="21">
        <v>-1.4444E-2</v>
      </c>
      <c r="AJ284" s="21">
        <v>274</v>
      </c>
      <c r="AK284" s="21">
        <v>1.2789900000000001</v>
      </c>
      <c r="AL284">
        <f t="shared" si="54"/>
        <v>17.832098765432097</v>
      </c>
      <c r="AM284">
        <f t="shared" si="55"/>
        <v>22.820628395061725</v>
      </c>
      <c r="AP284" s="9"/>
      <c r="AQ284" s="21">
        <v>0.44036900000000001</v>
      </c>
      <c r="AR284" s="21">
        <v>26.630199999999999</v>
      </c>
      <c r="AS284" s="21">
        <v>-1.50116E-2</v>
      </c>
      <c r="AT284" s="21">
        <v>274</v>
      </c>
      <c r="AU284" s="21">
        <v>0.43978899999999999</v>
      </c>
      <c r="AV284">
        <f t="shared" si="56"/>
        <v>18.532839506172838</v>
      </c>
      <c r="AW284">
        <f t="shared" si="57"/>
        <v>8.1612880004938262</v>
      </c>
      <c r="AX284" s="9"/>
      <c r="AY284" s="21">
        <v>1.2797499999999999</v>
      </c>
      <c r="AZ284" s="21">
        <v>30.489699999999999</v>
      </c>
      <c r="BA284" s="21">
        <v>-1.4471400000000001E-2</v>
      </c>
      <c r="BB284" s="21">
        <v>274</v>
      </c>
      <c r="BC284" s="21">
        <v>1.2789900000000001</v>
      </c>
      <c r="BD284">
        <f t="shared" si="58"/>
        <v>17.865925925925925</v>
      </c>
      <c r="BE284">
        <f t="shared" si="59"/>
        <v>22.863918703703703</v>
      </c>
    </row>
    <row r="285" spans="6:101" x14ac:dyDescent="0.25">
      <c r="F285" s="9"/>
      <c r="G285" s="21">
        <v>0.43533300000000003</v>
      </c>
      <c r="H285" s="21">
        <v>7.7918399999999997</v>
      </c>
      <c r="I285" s="21">
        <v>-1.4978E-2</v>
      </c>
      <c r="J285" s="21">
        <v>275</v>
      </c>
      <c r="K285" s="21">
        <v>0.43466199999999999</v>
      </c>
      <c r="L285">
        <f t="shared" si="48"/>
        <v>18.491358024691355</v>
      </c>
      <c r="M285">
        <f t="shared" si="49"/>
        <v>8.0498983629629617</v>
      </c>
      <c r="N285" s="9"/>
      <c r="O285" s="21">
        <v>1.2762500000000001</v>
      </c>
      <c r="P285" s="21">
        <v>15.5242</v>
      </c>
      <c r="Q285" s="21">
        <v>-1.4434799999999999E-2</v>
      </c>
      <c r="R285" s="21">
        <v>108</v>
      </c>
      <c r="S285" s="21">
        <v>1.2753300000000001</v>
      </c>
      <c r="T285">
        <f t="shared" si="50"/>
        <v>17.820740740740739</v>
      </c>
      <c r="U285">
        <f t="shared" si="51"/>
        <v>22.743720370370369</v>
      </c>
      <c r="X285" s="9"/>
      <c r="Y285" s="21">
        <v>0.43533300000000003</v>
      </c>
      <c r="Z285" s="21">
        <v>17.206099999999999</v>
      </c>
      <c r="AA285" s="21">
        <v>-1.5063500000000001E-2</v>
      </c>
      <c r="AB285" s="21">
        <v>275</v>
      </c>
      <c r="AC285" s="21">
        <v>0.434753</v>
      </c>
      <c r="AD285">
        <f t="shared" si="52"/>
        <v>18.596913580246913</v>
      </c>
      <c r="AE285">
        <f t="shared" si="53"/>
        <v>8.0958501796296289</v>
      </c>
      <c r="AF285" s="9"/>
      <c r="AG285" s="21">
        <v>1.2847900000000001</v>
      </c>
      <c r="AH285" s="21">
        <v>21.0655</v>
      </c>
      <c r="AI285" s="21">
        <v>-1.44318E-2</v>
      </c>
      <c r="AJ285" s="21">
        <v>275</v>
      </c>
      <c r="AK285" s="21">
        <v>1.2841800000000001</v>
      </c>
      <c r="AL285">
        <f t="shared" si="54"/>
        <v>17.817037037037036</v>
      </c>
      <c r="AM285">
        <f t="shared" si="55"/>
        <v>22.891151014814813</v>
      </c>
      <c r="AP285" s="9"/>
      <c r="AQ285" s="21">
        <v>0.43533300000000003</v>
      </c>
      <c r="AR285" s="21">
        <v>26.6403</v>
      </c>
      <c r="AS285" s="21">
        <v>-1.5008499999999999E-2</v>
      </c>
      <c r="AT285" s="21">
        <v>275</v>
      </c>
      <c r="AU285" s="21">
        <v>0.43472300000000003</v>
      </c>
      <c r="AV285">
        <f t="shared" si="56"/>
        <v>18.529012345679011</v>
      </c>
      <c r="AW285">
        <f t="shared" si="57"/>
        <v>8.0662905314814815</v>
      </c>
      <c r="AX285" s="9"/>
      <c r="AY285" s="21">
        <v>1.2847900000000001</v>
      </c>
      <c r="AZ285" s="21">
        <v>30.4998</v>
      </c>
      <c r="BA285" s="21">
        <v>-1.4462300000000001E-2</v>
      </c>
      <c r="BB285" s="21">
        <v>275</v>
      </c>
      <c r="BC285" s="21">
        <v>1.2841800000000001</v>
      </c>
      <c r="BD285">
        <f t="shared" si="58"/>
        <v>17.854691358024692</v>
      </c>
      <c r="BE285">
        <f t="shared" si="59"/>
        <v>22.939528909876547</v>
      </c>
    </row>
    <row r="286" spans="6:101" x14ac:dyDescent="0.25">
      <c r="F286" s="9"/>
      <c r="G286" s="21">
        <v>0.43029800000000001</v>
      </c>
      <c r="H286" s="21">
        <v>7.8019100000000003</v>
      </c>
      <c r="I286" s="21">
        <v>-1.49902E-2</v>
      </c>
      <c r="J286" s="21">
        <v>276</v>
      </c>
      <c r="K286" s="21">
        <v>0.42974899999999999</v>
      </c>
      <c r="L286">
        <f t="shared" si="48"/>
        <v>18.506419753086419</v>
      </c>
      <c r="M286">
        <f t="shared" si="49"/>
        <v>7.9632754069135805</v>
      </c>
      <c r="N286" s="9"/>
      <c r="O286" s="21">
        <v>1.28128</v>
      </c>
      <c r="P286" s="21">
        <v>15.514099999999999</v>
      </c>
      <c r="Q286" s="21">
        <v>-1.44257E-2</v>
      </c>
      <c r="R286" s="21">
        <v>107</v>
      </c>
      <c r="S286" s="21">
        <v>1.2808200000000001</v>
      </c>
      <c r="T286">
        <f t="shared" si="50"/>
        <v>17.809506172839505</v>
      </c>
      <c r="U286">
        <f t="shared" si="51"/>
        <v>22.818964069135802</v>
      </c>
      <c r="X286" s="9"/>
      <c r="Y286" s="21">
        <v>0.43029800000000001</v>
      </c>
      <c r="Z286" s="21">
        <v>17.216100000000001</v>
      </c>
      <c r="AA286" s="21">
        <v>-1.50604E-2</v>
      </c>
      <c r="AB286" s="21">
        <v>276</v>
      </c>
      <c r="AC286" s="21">
        <v>0.42968800000000001</v>
      </c>
      <c r="AD286">
        <f t="shared" si="52"/>
        <v>18.593086419753085</v>
      </c>
      <c r="AE286">
        <f t="shared" si="53"/>
        <v>8.0005679002469137</v>
      </c>
      <c r="AF286" s="9"/>
      <c r="AG286" s="21">
        <v>1.28983</v>
      </c>
      <c r="AH286" s="21">
        <v>21.075600000000001</v>
      </c>
      <c r="AI286" s="21">
        <v>-1.4419599999999999E-2</v>
      </c>
      <c r="AJ286" s="21">
        <v>276</v>
      </c>
      <c r="AK286" s="21">
        <v>1.2884500000000001</v>
      </c>
      <c r="AL286">
        <f t="shared" si="54"/>
        <v>17.801975308641975</v>
      </c>
      <c r="AM286">
        <f t="shared" si="55"/>
        <v>22.96152181234568</v>
      </c>
      <c r="AP286" s="9"/>
      <c r="AQ286" s="21">
        <v>0.43029800000000001</v>
      </c>
      <c r="AR286" s="21">
        <v>26.650400000000001</v>
      </c>
      <c r="AS286" s="21">
        <v>-1.5002400000000001E-2</v>
      </c>
      <c r="AT286" s="21">
        <v>276</v>
      </c>
      <c r="AU286" s="21">
        <v>0.42965700000000001</v>
      </c>
      <c r="AV286">
        <f t="shared" si="56"/>
        <v>18.521481481481484</v>
      </c>
      <c r="AW286">
        <f t="shared" si="57"/>
        <v>7.9697564385185196</v>
      </c>
      <c r="AX286" s="9"/>
      <c r="AY286" s="21">
        <v>1.28983</v>
      </c>
      <c r="AZ286" s="21">
        <v>30.509799999999998</v>
      </c>
      <c r="BA286" s="21">
        <v>-1.44531E-2</v>
      </c>
      <c r="BB286" s="21">
        <v>276</v>
      </c>
      <c r="BC286" s="21">
        <v>1.2893699999999999</v>
      </c>
      <c r="BD286">
        <f t="shared" si="58"/>
        <v>17.843333333333334</v>
      </c>
      <c r="BE286">
        <f t="shared" si="59"/>
        <v>23.014866633333334</v>
      </c>
    </row>
    <row r="287" spans="6:101" x14ac:dyDescent="0.25">
      <c r="F287" s="9"/>
      <c r="G287" s="21">
        <v>0.42526199999999997</v>
      </c>
      <c r="H287" s="21">
        <v>7.8119899999999998</v>
      </c>
      <c r="I287" s="21">
        <v>-1.5008499999999999E-2</v>
      </c>
      <c r="J287" s="21">
        <v>277</v>
      </c>
      <c r="K287" s="21">
        <v>0.42468299999999998</v>
      </c>
      <c r="L287">
        <f t="shared" si="48"/>
        <v>18.529012345679011</v>
      </c>
      <c r="M287">
        <f t="shared" si="49"/>
        <v>7.8796848481481465</v>
      </c>
      <c r="N287" s="9"/>
      <c r="O287" s="21">
        <v>1.2863199999999999</v>
      </c>
      <c r="P287" s="21">
        <v>15.504099999999999</v>
      </c>
      <c r="Q287" s="21">
        <v>-1.44165E-2</v>
      </c>
      <c r="R287" s="21">
        <v>106</v>
      </c>
      <c r="S287" s="21">
        <v>1.2857099999999999</v>
      </c>
      <c r="T287">
        <f t="shared" si="50"/>
        <v>17.798148148148147</v>
      </c>
      <c r="U287">
        <f t="shared" si="51"/>
        <v>22.894113925925922</v>
      </c>
      <c r="X287" s="9"/>
      <c r="Y287" s="21">
        <v>0.42526199999999997</v>
      </c>
      <c r="Z287" s="21">
        <v>17.226199999999999</v>
      </c>
      <c r="AA287" s="21">
        <v>-1.5048199999999999E-2</v>
      </c>
      <c r="AB287" s="21">
        <v>277</v>
      </c>
      <c r="AC287" s="21">
        <v>0.424591</v>
      </c>
      <c r="AD287">
        <f t="shared" si="52"/>
        <v>18.578024691358021</v>
      </c>
      <c r="AE287">
        <f t="shared" si="53"/>
        <v>7.9005279362962941</v>
      </c>
      <c r="AF287" s="9"/>
      <c r="AG287" s="21">
        <v>1.2948599999999999</v>
      </c>
      <c r="AH287" s="21">
        <v>21.085699999999999</v>
      </c>
      <c r="AI287" s="21">
        <v>-1.44104E-2</v>
      </c>
      <c r="AJ287" s="21">
        <v>277</v>
      </c>
      <c r="AK287" s="21">
        <v>1.2939499999999999</v>
      </c>
      <c r="AL287">
        <f t="shared" si="54"/>
        <v>17.790617283950617</v>
      </c>
      <c r="AM287">
        <f t="shared" si="55"/>
        <v>23.036358696296293</v>
      </c>
      <c r="AP287" s="9"/>
      <c r="AQ287" s="21">
        <v>0.42526199999999997</v>
      </c>
      <c r="AR287" s="21">
        <v>26.660399999999999</v>
      </c>
      <c r="AS287" s="21">
        <v>-1.4996300000000001E-2</v>
      </c>
      <c r="AT287" s="21">
        <v>277</v>
      </c>
      <c r="AU287" s="21">
        <v>0.42468299999999998</v>
      </c>
      <c r="AV287">
        <f t="shared" si="56"/>
        <v>18.51395061728395</v>
      </c>
      <c r="AW287">
        <f t="shared" si="57"/>
        <v>7.8732796674074068</v>
      </c>
      <c r="AX287" s="9"/>
      <c r="AY287" s="21">
        <v>1.2948599999999999</v>
      </c>
      <c r="AZ287" s="21">
        <v>30.5199</v>
      </c>
      <c r="BA287" s="21">
        <v>-1.44409E-2</v>
      </c>
      <c r="BB287" s="21">
        <v>277</v>
      </c>
      <c r="BC287" s="21">
        <v>1.2942499999999999</v>
      </c>
      <c r="BD287">
        <f t="shared" si="58"/>
        <v>17.828271604938269</v>
      </c>
      <c r="BE287">
        <f t="shared" si="59"/>
        <v>23.085115770370365</v>
      </c>
    </row>
    <row r="288" spans="6:101" x14ac:dyDescent="0.25">
      <c r="F288" s="9"/>
      <c r="G288" s="21">
        <v>0.42022700000000002</v>
      </c>
      <c r="H288" s="21">
        <v>7.8220599999999996</v>
      </c>
      <c r="I288" s="21">
        <v>-1.50177E-2</v>
      </c>
      <c r="J288" s="21">
        <v>278</v>
      </c>
      <c r="K288" s="21">
        <v>0.41955599999999998</v>
      </c>
      <c r="L288">
        <f t="shared" si="48"/>
        <v>18.540370370370372</v>
      </c>
      <c r="M288">
        <f t="shared" si="49"/>
        <v>7.7911642196296302</v>
      </c>
      <c r="N288" s="9"/>
      <c r="O288" s="21">
        <v>1.29135</v>
      </c>
      <c r="P288" s="21">
        <v>15.494</v>
      </c>
      <c r="Q288" s="21">
        <v>-1.44073E-2</v>
      </c>
      <c r="R288" s="21">
        <v>105</v>
      </c>
      <c r="S288" s="21">
        <v>1.2905899999999999</v>
      </c>
      <c r="T288">
        <f t="shared" si="50"/>
        <v>17.78679012345679</v>
      </c>
      <c r="U288">
        <f t="shared" si="51"/>
        <v>22.968971425925925</v>
      </c>
      <c r="X288" s="9"/>
      <c r="Y288" s="21">
        <v>0.42022700000000002</v>
      </c>
      <c r="Z288" s="21">
        <v>17.2363</v>
      </c>
      <c r="AA288" s="21">
        <v>-1.50391E-2</v>
      </c>
      <c r="AB288" s="21">
        <v>278</v>
      </c>
      <c r="AC288" s="21">
        <v>0.41970800000000003</v>
      </c>
      <c r="AD288">
        <f t="shared" si="52"/>
        <v>18.566790123456791</v>
      </c>
      <c r="AE288">
        <f t="shared" si="53"/>
        <v>7.8022665132098767</v>
      </c>
      <c r="AF288" s="9"/>
      <c r="AG288" s="21">
        <v>1.2999000000000001</v>
      </c>
      <c r="AH288" s="21">
        <v>21.095700000000001</v>
      </c>
      <c r="AI288" s="21">
        <v>-1.43982E-2</v>
      </c>
      <c r="AJ288" s="21">
        <v>278</v>
      </c>
      <c r="AK288" s="21">
        <v>1.2994399999999999</v>
      </c>
      <c r="AL288">
        <f t="shared" si="54"/>
        <v>17.775555555555556</v>
      </c>
      <c r="AM288">
        <f t="shared" si="55"/>
        <v>23.106444666666668</v>
      </c>
      <c r="AP288" s="9"/>
      <c r="AQ288" s="21">
        <v>0.42022700000000002</v>
      </c>
      <c r="AR288" s="21">
        <v>26.670500000000001</v>
      </c>
      <c r="AS288" s="21">
        <v>-1.49994E-2</v>
      </c>
      <c r="AT288" s="21">
        <v>278</v>
      </c>
      <c r="AU288" s="21">
        <v>0.41964699999999999</v>
      </c>
      <c r="AV288">
        <f t="shared" si="56"/>
        <v>18.517777777777777</v>
      </c>
      <c r="AW288">
        <f t="shared" si="57"/>
        <v>7.7816702022222222</v>
      </c>
      <c r="AX288" s="9"/>
      <c r="AY288" s="21">
        <v>1.2999000000000001</v>
      </c>
      <c r="AZ288" s="21">
        <v>30.53</v>
      </c>
      <c r="BA288" s="21">
        <v>-1.4434799999999999E-2</v>
      </c>
      <c r="BB288" s="21">
        <v>278</v>
      </c>
      <c r="BC288" s="21">
        <v>1.2994399999999999</v>
      </c>
      <c r="BD288">
        <f t="shared" si="58"/>
        <v>17.820740740740739</v>
      </c>
      <c r="BE288">
        <f t="shared" si="59"/>
        <v>23.165180888888887</v>
      </c>
    </row>
    <row r="289" spans="6:57" x14ac:dyDescent="0.25">
      <c r="F289" s="9"/>
      <c r="G289" s="21">
        <v>0.41519200000000001</v>
      </c>
      <c r="H289" s="21">
        <v>7.8321300000000003</v>
      </c>
      <c r="I289" s="21">
        <v>-1.5014599999999999E-2</v>
      </c>
      <c r="J289" s="21">
        <v>279</v>
      </c>
      <c r="K289" s="21">
        <v>0.41458099999999998</v>
      </c>
      <c r="L289">
        <f t="shared" si="48"/>
        <v>18.536543209876541</v>
      </c>
      <c r="M289">
        <f t="shared" si="49"/>
        <v>7.6962244483950606</v>
      </c>
      <c r="N289" s="9"/>
      <c r="O289" s="21">
        <v>1.2963899999999999</v>
      </c>
      <c r="P289" s="21">
        <v>15.4839</v>
      </c>
      <c r="Q289" s="21">
        <v>-1.43921E-2</v>
      </c>
      <c r="R289" s="21">
        <v>104</v>
      </c>
      <c r="S289" s="21">
        <v>1.2954699999999999</v>
      </c>
      <c r="T289">
        <f t="shared" si="50"/>
        <v>17.768024691358022</v>
      </c>
      <c r="U289">
        <f t="shared" si="51"/>
        <v>23.034289529629625</v>
      </c>
      <c r="X289" s="9"/>
      <c r="Y289" s="21">
        <v>0.41519200000000001</v>
      </c>
      <c r="Z289" s="21">
        <v>17.246300000000002</v>
      </c>
      <c r="AA289" s="21">
        <v>-1.50391E-2</v>
      </c>
      <c r="AB289" s="21">
        <v>279</v>
      </c>
      <c r="AC289" s="21">
        <v>0.41452</v>
      </c>
      <c r="AD289">
        <f t="shared" si="52"/>
        <v>18.566790123456791</v>
      </c>
      <c r="AE289">
        <f t="shared" si="53"/>
        <v>7.7087827249382723</v>
      </c>
      <c r="AF289" s="9"/>
      <c r="AG289" s="21">
        <v>1.3049299999999999</v>
      </c>
      <c r="AH289" s="21">
        <v>21.105799999999999</v>
      </c>
      <c r="AI289" s="21">
        <v>-1.4385999999999999E-2</v>
      </c>
      <c r="AJ289" s="21">
        <v>279</v>
      </c>
      <c r="AK289" s="21">
        <v>1.3037099999999999</v>
      </c>
      <c r="AL289">
        <f t="shared" si="54"/>
        <v>17.760493827160492</v>
      </c>
      <c r="AM289">
        <f t="shared" si="55"/>
        <v>23.176201209876538</v>
      </c>
      <c r="AP289" s="9"/>
      <c r="AQ289" s="21">
        <v>0.41519200000000001</v>
      </c>
      <c r="AR289" s="21">
        <v>26.680599999999998</v>
      </c>
      <c r="AS289" s="21">
        <v>-1.5008499999999999E-2</v>
      </c>
      <c r="AT289" s="21">
        <v>279</v>
      </c>
      <c r="AU289" s="21">
        <v>0.41458099999999998</v>
      </c>
      <c r="AV289">
        <f t="shared" si="56"/>
        <v>18.529012345679011</v>
      </c>
      <c r="AW289">
        <f t="shared" si="57"/>
        <v>7.69309769382716</v>
      </c>
      <c r="AX289" s="9"/>
      <c r="AY289" s="21">
        <v>1.3049299999999999</v>
      </c>
      <c r="AZ289" s="21">
        <v>30.54</v>
      </c>
      <c r="BA289" s="21">
        <v>-1.44257E-2</v>
      </c>
      <c r="BB289" s="21">
        <v>279</v>
      </c>
      <c r="BC289" s="21">
        <v>1.30402</v>
      </c>
      <c r="BD289">
        <f t="shared" si="58"/>
        <v>17.809506172839505</v>
      </c>
      <c r="BE289">
        <f t="shared" si="59"/>
        <v>23.240158890123453</v>
      </c>
    </row>
    <row r="290" spans="6:57" x14ac:dyDescent="0.25">
      <c r="F290" s="9"/>
      <c r="G290" s="21">
        <v>0.41015600000000002</v>
      </c>
      <c r="H290" s="21">
        <v>7.8422000000000001</v>
      </c>
      <c r="I290" s="21">
        <v>-1.50116E-2</v>
      </c>
      <c r="J290" s="21">
        <v>280</v>
      </c>
      <c r="K290" s="21">
        <v>0.409607</v>
      </c>
      <c r="L290">
        <f t="shared" si="48"/>
        <v>18.532839506172838</v>
      </c>
      <c r="M290">
        <f t="shared" si="49"/>
        <v>7.6013553204938269</v>
      </c>
      <c r="N290" s="9"/>
      <c r="O290" s="21">
        <v>1.30142</v>
      </c>
      <c r="P290" s="21">
        <v>15.473800000000001</v>
      </c>
      <c r="Q290" s="21">
        <v>-1.4385999999999999E-2</v>
      </c>
      <c r="R290" s="21">
        <v>103</v>
      </c>
      <c r="S290" s="21">
        <v>1.3006599999999999</v>
      </c>
      <c r="T290">
        <f t="shared" si="50"/>
        <v>17.760493827160492</v>
      </c>
      <c r="U290">
        <f t="shared" si="51"/>
        <v>23.113861876543208</v>
      </c>
      <c r="X290" s="9"/>
      <c r="Y290" s="21">
        <v>0.41015600000000002</v>
      </c>
      <c r="Z290" s="21">
        <v>17.256399999999999</v>
      </c>
      <c r="AA290" s="21">
        <v>-1.5036000000000001E-2</v>
      </c>
      <c r="AB290" s="21">
        <v>280</v>
      </c>
      <c r="AC290" s="21">
        <v>0.409607</v>
      </c>
      <c r="AD290">
        <f t="shared" si="52"/>
        <v>18.562962962962963</v>
      </c>
      <c r="AE290">
        <f t="shared" si="53"/>
        <v>7.6137106370370375</v>
      </c>
      <c r="AF290" s="9"/>
      <c r="AG290" s="21">
        <v>1.3099700000000001</v>
      </c>
      <c r="AH290" s="21">
        <v>21.1159</v>
      </c>
      <c r="AI290" s="21">
        <v>-1.4379899999999999E-2</v>
      </c>
      <c r="AJ290" s="21">
        <v>280</v>
      </c>
      <c r="AK290" s="21">
        <v>1.3091999999999999</v>
      </c>
      <c r="AL290">
        <f t="shared" si="54"/>
        <v>17.752962962962961</v>
      </c>
      <c r="AM290">
        <f t="shared" si="55"/>
        <v>23.255848892592592</v>
      </c>
      <c r="AP290" s="9"/>
      <c r="AQ290" s="21">
        <v>0.41015600000000002</v>
      </c>
      <c r="AR290" s="21">
        <v>26.6906</v>
      </c>
      <c r="AS290" s="21">
        <v>-1.50177E-2</v>
      </c>
      <c r="AT290" s="21">
        <v>280</v>
      </c>
      <c r="AU290" s="21">
        <v>0.40951500000000002</v>
      </c>
      <c r="AV290">
        <f t="shared" si="56"/>
        <v>18.540370370370372</v>
      </c>
      <c r="AW290">
        <f t="shared" si="57"/>
        <v>7.6044441496296304</v>
      </c>
      <c r="AX290" s="9"/>
      <c r="AY290" s="21">
        <v>1.3099700000000001</v>
      </c>
      <c r="AZ290" s="21">
        <v>30.5501</v>
      </c>
      <c r="BA290" s="21">
        <v>-1.4419599999999999E-2</v>
      </c>
      <c r="BB290" s="21">
        <v>280</v>
      </c>
      <c r="BC290" s="21">
        <v>1.30951</v>
      </c>
      <c r="BD290">
        <f t="shared" si="58"/>
        <v>17.801975308641975</v>
      </c>
      <c r="BE290">
        <f t="shared" si="59"/>
        <v>23.320053595061729</v>
      </c>
    </row>
    <row r="291" spans="6:57" x14ac:dyDescent="0.25">
      <c r="F291" s="9"/>
      <c r="G291" s="21">
        <v>0.40512100000000001</v>
      </c>
      <c r="H291" s="21">
        <v>7.8522699999999999</v>
      </c>
      <c r="I291" s="21">
        <v>-1.5014599999999999E-2</v>
      </c>
      <c r="J291" s="21">
        <v>281</v>
      </c>
      <c r="K291" s="21">
        <v>0.40457199999999999</v>
      </c>
      <c r="L291">
        <f t="shared" si="48"/>
        <v>18.536543209876541</v>
      </c>
      <c r="M291">
        <f t="shared" si="49"/>
        <v>7.5095429217283947</v>
      </c>
      <c r="N291" s="9"/>
      <c r="O291" s="21">
        <v>1.30646</v>
      </c>
      <c r="P291" s="21">
        <v>15.463800000000001</v>
      </c>
      <c r="Q291" s="21">
        <v>-1.4379899999999999E-2</v>
      </c>
      <c r="R291" s="21">
        <v>102</v>
      </c>
      <c r="S291" s="21">
        <v>1.30585</v>
      </c>
      <c r="T291">
        <f t="shared" si="50"/>
        <v>17.752962962962961</v>
      </c>
      <c r="U291">
        <f t="shared" si="51"/>
        <v>23.19353599259259</v>
      </c>
      <c r="X291" s="9"/>
      <c r="Y291" s="21">
        <v>0.40512100000000001</v>
      </c>
      <c r="Z291" s="21">
        <v>17.266500000000001</v>
      </c>
      <c r="AA291" s="21">
        <v>-1.50543E-2</v>
      </c>
      <c r="AB291" s="21">
        <v>281</v>
      </c>
      <c r="AC291" s="21">
        <v>0.40457199999999999</v>
      </c>
      <c r="AD291">
        <f t="shared" si="52"/>
        <v>18.585555555555555</v>
      </c>
      <c r="AE291">
        <f t="shared" si="53"/>
        <v>7.5293988522222222</v>
      </c>
      <c r="AF291" s="9"/>
      <c r="AG291" s="21">
        <v>1.3149999999999999</v>
      </c>
      <c r="AH291" s="21">
        <v>21.126000000000001</v>
      </c>
      <c r="AI291" s="21">
        <v>-1.4373800000000001E-2</v>
      </c>
      <c r="AJ291" s="21">
        <v>281</v>
      </c>
      <c r="AK291" s="21">
        <v>1.3143899999999999</v>
      </c>
      <c r="AL291">
        <f t="shared" si="54"/>
        <v>17.745432098765431</v>
      </c>
      <c r="AM291">
        <f t="shared" si="55"/>
        <v>23.335243209876541</v>
      </c>
      <c r="AP291" s="9"/>
      <c r="AQ291" s="21">
        <v>0.40512100000000001</v>
      </c>
      <c r="AR291" s="21">
        <v>26.700700000000001</v>
      </c>
      <c r="AS291" s="21">
        <v>-1.50116E-2</v>
      </c>
      <c r="AT291" s="21">
        <v>281</v>
      </c>
      <c r="AU291" s="21">
        <v>0.40460200000000002</v>
      </c>
      <c r="AV291">
        <f t="shared" si="56"/>
        <v>18.532839506172838</v>
      </c>
      <c r="AW291">
        <f t="shared" si="57"/>
        <v>7.5080424735802467</v>
      </c>
      <c r="AX291" s="9"/>
      <c r="AY291" s="21">
        <v>1.3149999999999999</v>
      </c>
      <c r="AZ291" s="21">
        <v>30.560199999999998</v>
      </c>
      <c r="BA291" s="21">
        <v>-1.44165E-2</v>
      </c>
      <c r="BB291" s="21">
        <v>281</v>
      </c>
      <c r="BC291" s="21">
        <v>1.3143899999999999</v>
      </c>
      <c r="BD291">
        <f t="shared" si="58"/>
        <v>17.798148148148147</v>
      </c>
      <c r="BE291">
        <f t="shared" si="59"/>
        <v>23.404564814814812</v>
      </c>
    </row>
    <row r="292" spans="6:57" x14ac:dyDescent="0.25">
      <c r="F292" s="9"/>
      <c r="G292" s="21">
        <v>0.40008500000000002</v>
      </c>
      <c r="H292" s="21">
        <v>7.8623399999999997</v>
      </c>
      <c r="I292" s="21">
        <v>-1.5008499999999999E-2</v>
      </c>
      <c r="J292" s="21">
        <v>282</v>
      </c>
      <c r="K292" s="21">
        <v>0.39947500000000002</v>
      </c>
      <c r="L292">
        <f t="shared" si="48"/>
        <v>18.529012345679011</v>
      </c>
      <c r="M292">
        <f t="shared" si="49"/>
        <v>7.4131799043209874</v>
      </c>
      <c r="N292" s="9"/>
      <c r="O292" s="21">
        <v>1.31149</v>
      </c>
      <c r="P292" s="21">
        <v>15.4537</v>
      </c>
      <c r="Q292" s="21">
        <v>-1.4367700000000001E-2</v>
      </c>
      <c r="R292" s="21">
        <v>101</v>
      </c>
      <c r="S292" s="21">
        <v>1.31073</v>
      </c>
      <c r="T292">
        <f t="shared" si="50"/>
        <v>17.7379012345679</v>
      </c>
      <c r="U292">
        <f t="shared" si="51"/>
        <v>23.263080090123456</v>
      </c>
      <c r="X292" s="9"/>
      <c r="Y292" s="21">
        <v>0.40008500000000002</v>
      </c>
      <c r="Z292" s="21">
        <v>17.276599999999998</v>
      </c>
      <c r="AA292" s="21">
        <v>-1.50604E-2</v>
      </c>
      <c r="AB292" s="21">
        <v>282</v>
      </c>
      <c r="AC292" s="21">
        <v>0.39947500000000002</v>
      </c>
      <c r="AD292">
        <f t="shared" si="52"/>
        <v>18.593086419753085</v>
      </c>
      <c r="AE292">
        <f t="shared" si="53"/>
        <v>7.4388149802469137</v>
      </c>
      <c r="AF292" s="9"/>
      <c r="AG292" s="21">
        <v>1.3200400000000001</v>
      </c>
      <c r="AH292" s="21">
        <v>21.135999999999999</v>
      </c>
      <c r="AI292" s="21">
        <v>-1.43646E-2</v>
      </c>
      <c r="AJ292" s="21">
        <v>282</v>
      </c>
      <c r="AK292" s="21">
        <v>1.31989</v>
      </c>
      <c r="AL292">
        <f t="shared" si="54"/>
        <v>17.734074074074073</v>
      </c>
      <c r="AM292">
        <f t="shared" si="55"/>
        <v>23.40968714074074</v>
      </c>
      <c r="AP292" s="9"/>
      <c r="AQ292" s="21">
        <v>0.40008500000000002</v>
      </c>
      <c r="AR292" s="21">
        <v>26.710799999999999</v>
      </c>
      <c r="AS292" s="21">
        <v>-1.50177E-2</v>
      </c>
      <c r="AT292" s="21">
        <v>282</v>
      </c>
      <c r="AU292" s="21">
        <v>0.39932299999999998</v>
      </c>
      <c r="AV292">
        <f t="shared" si="56"/>
        <v>18.540370370370372</v>
      </c>
      <c r="AW292">
        <f t="shared" si="57"/>
        <v>7.4177240796296307</v>
      </c>
      <c r="AX292" s="9"/>
      <c r="AY292" s="21">
        <v>1.3200400000000001</v>
      </c>
      <c r="AZ292" s="21">
        <v>30.5703</v>
      </c>
      <c r="BA292" s="21">
        <v>-1.44104E-2</v>
      </c>
      <c r="BB292" s="21">
        <v>282</v>
      </c>
      <c r="BC292" s="21">
        <v>1.3192699999999999</v>
      </c>
      <c r="BD292">
        <f t="shared" si="58"/>
        <v>17.790617283950617</v>
      </c>
      <c r="BE292">
        <f t="shared" si="59"/>
        <v>23.484326439506173</v>
      </c>
    </row>
    <row r="293" spans="6:57" x14ac:dyDescent="0.25">
      <c r="F293" s="9"/>
      <c r="G293" s="21">
        <v>0.39505000000000001</v>
      </c>
      <c r="H293" s="21">
        <v>7.8724100000000004</v>
      </c>
      <c r="I293" s="21">
        <v>-1.5008499999999999E-2</v>
      </c>
      <c r="J293" s="21">
        <v>283</v>
      </c>
      <c r="K293" s="21">
        <v>0.39444000000000001</v>
      </c>
      <c r="L293">
        <f t="shared" si="48"/>
        <v>18.529012345679011</v>
      </c>
      <c r="M293">
        <f t="shared" si="49"/>
        <v>7.3198863271604937</v>
      </c>
      <c r="N293" s="9"/>
      <c r="O293" s="21">
        <v>1.31653</v>
      </c>
      <c r="P293" s="21">
        <v>15.4436</v>
      </c>
      <c r="Q293" s="21">
        <v>-1.43585E-2</v>
      </c>
      <c r="R293" s="21">
        <v>100</v>
      </c>
      <c r="S293" s="21">
        <v>1.3156099999999999</v>
      </c>
      <c r="T293">
        <f t="shared" si="50"/>
        <v>17.726543209876542</v>
      </c>
      <c r="U293">
        <f t="shared" si="51"/>
        <v>23.337525932098764</v>
      </c>
      <c r="X293" s="9"/>
      <c r="Y293" s="21">
        <v>0.39505000000000001</v>
      </c>
      <c r="Z293" s="21">
        <v>17.2866</v>
      </c>
      <c r="AA293" s="21">
        <v>-1.5069600000000001E-2</v>
      </c>
      <c r="AB293" s="21">
        <v>283</v>
      </c>
      <c r="AC293" s="21">
        <v>0.39450099999999999</v>
      </c>
      <c r="AD293">
        <f t="shared" si="52"/>
        <v>18.604444444444443</v>
      </c>
      <c r="AE293">
        <f t="shared" si="53"/>
        <v>7.3496857777777773</v>
      </c>
      <c r="AF293" s="9"/>
      <c r="AG293" s="21">
        <v>1.32507</v>
      </c>
      <c r="AH293" s="21">
        <v>21.146100000000001</v>
      </c>
      <c r="AI293" s="21">
        <v>-1.43585E-2</v>
      </c>
      <c r="AJ293" s="21">
        <v>283</v>
      </c>
      <c r="AK293" s="21">
        <v>1.32477</v>
      </c>
      <c r="AL293">
        <f t="shared" si="54"/>
        <v>17.726543209876542</v>
      </c>
      <c r="AM293">
        <f t="shared" si="55"/>
        <v>23.488910611111109</v>
      </c>
      <c r="AP293" s="9"/>
      <c r="AQ293" s="21">
        <v>0.39505000000000001</v>
      </c>
      <c r="AR293" s="21">
        <v>26.7209</v>
      </c>
      <c r="AS293" s="21">
        <v>-1.5020800000000001E-2</v>
      </c>
      <c r="AT293" s="21">
        <v>283</v>
      </c>
      <c r="AU293" s="21">
        <v>0.39450099999999999</v>
      </c>
      <c r="AV293">
        <f t="shared" si="56"/>
        <v>18.544197530864199</v>
      </c>
      <c r="AW293">
        <f t="shared" si="57"/>
        <v>7.3258852345679024</v>
      </c>
      <c r="AX293" s="9"/>
      <c r="AY293" s="21">
        <v>1.32507</v>
      </c>
      <c r="AZ293" s="21">
        <v>30.580300000000001</v>
      </c>
      <c r="BA293" s="21">
        <v>-1.44043E-2</v>
      </c>
      <c r="BB293" s="21">
        <v>283</v>
      </c>
      <c r="BC293" s="21">
        <v>1.32416</v>
      </c>
      <c r="BD293">
        <f t="shared" si="58"/>
        <v>17.783086419753086</v>
      </c>
      <c r="BE293">
        <f t="shared" si="59"/>
        <v>23.56383432222222</v>
      </c>
    </row>
    <row r="294" spans="6:57" x14ac:dyDescent="0.25">
      <c r="F294" s="9"/>
      <c r="G294" s="21">
        <v>0.390015</v>
      </c>
      <c r="H294" s="21">
        <v>7.8824800000000002</v>
      </c>
      <c r="I294" s="21">
        <v>-1.5008499999999999E-2</v>
      </c>
      <c r="J294" s="21">
        <v>284</v>
      </c>
      <c r="K294" s="21">
        <v>0.38931300000000002</v>
      </c>
      <c r="L294">
        <f t="shared" si="48"/>
        <v>18.529012345679011</v>
      </c>
      <c r="M294">
        <f t="shared" si="49"/>
        <v>7.2265927499999991</v>
      </c>
      <c r="N294" s="9"/>
      <c r="O294" s="21">
        <v>1.3215600000000001</v>
      </c>
      <c r="P294" s="21">
        <v>15.4336</v>
      </c>
      <c r="Q294" s="21">
        <v>-1.43494E-2</v>
      </c>
      <c r="R294" s="21">
        <v>99</v>
      </c>
      <c r="S294" s="21">
        <v>1.32111</v>
      </c>
      <c r="T294">
        <f t="shared" si="50"/>
        <v>17.715308641975309</v>
      </c>
      <c r="U294">
        <f t="shared" si="51"/>
        <v>23.411843288888889</v>
      </c>
      <c r="X294" s="9"/>
      <c r="Y294" s="21">
        <v>0.390015</v>
      </c>
      <c r="Z294" s="21">
        <v>17.296700000000001</v>
      </c>
      <c r="AA294" s="21">
        <v>-1.50726E-2</v>
      </c>
      <c r="AB294" s="21">
        <v>284</v>
      </c>
      <c r="AC294" s="21">
        <v>0.38943499999999998</v>
      </c>
      <c r="AD294">
        <f t="shared" si="52"/>
        <v>18.60814814814815</v>
      </c>
      <c r="AE294">
        <f t="shared" si="53"/>
        <v>7.2574569000000002</v>
      </c>
      <c r="AF294" s="9"/>
      <c r="AG294" s="21">
        <v>1.3301099999999999</v>
      </c>
      <c r="AH294" s="21">
        <v>21.156199999999998</v>
      </c>
      <c r="AI294" s="21">
        <v>-1.43494E-2</v>
      </c>
      <c r="AJ294" s="21">
        <v>284</v>
      </c>
      <c r="AK294" s="21">
        <v>1.32965</v>
      </c>
      <c r="AL294">
        <f t="shared" si="54"/>
        <v>17.715308641975309</v>
      </c>
      <c r="AM294">
        <f t="shared" si="55"/>
        <v>23.563309177777775</v>
      </c>
      <c r="AP294" s="9"/>
      <c r="AQ294" s="21">
        <v>0.390015</v>
      </c>
      <c r="AR294" s="21">
        <v>26.730899999999998</v>
      </c>
      <c r="AS294" s="21">
        <v>-1.5020800000000001E-2</v>
      </c>
      <c r="AT294" s="21">
        <v>284</v>
      </c>
      <c r="AU294" s="21">
        <v>0.38943499999999998</v>
      </c>
      <c r="AV294">
        <f t="shared" si="56"/>
        <v>18.544197530864199</v>
      </c>
      <c r="AW294">
        <f t="shared" si="57"/>
        <v>7.2325152000000008</v>
      </c>
      <c r="AX294" s="9"/>
      <c r="AY294" s="21">
        <v>1.3301099999999999</v>
      </c>
      <c r="AZ294" s="21">
        <v>30.590399999999999</v>
      </c>
      <c r="BA294" s="21">
        <v>-1.4395099999999999E-2</v>
      </c>
      <c r="BB294" s="21">
        <v>284</v>
      </c>
      <c r="BC294" s="21">
        <v>1.32965</v>
      </c>
      <c r="BD294">
        <f t="shared" si="58"/>
        <v>17.771728395061729</v>
      </c>
      <c r="BE294">
        <f t="shared" si="59"/>
        <v>23.638353655555555</v>
      </c>
    </row>
    <row r="295" spans="6:57" x14ac:dyDescent="0.25">
      <c r="F295" s="9"/>
      <c r="G295" s="21">
        <v>0.38497900000000002</v>
      </c>
      <c r="H295" s="21">
        <v>7.89255</v>
      </c>
      <c r="I295" s="21">
        <v>-1.50116E-2</v>
      </c>
      <c r="J295" s="21">
        <v>285</v>
      </c>
      <c r="K295" s="21">
        <v>0.38439899999999999</v>
      </c>
      <c r="L295">
        <f t="shared" si="48"/>
        <v>18.532839506172838</v>
      </c>
      <c r="M295">
        <f t="shared" si="49"/>
        <v>7.1347540202469135</v>
      </c>
      <c r="N295" s="9"/>
      <c r="O295" s="21">
        <v>1.3266</v>
      </c>
      <c r="P295" s="21">
        <v>15.423500000000001</v>
      </c>
      <c r="Q295" s="21">
        <v>-1.4340200000000001E-2</v>
      </c>
      <c r="R295" s="21">
        <v>98</v>
      </c>
      <c r="S295" s="21">
        <v>1.32568</v>
      </c>
      <c r="T295">
        <f t="shared" si="50"/>
        <v>17.703950617283951</v>
      </c>
      <c r="U295">
        <f t="shared" si="51"/>
        <v>23.48606088888889</v>
      </c>
      <c r="X295" s="9"/>
      <c r="Y295" s="21">
        <v>0.38497900000000002</v>
      </c>
      <c r="Z295" s="21">
        <v>17.306799999999999</v>
      </c>
      <c r="AA295" s="21">
        <v>-1.50726E-2</v>
      </c>
      <c r="AB295" s="21">
        <v>285</v>
      </c>
      <c r="AC295" s="21">
        <v>0.38442999999999999</v>
      </c>
      <c r="AD295">
        <f t="shared" si="52"/>
        <v>18.60814814814815</v>
      </c>
      <c r="AE295">
        <f t="shared" si="53"/>
        <v>7.1637462659259272</v>
      </c>
      <c r="AF295" s="9"/>
      <c r="AG295" s="21">
        <v>1.33514</v>
      </c>
      <c r="AH295" s="21">
        <v>21.1662</v>
      </c>
      <c r="AI295" s="21">
        <v>-1.4340200000000001E-2</v>
      </c>
      <c r="AJ295" s="21">
        <v>285</v>
      </c>
      <c r="AK295" s="21">
        <v>1.33453</v>
      </c>
      <c r="AL295">
        <f t="shared" si="54"/>
        <v>17.703950617283951</v>
      </c>
      <c r="AM295">
        <f t="shared" si="55"/>
        <v>23.637252627160493</v>
      </c>
      <c r="AP295" s="9"/>
      <c r="AQ295" s="21">
        <v>0.38497900000000002</v>
      </c>
      <c r="AR295" s="21">
        <v>26.741</v>
      </c>
      <c r="AS295" s="21">
        <v>-1.50177E-2</v>
      </c>
      <c r="AT295" s="21">
        <v>285</v>
      </c>
      <c r="AU295" s="21">
        <v>0.38433800000000001</v>
      </c>
      <c r="AV295">
        <f t="shared" si="56"/>
        <v>18.540370370370372</v>
      </c>
      <c r="AW295">
        <f t="shared" si="57"/>
        <v>7.1376532448148158</v>
      </c>
      <c r="AX295" s="9"/>
      <c r="AY295" s="21">
        <v>1.33514</v>
      </c>
      <c r="AZ295" s="21">
        <v>30.6005</v>
      </c>
      <c r="BA295" s="21">
        <v>-1.4382900000000001E-2</v>
      </c>
      <c r="BB295" s="21">
        <v>285</v>
      </c>
      <c r="BC295" s="21">
        <v>1.33423</v>
      </c>
      <c r="BD295">
        <f t="shared" si="58"/>
        <v>17.756666666666668</v>
      </c>
      <c r="BE295">
        <f t="shared" si="59"/>
        <v>23.707635933333336</v>
      </c>
    </row>
    <row r="296" spans="6:57" x14ac:dyDescent="0.25">
      <c r="F296" s="9"/>
      <c r="G296" s="21">
        <v>0.379944</v>
      </c>
      <c r="H296" s="21">
        <v>7.9026199999999998</v>
      </c>
      <c r="I296" s="21">
        <v>-1.5020800000000001E-2</v>
      </c>
      <c r="J296" s="21">
        <v>286</v>
      </c>
      <c r="K296" s="21">
        <v>0.379303</v>
      </c>
      <c r="L296">
        <f t="shared" si="48"/>
        <v>18.544197530864199</v>
      </c>
      <c r="M296">
        <f t="shared" si="49"/>
        <v>7.0457565866666672</v>
      </c>
      <c r="N296" s="9"/>
      <c r="O296" s="21">
        <v>1.3316300000000001</v>
      </c>
      <c r="P296" s="21">
        <v>15.413399999999999</v>
      </c>
      <c r="Q296" s="21">
        <v>-1.4331099999999999E-2</v>
      </c>
      <c r="R296" s="21">
        <v>97</v>
      </c>
      <c r="S296" s="21">
        <v>1.33087</v>
      </c>
      <c r="T296">
        <f t="shared" si="50"/>
        <v>17.692716049382714</v>
      </c>
      <c r="U296">
        <f t="shared" si="51"/>
        <v>23.560151472839504</v>
      </c>
      <c r="X296" s="9"/>
      <c r="Y296" s="21">
        <v>0.379944</v>
      </c>
      <c r="Z296" s="21">
        <v>17.316800000000001</v>
      </c>
      <c r="AA296" s="21">
        <v>-1.50726E-2</v>
      </c>
      <c r="AB296" s="21">
        <v>286</v>
      </c>
      <c r="AC296" s="21">
        <v>0.37933299999999998</v>
      </c>
      <c r="AD296">
        <f t="shared" si="52"/>
        <v>18.60814814814815</v>
      </c>
      <c r="AE296">
        <f t="shared" si="53"/>
        <v>7.070054240000001</v>
      </c>
      <c r="AF296" s="9"/>
      <c r="AG296" s="21">
        <v>1.3401799999999999</v>
      </c>
      <c r="AH296" s="21">
        <v>21.176300000000001</v>
      </c>
      <c r="AI296" s="21">
        <v>-1.4331099999999999E-2</v>
      </c>
      <c r="AJ296" s="21">
        <v>286</v>
      </c>
      <c r="AK296" s="21">
        <v>1.33972</v>
      </c>
      <c r="AL296">
        <f t="shared" si="54"/>
        <v>17.692716049382714</v>
      </c>
      <c r="AM296">
        <f t="shared" si="55"/>
        <v>23.711424195061724</v>
      </c>
      <c r="AP296" s="9"/>
      <c r="AQ296" s="21">
        <v>0.379944</v>
      </c>
      <c r="AR296" s="21">
        <v>26.751100000000001</v>
      </c>
      <c r="AS296" s="21">
        <v>-1.5014599999999999E-2</v>
      </c>
      <c r="AT296" s="21">
        <v>286</v>
      </c>
      <c r="AU296" s="21">
        <v>0.37933299999999998</v>
      </c>
      <c r="AV296">
        <f t="shared" si="56"/>
        <v>18.536543209876541</v>
      </c>
      <c r="AW296">
        <f t="shared" si="57"/>
        <v>7.0428483733333325</v>
      </c>
      <c r="AX296" s="9"/>
      <c r="AY296" s="21">
        <v>1.3401799999999999</v>
      </c>
      <c r="AZ296" s="21">
        <v>30.610499999999998</v>
      </c>
      <c r="BA296" s="21">
        <v>-1.43707E-2</v>
      </c>
      <c r="BB296" s="21">
        <v>286</v>
      </c>
      <c r="BC296" s="21">
        <v>1.33911</v>
      </c>
      <c r="BD296">
        <f t="shared" si="58"/>
        <v>17.741604938271603</v>
      </c>
      <c r="BE296">
        <f t="shared" si="59"/>
        <v>23.776944106172834</v>
      </c>
    </row>
    <row r="297" spans="6:57" x14ac:dyDescent="0.25">
      <c r="F297" s="9"/>
      <c r="G297" s="21">
        <v>0.37490800000000002</v>
      </c>
      <c r="H297" s="21">
        <v>7.9127000000000001</v>
      </c>
      <c r="I297" s="21">
        <v>-1.5020800000000001E-2</v>
      </c>
      <c r="J297" s="21">
        <v>287</v>
      </c>
      <c r="K297" s="21">
        <v>0.37432900000000002</v>
      </c>
      <c r="L297">
        <f t="shared" si="48"/>
        <v>18.544197530864199</v>
      </c>
      <c r="M297">
        <f t="shared" si="49"/>
        <v>6.952368007901236</v>
      </c>
      <c r="N297" s="9"/>
      <c r="O297" s="21">
        <v>1.33667</v>
      </c>
      <c r="P297" s="21">
        <v>15.4033</v>
      </c>
      <c r="Q297" s="21">
        <v>-1.4324999999999999E-2</v>
      </c>
      <c r="R297" s="21">
        <v>96</v>
      </c>
      <c r="S297" s="21">
        <v>1.33606</v>
      </c>
      <c r="T297">
        <f t="shared" si="50"/>
        <v>17.685185185185183</v>
      </c>
      <c r="U297">
        <f t="shared" si="51"/>
        <v>23.639256481481478</v>
      </c>
      <c r="X297" s="9"/>
      <c r="Y297" s="21">
        <v>0.37490800000000002</v>
      </c>
      <c r="Z297" s="21">
        <v>17.326899999999998</v>
      </c>
      <c r="AA297" s="21">
        <v>-1.5090900000000001E-2</v>
      </c>
      <c r="AB297" s="21">
        <v>287</v>
      </c>
      <c r="AC297" s="21">
        <v>0.374359</v>
      </c>
      <c r="AD297">
        <f t="shared" si="52"/>
        <v>18.630740740740741</v>
      </c>
      <c r="AE297">
        <f t="shared" si="53"/>
        <v>6.9848137496296303</v>
      </c>
      <c r="AF297" s="9"/>
      <c r="AG297" s="21">
        <v>1.34521</v>
      </c>
      <c r="AH297" s="21">
        <v>21.186399999999999</v>
      </c>
      <c r="AI297" s="21">
        <v>-1.43188E-2</v>
      </c>
      <c r="AJ297" s="21">
        <v>287</v>
      </c>
      <c r="AK297" s="21">
        <v>1.3443000000000001</v>
      </c>
      <c r="AL297">
        <f t="shared" si="54"/>
        <v>17.677530864197529</v>
      </c>
      <c r="AM297">
        <f t="shared" si="55"/>
        <v>23.779991293827159</v>
      </c>
      <c r="AP297" s="9"/>
      <c r="AQ297" s="21">
        <v>0.37490800000000002</v>
      </c>
      <c r="AR297" s="21">
        <v>26.761099999999999</v>
      </c>
      <c r="AS297" s="21">
        <v>-1.50238E-2</v>
      </c>
      <c r="AT297" s="21">
        <v>287</v>
      </c>
      <c r="AU297" s="21">
        <v>0.37423699999999999</v>
      </c>
      <c r="AV297">
        <f t="shared" si="56"/>
        <v>18.547901234567902</v>
      </c>
      <c r="AW297">
        <f t="shared" si="57"/>
        <v>6.9537565560493837</v>
      </c>
      <c r="AX297" s="9"/>
      <c r="AY297" s="21">
        <v>1.34521</v>
      </c>
      <c r="AZ297" s="21">
        <v>30.6206</v>
      </c>
      <c r="BA297" s="21">
        <v>-1.43555E-2</v>
      </c>
      <c r="BB297" s="21">
        <v>287</v>
      </c>
      <c r="BC297" s="21">
        <v>1.34521</v>
      </c>
      <c r="BD297">
        <f t="shared" si="58"/>
        <v>17.722839506172836</v>
      </c>
      <c r="BE297">
        <f t="shared" si="59"/>
        <v>23.840940932098761</v>
      </c>
    </row>
    <row r="298" spans="6:57" x14ac:dyDescent="0.25">
      <c r="F298" s="9"/>
      <c r="G298" s="21">
        <v>0.36987300000000001</v>
      </c>
      <c r="H298" s="21">
        <v>7.9227699999999999</v>
      </c>
      <c r="I298" s="21">
        <v>-1.50238E-2</v>
      </c>
      <c r="J298" s="21">
        <v>288</v>
      </c>
      <c r="K298" s="21">
        <v>0.369232</v>
      </c>
      <c r="L298">
        <f t="shared" si="48"/>
        <v>18.547901234567902</v>
      </c>
      <c r="M298">
        <f t="shared" si="49"/>
        <v>6.8603678733333338</v>
      </c>
      <c r="N298" s="9"/>
      <c r="O298" s="21">
        <v>1.34171</v>
      </c>
      <c r="P298" s="21">
        <v>15.3933</v>
      </c>
      <c r="Q298" s="21">
        <v>-1.43188E-2</v>
      </c>
      <c r="R298" s="21">
        <v>95</v>
      </c>
      <c r="S298" s="21">
        <v>1.3406400000000001</v>
      </c>
      <c r="T298">
        <f t="shared" si="50"/>
        <v>17.677530864197529</v>
      </c>
      <c r="U298">
        <f t="shared" si="51"/>
        <v>23.718119935802466</v>
      </c>
      <c r="X298" s="9"/>
      <c r="Y298" s="21">
        <v>0.36987300000000001</v>
      </c>
      <c r="Z298" s="21">
        <v>17.337</v>
      </c>
      <c r="AA298" s="21">
        <v>-1.51001E-2</v>
      </c>
      <c r="AB298" s="21">
        <v>288</v>
      </c>
      <c r="AC298" s="21">
        <v>0.36920199999999997</v>
      </c>
      <c r="AD298">
        <f t="shared" si="52"/>
        <v>18.642098765432099</v>
      </c>
      <c r="AE298">
        <f t="shared" si="53"/>
        <v>6.8952089966666668</v>
      </c>
      <c r="AF298" s="9"/>
      <c r="AG298" s="21">
        <v>1.35025</v>
      </c>
      <c r="AH298" s="21">
        <v>21.1965</v>
      </c>
      <c r="AI298" s="21">
        <v>-1.4306599999999999E-2</v>
      </c>
      <c r="AJ298" s="21">
        <v>288</v>
      </c>
      <c r="AK298" s="21">
        <v>1.34979</v>
      </c>
      <c r="AL298">
        <f t="shared" si="54"/>
        <v>17.662469135802468</v>
      </c>
      <c r="AM298">
        <f t="shared" si="55"/>
        <v>23.848748950617281</v>
      </c>
      <c r="AP298" s="9"/>
      <c r="AQ298" s="21">
        <v>0.36987300000000001</v>
      </c>
      <c r="AR298" s="21">
        <v>26.7712</v>
      </c>
      <c r="AS298" s="21">
        <v>-1.5042099999999999E-2</v>
      </c>
      <c r="AT298" s="21">
        <v>288</v>
      </c>
      <c r="AU298" s="21">
        <v>0.36929299999999998</v>
      </c>
      <c r="AV298">
        <f t="shared" si="56"/>
        <v>18.570493827160494</v>
      </c>
      <c r="AW298">
        <f t="shared" si="57"/>
        <v>6.8687242633333332</v>
      </c>
      <c r="AX298" s="9"/>
      <c r="AY298" s="21">
        <v>1.35025</v>
      </c>
      <c r="AZ298" s="21">
        <v>30.630700000000001</v>
      </c>
      <c r="BA298" s="21">
        <v>-1.4340200000000001E-2</v>
      </c>
      <c r="BB298" s="21">
        <v>288</v>
      </c>
      <c r="BC298" s="21">
        <v>1.34979</v>
      </c>
      <c r="BD298">
        <f t="shared" si="58"/>
        <v>17.703950617283951</v>
      </c>
      <c r="BE298">
        <f t="shared" si="59"/>
        <v>23.904759320987655</v>
      </c>
    </row>
    <row r="299" spans="6:57" x14ac:dyDescent="0.25">
      <c r="F299" s="9"/>
      <c r="G299" s="21">
        <v>0.364838</v>
      </c>
      <c r="H299" s="21">
        <v>7.9328399999999997</v>
      </c>
      <c r="I299" s="21">
        <v>-1.50391E-2</v>
      </c>
      <c r="J299" s="21">
        <v>289</v>
      </c>
      <c r="K299" s="21">
        <v>0.36425800000000003</v>
      </c>
      <c r="L299">
        <f t="shared" si="48"/>
        <v>18.566790123456791</v>
      </c>
      <c r="M299">
        <f t="shared" si="49"/>
        <v>6.7738705750617285</v>
      </c>
      <c r="N299" s="9"/>
      <c r="O299" s="21">
        <v>1.34674</v>
      </c>
      <c r="P299" s="21">
        <v>15.3832</v>
      </c>
      <c r="Q299" s="21">
        <v>-1.4306599999999999E-2</v>
      </c>
      <c r="R299" s="21">
        <v>94</v>
      </c>
      <c r="S299" s="21">
        <v>1.3458300000000001</v>
      </c>
      <c r="T299">
        <f t="shared" si="50"/>
        <v>17.662469135802468</v>
      </c>
      <c r="U299">
        <f t="shared" si="51"/>
        <v>23.786753683950618</v>
      </c>
      <c r="X299" s="9"/>
      <c r="Y299" s="21">
        <v>0.364838</v>
      </c>
      <c r="Z299" s="21">
        <v>17.347100000000001</v>
      </c>
      <c r="AA299" s="21">
        <v>-1.51031E-2</v>
      </c>
      <c r="AB299" s="21">
        <v>289</v>
      </c>
      <c r="AC299" s="21">
        <v>0.364288</v>
      </c>
      <c r="AD299">
        <f t="shared" si="52"/>
        <v>18.645802469135798</v>
      </c>
      <c r="AE299">
        <f t="shared" si="53"/>
        <v>6.8026972812345665</v>
      </c>
      <c r="AF299" s="9"/>
      <c r="AG299" s="21">
        <v>1.3552900000000001</v>
      </c>
      <c r="AH299" s="21">
        <v>21.206499999999998</v>
      </c>
      <c r="AI299" s="21">
        <v>-1.4294400000000001E-2</v>
      </c>
      <c r="AJ299" s="21">
        <v>289</v>
      </c>
      <c r="AK299" s="21">
        <v>1.3543700000000001</v>
      </c>
      <c r="AL299">
        <f t="shared" si="54"/>
        <v>17.647407407407407</v>
      </c>
      <c r="AM299">
        <f t="shared" si="55"/>
        <v>23.917354785185186</v>
      </c>
      <c r="AP299" s="9"/>
      <c r="AQ299" s="21">
        <v>0.364838</v>
      </c>
      <c r="AR299" s="21">
        <v>26.781300000000002</v>
      </c>
      <c r="AS299" s="21">
        <v>-1.50513E-2</v>
      </c>
      <c r="AT299" s="21">
        <v>289</v>
      </c>
      <c r="AU299" s="21">
        <v>0.36425800000000003</v>
      </c>
      <c r="AV299">
        <f t="shared" si="56"/>
        <v>18.581851851851848</v>
      </c>
      <c r="AW299">
        <f t="shared" si="57"/>
        <v>6.7793656659259245</v>
      </c>
      <c r="AX299" s="9"/>
      <c r="AY299" s="21">
        <v>1.3552900000000001</v>
      </c>
      <c r="AZ299" s="21">
        <v>30.640799999999999</v>
      </c>
      <c r="BA299" s="21">
        <v>-1.4331099999999999E-2</v>
      </c>
      <c r="BB299" s="21">
        <v>289</v>
      </c>
      <c r="BC299" s="21">
        <v>1.35406</v>
      </c>
      <c r="BD299">
        <f t="shared" si="58"/>
        <v>17.692716049382714</v>
      </c>
      <c r="BE299">
        <f t="shared" si="59"/>
        <v>23.9787611345679</v>
      </c>
    </row>
    <row r="300" spans="6:57" x14ac:dyDescent="0.25">
      <c r="F300" s="9"/>
      <c r="G300" s="21">
        <v>0.35980200000000001</v>
      </c>
      <c r="H300" s="21">
        <v>7.9429100000000004</v>
      </c>
      <c r="I300" s="21">
        <v>-1.50391E-2</v>
      </c>
      <c r="J300" s="21">
        <v>290</v>
      </c>
      <c r="K300" s="21">
        <v>0.35916100000000001</v>
      </c>
      <c r="L300">
        <f t="shared" si="48"/>
        <v>18.566790123456791</v>
      </c>
      <c r="M300">
        <f t="shared" si="49"/>
        <v>6.6803682200000001</v>
      </c>
      <c r="N300" s="9"/>
      <c r="O300" s="21">
        <v>1.35178</v>
      </c>
      <c r="P300" s="21">
        <v>15.373100000000001</v>
      </c>
      <c r="Q300" s="21">
        <v>-1.4300500000000001E-2</v>
      </c>
      <c r="R300" s="21">
        <v>93</v>
      </c>
      <c r="S300" s="21">
        <v>1.35101</v>
      </c>
      <c r="T300">
        <f t="shared" si="50"/>
        <v>17.654938271604937</v>
      </c>
      <c r="U300">
        <f t="shared" si="51"/>
        <v>23.865592456790122</v>
      </c>
      <c r="X300" s="9"/>
      <c r="Y300" s="21">
        <v>0.35980200000000001</v>
      </c>
      <c r="Z300" s="21">
        <v>17.357099999999999</v>
      </c>
      <c r="AA300" s="21">
        <v>-1.51031E-2</v>
      </c>
      <c r="AB300" s="21">
        <v>290</v>
      </c>
      <c r="AC300" s="21">
        <v>0.359039</v>
      </c>
      <c r="AD300">
        <f t="shared" si="52"/>
        <v>18.645802469135798</v>
      </c>
      <c r="AE300">
        <f t="shared" si="53"/>
        <v>6.7087970199999987</v>
      </c>
      <c r="AF300" s="9"/>
      <c r="AG300" s="21">
        <v>1.36032</v>
      </c>
      <c r="AH300" s="21">
        <v>21.2166</v>
      </c>
      <c r="AI300" s="21">
        <v>-1.42822E-2</v>
      </c>
      <c r="AJ300" s="21">
        <v>290</v>
      </c>
      <c r="AK300" s="21">
        <v>1.3592500000000001</v>
      </c>
      <c r="AL300">
        <f t="shared" si="54"/>
        <v>17.632345679012342</v>
      </c>
      <c r="AM300">
        <f t="shared" si="55"/>
        <v>23.98563247407407</v>
      </c>
      <c r="AP300" s="9"/>
      <c r="AQ300" s="21">
        <v>0.35980200000000001</v>
      </c>
      <c r="AR300" s="21">
        <v>26.791399999999999</v>
      </c>
      <c r="AS300" s="21">
        <v>-1.50513E-2</v>
      </c>
      <c r="AT300" s="21">
        <v>290</v>
      </c>
      <c r="AU300" s="21">
        <v>0.35907</v>
      </c>
      <c r="AV300">
        <f t="shared" si="56"/>
        <v>18.581851851851848</v>
      </c>
      <c r="AW300">
        <f t="shared" si="57"/>
        <v>6.6857874599999985</v>
      </c>
      <c r="AX300" s="9"/>
      <c r="AY300" s="21">
        <v>1.36032</v>
      </c>
      <c r="AZ300" s="21">
        <v>30.6508</v>
      </c>
      <c r="BA300" s="21">
        <v>-1.43219E-2</v>
      </c>
      <c r="BB300" s="21">
        <v>290</v>
      </c>
      <c r="BC300" s="21">
        <v>1.3595600000000001</v>
      </c>
      <c r="BD300">
        <f t="shared" si="58"/>
        <v>17.68135802469136</v>
      </c>
      <c r="BE300">
        <f t="shared" si="59"/>
        <v>24.052304948148151</v>
      </c>
    </row>
    <row r="301" spans="6:57" x14ac:dyDescent="0.25">
      <c r="F301" s="9"/>
      <c r="G301" s="21">
        <v>0.354767</v>
      </c>
      <c r="H301" s="21">
        <v>7.9529800000000002</v>
      </c>
      <c r="I301" s="21">
        <v>-1.50391E-2</v>
      </c>
      <c r="J301" s="21">
        <v>291</v>
      </c>
      <c r="K301" s="21">
        <v>0.35415600000000003</v>
      </c>
      <c r="L301">
        <f t="shared" si="48"/>
        <v>18.566790123456791</v>
      </c>
      <c r="M301">
        <f t="shared" si="49"/>
        <v>6.5868844317283957</v>
      </c>
      <c r="N301" s="9"/>
      <c r="O301" s="21">
        <v>1.3568100000000001</v>
      </c>
      <c r="P301" s="21">
        <v>15.363099999999999</v>
      </c>
      <c r="Q301" s="21">
        <v>-1.4291399999999999E-2</v>
      </c>
      <c r="R301" s="21">
        <v>92</v>
      </c>
      <c r="S301" s="21">
        <v>1.3562000000000001</v>
      </c>
      <c r="T301">
        <f t="shared" si="50"/>
        <v>17.643703703703704</v>
      </c>
      <c r="U301">
        <f t="shared" si="51"/>
        <v>23.939153622222225</v>
      </c>
      <c r="X301" s="9"/>
      <c r="Y301" s="21">
        <v>0.354767</v>
      </c>
      <c r="Z301" s="21">
        <v>17.3672</v>
      </c>
      <c r="AA301" s="21">
        <v>-1.51062E-2</v>
      </c>
      <c r="AB301" s="21">
        <v>291</v>
      </c>
      <c r="AC301" s="21">
        <v>0.35415600000000003</v>
      </c>
      <c r="AD301">
        <f t="shared" si="52"/>
        <v>18.649629629629626</v>
      </c>
      <c r="AE301">
        <f t="shared" si="53"/>
        <v>6.616273154814813</v>
      </c>
      <c r="AF301" s="9"/>
      <c r="AG301" s="21">
        <v>1.3653599999999999</v>
      </c>
      <c r="AH301" s="21">
        <v>21.226700000000001</v>
      </c>
      <c r="AI301" s="21">
        <v>-1.42731E-2</v>
      </c>
      <c r="AJ301" s="21">
        <v>291</v>
      </c>
      <c r="AK301" s="21">
        <v>1.3647499999999999</v>
      </c>
      <c r="AL301">
        <f t="shared" si="54"/>
        <v>17.621111111111112</v>
      </c>
      <c r="AM301">
        <f t="shared" si="55"/>
        <v>24.059160266666666</v>
      </c>
      <c r="AP301" s="9"/>
      <c r="AQ301" s="21">
        <v>0.354767</v>
      </c>
      <c r="AR301" s="21">
        <v>26.801400000000001</v>
      </c>
      <c r="AS301" s="21">
        <v>-1.50452E-2</v>
      </c>
      <c r="AT301" s="21">
        <v>291</v>
      </c>
      <c r="AU301" s="21">
        <v>0.35418699999999997</v>
      </c>
      <c r="AV301">
        <f t="shared" si="56"/>
        <v>18.574320987654321</v>
      </c>
      <c r="AW301">
        <f t="shared" si="57"/>
        <v>6.5895561338271609</v>
      </c>
      <c r="AX301" s="9"/>
      <c r="AY301" s="21">
        <v>1.3653599999999999</v>
      </c>
      <c r="AZ301" s="21">
        <v>30.660900000000002</v>
      </c>
      <c r="BA301" s="21">
        <v>-1.4306599999999999E-2</v>
      </c>
      <c r="BB301" s="21">
        <v>291</v>
      </c>
      <c r="BC301" s="21">
        <v>1.3647499999999999</v>
      </c>
      <c r="BD301">
        <f t="shared" si="58"/>
        <v>17.662469135802468</v>
      </c>
      <c r="BE301">
        <f t="shared" si="59"/>
        <v>24.115628859259257</v>
      </c>
    </row>
    <row r="302" spans="6:57" x14ac:dyDescent="0.25">
      <c r="F302" s="9"/>
      <c r="G302" s="21">
        <v>0.34973100000000001</v>
      </c>
      <c r="H302" s="21">
        <v>7.96305</v>
      </c>
      <c r="I302" s="21">
        <v>-1.50391E-2</v>
      </c>
      <c r="J302" s="21">
        <v>292</v>
      </c>
      <c r="K302" s="21">
        <v>0.34915200000000002</v>
      </c>
      <c r="L302">
        <f t="shared" si="48"/>
        <v>18.566790123456791</v>
      </c>
      <c r="M302">
        <f t="shared" si="49"/>
        <v>6.4933820766666672</v>
      </c>
      <c r="N302" s="9"/>
      <c r="O302" s="21">
        <v>1.36185</v>
      </c>
      <c r="P302" s="21">
        <v>15.353</v>
      </c>
      <c r="Q302" s="21">
        <v>-1.4279200000000001E-2</v>
      </c>
      <c r="R302" s="21">
        <v>91</v>
      </c>
      <c r="S302" s="21">
        <v>1.3604700000000001</v>
      </c>
      <c r="T302">
        <f t="shared" si="50"/>
        <v>17.628641975308639</v>
      </c>
      <c r="U302">
        <f t="shared" si="51"/>
        <v>24.00756607407407</v>
      </c>
      <c r="X302" s="9"/>
      <c r="Y302" s="21">
        <v>0.34973100000000001</v>
      </c>
      <c r="Z302" s="21">
        <v>17.377300000000002</v>
      </c>
      <c r="AA302" s="21">
        <v>-1.51001E-2</v>
      </c>
      <c r="AB302" s="21">
        <v>292</v>
      </c>
      <c r="AC302" s="21">
        <v>0.34909099999999998</v>
      </c>
      <c r="AD302">
        <f t="shared" si="52"/>
        <v>18.642098765432099</v>
      </c>
      <c r="AE302">
        <f t="shared" si="53"/>
        <v>6.5197198433333332</v>
      </c>
      <c r="AF302" s="9"/>
      <c r="AG302" s="21">
        <v>1.37039</v>
      </c>
      <c r="AH302" s="21">
        <v>21.236699999999999</v>
      </c>
      <c r="AI302" s="21">
        <v>-1.4257799999999999E-2</v>
      </c>
      <c r="AJ302" s="21">
        <v>292</v>
      </c>
      <c r="AK302" s="21">
        <v>1.3699300000000001</v>
      </c>
      <c r="AL302">
        <f t="shared" si="54"/>
        <v>17.60222222222222</v>
      </c>
      <c r="AM302">
        <f t="shared" si="55"/>
        <v>24.121909311111107</v>
      </c>
      <c r="AP302" s="9"/>
      <c r="AQ302" s="21">
        <v>0.34973100000000001</v>
      </c>
      <c r="AR302" s="21">
        <v>26.811499999999999</v>
      </c>
      <c r="AS302" s="21">
        <v>-1.50391E-2</v>
      </c>
      <c r="AT302" s="21">
        <v>292</v>
      </c>
      <c r="AU302" s="21">
        <v>0.34905999999999998</v>
      </c>
      <c r="AV302">
        <f t="shared" si="56"/>
        <v>18.566790123456791</v>
      </c>
      <c r="AW302">
        <f t="shared" si="57"/>
        <v>6.4933820766666672</v>
      </c>
      <c r="AX302" s="9"/>
      <c r="AY302" s="21">
        <v>1.37039</v>
      </c>
      <c r="AZ302" s="21">
        <v>30.670999999999999</v>
      </c>
      <c r="BA302" s="21">
        <v>-1.4297499999999999E-2</v>
      </c>
      <c r="BB302" s="21">
        <v>292</v>
      </c>
      <c r="BC302" s="21">
        <v>1.3699300000000001</v>
      </c>
      <c r="BD302">
        <f t="shared" si="58"/>
        <v>17.651234567901231</v>
      </c>
      <c r="BE302">
        <f t="shared" si="59"/>
        <v>24.189075339506168</v>
      </c>
    </row>
    <row r="303" spans="6:57" x14ac:dyDescent="0.25">
      <c r="F303" s="9"/>
      <c r="G303" s="21">
        <v>0.344696</v>
      </c>
      <c r="H303" s="21">
        <v>7.9731199999999998</v>
      </c>
      <c r="I303" s="21">
        <v>-1.5032999999999999E-2</v>
      </c>
      <c r="J303" s="21">
        <v>293</v>
      </c>
      <c r="K303" s="21">
        <v>0.344055</v>
      </c>
      <c r="L303">
        <f t="shared" si="48"/>
        <v>18.559259259259257</v>
      </c>
      <c r="M303">
        <f t="shared" si="49"/>
        <v>6.3973024296296286</v>
      </c>
      <c r="N303" s="9"/>
      <c r="O303" s="21">
        <v>1.3668800000000001</v>
      </c>
      <c r="P303" s="21">
        <v>15.3429</v>
      </c>
      <c r="Q303" s="21">
        <v>-1.42731E-2</v>
      </c>
      <c r="R303" s="21">
        <v>90</v>
      </c>
      <c r="S303" s="21">
        <v>1.3662700000000001</v>
      </c>
      <c r="T303">
        <f t="shared" si="50"/>
        <v>17.621111111111112</v>
      </c>
      <c r="U303">
        <f t="shared" si="51"/>
        <v>24.085944355555558</v>
      </c>
      <c r="X303" s="9"/>
      <c r="Y303" s="21">
        <v>0.344696</v>
      </c>
      <c r="Z303" s="21">
        <v>17.3873</v>
      </c>
      <c r="AA303" s="21">
        <v>-1.5090900000000001E-2</v>
      </c>
      <c r="AB303" s="21">
        <v>293</v>
      </c>
      <c r="AC303" s="21">
        <v>0.34402500000000003</v>
      </c>
      <c r="AD303">
        <f t="shared" si="52"/>
        <v>18.630740740740741</v>
      </c>
      <c r="AE303">
        <f t="shared" si="53"/>
        <v>6.4219418103703703</v>
      </c>
      <c r="AF303" s="9"/>
      <c r="AG303" s="21">
        <v>1.3754299999999999</v>
      </c>
      <c r="AH303" s="21">
        <v>21.2468</v>
      </c>
      <c r="AI303" s="21">
        <v>-1.4245600000000001E-2</v>
      </c>
      <c r="AJ303" s="21">
        <v>293</v>
      </c>
      <c r="AK303" s="21">
        <v>1.3748199999999999</v>
      </c>
      <c r="AL303">
        <f t="shared" si="54"/>
        <v>17.58716049382716</v>
      </c>
      <c r="AM303">
        <f t="shared" si="55"/>
        <v>24.189908158024689</v>
      </c>
      <c r="AP303" s="9"/>
      <c r="AQ303" s="21">
        <v>0.344696</v>
      </c>
      <c r="AR303" s="21">
        <v>26.8216</v>
      </c>
      <c r="AS303" s="21">
        <v>-1.5032999999999999E-2</v>
      </c>
      <c r="AT303" s="21">
        <v>293</v>
      </c>
      <c r="AU303" s="21">
        <v>0.34411599999999998</v>
      </c>
      <c r="AV303">
        <f t="shared" si="56"/>
        <v>18.559259259259257</v>
      </c>
      <c r="AW303">
        <f t="shared" si="57"/>
        <v>6.3973024296296286</v>
      </c>
      <c r="AX303" s="9"/>
      <c r="AY303" s="21">
        <v>1.3754299999999999</v>
      </c>
      <c r="AZ303" s="21">
        <v>30.681000000000001</v>
      </c>
      <c r="BA303" s="21">
        <v>-1.4291399999999999E-2</v>
      </c>
      <c r="BB303" s="21">
        <v>293</v>
      </c>
      <c r="BC303" s="21">
        <v>1.3742099999999999</v>
      </c>
      <c r="BD303">
        <f t="shared" si="58"/>
        <v>17.643703703703704</v>
      </c>
      <c r="BE303">
        <f t="shared" si="59"/>
        <v>24.267679385185183</v>
      </c>
    </row>
    <row r="304" spans="6:57" x14ac:dyDescent="0.25">
      <c r="F304" s="9"/>
      <c r="G304" s="21">
        <v>0.33966099999999999</v>
      </c>
      <c r="H304" s="21">
        <v>7.9831899999999996</v>
      </c>
      <c r="I304" s="21">
        <v>-1.50238E-2</v>
      </c>
      <c r="J304" s="21">
        <v>294</v>
      </c>
      <c r="K304" s="21">
        <v>0.33901999999999999</v>
      </c>
      <c r="L304">
        <f t="shared" si="48"/>
        <v>18.547901234567902</v>
      </c>
      <c r="M304">
        <f t="shared" si="49"/>
        <v>6.2999986812345679</v>
      </c>
      <c r="N304" s="9"/>
      <c r="O304" s="21">
        <v>1.37192</v>
      </c>
      <c r="P304" s="21">
        <v>15.3329</v>
      </c>
      <c r="Q304" s="21">
        <v>-1.4267E-2</v>
      </c>
      <c r="R304" s="21">
        <v>89</v>
      </c>
      <c r="S304" s="21">
        <v>1.3714599999999999</v>
      </c>
      <c r="T304">
        <f t="shared" si="50"/>
        <v>17.613580246913582</v>
      </c>
      <c r="U304">
        <f t="shared" si="51"/>
        <v>24.164423012345683</v>
      </c>
      <c r="X304" s="9"/>
      <c r="Y304" s="21">
        <v>0.33966099999999999</v>
      </c>
      <c r="Z304" s="21">
        <v>17.397400000000001</v>
      </c>
      <c r="AA304" s="21">
        <v>-1.5069600000000001E-2</v>
      </c>
      <c r="AB304" s="21">
        <v>294</v>
      </c>
      <c r="AC304" s="21">
        <v>0.33908100000000002</v>
      </c>
      <c r="AD304">
        <f t="shared" si="52"/>
        <v>18.604444444444443</v>
      </c>
      <c r="AE304">
        <f t="shared" si="53"/>
        <v>6.3192042044444436</v>
      </c>
      <c r="AF304" s="9"/>
      <c r="AG304" s="21">
        <v>1.38046</v>
      </c>
      <c r="AH304" s="21">
        <v>21.256900000000002</v>
      </c>
      <c r="AI304" s="21">
        <v>-1.42303E-2</v>
      </c>
      <c r="AJ304" s="21">
        <v>294</v>
      </c>
      <c r="AK304" s="21">
        <v>1.3793899999999999</v>
      </c>
      <c r="AL304">
        <f t="shared" si="54"/>
        <v>17.568271604938271</v>
      </c>
      <c r="AM304">
        <f t="shared" si="55"/>
        <v>24.252296219753088</v>
      </c>
      <c r="AP304" s="9"/>
      <c r="AQ304" s="21">
        <v>0.33966099999999999</v>
      </c>
      <c r="AR304" s="21">
        <v>26.831600000000002</v>
      </c>
      <c r="AS304" s="21">
        <v>-1.50238E-2</v>
      </c>
      <c r="AT304" s="21">
        <v>294</v>
      </c>
      <c r="AU304" s="21">
        <v>0.33901999999999999</v>
      </c>
      <c r="AV304">
        <f t="shared" si="56"/>
        <v>18.547901234567902</v>
      </c>
      <c r="AW304">
        <f t="shared" si="57"/>
        <v>6.2999986812345679</v>
      </c>
      <c r="AX304" s="9"/>
      <c r="AY304" s="21">
        <v>1.38046</v>
      </c>
      <c r="AZ304" s="21">
        <v>30.691099999999999</v>
      </c>
      <c r="BA304" s="21">
        <v>-1.42822E-2</v>
      </c>
      <c r="BB304" s="21">
        <v>294</v>
      </c>
      <c r="BC304" s="21">
        <v>1.3796999999999999</v>
      </c>
      <c r="BD304">
        <f t="shared" si="58"/>
        <v>17.632345679012342</v>
      </c>
      <c r="BE304">
        <f t="shared" si="59"/>
        <v>24.340747916049377</v>
      </c>
    </row>
    <row r="305" spans="6:57" x14ac:dyDescent="0.25">
      <c r="F305" s="9"/>
      <c r="G305" s="21">
        <v>0.33462500000000001</v>
      </c>
      <c r="H305" s="21">
        <v>7.9932600000000003</v>
      </c>
      <c r="I305" s="21">
        <v>-1.50177E-2</v>
      </c>
      <c r="J305" s="21">
        <v>295</v>
      </c>
      <c r="K305" s="21">
        <v>0.333984</v>
      </c>
      <c r="L305">
        <f t="shared" si="48"/>
        <v>18.540370370370372</v>
      </c>
      <c r="M305">
        <f t="shared" si="49"/>
        <v>6.2040714351851856</v>
      </c>
      <c r="N305" s="9"/>
      <c r="O305" s="21">
        <v>1.3769499999999999</v>
      </c>
      <c r="P305" s="21">
        <v>15.322800000000001</v>
      </c>
      <c r="Q305" s="21">
        <v>-1.42548E-2</v>
      </c>
      <c r="R305" s="21">
        <v>88</v>
      </c>
      <c r="S305" s="21">
        <v>1.3763399999999999</v>
      </c>
      <c r="T305">
        <f t="shared" si="50"/>
        <v>17.598518518518517</v>
      </c>
      <c r="U305">
        <f t="shared" si="51"/>
        <v>24.232280074074069</v>
      </c>
      <c r="X305" s="9"/>
      <c r="Y305" s="21">
        <v>0.33462500000000001</v>
      </c>
      <c r="Z305" s="21">
        <v>17.407499999999999</v>
      </c>
      <c r="AA305" s="21">
        <v>-1.5063500000000001E-2</v>
      </c>
      <c r="AB305" s="21">
        <v>295</v>
      </c>
      <c r="AC305" s="21">
        <v>0.33404499999999998</v>
      </c>
      <c r="AD305">
        <f t="shared" si="52"/>
        <v>18.596913580246913</v>
      </c>
      <c r="AE305">
        <f t="shared" si="53"/>
        <v>6.2229922067901233</v>
      </c>
      <c r="AF305" s="9"/>
      <c r="AG305" s="21">
        <v>1.3855</v>
      </c>
      <c r="AH305" s="21">
        <v>21.266999999999999</v>
      </c>
      <c r="AI305" s="21">
        <v>-1.42151E-2</v>
      </c>
      <c r="AJ305" s="21">
        <v>295</v>
      </c>
      <c r="AK305" s="21">
        <v>1.38428</v>
      </c>
      <c r="AL305">
        <f t="shared" si="54"/>
        <v>17.549506172839507</v>
      </c>
      <c r="AM305">
        <f t="shared" si="55"/>
        <v>24.314840802469135</v>
      </c>
      <c r="AP305" s="9"/>
      <c r="AQ305" s="21">
        <v>0.33462500000000001</v>
      </c>
      <c r="AR305" s="21">
        <v>26.841699999999999</v>
      </c>
      <c r="AS305" s="21">
        <v>-1.5014599999999999E-2</v>
      </c>
      <c r="AT305" s="21">
        <v>295</v>
      </c>
      <c r="AU305" s="21">
        <v>0.33413700000000002</v>
      </c>
      <c r="AV305">
        <f t="shared" si="56"/>
        <v>18.536543209876541</v>
      </c>
      <c r="AW305">
        <f t="shared" si="57"/>
        <v>6.2027907716049375</v>
      </c>
      <c r="AX305" s="9"/>
      <c r="AY305" s="21">
        <v>1.3855</v>
      </c>
      <c r="AZ305" s="21">
        <v>30.7012</v>
      </c>
      <c r="BA305" s="21">
        <v>-1.4267E-2</v>
      </c>
      <c r="BB305" s="21">
        <v>295</v>
      </c>
      <c r="BC305" s="21">
        <v>1.3851899999999999</v>
      </c>
      <c r="BD305">
        <f t="shared" si="58"/>
        <v>17.613580246913582</v>
      </c>
      <c r="BE305">
        <f t="shared" si="59"/>
        <v>24.403615432098768</v>
      </c>
    </row>
    <row r="306" spans="6:57" x14ac:dyDescent="0.25">
      <c r="F306" s="9"/>
      <c r="G306" s="21">
        <v>0.32958999999999999</v>
      </c>
      <c r="H306" s="21">
        <v>8.0033300000000001</v>
      </c>
      <c r="I306" s="21">
        <v>-1.5014599999999999E-2</v>
      </c>
      <c r="J306" s="21">
        <v>296</v>
      </c>
      <c r="K306" s="21">
        <v>0.32897900000000002</v>
      </c>
      <c r="L306">
        <f t="shared" si="48"/>
        <v>18.536543209876541</v>
      </c>
      <c r="M306">
        <f t="shared" si="49"/>
        <v>6.109459276543209</v>
      </c>
      <c r="N306" s="9"/>
      <c r="O306" s="21">
        <v>1.3819900000000001</v>
      </c>
      <c r="P306" s="21">
        <v>15.3127</v>
      </c>
      <c r="Q306" s="21">
        <v>-1.42395E-2</v>
      </c>
      <c r="R306" s="21">
        <v>87</v>
      </c>
      <c r="S306" s="21">
        <v>1.38123</v>
      </c>
      <c r="T306">
        <f t="shared" si="50"/>
        <v>17.579629629629629</v>
      </c>
      <c r="U306">
        <f t="shared" si="51"/>
        <v>24.294872351851851</v>
      </c>
      <c r="X306" s="9"/>
      <c r="Y306" s="21">
        <v>0.32958999999999999</v>
      </c>
      <c r="Z306" s="21">
        <v>17.4175</v>
      </c>
      <c r="AA306" s="21">
        <v>-1.5063500000000001E-2</v>
      </c>
      <c r="AB306" s="21">
        <v>296</v>
      </c>
      <c r="AC306" s="21">
        <v>0.329071</v>
      </c>
      <c r="AD306">
        <f t="shared" si="52"/>
        <v>18.596913580246913</v>
      </c>
      <c r="AE306">
        <f t="shared" si="53"/>
        <v>6.1293567469135795</v>
      </c>
      <c r="AF306" s="9"/>
      <c r="AG306" s="21">
        <v>1.39053</v>
      </c>
      <c r="AH306" s="21">
        <v>21.277000000000001</v>
      </c>
      <c r="AI306" s="21">
        <v>-1.4202899999999999E-2</v>
      </c>
      <c r="AJ306" s="21">
        <v>296</v>
      </c>
      <c r="AK306" s="21">
        <v>1.3897699999999999</v>
      </c>
      <c r="AL306">
        <f t="shared" si="54"/>
        <v>17.534444444444443</v>
      </c>
      <c r="AM306">
        <f t="shared" si="55"/>
        <v>24.382171033333332</v>
      </c>
      <c r="AP306" s="9"/>
      <c r="AQ306" s="21">
        <v>0.32958999999999999</v>
      </c>
      <c r="AR306" s="21">
        <v>26.851800000000001</v>
      </c>
      <c r="AS306" s="21">
        <v>-1.5020800000000001E-2</v>
      </c>
      <c r="AT306" s="21">
        <v>296</v>
      </c>
      <c r="AU306" s="21">
        <v>0.32897900000000002</v>
      </c>
      <c r="AV306">
        <f t="shared" si="56"/>
        <v>18.544197530864199</v>
      </c>
      <c r="AW306">
        <f t="shared" si="57"/>
        <v>6.1119820641975311</v>
      </c>
      <c r="AX306" s="9"/>
      <c r="AY306" s="21">
        <v>1.39053</v>
      </c>
      <c r="AZ306" s="21">
        <v>30.711300000000001</v>
      </c>
      <c r="BA306" s="21">
        <v>-1.4251700000000001E-2</v>
      </c>
      <c r="BB306" s="21">
        <v>296</v>
      </c>
      <c r="BC306" s="21">
        <v>1.38947</v>
      </c>
      <c r="BD306">
        <f t="shared" si="58"/>
        <v>17.594691358024694</v>
      </c>
      <c r="BE306">
        <f t="shared" si="59"/>
        <v>24.465946174074077</v>
      </c>
    </row>
    <row r="307" spans="6:57" x14ac:dyDescent="0.25">
      <c r="F307" s="9"/>
      <c r="G307" s="21">
        <v>0.32455400000000001</v>
      </c>
      <c r="H307" s="21">
        <v>8.0134100000000004</v>
      </c>
      <c r="I307" s="21">
        <v>-1.5020800000000001E-2</v>
      </c>
      <c r="J307" s="21">
        <v>297</v>
      </c>
      <c r="K307" s="21">
        <v>0.32394400000000001</v>
      </c>
      <c r="L307">
        <f t="shared" si="48"/>
        <v>18.544197530864199</v>
      </c>
      <c r="M307">
        <f t="shared" si="49"/>
        <v>6.0185934854320999</v>
      </c>
      <c r="N307" s="9"/>
      <c r="O307" s="21">
        <v>1.3870199999999999</v>
      </c>
      <c r="P307" s="21">
        <v>15.3026</v>
      </c>
      <c r="Q307" s="21">
        <v>-1.42273E-2</v>
      </c>
      <c r="R307" s="21">
        <v>86</v>
      </c>
      <c r="S307" s="21">
        <v>1.38611</v>
      </c>
      <c r="T307">
        <f t="shared" si="50"/>
        <v>17.564567901234565</v>
      </c>
      <c r="U307">
        <f t="shared" si="51"/>
        <v>24.362406970370365</v>
      </c>
      <c r="X307" s="9"/>
      <c r="Y307" s="21">
        <v>0.32455400000000001</v>
      </c>
      <c r="Z307" s="21">
        <v>17.427600000000002</v>
      </c>
      <c r="AA307" s="21">
        <v>-1.5063500000000001E-2</v>
      </c>
      <c r="AB307" s="21">
        <v>297</v>
      </c>
      <c r="AC307" s="21">
        <v>0.32391399999999998</v>
      </c>
      <c r="AD307">
        <f t="shared" si="52"/>
        <v>18.596913580246913</v>
      </c>
      <c r="AE307">
        <f t="shared" si="53"/>
        <v>6.0357026901234567</v>
      </c>
      <c r="AF307" s="9"/>
      <c r="AG307" s="21">
        <v>1.39557</v>
      </c>
      <c r="AH307" s="21">
        <v>21.287099999999999</v>
      </c>
      <c r="AI307" s="21">
        <v>-1.41937E-2</v>
      </c>
      <c r="AJ307" s="21">
        <v>297</v>
      </c>
      <c r="AK307" s="21">
        <v>1.3946499999999999</v>
      </c>
      <c r="AL307">
        <f t="shared" si="54"/>
        <v>17.523086419753085</v>
      </c>
      <c r="AM307">
        <f t="shared" si="55"/>
        <v>24.454693714814812</v>
      </c>
      <c r="AP307" s="9"/>
      <c r="AQ307" s="21">
        <v>0.32455400000000001</v>
      </c>
      <c r="AR307" s="21">
        <v>26.861899999999999</v>
      </c>
      <c r="AS307" s="21">
        <v>-1.5036000000000001E-2</v>
      </c>
      <c r="AT307" s="21">
        <v>297</v>
      </c>
      <c r="AU307" s="21">
        <v>0.32394400000000001</v>
      </c>
      <c r="AV307">
        <f t="shared" si="56"/>
        <v>18.562962962962963</v>
      </c>
      <c r="AW307">
        <f t="shared" si="57"/>
        <v>6.024683881481482</v>
      </c>
      <c r="AX307" s="9"/>
      <c r="AY307" s="21">
        <v>1.39557</v>
      </c>
      <c r="AZ307" s="21">
        <v>30.721299999999999</v>
      </c>
      <c r="BA307" s="21">
        <v>-1.4236499999999999E-2</v>
      </c>
      <c r="BB307" s="21">
        <v>297</v>
      </c>
      <c r="BC307" s="21">
        <v>1.3946499999999999</v>
      </c>
      <c r="BD307">
        <f t="shared" si="58"/>
        <v>17.575925925925926</v>
      </c>
      <c r="BE307">
        <f t="shared" si="59"/>
        <v>24.528434944444445</v>
      </c>
    </row>
    <row r="308" spans="6:57" x14ac:dyDescent="0.25">
      <c r="F308" s="9"/>
      <c r="G308" s="21">
        <v>0.319519</v>
      </c>
      <c r="H308" s="21">
        <v>8.0234799999999993</v>
      </c>
      <c r="I308" s="21">
        <v>-1.5014599999999999E-2</v>
      </c>
      <c r="J308" s="21">
        <v>298</v>
      </c>
      <c r="K308" s="21">
        <v>0.31887799999999999</v>
      </c>
      <c r="L308">
        <f t="shared" si="48"/>
        <v>18.536543209876541</v>
      </c>
      <c r="M308">
        <f t="shared" si="49"/>
        <v>5.9227777498765422</v>
      </c>
      <c r="N308" s="9"/>
      <c r="O308" s="21">
        <v>1.3920600000000001</v>
      </c>
      <c r="P308" s="21">
        <v>15.2926</v>
      </c>
      <c r="Q308" s="21">
        <v>-1.42151E-2</v>
      </c>
      <c r="R308" s="21">
        <v>85</v>
      </c>
      <c r="S308" s="21">
        <v>1.3909899999999999</v>
      </c>
      <c r="T308">
        <f t="shared" si="50"/>
        <v>17.549506172839507</v>
      </c>
      <c r="U308">
        <f t="shared" si="51"/>
        <v>24.429965562962966</v>
      </c>
      <c r="X308" s="9"/>
      <c r="Y308" s="21">
        <v>0.319519</v>
      </c>
      <c r="Z308" s="21">
        <v>17.4377</v>
      </c>
      <c r="AA308" s="21">
        <v>-1.5069600000000001E-2</v>
      </c>
      <c r="AB308" s="21">
        <v>298</v>
      </c>
      <c r="AC308" s="21">
        <v>0.31893899999999997</v>
      </c>
      <c r="AD308">
        <f t="shared" si="52"/>
        <v>18.604444444444443</v>
      </c>
      <c r="AE308">
        <f t="shared" si="53"/>
        <v>5.944473484444444</v>
      </c>
      <c r="AF308" s="9"/>
      <c r="AG308" s="21">
        <v>1.4006000000000001</v>
      </c>
      <c r="AH308" s="21">
        <v>21.2972</v>
      </c>
      <c r="AI308" s="21">
        <v>-1.41815E-2</v>
      </c>
      <c r="AJ308" s="21">
        <v>298</v>
      </c>
      <c r="AK308" s="21">
        <v>1.40015</v>
      </c>
      <c r="AL308">
        <f t="shared" si="54"/>
        <v>17.508024691358024</v>
      </c>
      <c r="AM308">
        <f t="shared" si="55"/>
        <v>24.521739382716049</v>
      </c>
      <c r="AP308" s="9"/>
      <c r="AQ308" s="21">
        <v>0.319519</v>
      </c>
      <c r="AR308" s="21">
        <v>26.8719</v>
      </c>
      <c r="AS308" s="21">
        <v>-1.5042099999999999E-2</v>
      </c>
      <c r="AT308" s="21">
        <v>298</v>
      </c>
      <c r="AU308" s="21">
        <v>0.31881700000000002</v>
      </c>
      <c r="AV308">
        <f t="shared" si="56"/>
        <v>18.570493827160494</v>
      </c>
      <c r="AW308">
        <f t="shared" si="57"/>
        <v>5.9336256171604935</v>
      </c>
      <c r="AX308" s="9"/>
      <c r="AY308" s="21">
        <v>1.4006000000000001</v>
      </c>
      <c r="AZ308" s="21">
        <v>30.731400000000001</v>
      </c>
      <c r="BA308" s="21">
        <v>-1.4218099999999999E-2</v>
      </c>
      <c r="BB308" s="21">
        <v>298</v>
      </c>
      <c r="BC308" s="21">
        <v>1.40015</v>
      </c>
      <c r="BD308">
        <f t="shared" si="58"/>
        <v>17.553209876543207</v>
      </c>
      <c r="BE308">
        <f t="shared" si="59"/>
        <v>24.585025753086416</v>
      </c>
    </row>
    <row r="309" spans="6:57" x14ac:dyDescent="0.25">
      <c r="F309" s="9"/>
      <c r="G309" s="21">
        <v>0.31448399999999999</v>
      </c>
      <c r="H309" s="21">
        <v>8.03355</v>
      </c>
      <c r="I309" s="21">
        <v>-1.50116E-2</v>
      </c>
      <c r="J309" s="21">
        <v>299</v>
      </c>
      <c r="K309" s="21">
        <v>0.31402600000000003</v>
      </c>
      <c r="L309">
        <f t="shared" si="48"/>
        <v>18.532839506172838</v>
      </c>
      <c r="M309">
        <f t="shared" si="49"/>
        <v>5.8282814992592584</v>
      </c>
      <c r="N309" s="9"/>
      <c r="O309" s="21">
        <v>1.3970899999999999</v>
      </c>
      <c r="P309" s="21">
        <v>15.282500000000001</v>
      </c>
      <c r="Q309" s="21">
        <v>-1.4202899999999999E-2</v>
      </c>
      <c r="R309" s="21">
        <v>84</v>
      </c>
      <c r="S309" s="21">
        <v>1.3964799999999999</v>
      </c>
      <c r="T309">
        <f t="shared" si="50"/>
        <v>17.534444444444443</v>
      </c>
      <c r="U309">
        <f t="shared" si="51"/>
        <v>24.497196988888884</v>
      </c>
      <c r="X309" s="9"/>
      <c r="Y309" s="21">
        <v>0.31448399999999999</v>
      </c>
      <c r="Z309" s="21">
        <v>17.447800000000001</v>
      </c>
      <c r="AA309" s="21">
        <v>-1.50787E-2</v>
      </c>
      <c r="AB309" s="21">
        <v>299</v>
      </c>
      <c r="AC309" s="21">
        <v>0.31381199999999998</v>
      </c>
      <c r="AD309">
        <f t="shared" si="52"/>
        <v>18.61567901234568</v>
      </c>
      <c r="AE309">
        <f t="shared" si="53"/>
        <v>5.8543331985185185</v>
      </c>
      <c r="AF309" s="9"/>
      <c r="AG309" s="21">
        <v>1.40564</v>
      </c>
      <c r="AH309" s="21">
        <v>21.307200000000002</v>
      </c>
      <c r="AI309" s="21">
        <v>-1.4175399999999999E-2</v>
      </c>
      <c r="AJ309" s="21">
        <v>299</v>
      </c>
      <c r="AK309" s="21">
        <v>1.40503</v>
      </c>
      <c r="AL309">
        <f t="shared" si="54"/>
        <v>17.500493827160494</v>
      </c>
      <c r="AM309">
        <f t="shared" si="55"/>
        <v>24.599394143209874</v>
      </c>
      <c r="AP309" s="9"/>
      <c r="AQ309" s="21">
        <v>0.31448399999999999</v>
      </c>
      <c r="AR309" s="21">
        <v>26.882000000000001</v>
      </c>
      <c r="AS309" s="21">
        <v>-1.50513E-2</v>
      </c>
      <c r="AT309" s="21">
        <v>299</v>
      </c>
      <c r="AU309" s="21">
        <v>0.31387300000000001</v>
      </c>
      <c r="AV309">
        <f t="shared" si="56"/>
        <v>18.581851851851848</v>
      </c>
      <c r="AW309">
        <f t="shared" si="57"/>
        <v>5.8436950977777764</v>
      </c>
      <c r="AX309" s="9"/>
      <c r="AY309" s="21">
        <v>1.40564</v>
      </c>
      <c r="AZ309" s="21">
        <v>30.741499999999998</v>
      </c>
      <c r="BA309" s="21">
        <v>-1.4202899999999999E-2</v>
      </c>
      <c r="BB309" s="21">
        <v>299</v>
      </c>
      <c r="BC309" s="21">
        <v>1.40533</v>
      </c>
      <c r="BD309">
        <f t="shared" si="58"/>
        <v>17.534444444444443</v>
      </c>
      <c r="BE309">
        <f t="shared" si="59"/>
        <v>24.647116488888887</v>
      </c>
    </row>
    <row r="310" spans="6:57" x14ac:dyDescent="0.25">
      <c r="F310" s="9"/>
      <c r="G310" s="21">
        <v>0.309448</v>
      </c>
      <c r="H310" s="21">
        <v>8.0436200000000007</v>
      </c>
      <c r="I310" s="21">
        <v>-1.50055E-2</v>
      </c>
      <c r="J310" s="21">
        <v>300</v>
      </c>
      <c r="K310" s="21">
        <v>0.30886799999999998</v>
      </c>
      <c r="L310">
        <f t="shared" si="48"/>
        <v>18.525308641975307</v>
      </c>
      <c r="M310">
        <f t="shared" si="49"/>
        <v>5.732619708641975</v>
      </c>
      <c r="N310" s="9"/>
      <c r="O310" s="21">
        <v>1.4021300000000001</v>
      </c>
      <c r="P310" s="21">
        <v>15.272399999999999</v>
      </c>
      <c r="Q310" s="21">
        <v>-1.41876E-2</v>
      </c>
      <c r="R310" s="21">
        <v>83</v>
      </c>
      <c r="S310" s="21">
        <v>1.40167</v>
      </c>
      <c r="T310">
        <f t="shared" si="50"/>
        <v>17.515555555555554</v>
      </c>
      <c r="U310">
        <f t="shared" si="51"/>
        <v>24.559085911111111</v>
      </c>
      <c r="X310" s="9"/>
      <c r="Y310" s="21">
        <v>0.309448</v>
      </c>
      <c r="Z310" s="21">
        <v>17.457799999999999</v>
      </c>
      <c r="AA310" s="21">
        <v>-1.5084800000000001E-2</v>
      </c>
      <c r="AB310" s="21">
        <v>300</v>
      </c>
      <c r="AC310" s="21">
        <v>0.30889899999999998</v>
      </c>
      <c r="AD310">
        <f t="shared" si="52"/>
        <v>18.623209876543207</v>
      </c>
      <c r="AE310">
        <f t="shared" si="53"/>
        <v>5.7629150498765425</v>
      </c>
      <c r="AF310" s="9"/>
      <c r="AG310" s="21">
        <v>1.4106799999999999</v>
      </c>
      <c r="AH310" s="21">
        <v>21.317299999999999</v>
      </c>
      <c r="AI310" s="21">
        <v>-1.41663E-2</v>
      </c>
      <c r="AJ310" s="21">
        <v>300</v>
      </c>
      <c r="AK310" s="21">
        <v>1.40961</v>
      </c>
      <c r="AL310">
        <f t="shared" si="54"/>
        <v>17.489259259259256</v>
      </c>
      <c r="AM310">
        <f t="shared" si="55"/>
        <v>24.671748251851845</v>
      </c>
      <c r="AP310" s="9"/>
      <c r="AQ310" s="21">
        <v>0.309448</v>
      </c>
      <c r="AR310" s="21">
        <v>26.892099999999999</v>
      </c>
      <c r="AS310" s="21">
        <v>-1.5069600000000001E-2</v>
      </c>
      <c r="AT310" s="21">
        <v>300</v>
      </c>
      <c r="AU310" s="21">
        <v>0.30865500000000001</v>
      </c>
      <c r="AV310">
        <f t="shared" si="56"/>
        <v>18.604444444444443</v>
      </c>
      <c r="AW310">
        <f t="shared" si="57"/>
        <v>5.7571081244444438</v>
      </c>
      <c r="AX310" s="9"/>
      <c r="AY310" s="21">
        <v>1.4106799999999999</v>
      </c>
      <c r="AZ310" s="21">
        <v>30.7515</v>
      </c>
      <c r="BA310" s="21">
        <v>-1.4190700000000001E-2</v>
      </c>
      <c r="BB310" s="21">
        <v>300</v>
      </c>
      <c r="BC310" s="21">
        <v>1.40991</v>
      </c>
      <c r="BD310">
        <f t="shared" si="58"/>
        <v>17.519382716049382</v>
      </c>
      <c r="BE310">
        <f t="shared" si="59"/>
        <v>24.714242809876541</v>
      </c>
    </row>
    <row r="311" spans="6:57" x14ac:dyDescent="0.25">
      <c r="F311" s="9"/>
      <c r="G311" s="21">
        <v>0.30441299999999999</v>
      </c>
      <c r="H311" s="21">
        <v>8.0536899999999996</v>
      </c>
      <c r="I311" s="21">
        <v>-1.50055E-2</v>
      </c>
      <c r="J311" s="21">
        <v>301</v>
      </c>
      <c r="K311" s="21">
        <v>0.30380200000000002</v>
      </c>
      <c r="L311">
        <f t="shared" si="48"/>
        <v>18.525308641975307</v>
      </c>
      <c r="M311">
        <f t="shared" si="49"/>
        <v>5.6393447796296288</v>
      </c>
      <c r="N311" s="9"/>
      <c r="O311" s="21">
        <v>1.40717</v>
      </c>
      <c r="P311" s="21">
        <v>15.2624</v>
      </c>
      <c r="Q311" s="21">
        <v>-1.41815E-2</v>
      </c>
      <c r="R311" s="21">
        <v>82</v>
      </c>
      <c r="S311" s="21">
        <v>1.40656</v>
      </c>
      <c r="T311">
        <f t="shared" si="50"/>
        <v>17.508024691358024</v>
      </c>
      <c r="U311">
        <f t="shared" si="51"/>
        <v>24.636767104938272</v>
      </c>
      <c r="X311" s="9"/>
      <c r="Y311" s="21">
        <v>0.30441299999999999</v>
      </c>
      <c r="Z311" s="21">
        <v>17.4679</v>
      </c>
      <c r="AA311" s="21">
        <v>-1.5090900000000001E-2</v>
      </c>
      <c r="AB311" s="21">
        <v>301</v>
      </c>
      <c r="AC311" s="21">
        <v>0.30377199999999999</v>
      </c>
      <c r="AD311">
        <f t="shared" si="52"/>
        <v>18.630740740740741</v>
      </c>
      <c r="AE311">
        <f t="shared" si="53"/>
        <v>5.671439681111111</v>
      </c>
      <c r="AF311" s="9"/>
      <c r="AG311" s="21">
        <v>1.41571</v>
      </c>
      <c r="AH311" s="21">
        <v>21.327400000000001</v>
      </c>
      <c r="AI311" s="21">
        <v>-1.4154099999999999E-2</v>
      </c>
      <c r="AJ311" s="21">
        <v>301</v>
      </c>
      <c r="AK311" s="21">
        <v>1.4151</v>
      </c>
      <c r="AL311">
        <f t="shared" si="54"/>
        <v>17.474197530864195</v>
      </c>
      <c r="AM311">
        <f t="shared" si="55"/>
        <v>24.738396186419752</v>
      </c>
      <c r="AP311" s="9"/>
      <c r="AQ311" s="21">
        <v>0.30441299999999999</v>
      </c>
      <c r="AR311" s="21">
        <v>26.902100000000001</v>
      </c>
      <c r="AS311" s="21">
        <v>-1.5081799999999999E-2</v>
      </c>
      <c r="AT311" s="21">
        <v>301</v>
      </c>
      <c r="AU311" s="21">
        <v>0.30377199999999999</v>
      </c>
      <c r="AV311">
        <f t="shared" si="56"/>
        <v>18.619506172839504</v>
      </c>
      <c r="AW311">
        <f t="shared" si="57"/>
        <v>5.6680197325925921</v>
      </c>
      <c r="AX311" s="9"/>
      <c r="AY311" s="21">
        <v>1.41571</v>
      </c>
      <c r="AZ311" s="21">
        <v>30.761600000000001</v>
      </c>
      <c r="BA311" s="21">
        <v>-1.4175399999999999E-2</v>
      </c>
      <c r="BB311" s="21">
        <v>301</v>
      </c>
      <c r="BC311" s="21">
        <v>1.41449</v>
      </c>
      <c r="BD311">
        <f t="shared" si="58"/>
        <v>17.500493827160494</v>
      </c>
      <c r="BE311">
        <f t="shared" si="59"/>
        <v>24.775624116049382</v>
      </c>
    </row>
    <row r="312" spans="6:57" x14ac:dyDescent="0.25">
      <c r="F312" s="9"/>
      <c r="G312" s="21">
        <v>0.299377</v>
      </c>
      <c r="H312" s="21">
        <v>8.0637600000000003</v>
      </c>
      <c r="I312" s="21">
        <v>-1.50116E-2</v>
      </c>
      <c r="J312" s="21">
        <v>302</v>
      </c>
      <c r="K312" s="21">
        <v>0.29873699999999997</v>
      </c>
      <c r="L312">
        <f t="shared" si="48"/>
        <v>18.532839506172838</v>
      </c>
      <c r="M312">
        <f t="shared" si="49"/>
        <v>5.5483058928395055</v>
      </c>
      <c r="N312" s="9"/>
      <c r="O312" s="21">
        <v>1.4121999999999999</v>
      </c>
      <c r="P312" s="21">
        <v>15.2523</v>
      </c>
      <c r="Q312" s="21">
        <v>-1.4169299999999999E-2</v>
      </c>
      <c r="R312" s="21">
        <v>81</v>
      </c>
      <c r="S312" s="21">
        <v>1.41174</v>
      </c>
      <c r="T312">
        <f t="shared" si="50"/>
        <v>17.492962962962959</v>
      </c>
      <c r="U312">
        <f t="shared" si="51"/>
        <v>24.70356229629629</v>
      </c>
      <c r="X312" s="9"/>
      <c r="Y312" s="21">
        <v>0.299377</v>
      </c>
      <c r="Z312" s="21">
        <v>17.478000000000002</v>
      </c>
      <c r="AA312" s="21">
        <v>-1.5090900000000001E-2</v>
      </c>
      <c r="AB312" s="21">
        <v>302</v>
      </c>
      <c r="AC312" s="21">
        <v>0.29879800000000001</v>
      </c>
      <c r="AD312">
        <f t="shared" si="52"/>
        <v>18.630740740740741</v>
      </c>
      <c r="AE312">
        <f t="shared" si="53"/>
        <v>5.5776152707407407</v>
      </c>
      <c r="AF312" s="9"/>
      <c r="AG312" s="21">
        <v>1.42075</v>
      </c>
      <c r="AH312" s="21">
        <v>21.337399999999999</v>
      </c>
      <c r="AI312" s="21">
        <v>-1.41388E-2</v>
      </c>
      <c r="AJ312" s="21">
        <v>302</v>
      </c>
      <c r="AK312" s="21">
        <v>1.4202900000000001</v>
      </c>
      <c r="AL312">
        <f t="shared" si="54"/>
        <v>17.455308641975307</v>
      </c>
      <c r="AM312">
        <f t="shared" si="55"/>
        <v>24.799629753086418</v>
      </c>
      <c r="AP312" s="9"/>
      <c r="AQ312" s="21">
        <v>0.299377</v>
      </c>
      <c r="AR312" s="21">
        <v>26.912199999999999</v>
      </c>
      <c r="AS312" s="21">
        <v>-1.50787E-2</v>
      </c>
      <c r="AT312" s="21">
        <v>302</v>
      </c>
      <c r="AU312" s="21">
        <v>0.29879800000000001</v>
      </c>
      <c r="AV312">
        <f t="shared" si="56"/>
        <v>18.61567901234568</v>
      </c>
      <c r="AW312">
        <f t="shared" si="57"/>
        <v>5.573106135679013</v>
      </c>
      <c r="AX312" s="9"/>
      <c r="AY312" s="21">
        <v>1.42075</v>
      </c>
      <c r="AZ312" s="21">
        <v>30.771699999999999</v>
      </c>
      <c r="BA312" s="21">
        <v>-1.4157100000000001E-2</v>
      </c>
      <c r="BB312" s="21">
        <v>302</v>
      </c>
      <c r="BC312" s="21">
        <v>1.41998</v>
      </c>
      <c r="BD312">
        <f t="shared" si="58"/>
        <v>17.477901234567902</v>
      </c>
      <c r="BE312">
        <f t="shared" si="59"/>
        <v>24.831728179012345</v>
      </c>
    </row>
    <row r="313" spans="6:57" x14ac:dyDescent="0.25">
      <c r="F313" s="9"/>
      <c r="G313" s="21">
        <v>0.29434199999999999</v>
      </c>
      <c r="H313" s="21">
        <v>8.0738299999999992</v>
      </c>
      <c r="I313" s="21">
        <v>-1.50055E-2</v>
      </c>
      <c r="J313" s="21">
        <v>303</v>
      </c>
      <c r="K313" s="21">
        <v>0.29367100000000002</v>
      </c>
      <c r="L313">
        <f t="shared" si="48"/>
        <v>18.525308641975307</v>
      </c>
      <c r="M313">
        <f t="shared" si="49"/>
        <v>5.4527763962962954</v>
      </c>
      <c r="N313" s="9"/>
      <c r="O313" s="21">
        <v>1.4172400000000001</v>
      </c>
      <c r="P313" s="21">
        <v>15.2422</v>
      </c>
      <c r="Q313" s="21">
        <v>-1.4157100000000001E-2</v>
      </c>
      <c r="R313" s="21">
        <v>80</v>
      </c>
      <c r="S313" s="21">
        <v>1.4166300000000001</v>
      </c>
      <c r="T313">
        <f t="shared" si="50"/>
        <v>17.477901234567902</v>
      </c>
      <c r="U313">
        <f t="shared" si="51"/>
        <v>24.770380745679013</v>
      </c>
      <c r="X313" s="9"/>
      <c r="Y313" s="21">
        <v>0.29434199999999999</v>
      </c>
      <c r="Z313" s="21">
        <v>17.488</v>
      </c>
      <c r="AA313" s="21">
        <v>-1.5090900000000001E-2</v>
      </c>
      <c r="AB313" s="21">
        <v>303</v>
      </c>
      <c r="AC313" s="21">
        <v>0.29376200000000002</v>
      </c>
      <c r="AD313">
        <f t="shared" si="52"/>
        <v>18.630740740740741</v>
      </c>
      <c r="AE313">
        <f t="shared" si="53"/>
        <v>5.4838094911111108</v>
      </c>
      <c r="AF313" s="9"/>
      <c r="AG313" s="21">
        <v>1.42578</v>
      </c>
      <c r="AH313" s="21">
        <v>21.3475</v>
      </c>
      <c r="AI313" s="21">
        <v>-1.4123500000000001E-2</v>
      </c>
      <c r="AJ313" s="21">
        <v>303</v>
      </c>
      <c r="AK313" s="21">
        <v>1.4248700000000001</v>
      </c>
      <c r="AL313">
        <f t="shared" si="54"/>
        <v>17.436419753086419</v>
      </c>
      <c r="AM313">
        <f t="shared" si="55"/>
        <v>24.860498555555555</v>
      </c>
      <c r="AP313" s="9"/>
      <c r="AQ313" s="21">
        <v>0.29434199999999999</v>
      </c>
      <c r="AR313" s="21">
        <v>26.9223</v>
      </c>
      <c r="AS313" s="21">
        <v>-1.50726E-2</v>
      </c>
      <c r="AT313" s="21">
        <v>303</v>
      </c>
      <c r="AU313" s="21">
        <v>0.29379300000000003</v>
      </c>
      <c r="AV313">
        <f t="shared" si="56"/>
        <v>18.60814814814815</v>
      </c>
      <c r="AW313">
        <f t="shared" si="57"/>
        <v>5.4771595422222221</v>
      </c>
      <c r="AX313" s="9"/>
      <c r="AY313" s="21">
        <v>1.42578</v>
      </c>
      <c r="AZ313" s="21">
        <v>30.7818</v>
      </c>
      <c r="BA313" s="21">
        <v>-1.41449E-2</v>
      </c>
      <c r="BB313" s="21">
        <v>303</v>
      </c>
      <c r="BC313" s="21">
        <v>1.4248700000000001</v>
      </c>
      <c r="BD313">
        <f t="shared" si="58"/>
        <v>17.462839506172838</v>
      </c>
      <c r="BE313">
        <f t="shared" si="59"/>
        <v>24.898167311111109</v>
      </c>
    </row>
    <row r="314" spans="6:57" x14ac:dyDescent="0.25">
      <c r="F314" s="9"/>
      <c r="G314" s="21">
        <v>0.28930699999999998</v>
      </c>
      <c r="H314" s="21">
        <v>8.0838999999999999</v>
      </c>
      <c r="I314" s="21">
        <v>-1.49994E-2</v>
      </c>
      <c r="J314" s="21">
        <v>304</v>
      </c>
      <c r="K314" s="21">
        <v>0.28869600000000001</v>
      </c>
      <c r="L314">
        <f t="shared" si="48"/>
        <v>18.517777777777777</v>
      </c>
      <c r="M314">
        <f t="shared" si="49"/>
        <v>5.357322735555555</v>
      </c>
      <c r="N314" s="9"/>
      <c r="O314" s="21">
        <v>1.4222699999999999</v>
      </c>
      <c r="P314" s="21">
        <v>15.232100000000001</v>
      </c>
      <c r="Q314" s="21">
        <v>-1.41479E-2</v>
      </c>
      <c r="R314" s="21">
        <v>79</v>
      </c>
      <c r="S314" s="21">
        <v>1.4212</v>
      </c>
      <c r="T314">
        <f t="shared" si="50"/>
        <v>17.466543209876541</v>
      </c>
      <c r="U314">
        <f t="shared" si="51"/>
        <v>24.842140411111107</v>
      </c>
      <c r="X314" s="9"/>
      <c r="Y314" s="21">
        <v>0.28930699999999998</v>
      </c>
      <c r="Z314" s="21">
        <v>17.498100000000001</v>
      </c>
      <c r="AA314" s="21">
        <v>-1.50879E-2</v>
      </c>
      <c r="AB314" s="21">
        <v>304</v>
      </c>
      <c r="AC314" s="21">
        <v>0.28875699999999999</v>
      </c>
      <c r="AD314">
        <f t="shared" si="52"/>
        <v>18.627037037037034</v>
      </c>
      <c r="AE314">
        <f t="shared" si="53"/>
        <v>5.3889322040740728</v>
      </c>
      <c r="AF314" s="9"/>
      <c r="AG314" s="21">
        <v>1.43082</v>
      </c>
      <c r="AH314" s="21">
        <v>21.357600000000001</v>
      </c>
      <c r="AI314" s="21">
        <v>-1.40991E-2</v>
      </c>
      <c r="AJ314" s="21">
        <v>304</v>
      </c>
      <c r="AK314" s="21">
        <v>1.4297500000000001</v>
      </c>
      <c r="AL314">
        <f t="shared" si="54"/>
        <v>17.406296296296293</v>
      </c>
      <c r="AM314">
        <f t="shared" si="55"/>
        <v>24.905276866666661</v>
      </c>
      <c r="AP314" s="9"/>
      <c r="AQ314" s="21">
        <v>0.28930699999999998</v>
      </c>
      <c r="AR314" s="21">
        <v>26.932300000000001</v>
      </c>
      <c r="AS314" s="21">
        <v>-1.5069600000000001E-2</v>
      </c>
      <c r="AT314" s="21">
        <v>304</v>
      </c>
      <c r="AU314" s="21">
        <v>0.28866599999999998</v>
      </c>
      <c r="AV314">
        <f t="shared" si="56"/>
        <v>18.604444444444443</v>
      </c>
      <c r="AW314">
        <f t="shared" si="57"/>
        <v>5.3823960088888878</v>
      </c>
      <c r="AX314" s="9"/>
      <c r="AY314" s="21">
        <v>1.43082</v>
      </c>
      <c r="AZ314" s="21">
        <v>30.791799999999999</v>
      </c>
      <c r="BA314" s="21">
        <v>-1.4129600000000001E-2</v>
      </c>
      <c r="BB314" s="21">
        <v>304</v>
      </c>
      <c r="BC314" s="21">
        <v>1.43005</v>
      </c>
      <c r="BD314">
        <f t="shared" si="58"/>
        <v>17.443950617283949</v>
      </c>
      <c r="BE314">
        <f t="shared" si="59"/>
        <v>24.959153422222219</v>
      </c>
    </row>
    <row r="315" spans="6:57" x14ac:dyDescent="0.25">
      <c r="F315" s="9"/>
      <c r="G315" s="21">
        <v>0.284271</v>
      </c>
      <c r="H315" s="21">
        <v>8.0939700000000006</v>
      </c>
      <c r="I315" s="21">
        <v>-1.49994E-2</v>
      </c>
      <c r="J315" s="21">
        <v>305</v>
      </c>
      <c r="K315" s="21">
        <v>0.28362999999999999</v>
      </c>
      <c r="L315">
        <f t="shared" si="48"/>
        <v>18.517777777777777</v>
      </c>
      <c r="M315">
        <f t="shared" si="49"/>
        <v>5.2640672066666667</v>
      </c>
      <c r="N315" s="9"/>
      <c r="O315" s="21">
        <v>1.4273100000000001</v>
      </c>
      <c r="P315" s="21">
        <v>15.222099999999999</v>
      </c>
      <c r="Q315" s="21">
        <v>-1.41327E-2</v>
      </c>
      <c r="R315" s="21">
        <v>78</v>
      </c>
      <c r="S315" s="21">
        <v>1.42639</v>
      </c>
      <c r="T315">
        <f t="shared" si="50"/>
        <v>17.447777777777777</v>
      </c>
      <c r="U315">
        <f t="shared" si="51"/>
        <v>24.9033877</v>
      </c>
      <c r="X315" s="9"/>
      <c r="Y315" s="21">
        <v>0.284271</v>
      </c>
      <c r="Z315" s="21">
        <v>17.508199999999999</v>
      </c>
      <c r="AA315" s="21">
        <v>-1.50787E-2</v>
      </c>
      <c r="AB315" s="21">
        <v>305</v>
      </c>
      <c r="AC315" s="21">
        <v>0.28369100000000003</v>
      </c>
      <c r="AD315">
        <f t="shared" si="52"/>
        <v>18.61567901234568</v>
      </c>
      <c r="AE315">
        <f t="shared" si="53"/>
        <v>5.2918976885185192</v>
      </c>
      <c r="AF315" s="9"/>
      <c r="AG315" s="21">
        <v>1.4358500000000001</v>
      </c>
      <c r="AH315" s="21">
        <v>21.367699999999999</v>
      </c>
      <c r="AI315" s="21">
        <v>-1.409E-2</v>
      </c>
      <c r="AJ315" s="21">
        <v>305</v>
      </c>
      <c r="AK315" s="21">
        <v>1.4352400000000001</v>
      </c>
      <c r="AL315">
        <f t="shared" si="54"/>
        <v>17.39506172839506</v>
      </c>
      <c r="AM315">
        <f t="shared" si="55"/>
        <v>24.976699382716049</v>
      </c>
      <c r="AP315" s="9"/>
      <c r="AQ315" s="21">
        <v>0.284271</v>
      </c>
      <c r="AR315" s="21">
        <v>26.942399999999999</v>
      </c>
      <c r="AS315" s="21">
        <v>-1.50604E-2</v>
      </c>
      <c r="AT315" s="21">
        <v>305</v>
      </c>
      <c r="AU315" s="21">
        <v>0.28360000000000002</v>
      </c>
      <c r="AV315">
        <f t="shared" si="56"/>
        <v>18.593086419753085</v>
      </c>
      <c r="AW315">
        <f t="shared" si="57"/>
        <v>5.2854752696296288</v>
      </c>
      <c r="AX315" s="9"/>
      <c r="AY315" s="21">
        <v>1.4358500000000001</v>
      </c>
      <c r="AZ315" s="21">
        <v>30.8019</v>
      </c>
      <c r="BA315" s="21">
        <v>-1.41052E-2</v>
      </c>
      <c r="BB315" s="21">
        <v>305</v>
      </c>
      <c r="BC315" s="21">
        <v>1.4352400000000001</v>
      </c>
      <c r="BD315">
        <f t="shared" si="58"/>
        <v>17.413827160493828</v>
      </c>
      <c r="BE315">
        <f t="shared" si="59"/>
        <v>25.003643728395062</v>
      </c>
    </row>
    <row r="316" spans="6:57" x14ac:dyDescent="0.25">
      <c r="F316" s="9"/>
      <c r="G316" s="21">
        <v>0.27923599999999998</v>
      </c>
      <c r="H316" s="21">
        <v>8.1040399999999995</v>
      </c>
      <c r="I316" s="21">
        <v>-1.50055E-2</v>
      </c>
      <c r="J316" s="21">
        <v>306</v>
      </c>
      <c r="K316" s="21">
        <v>0.27856399999999998</v>
      </c>
      <c r="L316">
        <f t="shared" si="48"/>
        <v>18.525308641975307</v>
      </c>
      <c r="M316">
        <f t="shared" si="49"/>
        <v>5.1729330839506167</v>
      </c>
      <c r="N316" s="9"/>
      <c r="O316" s="21">
        <v>1.4323399999999999</v>
      </c>
      <c r="P316" s="21">
        <v>15.212</v>
      </c>
      <c r="Q316" s="21">
        <v>-1.4120499999999999E-2</v>
      </c>
      <c r="R316" s="21">
        <v>77</v>
      </c>
      <c r="S316" s="21">
        <v>1.4321900000000001</v>
      </c>
      <c r="T316">
        <f t="shared" si="50"/>
        <v>17.432716049382716</v>
      </c>
      <c r="U316">
        <f t="shared" si="51"/>
        <v>24.969576506172839</v>
      </c>
      <c r="X316" s="9"/>
      <c r="Y316" s="21">
        <v>0.27923599999999998</v>
      </c>
      <c r="Z316" s="21">
        <v>17.5183</v>
      </c>
      <c r="AA316" s="21">
        <v>-1.50726E-2</v>
      </c>
      <c r="AB316" s="21">
        <v>306</v>
      </c>
      <c r="AC316" s="21">
        <v>0.27865600000000001</v>
      </c>
      <c r="AD316">
        <f t="shared" si="52"/>
        <v>18.60814814814815</v>
      </c>
      <c r="AE316">
        <f t="shared" si="53"/>
        <v>5.1960648562962968</v>
      </c>
      <c r="AF316" s="9"/>
      <c r="AG316" s="21">
        <v>1.44089</v>
      </c>
      <c r="AH316" s="21">
        <v>21.377700000000001</v>
      </c>
      <c r="AI316" s="21">
        <v>-1.4080799999999999E-2</v>
      </c>
      <c r="AJ316" s="21">
        <v>306</v>
      </c>
      <c r="AK316" s="21">
        <v>1.4395100000000001</v>
      </c>
      <c r="AL316">
        <f t="shared" si="54"/>
        <v>17.383703703703702</v>
      </c>
      <c r="AM316">
        <f t="shared" si="55"/>
        <v>25.048004829629626</v>
      </c>
      <c r="AP316" s="9"/>
      <c r="AQ316" s="21">
        <v>0.27923599999999998</v>
      </c>
      <c r="AR316" s="21">
        <v>26.952500000000001</v>
      </c>
      <c r="AS316" s="21">
        <v>-1.50574E-2</v>
      </c>
      <c r="AT316" s="21">
        <v>306</v>
      </c>
      <c r="AU316" s="21">
        <v>0.27862500000000001</v>
      </c>
      <c r="AV316">
        <f t="shared" si="56"/>
        <v>18.589382716049382</v>
      </c>
      <c r="AW316">
        <f t="shared" si="57"/>
        <v>5.1908248720987649</v>
      </c>
      <c r="AX316" s="9"/>
      <c r="AY316" s="21">
        <v>1.44089</v>
      </c>
      <c r="AZ316" s="21">
        <v>30.812000000000001</v>
      </c>
      <c r="BA316" s="21">
        <v>-1.40778E-2</v>
      </c>
      <c r="BB316" s="21">
        <v>306</v>
      </c>
      <c r="BC316" s="21">
        <v>1.4407300000000001</v>
      </c>
      <c r="BD316">
        <f t="shared" si="58"/>
        <v>17.38</v>
      </c>
      <c r="BE316">
        <f t="shared" si="59"/>
        <v>25.042668199999998</v>
      </c>
    </row>
    <row r="317" spans="6:57" x14ac:dyDescent="0.25">
      <c r="F317" s="9"/>
      <c r="G317" s="21">
        <v>0.2742</v>
      </c>
      <c r="H317" s="21">
        <v>8.1141199999999998</v>
      </c>
      <c r="I317" s="21">
        <v>-1.50238E-2</v>
      </c>
      <c r="J317" s="21">
        <v>307</v>
      </c>
      <c r="K317" s="21">
        <v>0.27365099999999998</v>
      </c>
      <c r="L317">
        <f t="shared" si="48"/>
        <v>18.547901234567902</v>
      </c>
      <c r="M317">
        <f t="shared" si="49"/>
        <v>5.085834518518519</v>
      </c>
      <c r="N317" s="9"/>
      <c r="O317" s="21">
        <v>1.4373800000000001</v>
      </c>
      <c r="P317" s="21">
        <v>15.2019</v>
      </c>
      <c r="Q317" s="21">
        <v>-1.41022E-2</v>
      </c>
      <c r="R317" s="21">
        <v>76</v>
      </c>
      <c r="S317" s="21">
        <v>1.4370700000000001</v>
      </c>
      <c r="T317">
        <f t="shared" si="50"/>
        <v>17.410123456790124</v>
      </c>
      <c r="U317">
        <f t="shared" si="51"/>
        <v>25.024963254320991</v>
      </c>
      <c r="X317" s="9"/>
      <c r="Y317" s="21">
        <v>0.2742</v>
      </c>
      <c r="Z317" s="21">
        <v>17.528300000000002</v>
      </c>
      <c r="AA317" s="21">
        <v>-1.50665E-2</v>
      </c>
      <c r="AB317" s="21">
        <v>307</v>
      </c>
      <c r="AC317" s="21">
        <v>0.273621</v>
      </c>
      <c r="AD317">
        <f t="shared" si="52"/>
        <v>18.600617283950616</v>
      </c>
      <c r="AE317">
        <f t="shared" si="53"/>
        <v>5.1002892592592586</v>
      </c>
      <c r="AF317" s="9"/>
      <c r="AG317" s="21">
        <v>1.4459200000000001</v>
      </c>
      <c r="AH317" s="21">
        <v>21.387799999999999</v>
      </c>
      <c r="AI317" s="21">
        <v>-1.40625E-2</v>
      </c>
      <c r="AJ317" s="21">
        <v>307</v>
      </c>
      <c r="AK317" s="21">
        <v>1.4453100000000001</v>
      </c>
      <c r="AL317">
        <f t="shared" si="54"/>
        <v>17.361111111111111</v>
      </c>
      <c r="AM317">
        <f t="shared" si="55"/>
        <v>25.102777777777778</v>
      </c>
      <c r="AP317" s="9"/>
      <c r="AQ317" s="21">
        <v>0.2742</v>
      </c>
      <c r="AR317" s="21">
        <v>26.962599999999998</v>
      </c>
      <c r="AS317" s="21">
        <v>-1.5063500000000001E-2</v>
      </c>
      <c r="AT317" s="21">
        <v>307</v>
      </c>
      <c r="AU317" s="21">
        <v>0.27352900000000002</v>
      </c>
      <c r="AV317">
        <f t="shared" si="56"/>
        <v>18.596913580246913</v>
      </c>
      <c r="AW317">
        <f t="shared" si="57"/>
        <v>5.0992737037037035</v>
      </c>
      <c r="AX317" s="9"/>
      <c r="AY317" s="21">
        <v>1.4459200000000001</v>
      </c>
      <c r="AZ317" s="21">
        <v>30.821999999999999</v>
      </c>
      <c r="BA317" s="21">
        <v>-1.40564E-2</v>
      </c>
      <c r="BB317" s="21">
        <v>307</v>
      </c>
      <c r="BC317" s="21">
        <v>1.4456199999999999</v>
      </c>
      <c r="BD317">
        <f t="shared" si="58"/>
        <v>17.35358024691358</v>
      </c>
      <c r="BE317">
        <f t="shared" si="59"/>
        <v>25.091888750617287</v>
      </c>
    </row>
    <row r="318" spans="6:57" x14ac:dyDescent="0.25">
      <c r="F318" s="9"/>
      <c r="G318" s="21">
        <v>0.26916499999999999</v>
      </c>
      <c r="H318" s="21">
        <v>8.1241900000000005</v>
      </c>
      <c r="I318" s="21">
        <v>-1.5036000000000001E-2</v>
      </c>
      <c r="J318" s="21">
        <v>308</v>
      </c>
      <c r="K318" s="21">
        <v>0.26855499999999999</v>
      </c>
      <c r="L318">
        <f t="shared" si="48"/>
        <v>18.562962962962963</v>
      </c>
      <c r="M318">
        <f t="shared" si="49"/>
        <v>4.9964999259259262</v>
      </c>
      <c r="N318" s="9"/>
      <c r="O318" s="21">
        <v>1.44241</v>
      </c>
      <c r="P318" s="21">
        <v>15.1919</v>
      </c>
      <c r="Q318" s="21">
        <v>-1.409E-2</v>
      </c>
      <c r="R318" s="21">
        <v>75</v>
      </c>
      <c r="S318" s="21">
        <v>1.4413499999999999</v>
      </c>
      <c r="T318">
        <f t="shared" si="50"/>
        <v>17.39506172839506</v>
      </c>
      <c r="U318">
        <f t="shared" si="51"/>
        <v>25.090810987654319</v>
      </c>
      <c r="X318" s="9"/>
      <c r="Y318" s="21">
        <v>0.26916499999999999</v>
      </c>
      <c r="Z318" s="21">
        <v>17.538399999999999</v>
      </c>
      <c r="AA318" s="21">
        <v>-1.5063500000000001E-2</v>
      </c>
      <c r="AB318" s="21">
        <v>308</v>
      </c>
      <c r="AC318" s="21">
        <v>0.26849400000000001</v>
      </c>
      <c r="AD318">
        <f t="shared" si="52"/>
        <v>18.596913580246913</v>
      </c>
      <c r="AE318">
        <f t="shared" si="53"/>
        <v>5.0056382438271596</v>
      </c>
      <c r="AF318" s="9"/>
      <c r="AG318" s="21">
        <v>1.45096</v>
      </c>
      <c r="AH318" s="21">
        <v>21.3979</v>
      </c>
      <c r="AI318" s="21">
        <v>-1.40381E-2</v>
      </c>
      <c r="AJ318" s="21">
        <v>308</v>
      </c>
      <c r="AK318" s="21">
        <v>1.4508099999999999</v>
      </c>
      <c r="AL318">
        <f t="shared" si="54"/>
        <v>17.330987654320985</v>
      </c>
      <c r="AM318">
        <f t="shared" si="55"/>
        <v>25.146569846913579</v>
      </c>
      <c r="AP318" s="9"/>
      <c r="AQ318" s="21">
        <v>0.26916499999999999</v>
      </c>
      <c r="AR318" s="21">
        <v>26.9726</v>
      </c>
      <c r="AS318" s="21">
        <v>-1.50574E-2</v>
      </c>
      <c r="AT318" s="21">
        <v>308</v>
      </c>
      <c r="AU318" s="21">
        <v>0.268646</v>
      </c>
      <c r="AV318">
        <f t="shared" si="56"/>
        <v>18.589382716049382</v>
      </c>
      <c r="AW318">
        <f t="shared" si="57"/>
        <v>5.0036111987654319</v>
      </c>
      <c r="AX318" s="9"/>
      <c r="AY318" s="21">
        <v>1.45096</v>
      </c>
      <c r="AZ318" s="21">
        <v>30.832100000000001</v>
      </c>
      <c r="BA318" s="21">
        <v>-1.4035000000000001E-2</v>
      </c>
      <c r="BB318" s="21">
        <v>308</v>
      </c>
      <c r="BC318" s="21">
        <v>1.4504999999999999</v>
      </c>
      <c r="BD318">
        <f t="shared" si="58"/>
        <v>17.327160493827162</v>
      </c>
      <c r="BE318">
        <f t="shared" si="59"/>
        <v>25.141016790123459</v>
      </c>
    </row>
    <row r="319" spans="6:57" x14ac:dyDescent="0.25">
      <c r="F319" s="9"/>
      <c r="G319" s="21">
        <v>0.26412999999999998</v>
      </c>
      <c r="H319" s="21">
        <v>8.1342599999999994</v>
      </c>
      <c r="I319" s="21">
        <v>-1.5032999999999999E-2</v>
      </c>
      <c r="J319" s="21">
        <v>309</v>
      </c>
      <c r="K319" s="21">
        <v>0.26348899999999997</v>
      </c>
      <c r="L319">
        <f t="shared" si="48"/>
        <v>18.559259259259257</v>
      </c>
      <c r="M319">
        <f t="shared" si="49"/>
        <v>4.9020571481481472</v>
      </c>
      <c r="N319" s="9"/>
      <c r="O319" s="21">
        <v>1.4474499999999999</v>
      </c>
      <c r="P319" s="21">
        <v>15.181800000000001</v>
      </c>
      <c r="Q319" s="21">
        <v>-1.4068600000000001E-2</v>
      </c>
      <c r="R319" s="21">
        <v>74</v>
      </c>
      <c r="S319" s="21">
        <v>1.4468399999999999</v>
      </c>
      <c r="T319">
        <f t="shared" si="50"/>
        <v>17.368641975308641</v>
      </c>
      <c r="U319">
        <f t="shared" si="51"/>
        <v>25.14024082716049</v>
      </c>
      <c r="X319" s="9"/>
      <c r="Y319" s="21">
        <v>0.26412999999999998</v>
      </c>
      <c r="Z319" s="21">
        <v>17.548500000000001</v>
      </c>
      <c r="AA319" s="21">
        <v>-1.50604E-2</v>
      </c>
      <c r="AB319" s="21">
        <v>309</v>
      </c>
      <c r="AC319" s="21">
        <v>0.263519</v>
      </c>
      <c r="AD319">
        <f t="shared" si="52"/>
        <v>18.593086419753085</v>
      </c>
      <c r="AE319">
        <f t="shared" si="53"/>
        <v>4.9109919160493822</v>
      </c>
      <c r="AF319" s="9"/>
      <c r="AG319" s="21">
        <v>1.4559899999999999</v>
      </c>
      <c r="AH319" s="21">
        <v>21.407900000000001</v>
      </c>
      <c r="AI319" s="21">
        <v>-1.40137E-2</v>
      </c>
      <c r="AJ319" s="21">
        <v>309</v>
      </c>
      <c r="AK319" s="21">
        <v>1.4550799999999999</v>
      </c>
      <c r="AL319">
        <f t="shared" si="54"/>
        <v>17.300864197530863</v>
      </c>
      <c r="AM319">
        <f t="shared" si="55"/>
        <v>25.18988526296296</v>
      </c>
      <c r="AP319" s="9"/>
      <c r="AQ319" s="21">
        <v>0.26412999999999998</v>
      </c>
      <c r="AR319" s="21">
        <v>26.982700000000001</v>
      </c>
      <c r="AS319" s="21">
        <v>-1.50665E-2</v>
      </c>
      <c r="AT319" s="21">
        <v>309</v>
      </c>
      <c r="AU319" s="21">
        <v>0.26361099999999998</v>
      </c>
      <c r="AV319">
        <f t="shared" si="56"/>
        <v>18.600617283950616</v>
      </c>
      <c r="AW319">
        <f t="shared" si="57"/>
        <v>4.9129810432098759</v>
      </c>
      <c r="AX319" s="9"/>
      <c r="AY319" s="21">
        <v>1.4559899999999999</v>
      </c>
      <c r="AZ319" s="21">
        <v>30.842199999999998</v>
      </c>
      <c r="BA319" s="21">
        <v>-1.4019800000000001E-2</v>
      </c>
      <c r="BB319" s="21">
        <v>309</v>
      </c>
      <c r="BC319" s="21">
        <v>1.4553799999999999</v>
      </c>
      <c r="BD319">
        <f t="shared" si="58"/>
        <v>17.308395061728394</v>
      </c>
      <c r="BE319">
        <f t="shared" si="59"/>
        <v>25.200850125925921</v>
      </c>
    </row>
    <row r="320" spans="6:57" x14ac:dyDescent="0.25">
      <c r="F320" s="9"/>
      <c r="G320" s="21">
        <v>0.25909399999999999</v>
      </c>
      <c r="H320" s="21">
        <v>8.1443300000000001</v>
      </c>
      <c r="I320" s="21">
        <v>-1.5032999999999999E-2</v>
      </c>
      <c r="J320" s="21">
        <v>310</v>
      </c>
      <c r="K320" s="21">
        <v>0.25851400000000002</v>
      </c>
      <c r="L320">
        <f t="shared" si="48"/>
        <v>18.559259259259257</v>
      </c>
      <c r="M320">
        <f t="shared" si="49"/>
        <v>4.8085927185185176</v>
      </c>
      <c r="N320" s="9"/>
      <c r="O320" s="21">
        <v>1.45248</v>
      </c>
      <c r="P320" s="21">
        <v>15.1717</v>
      </c>
      <c r="Q320" s="21">
        <v>-1.40442E-2</v>
      </c>
      <c r="R320" s="21">
        <v>73</v>
      </c>
      <c r="S320" s="21">
        <v>1.4520299999999999</v>
      </c>
      <c r="T320">
        <f t="shared" si="50"/>
        <v>17.338518518518516</v>
      </c>
      <c r="U320">
        <f t="shared" si="51"/>
        <v>25.183851377777774</v>
      </c>
      <c r="X320" s="9"/>
      <c r="Y320" s="21">
        <v>0.25909399999999999</v>
      </c>
      <c r="Z320" s="21">
        <v>17.558499999999999</v>
      </c>
      <c r="AA320" s="21">
        <v>-1.50543E-2</v>
      </c>
      <c r="AB320" s="21">
        <v>310</v>
      </c>
      <c r="AC320" s="21">
        <v>0.258575</v>
      </c>
      <c r="AD320">
        <f t="shared" si="52"/>
        <v>18.585555555555555</v>
      </c>
      <c r="AE320">
        <f t="shared" si="53"/>
        <v>4.815405931111111</v>
      </c>
      <c r="AF320" s="9"/>
      <c r="AG320" s="21">
        <v>1.4610300000000001</v>
      </c>
      <c r="AH320" s="21">
        <v>21.417999999999999</v>
      </c>
      <c r="AI320" s="21">
        <v>-1.3983199999999999E-2</v>
      </c>
      <c r="AJ320" s="21">
        <v>310</v>
      </c>
      <c r="AK320" s="21">
        <v>1.4605699999999999</v>
      </c>
      <c r="AL320">
        <f t="shared" si="54"/>
        <v>17.263209876543208</v>
      </c>
      <c r="AM320">
        <f t="shared" si="55"/>
        <v>25.222067525925922</v>
      </c>
      <c r="AP320" s="9"/>
      <c r="AQ320" s="21">
        <v>0.25909399999999999</v>
      </c>
      <c r="AR320" s="21">
        <v>26.992799999999999</v>
      </c>
      <c r="AS320" s="21">
        <v>-1.5069600000000001E-2</v>
      </c>
      <c r="AT320" s="21">
        <v>310</v>
      </c>
      <c r="AU320" s="21">
        <v>0.25851400000000002</v>
      </c>
      <c r="AV320">
        <f t="shared" si="56"/>
        <v>18.604444444444443</v>
      </c>
      <c r="AW320">
        <f t="shared" si="57"/>
        <v>4.8202999288888879</v>
      </c>
      <c r="AX320" s="9"/>
      <c r="AY320" s="21">
        <v>1.4610300000000001</v>
      </c>
      <c r="AZ320" s="21">
        <v>30.8522</v>
      </c>
      <c r="BA320" s="21">
        <v>-1.40015E-2</v>
      </c>
      <c r="BB320" s="21">
        <v>310</v>
      </c>
      <c r="BC320" s="21">
        <v>1.46027</v>
      </c>
      <c r="BD320">
        <f t="shared" si="58"/>
        <v>17.285802469135803</v>
      </c>
      <c r="BE320">
        <f t="shared" si="59"/>
        <v>25.255075981481482</v>
      </c>
    </row>
    <row r="321" spans="6:57" x14ac:dyDescent="0.25">
      <c r="F321" s="9"/>
      <c r="G321" s="21">
        <v>0.25405899999999998</v>
      </c>
      <c r="H321" s="21">
        <v>8.1544000000000008</v>
      </c>
      <c r="I321" s="21">
        <v>-1.5029900000000001E-2</v>
      </c>
      <c r="J321" s="21">
        <v>311</v>
      </c>
      <c r="K321" s="21">
        <v>0.253357</v>
      </c>
      <c r="L321">
        <f t="shared" si="48"/>
        <v>18.555432098765429</v>
      </c>
      <c r="M321">
        <f t="shared" si="49"/>
        <v>4.7141745235802457</v>
      </c>
      <c r="N321" s="9"/>
      <c r="O321" s="21">
        <v>1.4575199999999999</v>
      </c>
      <c r="P321" s="21">
        <v>15.1616</v>
      </c>
      <c r="Q321" s="21">
        <v>-1.40228E-2</v>
      </c>
      <c r="R321" s="21">
        <v>72</v>
      </c>
      <c r="S321" s="21">
        <v>1.4572099999999999</v>
      </c>
      <c r="T321">
        <f t="shared" si="50"/>
        <v>17.312098765432097</v>
      </c>
      <c r="U321">
        <f t="shared" si="51"/>
        <v>25.232730192592587</v>
      </c>
      <c r="X321" s="9"/>
      <c r="Y321" s="21">
        <v>0.25405899999999998</v>
      </c>
      <c r="Z321" s="21">
        <v>17.5686</v>
      </c>
      <c r="AA321" s="21">
        <v>-1.50604E-2</v>
      </c>
      <c r="AB321" s="21">
        <v>311</v>
      </c>
      <c r="AC321" s="21">
        <v>0.25341799999999998</v>
      </c>
      <c r="AD321">
        <f t="shared" si="52"/>
        <v>18.593086419753085</v>
      </c>
      <c r="AE321">
        <f t="shared" si="53"/>
        <v>4.7237409427160486</v>
      </c>
      <c r="AF321" s="9"/>
      <c r="AG321" s="21">
        <v>1.4660599999999999</v>
      </c>
      <c r="AH321" s="21">
        <v>21.428100000000001</v>
      </c>
      <c r="AI321" s="21">
        <v>-1.39557E-2</v>
      </c>
      <c r="AJ321" s="21">
        <v>311</v>
      </c>
      <c r="AK321" s="21">
        <v>1.4660599999999999</v>
      </c>
      <c r="AL321">
        <f t="shared" si="54"/>
        <v>17.229259259259258</v>
      </c>
      <c r="AM321">
        <f t="shared" si="55"/>
        <v>25.259127829629627</v>
      </c>
      <c r="AP321" s="9"/>
      <c r="AQ321" s="21">
        <v>0.25405899999999998</v>
      </c>
      <c r="AR321" s="21">
        <v>27.002800000000001</v>
      </c>
      <c r="AS321" s="21">
        <v>-1.50665E-2</v>
      </c>
      <c r="AT321" s="21">
        <v>311</v>
      </c>
      <c r="AU321" s="21">
        <v>0.25347900000000001</v>
      </c>
      <c r="AV321">
        <f t="shared" si="56"/>
        <v>18.600617283950616</v>
      </c>
      <c r="AW321">
        <f t="shared" si="57"/>
        <v>4.7256542265432087</v>
      </c>
      <c r="AX321" s="9"/>
      <c r="AY321" s="21">
        <v>1.4660599999999999</v>
      </c>
      <c r="AZ321" s="21">
        <v>30.862300000000001</v>
      </c>
      <c r="BA321" s="21">
        <v>-1.3977099999999999E-2</v>
      </c>
      <c r="BB321" s="21">
        <v>311</v>
      </c>
      <c r="BC321" s="21">
        <v>1.46515</v>
      </c>
      <c r="BD321">
        <f t="shared" si="58"/>
        <v>17.255679012345677</v>
      </c>
      <c r="BE321">
        <f t="shared" si="59"/>
        <v>25.297860772839503</v>
      </c>
    </row>
    <row r="322" spans="6:57" x14ac:dyDescent="0.25">
      <c r="F322" s="9"/>
      <c r="G322" s="21">
        <v>0.24902299999999999</v>
      </c>
      <c r="H322" s="21">
        <v>8.1644699999999997</v>
      </c>
      <c r="I322" s="21">
        <v>-1.50238E-2</v>
      </c>
      <c r="J322" s="21">
        <v>312</v>
      </c>
      <c r="K322" s="21">
        <v>0.24841299999999999</v>
      </c>
      <c r="L322">
        <f t="shared" si="48"/>
        <v>18.547901234567902</v>
      </c>
      <c r="M322">
        <f t="shared" si="49"/>
        <v>4.618854009135803</v>
      </c>
      <c r="N322" s="9"/>
      <c r="O322" s="21">
        <v>1.46255</v>
      </c>
      <c r="P322" s="21">
        <v>15.1516</v>
      </c>
      <c r="Q322" s="21">
        <v>-1.3998399999999999E-2</v>
      </c>
      <c r="R322" s="21">
        <v>71</v>
      </c>
      <c r="S322" s="21">
        <v>1.4621</v>
      </c>
      <c r="T322">
        <f t="shared" si="50"/>
        <v>17.281975308641975</v>
      </c>
      <c r="U322">
        <f t="shared" si="51"/>
        <v>25.275752987654322</v>
      </c>
      <c r="X322" s="9"/>
      <c r="Y322" s="21">
        <v>0.24902299999999999</v>
      </c>
      <c r="Z322" s="21">
        <v>17.578700000000001</v>
      </c>
      <c r="AA322" s="21">
        <v>-1.50543E-2</v>
      </c>
      <c r="AB322" s="21">
        <v>312</v>
      </c>
      <c r="AC322" s="21">
        <v>0.248444</v>
      </c>
      <c r="AD322">
        <f t="shared" si="52"/>
        <v>18.585555555555555</v>
      </c>
      <c r="AE322">
        <f t="shared" si="53"/>
        <v>4.6282308011111111</v>
      </c>
      <c r="AF322" s="9"/>
      <c r="AG322" s="21">
        <v>1.4711000000000001</v>
      </c>
      <c r="AH322" s="21">
        <v>21.438199999999998</v>
      </c>
      <c r="AI322" s="21">
        <v>-1.39343E-2</v>
      </c>
      <c r="AJ322" s="21">
        <v>312</v>
      </c>
      <c r="AK322" s="21">
        <v>1.4700299999999999</v>
      </c>
      <c r="AL322">
        <f t="shared" si="54"/>
        <v>17.202839506172836</v>
      </c>
      <c r="AM322">
        <f t="shared" si="55"/>
        <v>25.307097197530862</v>
      </c>
      <c r="AP322" s="9"/>
      <c r="AQ322" s="21">
        <v>0.24902299999999999</v>
      </c>
      <c r="AR322" s="21">
        <v>27.012899999999998</v>
      </c>
      <c r="AS322" s="21">
        <v>-1.50604E-2</v>
      </c>
      <c r="AT322" s="21">
        <v>312</v>
      </c>
      <c r="AU322" s="21">
        <v>0.248505</v>
      </c>
      <c r="AV322">
        <f t="shared" si="56"/>
        <v>18.593086419753085</v>
      </c>
      <c r="AW322">
        <f t="shared" si="57"/>
        <v>4.6301061595061723</v>
      </c>
      <c r="AX322" s="9"/>
      <c r="AY322" s="21">
        <v>1.4711000000000001</v>
      </c>
      <c r="AZ322" s="21">
        <v>30.872399999999999</v>
      </c>
      <c r="BA322" s="21">
        <v>-1.3958699999999999E-2</v>
      </c>
      <c r="BB322" s="21">
        <v>312</v>
      </c>
      <c r="BC322" s="21">
        <v>1.46973</v>
      </c>
      <c r="BD322">
        <f t="shared" si="58"/>
        <v>17.232962962962961</v>
      </c>
      <c r="BE322">
        <f t="shared" si="59"/>
        <v>25.351411814814814</v>
      </c>
    </row>
    <row r="323" spans="6:57" x14ac:dyDescent="0.25">
      <c r="F323" s="9"/>
      <c r="G323" s="21">
        <v>0.24398800000000001</v>
      </c>
      <c r="H323" s="21">
        <v>8.1745400000000004</v>
      </c>
      <c r="I323" s="21">
        <v>-1.5029900000000001E-2</v>
      </c>
      <c r="J323" s="21">
        <v>313</v>
      </c>
      <c r="K323" s="21">
        <v>0.24349999999999999</v>
      </c>
      <c r="L323">
        <f t="shared" si="48"/>
        <v>18.555432098765429</v>
      </c>
      <c r="M323">
        <f t="shared" si="49"/>
        <v>4.5273027669135795</v>
      </c>
      <c r="N323" s="9"/>
      <c r="O323" s="21">
        <v>1.46759</v>
      </c>
      <c r="P323" s="21">
        <v>15.141500000000001</v>
      </c>
      <c r="Q323" s="21">
        <v>-1.3980100000000001E-2</v>
      </c>
      <c r="R323" s="21">
        <v>70</v>
      </c>
      <c r="S323" s="21">
        <v>1.46729</v>
      </c>
      <c r="T323">
        <f t="shared" si="50"/>
        <v>17.259382716049384</v>
      </c>
      <c r="U323">
        <f t="shared" si="51"/>
        <v>25.329697480246914</v>
      </c>
      <c r="X323" s="9"/>
      <c r="Y323" s="21">
        <v>0.24398800000000001</v>
      </c>
      <c r="Z323" s="21">
        <v>17.588799999999999</v>
      </c>
      <c r="AA323" s="21">
        <v>-1.50574E-2</v>
      </c>
      <c r="AB323" s="21">
        <v>313</v>
      </c>
      <c r="AC323" s="21">
        <v>0.24340800000000001</v>
      </c>
      <c r="AD323">
        <f t="shared" si="52"/>
        <v>18.589382716049382</v>
      </c>
      <c r="AE323">
        <f t="shared" si="53"/>
        <v>4.535586310123457</v>
      </c>
      <c r="AF323" s="9"/>
      <c r="AG323" s="21">
        <v>1.47614</v>
      </c>
      <c r="AH323" s="21">
        <v>21.4482</v>
      </c>
      <c r="AI323" s="21">
        <v>-1.39069E-2</v>
      </c>
      <c r="AJ323" s="21">
        <v>313</v>
      </c>
      <c r="AK323" s="21">
        <v>1.4755199999999999</v>
      </c>
      <c r="AL323">
        <f t="shared" si="54"/>
        <v>17.169012345679011</v>
      </c>
      <c r="AM323">
        <f t="shared" si="55"/>
        <v>25.343865883950617</v>
      </c>
      <c r="AP323" s="9"/>
      <c r="AQ323" s="21">
        <v>0.24398800000000001</v>
      </c>
      <c r="AR323" s="21">
        <v>27.023</v>
      </c>
      <c r="AS323" s="21">
        <v>-1.5063500000000001E-2</v>
      </c>
      <c r="AT323" s="21">
        <v>313</v>
      </c>
      <c r="AU323" s="21">
        <v>0.24340800000000001</v>
      </c>
      <c r="AV323">
        <f t="shared" si="56"/>
        <v>18.596913580246913</v>
      </c>
      <c r="AW323">
        <f t="shared" si="57"/>
        <v>4.5374237506172843</v>
      </c>
      <c r="AX323" s="9"/>
      <c r="AY323" s="21">
        <v>1.47614</v>
      </c>
      <c r="AZ323" s="21">
        <v>30.8825</v>
      </c>
      <c r="BA323" s="21">
        <v>-1.39404E-2</v>
      </c>
      <c r="BB323" s="21">
        <v>313</v>
      </c>
      <c r="BC323" s="21">
        <v>1.4749099999999999</v>
      </c>
      <c r="BD323">
        <f t="shared" si="58"/>
        <v>17.21037037037037</v>
      </c>
      <c r="BE323">
        <f t="shared" si="59"/>
        <v>25.404916118518518</v>
      </c>
    </row>
    <row r="324" spans="6:57" x14ac:dyDescent="0.25">
      <c r="F324" s="9"/>
      <c r="G324" s="21">
        <v>0.238953</v>
      </c>
      <c r="H324" s="21">
        <v>8.1846099999999993</v>
      </c>
      <c r="I324" s="21">
        <v>-1.5036000000000001E-2</v>
      </c>
      <c r="J324" s="21">
        <v>314</v>
      </c>
      <c r="K324" s="21">
        <v>0.23843400000000001</v>
      </c>
      <c r="L324">
        <f t="shared" si="48"/>
        <v>18.562962962962963</v>
      </c>
      <c r="M324">
        <f t="shared" si="49"/>
        <v>4.4356756888888889</v>
      </c>
      <c r="N324" s="9"/>
      <c r="O324" s="21">
        <v>1.4726300000000001</v>
      </c>
      <c r="P324" s="21">
        <v>15.131399999999999</v>
      </c>
      <c r="Q324" s="21">
        <v>-1.39557E-2</v>
      </c>
      <c r="R324" s="21">
        <v>69</v>
      </c>
      <c r="S324" s="21">
        <v>1.47217</v>
      </c>
      <c r="T324">
        <f t="shared" si="50"/>
        <v>17.229259259259258</v>
      </c>
      <c r="U324">
        <f t="shared" si="51"/>
        <v>25.372324062962964</v>
      </c>
      <c r="X324" s="9"/>
      <c r="Y324" s="21">
        <v>0.238953</v>
      </c>
      <c r="Z324" s="21">
        <v>17.598800000000001</v>
      </c>
      <c r="AA324" s="21">
        <v>-1.5069600000000001E-2</v>
      </c>
      <c r="AB324" s="21">
        <v>314</v>
      </c>
      <c r="AC324" s="21">
        <v>0.238403</v>
      </c>
      <c r="AD324">
        <f t="shared" si="52"/>
        <v>18.604444444444443</v>
      </c>
      <c r="AE324">
        <f t="shared" si="53"/>
        <v>4.4455878133333329</v>
      </c>
      <c r="AF324" s="9"/>
      <c r="AG324" s="21">
        <v>1.4811700000000001</v>
      </c>
      <c r="AH324" s="21">
        <v>21.458300000000001</v>
      </c>
      <c r="AI324" s="21">
        <v>-1.38855E-2</v>
      </c>
      <c r="AJ324" s="21">
        <v>314</v>
      </c>
      <c r="AK324" s="21">
        <v>1.48102</v>
      </c>
      <c r="AL324">
        <f t="shared" si="54"/>
        <v>17.142592592592592</v>
      </c>
      <c r="AM324">
        <f t="shared" si="55"/>
        <v>25.391093870370373</v>
      </c>
      <c r="AP324" s="9"/>
      <c r="AQ324" s="21">
        <v>0.238953</v>
      </c>
      <c r="AR324" s="21">
        <v>27.033100000000001</v>
      </c>
      <c r="AS324" s="21">
        <v>-1.50726E-2</v>
      </c>
      <c r="AT324" s="21">
        <v>314</v>
      </c>
      <c r="AU324" s="21">
        <v>0.238342</v>
      </c>
      <c r="AV324">
        <f t="shared" si="56"/>
        <v>18.60814814814815</v>
      </c>
      <c r="AW324">
        <f t="shared" si="57"/>
        <v>4.4464728244444451</v>
      </c>
      <c r="AX324" s="9"/>
      <c r="AY324" s="21">
        <v>1.4811700000000001</v>
      </c>
      <c r="AZ324" s="21">
        <v>30.892499999999998</v>
      </c>
      <c r="BA324" s="21">
        <v>-1.3916E-2</v>
      </c>
      <c r="BB324" s="21">
        <v>314</v>
      </c>
      <c r="BC324" s="21">
        <v>1.48071</v>
      </c>
      <c r="BD324">
        <f t="shared" si="58"/>
        <v>17.180246913580245</v>
      </c>
      <c r="BE324">
        <f t="shared" si="59"/>
        <v>25.446866320987652</v>
      </c>
    </row>
    <row r="325" spans="6:57" x14ac:dyDescent="0.25">
      <c r="F325" s="9"/>
      <c r="G325" s="21">
        <v>0.23391700000000001</v>
      </c>
      <c r="H325" s="21">
        <v>8.19468</v>
      </c>
      <c r="I325" s="21">
        <v>-1.50543E-2</v>
      </c>
      <c r="J325" s="21">
        <v>315</v>
      </c>
      <c r="K325" s="21">
        <v>0.23327600000000001</v>
      </c>
      <c r="L325">
        <f t="shared" si="48"/>
        <v>18.585555555555555</v>
      </c>
      <c r="M325">
        <f t="shared" si="49"/>
        <v>4.3474773988888886</v>
      </c>
      <c r="N325" s="9"/>
      <c r="O325" s="21">
        <v>1.47766</v>
      </c>
      <c r="P325" s="21">
        <v>15.1214</v>
      </c>
      <c r="Q325" s="21">
        <v>-1.39343E-2</v>
      </c>
      <c r="R325" s="21">
        <v>68</v>
      </c>
      <c r="S325" s="21">
        <v>1.47675</v>
      </c>
      <c r="T325">
        <f t="shared" si="50"/>
        <v>17.202839506172836</v>
      </c>
      <c r="U325">
        <f t="shared" si="51"/>
        <v>25.419947824691352</v>
      </c>
      <c r="X325" s="9"/>
      <c r="Y325" s="21">
        <v>0.23391700000000001</v>
      </c>
      <c r="Z325" s="21">
        <v>17.608899999999998</v>
      </c>
      <c r="AA325" s="21">
        <v>-1.50513E-2</v>
      </c>
      <c r="AB325" s="21">
        <v>315</v>
      </c>
      <c r="AC325" s="21">
        <v>0.23324600000000001</v>
      </c>
      <c r="AD325">
        <f t="shared" si="52"/>
        <v>18.581851851851848</v>
      </c>
      <c r="AE325">
        <f t="shared" si="53"/>
        <v>4.3466110396296287</v>
      </c>
      <c r="AF325" s="9"/>
      <c r="AG325" s="21">
        <v>1.48621</v>
      </c>
      <c r="AH325" s="21">
        <v>21.468399999999999</v>
      </c>
      <c r="AI325" s="21">
        <v>-1.38733E-2</v>
      </c>
      <c r="AJ325" s="21">
        <v>315</v>
      </c>
      <c r="AK325" s="21">
        <v>1.4856</v>
      </c>
      <c r="AL325">
        <f t="shared" si="54"/>
        <v>17.127530864197528</v>
      </c>
      <c r="AM325">
        <f t="shared" si="55"/>
        <v>25.455107645679007</v>
      </c>
      <c r="AP325" s="9"/>
      <c r="AQ325" s="21">
        <v>0.23391700000000001</v>
      </c>
      <c r="AR325" s="21">
        <v>27.043099999999999</v>
      </c>
      <c r="AS325" s="21">
        <v>-1.5081799999999999E-2</v>
      </c>
      <c r="AT325" s="21">
        <v>315</v>
      </c>
      <c r="AU325" s="21">
        <v>0.23339799999999999</v>
      </c>
      <c r="AV325">
        <f t="shared" si="56"/>
        <v>18.619506172839504</v>
      </c>
      <c r="AW325">
        <f t="shared" si="57"/>
        <v>4.3554190254320986</v>
      </c>
      <c r="AX325" s="9"/>
      <c r="AY325" s="21">
        <v>1.48621</v>
      </c>
      <c r="AZ325" s="21">
        <v>30.9026</v>
      </c>
      <c r="BA325" s="21">
        <v>-1.38916E-2</v>
      </c>
      <c r="BB325" s="21">
        <v>315</v>
      </c>
      <c r="BC325" s="21">
        <v>1.48499</v>
      </c>
      <c r="BD325">
        <f t="shared" si="58"/>
        <v>17.150123456790123</v>
      </c>
      <c r="BE325">
        <f t="shared" si="59"/>
        <v>25.488684982716048</v>
      </c>
    </row>
    <row r="326" spans="6:57" x14ac:dyDescent="0.25">
      <c r="F326" s="9"/>
      <c r="G326" s="21">
        <v>0.228882</v>
      </c>
      <c r="H326" s="21">
        <v>8.2047500000000007</v>
      </c>
      <c r="I326" s="21">
        <v>-1.50513E-2</v>
      </c>
      <c r="J326" s="21">
        <v>316</v>
      </c>
      <c r="K326" s="21">
        <v>0.228271</v>
      </c>
      <c r="L326">
        <f t="shared" si="48"/>
        <v>18.581851851851848</v>
      </c>
      <c r="M326">
        <f t="shared" si="49"/>
        <v>4.2530514155555545</v>
      </c>
      <c r="N326" s="9"/>
      <c r="O326" s="21">
        <v>1.4826999999999999</v>
      </c>
      <c r="P326" s="21">
        <v>15.1113</v>
      </c>
      <c r="Q326" s="21">
        <v>-1.3916E-2</v>
      </c>
      <c r="R326" s="21">
        <v>67</v>
      </c>
      <c r="S326" s="21">
        <v>1.48193</v>
      </c>
      <c r="T326">
        <f t="shared" si="50"/>
        <v>17.180246913580245</v>
      </c>
      <c r="U326">
        <f t="shared" si="51"/>
        <v>25.473152098765429</v>
      </c>
      <c r="X326" s="9"/>
      <c r="Y326" s="21">
        <v>0.228882</v>
      </c>
      <c r="Z326" s="21">
        <v>17.619</v>
      </c>
      <c r="AA326" s="21">
        <v>-1.50391E-2</v>
      </c>
      <c r="AB326" s="21">
        <v>316</v>
      </c>
      <c r="AC326" s="21">
        <v>0.22839400000000001</v>
      </c>
      <c r="AD326">
        <f t="shared" si="52"/>
        <v>18.566790123456791</v>
      </c>
      <c r="AE326">
        <f t="shared" si="53"/>
        <v>4.249604057037037</v>
      </c>
      <c r="AF326" s="9"/>
      <c r="AG326" s="21">
        <v>1.4912399999999999</v>
      </c>
      <c r="AH326" s="21">
        <v>21.478400000000001</v>
      </c>
      <c r="AI326" s="21">
        <v>-1.3842800000000001E-2</v>
      </c>
      <c r="AJ326" s="21">
        <v>316</v>
      </c>
      <c r="AK326" s="21">
        <v>1.49109</v>
      </c>
      <c r="AL326">
        <f t="shared" si="54"/>
        <v>17.089876543209876</v>
      </c>
      <c r="AM326">
        <f t="shared" si="55"/>
        <v>25.485107496296294</v>
      </c>
      <c r="AP326" s="9"/>
      <c r="AQ326" s="21">
        <v>0.228882</v>
      </c>
      <c r="AR326" s="21">
        <v>27.0532</v>
      </c>
      <c r="AS326" s="21">
        <v>-1.5084800000000001E-2</v>
      </c>
      <c r="AT326" s="21">
        <v>316</v>
      </c>
      <c r="AU326" s="21">
        <v>0.22821</v>
      </c>
      <c r="AV326">
        <f t="shared" si="56"/>
        <v>18.623209876543207</v>
      </c>
      <c r="AW326">
        <f t="shared" si="57"/>
        <v>4.2625175229629626</v>
      </c>
      <c r="AX326" s="9"/>
      <c r="AY326" s="21">
        <v>1.4912399999999999</v>
      </c>
      <c r="AZ326" s="21">
        <v>30.912700000000001</v>
      </c>
      <c r="BA326" s="21">
        <v>-1.38672E-2</v>
      </c>
      <c r="BB326" s="21">
        <v>316</v>
      </c>
      <c r="BC326" s="21">
        <v>1.49078</v>
      </c>
      <c r="BD326">
        <f t="shared" si="58"/>
        <v>17.12</v>
      </c>
      <c r="BE326">
        <f t="shared" si="59"/>
        <v>25.5300288</v>
      </c>
    </row>
    <row r="327" spans="6:57" x14ac:dyDescent="0.25">
      <c r="F327" s="9"/>
      <c r="G327" s="21">
        <v>0.22384599999999999</v>
      </c>
      <c r="H327" s="21">
        <v>8.2148299999999992</v>
      </c>
      <c r="I327" s="21">
        <v>-1.50391E-2</v>
      </c>
      <c r="J327" s="21">
        <v>317</v>
      </c>
      <c r="K327" s="21">
        <v>0.223328</v>
      </c>
      <c r="L327">
        <f t="shared" si="48"/>
        <v>18.566790123456791</v>
      </c>
      <c r="M327">
        <f t="shared" si="49"/>
        <v>4.1561017019753086</v>
      </c>
      <c r="N327" s="9"/>
      <c r="O327" s="21">
        <v>1.48773</v>
      </c>
      <c r="P327" s="21">
        <v>15.1012</v>
      </c>
      <c r="Q327" s="21">
        <v>-1.3894699999999999E-2</v>
      </c>
      <c r="R327" s="21">
        <v>66</v>
      </c>
      <c r="S327" s="21">
        <v>1.48743</v>
      </c>
      <c r="T327">
        <f t="shared" si="50"/>
        <v>17.153950617283947</v>
      </c>
      <c r="U327">
        <f t="shared" si="51"/>
        <v>25.520446951851845</v>
      </c>
      <c r="X327" s="9"/>
      <c r="Y327" s="21">
        <v>0.22384599999999999</v>
      </c>
      <c r="Z327" s="21">
        <v>17.629000000000001</v>
      </c>
      <c r="AA327" s="21">
        <v>-1.5032999999999999E-2</v>
      </c>
      <c r="AB327" s="21">
        <v>317</v>
      </c>
      <c r="AC327" s="21">
        <v>0.223297</v>
      </c>
      <c r="AD327">
        <f t="shared" si="52"/>
        <v>18.559259259259257</v>
      </c>
      <c r="AE327">
        <f t="shared" si="53"/>
        <v>4.1544159481481477</v>
      </c>
      <c r="AF327" s="9"/>
      <c r="AG327" s="21">
        <v>1.4962800000000001</v>
      </c>
      <c r="AH327" s="21">
        <v>21.488499999999998</v>
      </c>
      <c r="AI327" s="21">
        <v>-1.38184E-2</v>
      </c>
      <c r="AJ327" s="21">
        <v>317</v>
      </c>
      <c r="AK327" s="21">
        <v>1.4956700000000001</v>
      </c>
      <c r="AL327">
        <f t="shared" si="54"/>
        <v>17.05975308641975</v>
      </c>
      <c r="AM327">
        <f t="shared" si="55"/>
        <v>25.526167348148146</v>
      </c>
      <c r="AP327" s="9"/>
      <c r="AQ327" s="21">
        <v>0.22384599999999999</v>
      </c>
      <c r="AR327" s="21">
        <v>27.063300000000002</v>
      </c>
      <c r="AS327" s="21">
        <v>-1.5075699999999999E-2</v>
      </c>
      <c r="AT327" s="21">
        <v>317</v>
      </c>
      <c r="AU327" s="21">
        <v>0.223297</v>
      </c>
      <c r="AV327">
        <f t="shared" si="56"/>
        <v>18.611975308641973</v>
      </c>
      <c r="AW327">
        <f t="shared" si="57"/>
        <v>4.166216224938271</v>
      </c>
      <c r="AX327" s="9"/>
      <c r="AY327" s="21">
        <v>1.4962800000000001</v>
      </c>
      <c r="AZ327" s="21">
        <v>30.922699999999999</v>
      </c>
      <c r="BA327" s="21">
        <v>-1.3842800000000001E-2</v>
      </c>
      <c r="BB327" s="21">
        <v>317</v>
      </c>
      <c r="BC327" s="21">
        <v>1.49536</v>
      </c>
      <c r="BD327">
        <f t="shared" si="58"/>
        <v>17.089876543209876</v>
      </c>
      <c r="BE327">
        <f t="shared" si="59"/>
        <v>25.571240474074074</v>
      </c>
    </row>
    <row r="328" spans="6:57" x14ac:dyDescent="0.25">
      <c r="F328" s="9"/>
      <c r="G328" s="21">
        <v>0.21881100000000001</v>
      </c>
      <c r="H328" s="21">
        <v>8.2248999999999999</v>
      </c>
      <c r="I328" s="21">
        <v>-1.50391E-2</v>
      </c>
      <c r="J328" s="21">
        <v>318</v>
      </c>
      <c r="K328" s="21">
        <v>0.21826200000000001</v>
      </c>
      <c r="L328">
        <f t="shared" si="48"/>
        <v>18.566790123456791</v>
      </c>
      <c r="M328">
        <f t="shared" si="49"/>
        <v>4.0626179137037042</v>
      </c>
      <c r="N328" s="9"/>
      <c r="O328" s="21">
        <v>1.4927699999999999</v>
      </c>
      <c r="P328" s="21">
        <v>15.091100000000001</v>
      </c>
      <c r="Q328" s="21">
        <v>-1.3876299999999999E-2</v>
      </c>
      <c r="R328" s="21">
        <v>65</v>
      </c>
      <c r="S328" s="21">
        <v>1.4917</v>
      </c>
      <c r="T328">
        <f t="shared" si="50"/>
        <v>17.131234567901231</v>
      </c>
      <c r="U328">
        <f t="shared" si="51"/>
        <v>25.572993025925918</v>
      </c>
      <c r="X328" s="9"/>
      <c r="Y328" s="21">
        <v>0.21881100000000001</v>
      </c>
      <c r="Z328" s="21">
        <v>17.639099999999999</v>
      </c>
      <c r="AA328" s="21">
        <v>-1.5029900000000001E-2</v>
      </c>
      <c r="AB328" s="21">
        <v>318</v>
      </c>
      <c r="AC328" s="21">
        <v>0.21823100000000001</v>
      </c>
      <c r="AD328">
        <f t="shared" si="52"/>
        <v>18.555432098765429</v>
      </c>
      <c r="AE328">
        <f t="shared" si="53"/>
        <v>4.0601326529629622</v>
      </c>
      <c r="AF328" s="9"/>
      <c r="AG328" s="21">
        <v>1.5013099999999999</v>
      </c>
      <c r="AH328" s="21">
        <v>21.4986</v>
      </c>
      <c r="AI328" s="21">
        <v>-1.3787799999999999E-2</v>
      </c>
      <c r="AJ328" s="21">
        <v>318</v>
      </c>
      <c r="AK328" s="21">
        <v>1.50085</v>
      </c>
      <c r="AL328">
        <f t="shared" si="54"/>
        <v>17.021975308641974</v>
      </c>
      <c r="AM328">
        <f t="shared" si="55"/>
        <v>25.55526175061728</v>
      </c>
      <c r="AP328" s="9"/>
      <c r="AQ328" s="21">
        <v>0.21881100000000001</v>
      </c>
      <c r="AR328" s="21">
        <v>27.0733</v>
      </c>
      <c r="AS328" s="21">
        <v>-1.5069600000000001E-2</v>
      </c>
      <c r="AT328" s="21">
        <v>318</v>
      </c>
      <c r="AU328" s="21">
        <v>0.21823100000000001</v>
      </c>
      <c r="AV328">
        <f t="shared" si="56"/>
        <v>18.604444444444443</v>
      </c>
      <c r="AW328">
        <f t="shared" si="57"/>
        <v>4.0708570933333332</v>
      </c>
      <c r="AX328" s="9"/>
      <c r="AY328" s="21">
        <v>1.5013099999999999</v>
      </c>
      <c r="AZ328" s="21">
        <v>30.9328</v>
      </c>
      <c r="BA328" s="21">
        <v>-1.38184E-2</v>
      </c>
      <c r="BB328" s="21">
        <v>318</v>
      </c>
      <c r="BC328" s="21">
        <v>1.50024</v>
      </c>
      <c r="BD328">
        <f t="shared" si="58"/>
        <v>17.05975308641975</v>
      </c>
      <c r="BE328">
        <f t="shared" si="59"/>
        <v>25.611977906172832</v>
      </c>
    </row>
    <row r="329" spans="6:57" x14ac:dyDescent="0.25">
      <c r="F329" s="9"/>
      <c r="G329" s="21">
        <v>0.21377599999999999</v>
      </c>
      <c r="H329" s="21">
        <v>8.2349700000000006</v>
      </c>
      <c r="I329" s="21">
        <v>-1.5026899999999999E-2</v>
      </c>
      <c r="J329" s="21">
        <v>319</v>
      </c>
      <c r="K329" s="21">
        <v>0.213196</v>
      </c>
      <c r="L329">
        <f t="shared" si="48"/>
        <v>18.551728395061726</v>
      </c>
      <c r="M329">
        <f t="shared" si="49"/>
        <v>3.9659142893827153</v>
      </c>
      <c r="N329" s="9"/>
      <c r="O329" s="21">
        <v>1.4978</v>
      </c>
      <c r="P329" s="21">
        <v>15.081099999999999</v>
      </c>
      <c r="Q329" s="21">
        <v>-1.3854999999999999E-2</v>
      </c>
      <c r="R329" s="21">
        <v>64</v>
      </c>
      <c r="S329" s="21">
        <v>1.4968900000000001</v>
      </c>
      <c r="T329">
        <f t="shared" si="50"/>
        <v>17.104938271604937</v>
      </c>
      <c r="U329">
        <f t="shared" si="51"/>
        <v>25.619776543209873</v>
      </c>
      <c r="X329" s="9"/>
      <c r="Y329" s="21">
        <v>0.21377599999999999</v>
      </c>
      <c r="Z329" s="21">
        <v>17.6492</v>
      </c>
      <c r="AA329" s="21">
        <v>-1.50238E-2</v>
      </c>
      <c r="AB329" s="21">
        <v>319</v>
      </c>
      <c r="AC329" s="21">
        <v>0.213196</v>
      </c>
      <c r="AD329">
        <f t="shared" si="52"/>
        <v>18.547901234567902</v>
      </c>
      <c r="AE329">
        <f t="shared" si="53"/>
        <v>3.9650961343209876</v>
      </c>
      <c r="AF329" s="9"/>
      <c r="AG329" s="21">
        <v>1.5063500000000001</v>
      </c>
      <c r="AH329" s="21">
        <v>21.508700000000001</v>
      </c>
      <c r="AI329" s="21">
        <v>-1.3766499999999999E-2</v>
      </c>
      <c r="AJ329" s="21">
        <v>319</v>
      </c>
      <c r="AK329" s="21">
        <v>1.50482</v>
      </c>
      <c r="AL329">
        <f t="shared" si="54"/>
        <v>16.995679012345676</v>
      </c>
      <c r="AM329">
        <f t="shared" si="55"/>
        <v>25.601441080246911</v>
      </c>
      <c r="AP329" s="9"/>
      <c r="AQ329" s="21">
        <v>0.21377599999999999</v>
      </c>
      <c r="AR329" s="21">
        <v>27.083400000000001</v>
      </c>
      <c r="AS329" s="21">
        <v>-1.50543E-2</v>
      </c>
      <c r="AT329" s="21">
        <v>319</v>
      </c>
      <c r="AU329" s="21">
        <v>0.213196</v>
      </c>
      <c r="AV329">
        <f t="shared" si="56"/>
        <v>18.585555555555555</v>
      </c>
      <c r="AW329">
        <f t="shared" si="57"/>
        <v>3.9731457244444441</v>
      </c>
      <c r="AX329" s="9"/>
      <c r="AY329" s="21">
        <v>1.5063500000000001</v>
      </c>
      <c r="AZ329" s="21">
        <v>30.942900000000002</v>
      </c>
      <c r="BA329" s="21">
        <v>-1.3787799999999999E-2</v>
      </c>
      <c r="BB329" s="21">
        <v>319</v>
      </c>
      <c r="BC329" s="21">
        <v>1.50543</v>
      </c>
      <c r="BD329">
        <f t="shared" si="58"/>
        <v>17.021975308641974</v>
      </c>
      <c r="BE329">
        <f t="shared" si="59"/>
        <v>25.641052506172837</v>
      </c>
    </row>
    <row r="330" spans="6:57" x14ac:dyDescent="0.25">
      <c r="F330" s="9"/>
      <c r="G330" s="21">
        <v>0.20874000000000001</v>
      </c>
      <c r="H330" s="21">
        <v>8.2450399999999995</v>
      </c>
      <c r="I330" s="21">
        <v>-1.50238E-2</v>
      </c>
      <c r="J330" s="21">
        <v>320</v>
      </c>
      <c r="K330" s="21">
        <v>0.208313</v>
      </c>
      <c r="L330">
        <f t="shared" si="48"/>
        <v>18.547901234567902</v>
      </c>
      <c r="M330">
        <f t="shared" si="49"/>
        <v>3.8716889037037041</v>
      </c>
      <c r="N330" s="9"/>
      <c r="O330" s="21">
        <v>1.50284</v>
      </c>
      <c r="P330" s="21">
        <v>15.071</v>
      </c>
      <c r="Q330" s="21">
        <v>-1.38306E-2</v>
      </c>
      <c r="R330" s="21">
        <v>63</v>
      </c>
      <c r="S330" s="21">
        <v>1.5020800000000001</v>
      </c>
      <c r="T330">
        <f t="shared" si="50"/>
        <v>17.074814814814815</v>
      </c>
      <c r="U330">
        <f t="shared" si="51"/>
        <v>25.660714696296296</v>
      </c>
      <c r="X330" s="9"/>
      <c r="Y330" s="21">
        <v>0.20874000000000001</v>
      </c>
      <c r="Z330" s="21">
        <v>17.659300000000002</v>
      </c>
      <c r="AA330" s="21">
        <v>-1.50116E-2</v>
      </c>
      <c r="AB330" s="21">
        <v>320</v>
      </c>
      <c r="AC330" s="21">
        <v>0.20813000000000001</v>
      </c>
      <c r="AD330">
        <f t="shared" si="52"/>
        <v>18.532839506172838</v>
      </c>
      <c r="AE330">
        <f t="shared" si="53"/>
        <v>3.8685449185185186</v>
      </c>
      <c r="AF330" s="9"/>
      <c r="AG330" s="21">
        <v>1.5113799999999999</v>
      </c>
      <c r="AH330" s="21">
        <v>21.518699999999999</v>
      </c>
      <c r="AI330" s="21">
        <v>-1.3736E-2</v>
      </c>
      <c r="AJ330" s="21">
        <v>320</v>
      </c>
      <c r="AK330" s="21">
        <v>1.5106200000000001</v>
      </c>
      <c r="AL330">
        <f t="shared" si="54"/>
        <v>16.958024691358023</v>
      </c>
      <c r="AM330">
        <f t="shared" si="55"/>
        <v>25.63001935802469</v>
      </c>
      <c r="AP330" s="9"/>
      <c r="AQ330" s="21">
        <v>0.20874000000000001</v>
      </c>
      <c r="AR330" s="21">
        <v>27.093499999999999</v>
      </c>
      <c r="AS330" s="21">
        <v>-1.50513E-2</v>
      </c>
      <c r="AT330" s="21">
        <v>320</v>
      </c>
      <c r="AU330" s="21">
        <v>0.20822099999999999</v>
      </c>
      <c r="AV330">
        <f t="shared" si="56"/>
        <v>18.581851851851848</v>
      </c>
      <c r="AW330">
        <f t="shared" si="57"/>
        <v>3.8787757555555551</v>
      </c>
      <c r="AX330" s="9"/>
      <c r="AY330" s="21">
        <v>1.5113799999999999</v>
      </c>
      <c r="AZ330" s="21">
        <v>30.952999999999999</v>
      </c>
      <c r="BA330" s="21">
        <v>-1.37573E-2</v>
      </c>
      <c r="BB330" s="21">
        <v>320</v>
      </c>
      <c r="BC330" s="21">
        <v>1.5109300000000001</v>
      </c>
      <c r="BD330">
        <f t="shared" si="58"/>
        <v>16.984320987654321</v>
      </c>
      <c r="BE330">
        <f t="shared" si="59"/>
        <v>25.669763054320988</v>
      </c>
    </row>
    <row r="331" spans="6:57" x14ac:dyDescent="0.25">
      <c r="F331" s="9"/>
      <c r="G331" s="21">
        <v>0.203705</v>
      </c>
      <c r="H331" s="21">
        <v>8.2551100000000002</v>
      </c>
      <c r="I331" s="21">
        <v>-1.50177E-2</v>
      </c>
      <c r="J331" s="21">
        <v>321</v>
      </c>
      <c r="K331" s="21">
        <v>0.20321700000000001</v>
      </c>
      <c r="L331">
        <f t="shared" si="48"/>
        <v>18.540370370370372</v>
      </c>
      <c r="M331">
        <f t="shared" si="49"/>
        <v>3.7767661462962967</v>
      </c>
      <c r="N331" s="9"/>
      <c r="O331" s="21">
        <v>1.50787</v>
      </c>
      <c r="P331" s="21">
        <v>15.0609</v>
      </c>
      <c r="Q331" s="21">
        <v>-1.38E-2</v>
      </c>
      <c r="R331" s="21">
        <v>62</v>
      </c>
      <c r="S331" s="21">
        <v>1.5069600000000001</v>
      </c>
      <c r="T331">
        <f t="shared" si="50"/>
        <v>17.037037037037035</v>
      </c>
      <c r="U331">
        <f t="shared" si="51"/>
        <v>25.689637037037034</v>
      </c>
      <c r="X331" s="9"/>
      <c r="Y331" s="21">
        <v>0.203705</v>
      </c>
      <c r="Z331" s="21">
        <v>17.6693</v>
      </c>
      <c r="AA331" s="21">
        <v>-1.5008499999999999E-2</v>
      </c>
      <c r="AB331" s="21">
        <v>321</v>
      </c>
      <c r="AC331" s="21">
        <v>0.20318600000000001</v>
      </c>
      <c r="AD331">
        <f t="shared" si="52"/>
        <v>18.529012345679011</v>
      </c>
      <c r="AE331">
        <f t="shared" si="53"/>
        <v>3.7744524598765428</v>
      </c>
      <c r="AF331" s="9"/>
      <c r="AG331" s="21">
        <v>1.5164200000000001</v>
      </c>
      <c r="AH331" s="21">
        <v>21.5288</v>
      </c>
      <c r="AI331" s="21">
        <v>-1.37024E-2</v>
      </c>
      <c r="AJ331" s="21">
        <v>321</v>
      </c>
      <c r="AK331" s="21">
        <v>1.5155000000000001</v>
      </c>
      <c r="AL331">
        <f t="shared" si="54"/>
        <v>16.916543209876544</v>
      </c>
      <c r="AM331">
        <f t="shared" si="55"/>
        <v>25.652584454320991</v>
      </c>
      <c r="AP331" s="9"/>
      <c r="AQ331" s="21">
        <v>0.203705</v>
      </c>
      <c r="AR331" s="21">
        <v>27.1036</v>
      </c>
      <c r="AS331" s="21">
        <v>-1.50574E-2</v>
      </c>
      <c r="AT331" s="21">
        <v>321</v>
      </c>
      <c r="AU331" s="21">
        <v>0.20321700000000001</v>
      </c>
      <c r="AV331">
        <f t="shared" si="56"/>
        <v>18.589382716049382</v>
      </c>
      <c r="AW331">
        <f t="shared" si="57"/>
        <v>3.7867502061728393</v>
      </c>
      <c r="AX331" s="9"/>
      <c r="AY331" s="21">
        <v>1.5164200000000001</v>
      </c>
      <c r="AZ331" s="21">
        <v>30.963000000000001</v>
      </c>
      <c r="BA331" s="21">
        <v>-1.3720700000000001E-2</v>
      </c>
      <c r="BB331" s="21">
        <v>321</v>
      </c>
      <c r="BC331" s="21">
        <v>1.5152000000000001</v>
      </c>
      <c r="BD331">
        <f t="shared" si="58"/>
        <v>16.939135802469135</v>
      </c>
      <c r="BE331">
        <f t="shared" si="59"/>
        <v>25.686844313580249</v>
      </c>
    </row>
    <row r="332" spans="6:57" x14ac:dyDescent="0.25">
      <c r="F332" s="9"/>
      <c r="G332" s="21">
        <v>0.19866900000000001</v>
      </c>
      <c r="H332" s="21">
        <v>8.2651800000000009</v>
      </c>
      <c r="I332" s="21">
        <v>-1.5026899999999999E-2</v>
      </c>
      <c r="J332" s="21">
        <v>322</v>
      </c>
      <c r="K332" s="21">
        <v>0.19808999999999999</v>
      </c>
      <c r="L332">
        <f t="shared" ref="L332:L392" si="60">-I332/$F$2*1000</f>
        <v>18.551728395061726</v>
      </c>
      <c r="M332">
        <f t="shared" ref="M332:M392" si="61">L332*G332</f>
        <v>3.6856533285185185</v>
      </c>
      <c r="N332" s="9"/>
      <c r="O332" s="21">
        <v>1.51291</v>
      </c>
      <c r="P332" s="21">
        <v>15.0509</v>
      </c>
      <c r="Q332" s="21">
        <v>-1.37634E-2</v>
      </c>
      <c r="R332" s="21">
        <v>61</v>
      </c>
      <c r="S332" s="21">
        <v>1.5124500000000001</v>
      </c>
      <c r="T332">
        <f t="shared" ref="T332:T392" si="62">-Q332/$F$2*1000</f>
        <v>16.991851851851852</v>
      </c>
      <c r="U332">
        <f t="shared" ref="U332:U392" si="63">T332*O332</f>
        <v>25.707142585185185</v>
      </c>
      <c r="X332" s="9"/>
      <c r="Y332" s="21">
        <v>0.19866900000000001</v>
      </c>
      <c r="Z332" s="21">
        <v>17.679400000000001</v>
      </c>
      <c r="AA332" s="21">
        <v>-1.50238E-2</v>
      </c>
      <c r="AB332" s="21">
        <v>322</v>
      </c>
      <c r="AC332" s="21">
        <v>0.19815099999999999</v>
      </c>
      <c r="AD332">
        <f t="shared" ref="AD332:AD392" si="64">-AA332/$F$2*1000</f>
        <v>18.547901234567902</v>
      </c>
      <c r="AE332">
        <f t="shared" ref="AE332:AE392" si="65">AD332*Y332</f>
        <v>3.6848929903703707</v>
      </c>
      <c r="AF332" s="9"/>
      <c r="AG332" s="21">
        <v>1.52145</v>
      </c>
      <c r="AH332" s="21">
        <v>21.538900000000002</v>
      </c>
      <c r="AI332" s="21">
        <v>-1.36749E-2</v>
      </c>
      <c r="AJ332" s="21">
        <v>322</v>
      </c>
      <c r="AK332" s="21">
        <v>1.5203899999999999</v>
      </c>
      <c r="AL332">
        <f t="shared" ref="AL332:AL392" si="66">-AI332/$F$2*1000</f>
        <v>16.882592592592591</v>
      </c>
      <c r="AM332">
        <f t="shared" ref="AM332:AM392" si="67">AL332*AG332</f>
        <v>25.686020499999998</v>
      </c>
      <c r="AP332" s="9"/>
      <c r="AQ332" s="21">
        <v>0.19866900000000001</v>
      </c>
      <c r="AR332" s="21">
        <v>27.113600000000002</v>
      </c>
      <c r="AS332" s="21">
        <v>-1.50574E-2</v>
      </c>
      <c r="AT332" s="21">
        <v>322</v>
      </c>
      <c r="AU332" s="21">
        <v>0.19808999999999999</v>
      </c>
      <c r="AV332">
        <f t="shared" ref="AV332:AV392" si="68">-AS332/$F$2*1000</f>
        <v>18.589382716049382</v>
      </c>
      <c r="AW332">
        <f t="shared" ref="AW332:AW392" si="69">AV332*AQ332</f>
        <v>3.6931340748148149</v>
      </c>
      <c r="AX332" s="9"/>
      <c r="AY332" s="21">
        <v>1.52145</v>
      </c>
      <c r="AZ332" s="21">
        <v>30.973099999999999</v>
      </c>
      <c r="BA332" s="21">
        <v>-1.3681E-2</v>
      </c>
      <c r="BB332" s="21">
        <v>322</v>
      </c>
      <c r="BC332" s="21">
        <v>1.5206900000000001</v>
      </c>
      <c r="BD332">
        <f t="shared" ref="BD332:BD392" si="70">-BA332/$F$2*1000</f>
        <v>16.890123456790121</v>
      </c>
      <c r="BE332">
        <f t="shared" ref="BE332:BE392" si="71">BD332*AY332</f>
        <v>25.697478333333329</v>
      </c>
    </row>
    <row r="333" spans="6:57" x14ac:dyDescent="0.25">
      <c r="F333" s="9"/>
      <c r="G333" s="21">
        <v>0.193634</v>
      </c>
      <c r="H333" s="21">
        <v>8.2752499999999998</v>
      </c>
      <c r="I333" s="21">
        <v>-1.5029900000000001E-2</v>
      </c>
      <c r="J333" s="21">
        <v>323</v>
      </c>
      <c r="K333" s="21">
        <v>0.193024</v>
      </c>
      <c r="L333">
        <f t="shared" si="60"/>
        <v>18.555432098765429</v>
      </c>
      <c r="M333">
        <f t="shared" si="61"/>
        <v>3.592962539012345</v>
      </c>
      <c r="N333" s="9"/>
      <c r="O333" s="21">
        <v>1.5179400000000001</v>
      </c>
      <c r="P333" s="21">
        <v>15.040800000000001</v>
      </c>
      <c r="Q333" s="21">
        <v>-1.37238E-2</v>
      </c>
      <c r="R333" s="21">
        <v>60</v>
      </c>
      <c r="S333" s="21">
        <v>1.5170300000000001</v>
      </c>
      <c r="T333">
        <f t="shared" si="62"/>
        <v>16.942962962962962</v>
      </c>
      <c r="U333">
        <f t="shared" si="63"/>
        <v>25.718401199999999</v>
      </c>
      <c r="X333" s="9"/>
      <c r="Y333" s="21">
        <v>0.193634</v>
      </c>
      <c r="Z333" s="21">
        <v>17.689499999999999</v>
      </c>
      <c r="AA333" s="21">
        <v>-1.5032999999999999E-2</v>
      </c>
      <c r="AB333" s="21">
        <v>323</v>
      </c>
      <c r="AC333" s="21">
        <v>0.193054</v>
      </c>
      <c r="AD333">
        <f t="shared" si="64"/>
        <v>18.559259259259257</v>
      </c>
      <c r="AE333">
        <f t="shared" si="65"/>
        <v>3.5937036074074071</v>
      </c>
      <c r="AF333" s="9"/>
      <c r="AG333" s="21">
        <v>1.5264899999999999</v>
      </c>
      <c r="AH333" s="21">
        <v>21.5489</v>
      </c>
      <c r="AI333" s="21">
        <v>-1.36536E-2</v>
      </c>
      <c r="AJ333" s="21">
        <v>323</v>
      </c>
      <c r="AK333" s="21">
        <v>1.5261800000000001</v>
      </c>
      <c r="AL333">
        <f t="shared" si="66"/>
        <v>16.856296296296296</v>
      </c>
      <c r="AM333">
        <f t="shared" si="67"/>
        <v>25.730967733333333</v>
      </c>
      <c r="AP333" s="9"/>
      <c r="AQ333" s="21">
        <v>0.193634</v>
      </c>
      <c r="AR333" s="21">
        <v>27.123699999999999</v>
      </c>
      <c r="AS333" s="21">
        <v>-1.50604E-2</v>
      </c>
      <c r="AT333" s="21">
        <v>323</v>
      </c>
      <c r="AU333" s="21">
        <v>0.193024</v>
      </c>
      <c r="AV333">
        <f t="shared" si="68"/>
        <v>18.593086419753085</v>
      </c>
      <c r="AW333">
        <f t="shared" si="69"/>
        <v>3.6002536958024689</v>
      </c>
      <c r="AX333" s="9"/>
      <c r="AY333" s="21">
        <v>1.5264899999999999</v>
      </c>
      <c r="AZ333" s="21">
        <v>30.9832</v>
      </c>
      <c r="BA333" s="21">
        <v>-1.36475E-2</v>
      </c>
      <c r="BB333" s="21">
        <v>323</v>
      </c>
      <c r="BC333" s="21">
        <v>1.5255700000000001</v>
      </c>
      <c r="BD333">
        <f t="shared" si="70"/>
        <v>16.848765432098766</v>
      </c>
      <c r="BE333">
        <f t="shared" si="71"/>
        <v>25.719471944444443</v>
      </c>
    </row>
    <row r="334" spans="6:57" x14ac:dyDescent="0.25">
      <c r="F334" s="9"/>
      <c r="G334" s="21">
        <v>0.18859899999999999</v>
      </c>
      <c r="H334" s="21">
        <v>8.2853200000000005</v>
      </c>
      <c r="I334" s="21">
        <v>-1.5036000000000001E-2</v>
      </c>
      <c r="J334" s="21">
        <v>324</v>
      </c>
      <c r="K334" s="21">
        <v>0.18792700000000001</v>
      </c>
      <c r="L334">
        <f t="shared" si="60"/>
        <v>18.562962962962963</v>
      </c>
      <c r="M334">
        <f t="shared" si="61"/>
        <v>3.5009562518518518</v>
      </c>
      <c r="N334" s="9"/>
      <c r="O334" s="21">
        <v>1.52298</v>
      </c>
      <c r="P334" s="21">
        <v>15.0307</v>
      </c>
      <c r="Q334" s="21">
        <v>-1.36963E-2</v>
      </c>
      <c r="R334" s="21">
        <v>59</v>
      </c>
      <c r="S334" s="21">
        <v>1.5222199999999999</v>
      </c>
      <c r="T334">
        <f t="shared" si="62"/>
        <v>16.90901234567901</v>
      </c>
      <c r="U334">
        <f t="shared" si="63"/>
        <v>25.752087622222216</v>
      </c>
      <c r="X334" s="9"/>
      <c r="Y334" s="21">
        <v>0.18859899999999999</v>
      </c>
      <c r="Z334" s="21">
        <v>17.6995</v>
      </c>
      <c r="AA334" s="21">
        <v>-1.5029900000000001E-2</v>
      </c>
      <c r="AB334" s="21">
        <v>324</v>
      </c>
      <c r="AC334" s="21">
        <v>0.18808</v>
      </c>
      <c r="AD334">
        <f t="shared" si="64"/>
        <v>18.555432098765429</v>
      </c>
      <c r="AE334">
        <f t="shared" si="65"/>
        <v>3.4995359383950611</v>
      </c>
      <c r="AF334" s="9"/>
      <c r="AG334" s="21">
        <v>1.53152</v>
      </c>
      <c r="AH334" s="21">
        <v>21.559000000000001</v>
      </c>
      <c r="AI334" s="21">
        <v>-1.3623E-2</v>
      </c>
      <c r="AJ334" s="21">
        <v>324</v>
      </c>
      <c r="AK334" s="21">
        <v>1.5304599999999999</v>
      </c>
      <c r="AL334">
        <f t="shared" si="66"/>
        <v>16.818518518518516</v>
      </c>
      <c r="AM334">
        <f t="shared" si="67"/>
        <v>25.757897481481479</v>
      </c>
      <c r="AP334" s="9"/>
      <c r="AQ334" s="21">
        <v>0.18859899999999999</v>
      </c>
      <c r="AR334" s="21">
        <v>27.133800000000001</v>
      </c>
      <c r="AS334" s="21">
        <v>-1.50726E-2</v>
      </c>
      <c r="AT334" s="21">
        <v>324</v>
      </c>
      <c r="AU334" s="21">
        <v>0.18789700000000001</v>
      </c>
      <c r="AV334">
        <f t="shared" si="68"/>
        <v>18.60814814814815</v>
      </c>
      <c r="AW334">
        <f t="shared" si="69"/>
        <v>3.5094781325925926</v>
      </c>
      <c r="AX334" s="9"/>
      <c r="AY334" s="21">
        <v>1.53152</v>
      </c>
      <c r="AZ334" s="21">
        <v>30.993200000000002</v>
      </c>
      <c r="BA334" s="21">
        <v>-1.3616899999999999E-2</v>
      </c>
      <c r="BB334" s="21">
        <v>324</v>
      </c>
      <c r="BC334" s="21">
        <v>1.5307599999999999</v>
      </c>
      <c r="BD334">
        <f t="shared" si="70"/>
        <v>16.810987654320986</v>
      </c>
      <c r="BE334">
        <f t="shared" si="71"/>
        <v>25.746363812345678</v>
      </c>
    </row>
    <row r="335" spans="6:57" x14ac:dyDescent="0.25">
      <c r="F335" s="9"/>
      <c r="G335" s="21">
        <v>0.183563</v>
      </c>
      <c r="H335" s="21">
        <v>8.2953899999999994</v>
      </c>
      <c r="I335" s="21">
        <v>-1.50391E-2</v>
      </c>
      <c r="J335" s="21">
        <v>325</v>
      </c>
      <c r="K335" s="21">
        <v>0.182892</v>
      </c>
      <c r="L335">
        <f t="shared" si="60"/>
        <v>18.566790123456791</v>
      </c>
      <c r="M335">
        <f t="shared" si="61"/>
        <v>3.408175695432099</v>
      </c>
      <c r="N335" s="9"/>
      <c r="O335" s="21">
        <v>1.5280199999999999</v>
      </c>
      <c r="P335" s="21">
        <v>15.0207</v>
      </c>
      <c r="Q335" s="21">
        <v>-1.36536E-2</v>
      </c>
      <c r="R335" s="21">
        <v>58</v>
      </c>
      <c r="S335" s="21">
        <v>1.5280199999999999</v>
      </c>
      <c r="T335">
        <f t="shared" si="62"/>
        <v>16.856296296296296</v>
      </c>
      <c r="U335">
        <f t="shared" si="63"/>
        <v>25.756757866666664</v>
      </c>
      <c r="X335" s="9"/>
      <c r="Y335" s="21">
        <v>0.183563</v>
      </c>
      <c r="Z335" s="21">
        <v>17.709599999999998</v>
      </c>
      <c r="AA335" s="21">
        <v>-1.5026899999999999E-2</v>
      </c>
      <c r="AB335" s="21">
        <v>325</v>
      </c>
      <c r="AC335" s="21">
        <v>0.18301400000000001</v>
      </c>
      <c r="AD335">
        <f t="shared" si="64"/>
        <v>18.551728395061726</v>
      </c>
      <c r="AE335">
        <f t="shared" si="65"/>
        <v>3.4054109193827156</v>
      </c>
      <c r="AF335" s="9"/>
      <c r="AG335" s="21">
        <v>1.5365599999999999</v>
      </c>
      <c r="AH335" s="21">
        <v>21.569099999999999</v>
      </c>
      <c r="AI335" s="21">
        <v>-1.35864E-2</v>
      </c>
      <c r="AJ335" s="21">
        <v>325</v>
      </c>
      <c r="AK335" s="21">
        <v>1.5359499999999999</v>
      </c>
      <c r="AL335">
        <f t="shared" si="66"/>
        <v>16.77333333333333</v>
      </c>
      <c r="AM335">
        <f t="shared" si="67"/>
        <v>25.773233066666659</v>
      </c>
      <c r="AP335" s="9"/>
      <c r="AQ335" s="21">
        <v>0.183563</v>
      </c>
      <c r="AR335" s="21">
        <v>27.143799999999999</v>
      </c>
      <c r="AS335" s="21">
        <v>-1.5094E-2</v>
      </c>
      <c r="AT335" s="21">
        <v>325</v>
      </c>
      <c r="AU335" s="21">
        <v>0.18298300000000001</v>
      </c>
      <c r="AV335">
        <f t="shared" si="68"/>
        <v>18.634567901234568</v>
      </c>
      <c r="AW335">
        <f t="shared" si="69"/>
        <v>3.420617187654321</v>
      </c>
      <c r="AX335" s="9"/>
      <c r="AY335" s="21">
        <v>1.5365599999999999</v>
      </c>
      <c r="AZ335" s="21">
        <v>31.003299999999999</v>
      </c>
      <c r="BA335" s="21">
        <v>-1.3583400000000001E-2</v>
      </c>
      <c r="BB335" s="21">
        <v>325</v>
      </c>
      <c r="BC335" s="21">
        <v>1.5359499999999999</v>
      </c>
      <c r="BD335">
        <f t="shared" si="70"/>
        <v>16.76962962962963</v>
      </c>
      <c r="BE335">
        <f t="shared" si="71"/>
        <v>25.767542103703704</v>
      </c>
    </row>
    <row r="336" spans="6:57" x14ac:dyDescent="0.25">
      <c r="F336" s="9"/>
      <c r="G336" s="21">
        <v>0.17852799999999999</v>
      </c>
      <c r="H336" s="21">
        <v>8.3054600000000001</v>
      </c>
      <c r="I336" s="21">
        <v>-1.50513E-2</v>
      </c>
      <c r="J336" s="21">
        <v>326</v>
      </c>
      <c r="K336" s="21">
        <v>0.177948</v>
      </c>
      <c r="L336">
        <f t="shared" si="60"/>
        <v>18.581851851851848</v>
      </c>
      <c r="M336">
        <f t="shared" si="61"/>
        <v>3.3173808474074065</v>
      </c>
      <c r="N336" s="9"/>
      <c r="O336" s="21">
        <v>1.53305</v>
      </c>
      <c r="P336" s="21">
        <v>15.0106</v>
      </c>
      <c r="Q336" s="21">
        <v>-1.36139E-2</v>
      </c>
      <c r="R336" s="21">
        <v>57</v>
      </c>
      <c r="S336" s="21">
        <v>1.5328999999999999</v>
      </c>
      <c r="T336">
        <f t="shared" si="62"/>
        <v>16.807283950617283</v>
      </c>
      <c r="U336">
        <f t="shared" si="63"/>
        <v>25.766406660493825</v>
      </c>
      <c r="X336" s="9"/>
      <c r="Y336" s="21">
        <v>0.17852799999999999</v>
      </c>
      <c r="Z336" s="21">
        <v>17.7197</v>
      </c>
      <c r="AA336" s="21">
        <v>-1.5029900000000001E-2</v>
      </c>
      <c r="AB336" s="21">
        <v>326</v>
      </c>
      <c r="AC336" s="21">
        <v>0.17788699999999999</v>
      </c>
      <c r="AD336">
        <f t="shared" si="64"/>
        <v>18.555432098765429</v>
      </c>
      <c r="AE336">
        <f t="shared" si="65"/>
        <v>3.3126641817283944</v>
      </c>
      <c r="AF336" s="9"/>
      <c r="AG336" s="21">
        <v>1.5416000000000001</v>
      </c>
      <c r="AH336" s="21">
        <v>21.5792</v>
      </c>
      <c r="AI336" s="21">
        <v>-1.3546799999999999E-2</v>
      </c>
      <c r="AJ336" s="21">
        <v>326</v>
      </c>
      <c r="AK336" s="21">
        <v>1.5408299999999999</v>
      </c>
      <c r="AL336">
        <f t="shared" si="66"/>
        <v>16.72444444444444</v>
      </c>
      <c r="AM336">
        <f t="shared" si="67"/>
        <v>25.78240355555555</v>
      </c>
      <c r="AP336" s="9"/>
      <c r="AQ336" s="21">
        <v>0.17852799999999999</v>
      </c>
      <c r="AR336" s="21">
        <v>27.1539</v>
      </c>
      <c r="AS336" s="21">
        <v>-1.5109300000000001E-2</v>
      </c>
      <c r="AT336" s="21">
        <v>326</v>
      </c>
      <c r="AU336" s="21">
        <v>0.177948</v>
      </c>
      <c r="AV336">
        <f t="shared" si="68"/>
        <v>18.653456790123457</v>
      </c>
      <c r="AW336">
        <f t="shared" si="69"/>
        <v>3.3301643338271605</v>
      </c>
      <c r="AX336" s="9"/>
      <c r="AY336" s="21">
        <v>1.5416000000000001</v>
      </c>
      <c r="AZ336" s="21">
        <v>31.013400000000001</v>
      </c>
      <c r="BA336" s="21">
        <v>-1.3549800000000001E-2</v>
      </c>
      <c r="BB336" s="21">
        <v>326</v>
      </c>
      <c r="BC336" s="21">
        <v>1.5408299999999999</v>
      </c>
      <c r="BD336">
        <f t="shared" si="70"/>
        <v>16.728148148148147</v>
      </c>
      <c r="BE336">
        <f t="shared" si="71"/>
        <v>25.788113185185185</v>
      </c>
    </row>
    <row r="337" spans="6:57" x14ac:dyDescent="0.25">
      <c r="F337" s="9"/>
      <c r="G337" s="21">
        <v>0.17349200000000001</v>
      </c>
      <c r="H337" s="21">
        <v>8.3155400000000004</v>
      </c>
      <c r="I337" s="21">
        <v>-1.50665E-2</v>
      </c>
      <c r="J337" s="21">
        <v>327</v>
      </c>
      <c r="K337" s="21">
        <v>0.17300399999999999</v>
      </c>
      <c r="L337">
        <f t="shared" si="60"/>
        <v>18.600617283950616</v>
      </c>
      <c r="M337">
        <f t="shared" si="61"/>
        <v>3.2270582938271604</v>
      </c>
      <c r="N337" s="9"/>
      <c r="O337" s="21">
        <v>1.53809</v>
      </c>
      <c r="P337" s="21">
        <v>15.000500000000001</v>
      </c>
      <c r="Q337" s="21">
        <v>-1.35773E-2</v>
      </c>
      <c r="R337" s="21">
        <v>56</v>
      </c>
      <c r="S337" s="21">
        <v>1.53687</v>
      </c>
      <c r="T337">
        <f t="shared" si="62"/>
        <v>16.7620987654321</v>
      </c>
      <c r="U337">
        <f t="shared" si="63"/>
        <v>25.781616490123458</v>
      </c>
      <c r="X337" s="9"/>
      <c r="Y337" s="21">
        <v>0.17349200000000001</v>
      </c>
      <c r="Z337" s="21">
        <v>17.729800000000001</v>
      </c>
      <c r="AA337" s="21">
        <v>-1.50391E-2</v>
      </c>
      <c r="AB337" s="21">
        <v>327</v>
      </c>
      <c r="AC337" s="21">
        <v>0.17300399999999999</v>
      </c>
      <c r="AD337">
        <f t="shared" si="64"/>
        <v>18.566790123456791</v>
      </c>
      <c r="AE337">
        <f t="shared" si="65"/>
        <v>3.2211895520987657</v>
      </c>
      <c r="AF337" s="9"/>
      <c r="AG337" s="21">
        <v>1.5466299999999999</v>
      </c>
      <c r="AH337" s="21">
        <v>21.589200000000002</v>
      </c>
      <c r="AI337" s="21">
        <v>-1.3501000000000001E-2</v>
      </c>
      <c r="AJ337" s="21">
        <v>327</v>
      </c>
      <c r="AK337" s="21">
        <v>1.5460199999999999</v>
      </c>
      <c r="AL337">
        <f t="shared" si="66"/>
        <v>16.667901234567903</v>
      </c>
      <c r="AM337">
        <f t="shared" si="67"/>
        <v>25.779076086419757</v>
      </c>
      <c r="AP337" s="9"/>
      <c r="AQ337" s="21">
        <v>0.17349200000000001</v>
      </c>
      <c r="AR337" s="21">
        <v>27.164000000000001</v>
      </c>
      <c r="AS337" s="21">
        <v>-1.5118400000000001E-2</v>
      </c>
      <c r="AT337" s="21">
        <v>327</v>
      </c>
      <c r="AU337" s="21">
        <v>0.17297399999999999</v>
      </c>
      <c r="AV337">
        <f t="shared" si="68"/>
        <v>18.66469135802469</v>
      </c>
      <c r="AW337">
        <f t="shared" si="69"/>
        <v>3.2381746330864196</v>
      </c>
      <c r="AX337" s="9"/>
      <c r="AY337" s="21">
        <v>1.5466299999999999</v>
      </c>
      <c r="AZ337" s="21">
        <v>31.023499999999999</v>
      </c>
      <c r="BA337" s="21">
        <v>-1.3510100000000001E-2</v>
      </c>
      <c r="BB337" s="21">
        <v>327</v>
      </c>
      <c r="BC337" s="21">
        <v>1.54633</v>
      </c>
      <c r="BD337">
        <f t="shared" si="70"/>
        <v>16.679135802469133</v>
      </c>
      <c r="BE337">
        <f t="shared" si="71"/>
        <v>25.796451806172836</v>
      </c>
    </row>
    <row r="338" spans="6:57" x14ac:dyDescent="0.25">
      <c r="F338" s="9"/>
      <c r="G338" s="21">
        <v>0.168457</v>
      </c>
      <c r="H338" s="21">
        <v>8.3256099999999993</v>
      </c>
      <c r="I338" s="21">
        <v>-1.50665E-2</v>
      </c>
      <c r="J338" s="21">
        <v>328</v>
      </c>
      <c r="K338" s="21">
        <v>0.167938</v>
      </c>
      <c r="L338">
        <f t="shared" si="60"/>
        <v>18.600617283950616</v>
      </c>
      <c r="M338">
        <f t="shared" si="61"/>
        <v>3.1334041858024686</v>
      </c>
      <c r="N338" s="9"/>
      <c r="O338" s="21">
        <v>1.54312</v>
      </c>
      <c r="P338" s="21">
        <v>14.990399999999999</v>
      </c>
      <c r="Q338" s="21">
        <v>-1.3546799999999999E-2</v>
      </c>
      <c r="R338" s="21">
        <v>55</v>
      </c>
      <c r="S338" s="21">
        <v>1.54297</v>
      </c>
      <c r="T338">
        <f t="shared" si="62"/>
        <v>16.72444444444444</v>
      </c>
      <c r="U338">
        <f t="shared" si="63"/>
        <v>25.807824711111106</v>
      </c>
      <c r="X338" s="9"/>
      <c r="Y338" s="21">
        <v>0.168457</v>
      </c>
      <c r="Z338" s="21">
        <v>17.739799999999999</v>
      </c>
      <c r="AA338" s="21">
        <v>-1.5036000000000001E-2</v>
      </c>
      <c r="AB338" s="21">
        <v>328</v>
      </c>
      <c r="AC338" s="21">
        <v>0.167938</v>
      </c>
      <c r="AD338">
        <f t="shared" si="64"/>
        <v>18.562962962962963</v>
      </c>
      <c r="AE338">
        <f t="shared" si="65"/>
        <v>3.127061051851852</v>
      </c>
      <c r="AF338" s="9"/>
      <c r="AG338" s="21">
        <v>1.5516700000000001</v>
      </c>
      <c r="AH338" s="21">
        <v>21.599299999999999</v>
      </c>
      <c r="AI338" s="21">
        <v>-1.34521E-2</v>
      </c>
      <c r="AJ338" s="21">
        <v>328</v>
      </c>
      <c r="AK338" s="21">
        <v>1.5508999999999999</v>
      </c>
      <c r="AL338">
        <f t="shared" si="66"/>
        <v>16.607530864197528</v>
      </c>
      <c r="AM338">
        <f t="shared" si="67"/>
        <v>25.769407416049379</v>
      </c>
      <c r="AP338" s="9"/>
      <c r="AQ338" s="21">
        <v>0.168457</v>
      </c>
      <c r="AR338" s="21">
        <v>27.174099999999999</v>
      </c>
      <c r="AS338" s="21">
        <v>-1.51215E-2</v>
      </c>
      <c r="AT338" s="21">
        <v>328</v>
      </c>
      <c r="AU338" s="21">
        <v>0.16803000000000001</v>
      </c>
      <c r="AV338">
        <f t="shared" si="68"/>
        <v>18.668518518518518</v>
      </c>
      <c r="AW338">
        <f t="shared" si="69"/>
        <v>3.1448426240740739</v>
      </c>
      <c r="AX338" s="9"/>
      <c r="AY338" s="21">
        <v>1.5516700000000001</v>
      </c>
      <c r="AZ338" s="21">
        <v>31.0335</v>
      </c>
      <c r="BA338" s="21">
        <v>-1.3467399999999999E-2</v>
      </c>
      <c r="BB338" s="21">
        <v>328</v>
      </c>
      <c r="BC338" s="21">
        <v>1.5515099999999999</v>
      </c>
      <c r="BD338">
        <f t="shared" si="70"/>
        <v>16.626419753086417</v>
      </c>
      <c r="BE338">
        <f t="shared" si="71"/>
        <v>25.798716738271601</v>
      </c>
    </row>
    <row r="339" spans="6:57" x14ac:dyDescent="0.25">
      <c r="F339" s="9"/>
      <c r="G339" s="21">
        <v>0.16342200000000001</v>
      </c>
      <c r="H339" s="21">
        <v>8.33568</v>
      </c>
      <c r="I339" s="21">
        <v>-1.50726E-2</v>
      </c>
      <c r="J339" s="21">
        <v>329</v>
      </c>
      <c r="K339" s="21">
        <v>0.16284199999999999</v>
      </c>
      <c r="L339">
        <f t="shared" si="60"/>
        <v>18.60814814814815</v>
      </c>
      <c r="M339">
        <f t="shared" si="61"/>
        <v>3.0409807866666672</v>
      </c>
      <c r="N339" s="9"/>
      <c r="O339" s="21">
        <v>1.54816</v>
      </c>
      <c r="P339" s="21">
        <v>14.980399999999999</v>
      </c>
      <c r="Q339" s="21">
        <v>-1.3510100000000001E-2</v>
      </c>
      <c r="R339" s="21">
        <v>54</v>
      </c>
      <c r="S339" s="21">
        <v>1.5472399999999999</v>
      </c>
      <c r="T339">
        <f t="shared" si="62"/>
        <v>16.679135802469133</v>
      </c>
      <c r="U339">
        <f t="shared" si="63"/>
        <v>25.821970883950613</v>
      </c>
      <c r="X339" s="9"/>
      <c r="Y339" s="21">
        <v>0.16342200000000001</v>
      </c>
      <c r="Z339" s="21">
        <v>17.7499</v>
      </c>
      <c r="AA339" s="21">
        <v>-1.50391E-2</v>
      </c>
      <c r="AB339" s="21">
        <v>329</v>
      </c>
      <c r="AC339" s="21">
        <v>0.16278100000000001</v>
      </c>
      <c r="AD339">
        <f t="shared" si="64"/>
        <v>18.566790123456791</v>
      </c>
      <c r="AE339">
        <f t="shared" si="65"/>
        <v>3.034221975555556</v>
      </c>
      <c r="AF339" s="9"/>
      <c r="AG339" s="21">
        <v>1.5567</v>
      </c>
      <c r="AH339" s="21">
        <v>21.609400000000001</v>
      </c>
      <c r="AI339" s="21">
        <v>-1.3412500000000001E-2</v>
      </c>
      <c r="AJ339" s="21">
        <v>329</v>
      </c>
      <c r="AK339" s="21">
        <v>1.55579</v>
      </c>
      <c r="AL339">
        <f t="shared" si="66"/>
        <v>16.558641975308642</v>
      </c>
      <c r="AM339">
        <f t="shared" si="67"/>
        <v>25.776837962962965</v>
      </c>
      <c r="AP339" s="9"/>
      <c r="AQ339" s="21">
        <v>0.16342200000000001</v>
      </c>
      <c r="AR339" s="21">
        <v>27.184100000000001</v>
      </c>
      <c r="AS339" s="21">
        <v>-1.5115399999999999E-2</v>
      </c>
      <c r="AT339" s="21">
        <v>329</v>
      </c>
      <c r="AU339" s="21">
        <v>0.16293299999999999</v>
      </c>
      <c r="AV339">
        <f t="shared" si="68"/>
        <v>18.660987654320987</v>
      </c>
      <c r="AW339">
        <f t="shared" si="69"/>
        <v>3.0496159244444447</v>
      </c>
      <c r="AX339" s="9"/>
      <c r="AY339" s="21">
        <v>1.5567</v>
      </c>
      <c r="AZ339" s="21">
        <v>31.043600000000001</v>
      </c>
      <c r="BA339" s="21">
        <v>-1.3421600000000001E-2</v>
      </c>
      <c r="BB339" s="21">
        <v>329</v>
      </c>
      <c r="BC339" s="21">
        <v>1.55579</v>
      </c>
      <c r="BD339">
        <f t="shared" si="70"/>
        <v>16.569876543209876</v>
      </c>
      <c r="BE339">
        <f t="shared" si="71"/>
        <v>25.794326814814813</v>
      </c>
    </row>
    <row r="340" spans="6:57" x14ac:dyDescent="0.25">
      <c r="F340" s="9"/>
      <c r="G340" s="21">
        <v>0.158386</v>
      </c>
      <c r="H340" s="21">
        <v>8.3457500000000007</v>
      </c>
      <c r="I340" s="21">
        <v>-1.50787E-2</v>
      </c>
      <c r="J340" s="21">
        <v>330</v>
      </c>
      <c r="K340" s="21">
        <v>0.15783700000000001</v>
      </c>
      <c r="L340">
        <f t="shared" si="60"/>
        <v>18.61567901234568</v>
      </c>
      <c r="M340">
        <f t="shared" si="61"/>
        <v>2.948462936049383</v>
      </c>
      <c r="N340" s="9"/>
      <c r="O340" s="21">
        <v>1.5531900000000001</v>
      </c>
      <c r="P340" s="21">
        <v>14.9703</v>
      </c>
      <c r="Q340" s="21">
        <v>-1.34705E-2</v>
      </c>
      <c r="R340" s="21">
        <v>53</v>
      </c>
      <c r="S340" s="21">
        <v>1.5527299999999999</v>
      </c>
      <c r="T340">
        <f t="shared" si="62"/>
        <v>16.630246913580244</v>
      </c>
      <c r="U340">
        <f t="shared" si="63"/>
        <v>25.8299332037037</v>
      </c>
      <c r="X340" s="9"/>
      <c r="Y340" s="21">
        <v>0.158386</v>
      </c>
      <c r="Z340" s="21">
        <v>17.760000000000002</v>
      </c>
      <c r="AA340" s="21">
        <v>-1.50391E-2</v>
      </c>
      <c r="AB340" s="21">
        <v>330</v>
      </c>
      <c r="AC340" s="21">
        <v>0.157776</v>
      </c>
      <c r="AD340">
        <f t="shared" si="64"/>
        <v>18.566790123456791</v>
      </c>
      <c r="AE340">
        <f t="shared" si="65"/>
        <v>2.9407196204938271</v>
      </c>
      <c r="AF340" s="9"/>
      <c r="AG340" s="21">
        <v>1.5617399999999999</v>
      </c>
      <c r="AH340" s="21">
        <v>21.619399999999999</v>
      </c>
      <c r="AI340" s="21">
        <v>-1.3369799999999999E-2</v>
      </c>
      <c r="AJ340" s="21">
        <v>330</v>
      </c>
      <c r="AK340" s="21">
        <v>1.56097</v>
      </c>
      <c r="AL340">
        <f t="shared" si="66"/>
        <v>16.505925925925922</v>
      </c>
      <c r="AM340">
        <f t="shared" si="67"/>
        <v>25.777964755555548</v>
      </c>
      <c r="AP340" s="9"/>
      <c r="AQ340" s="21">
        <v>0.158386</v>
      </c>
      <c r="AR340" s="21">
        <v>27.194199999999999</v>
      </c>
      <c r="AS340" s="21">
        <v>-1.5115399999999999E-2</v>
      </c>
      <c r="AT340" s="21">
        <v>330</v>
      </c>
      <c r="AU340" s="21">
        <v>0.15783700000000001</v>
      </c>
      <c r="AV340">
        <f t="shared" si="68"/>
        <v>18.660987654320987</v>
      </c>
      <c r="AW340">
        <f t="shared" si="69"/>
        <v>2.9556391906172839</v>
      </c>
      <c r="AX340" s="9"/>
      <c r="AY340" s="21">
        <v>1.5617399999999999</v>
      </c>
      <c r="AZ340" s="21">
        <v>31.053699999999999</v>
      </c>
      <c r="BA340" s="21">
        <v>-1.3372800000000001E-2</v>
      </c>
      <c r="BB340" s="21">
        <v>330</v>
      </c>
      <c r="BC340" s="21">
        <v>1.56097</v>
      </c>
      <c r="BD340">
        <f t="shared" si="70"/>
        <v>16.509629629629632</v>
      </c>
      <c r="BE340">
        <f t="shared" si="71"/>
        <v>25.78374897777778</v>
      </c>
    </row>
    <row r="341" spans="6:57" x14ac:dyDescent="0.25">
      <c r="F341" s="9"/>
      <c r="G341" s="21">
        <v>0.15335099999999999</v>
      </c>
      <c r="H341" s="21">
        <v>8.3558199999999996</v>
      </c>
      <c r="I341" s="21">
        <v>-1.5081799999999999E-2</v>
      </c>
      <c r="J341" s="21">
        <v>331</v>
      </c>
      <c r="K341" s="21">
        <v>0.15277099999999999</v>
      </c>
      <c r="L341">
        <f t="shared" si="60"/>
        <v>18.619506172839504</v>
      </c>
      <c r="M341">
        <f t="shared" si="61"/>
        <v>2.8553198911111104</v>
      </c>
      <c r="N341" s="9"/>
      <c r="O341" s="21">
        <v>1.55823</v>
      </c>
      <c r="P341" s="21">
        <v>14.9602</v>
      </c>
      <c r="Q341" s="21">
        <v>-1.34308E-2</v>
      </c>
      <c r="R341" s="21">
        <v>52</v>
      </c>
      <c r="S341" s="21">
        <v>1.55731</v>
      </c>
      <c r="T341">
        <f t="shared" si="62"/>
        <v>16.581234567901234</v>
      </c>
      <c r="U341">
        <f t="shared" si="63"/>
        <v>25.837377140740738</v>
      </c>
      <c r="X341" s="9"/>
      <c r="Y341" s="21">
        <v>0.15335099999999999</v>
      </c>
      <c r="Z341" s="21">
        <v>17.77</v>
      </c>
      <c r="AA341" s="21">
        <v>-1.50543E-2</v>
      </c>
      <c r="AB341" s="21">
        <v>331</v>
      </c>
      <c r="AC341" s="21">
        <v>0.15271000000000001</v>
      </c>
      <c r="AD341">
        <f t="shared" si="64"/>
        <v>18.585555555555555</v>
      </c>
      <c r="AE341">
        <f t="shared" si="65"/>
        <v>2.8501135299999998</v>
      </c>
      <c r="AF341" s="9"/>
      <c r="AG341" s="21">
        <v>1.56677</v>
      </c>
      <c r="AH341" s="21">
        <v>21.6295</v>
      </c>
      <c r="AI341" s="21">
        <v>-1.3330099999999999E-2</v>
      </c>
      <c r="AJ341" s="21">
        <v>331</v>
      </c>
      <c r="AK341" s="21">
        <v>1.56586</v>
      </c>
      <c r="AL341">
        <f t="shared" si="66"/>
        <v>16.456913580246912</v>
      </c>
      <c r="AM341">
        <f t="shared" si="67"/>
        <v>25.784198490123455</v>
      </c>
      <c r="AP341" s="9"/>
      <c r="AQ341" s="21">
        <v>0.15335099999999999</v>
      </c>
      <c r="AR341" s="21">
        <v>27.2043</v>
      </c>
      <c r="AS341" s="21">
        <v>-1.51062E-2</v>
      </c>
      <c r="AT341" s="21">
        <v>331</v>
      </c>
      <c r="AU341" s="21">
        <v>0.15280199999999999</v>
      </c>
      <c r="AV341">
        <f t="shared" si="68"/>
        <v>18.649629629629626</v>
      </c>
      <c r="AW341">
        <f t="shared" si="69"/>
        <v>2.8599393533333326</v>
      </c>
      <c r="AX341" s="9"/>
      <c r="AY341" s="21">
        <v>1.56677</v>
      </c>
      <c r="AZ341" s="21">
        <v>31.063700000000001</v>
      </c>
      <c r="BA341" s="21">
        <v>-1.3330099999999999E-2</v>
      </c>
      <c r="BB341" s="21">
        <v>331</v>
      </c>
      <c r="BC341" s="21">
        <v>1.56586</v>
      </c>
      <c r="BD341">
        <f t="shared" si="70"/>
        <v>16.456913580246912</v>
      </c>
      <c r="BE341">
        <f t="shared" si="71"/>
        <v>25.784198490123455</v>
      </c>
    </row>
    <row r="342" spans="6:57" x14ac:dyDescent="0.25">
      <c r="F342" s="9"/>
      <c r="G342" s="21">
        <v>0.148315</v>
      </c>
      <c r="H342" s="21">
        <v>8.3658900000000003</v>
      </c>
      <c r="I342" s="21">
        <v>-1.50787E-2</v>
      </c>
      <c r="J342" s="21">
        <v>332</v>
      </c>
      <c r="K342" s="21">
        <v>0.147705</v>
      </c>
      <c r="L342">
        <f t="shared" si="60"/>
        <v>18.61567901234568</v>
      </c>
      <c r="M342">
        <f t="shared" si="61"/>
        <v>2.7609844327160498</v>
      </c>
      <c r="N342" s="9"/>
      <c r="O342" s="21">
        <v>1.5632600000000001</v>
      </c>
      <c r="P342" s="21">
        <v>14.950200000000001</v>
      </c>
      <c r="Q342" s="21">
        <v>-1.3382E-2</v>
      </c>
      <c r="R342" s="21">
        <v>51</v>
      </c>
      <c r="S342" s="21">
        <v>1.5625</v>
      </c>
      <c r="T342">
        <f t="shared" si="62"/>
        <v>16.520987654320987</v>
      </c>
      <c r="U342">
        <f t="shared" si="63"/>
        <v>25.826599160493828</v>
      </c>
      <c r="X342" s="9"/>
      <c r="Y342" s="21">
        <v>0.148315</v>
      </c>
      <c r="Z342" s="21">
        <v>17.780100000000001</v>
      </c>
      <c r="AA342" s="21">
        <v>-1.5063500000000001E-2</v>
      </c>
      <c r="AB342" s="21">
        <v>332</v>
      </c>
      <c r="AC342" s="21">
        <v>0.14776600000000001</v>
      </c>
      <c r="AD342">
        <f t="shared" si="64"/>
        <v>18.596913580246913</v>
      </c>
      <c r="AE342">
        <f t="shared" si="65"/>
        <v>2.7582012376543208</v>
      </c>
      <c r="AF342" s="9"/>
      <c r="AG342" s="21">
        <v>1.5718099999999999</v>
      </c>
      <c r="AH342" s="21">
        <v>21.639600000000002</v>
      </c>
      <c r="AI342" s="21">
        <v>-1.3284300000000001E-2</v>
      </c>
      <c r="AJ342" s="21">
        <v>332</v>
      </c>
      <c r="AK342" s="21">
        <v>1.57135</v>
      </c>
      <c r="AL342">
        <f t="shared" si="66"/>
        <v>16.400370370370371</v>
      </c>
      <c r="AM342">
        <f t="shared" si="67"/>
        <v>25.778266151851852</v>
      </c>
      <c r="AP342" s="9"/>
      <c r="AQ342" s="21">
        <v>0.148315</v>
      </c>
      <c r="AR342" s="21">
        <v>27.214300000000001</v>
      </c>
      <c r="AS342" s="21">
        <v>-1.51062E-2</v>
      </c>
      <c r="AT342" s="21">
        <v>332</v>
      </c>
      <c r="AU342" s="21">
        <v>0.14779700000000001</v>
      </c>
      <c r="AV342">
        <f t="shared" si="68"/>
        <v>18.649629629629626</v>
      </c>
      <c r="AW342">
        <f t="shared" si="69"/>
        <v>2.7660198185185179</v>
      </c>
      <c r="AX342" s="9"/>
      <c r="AY342" s="21">
        <v>1.5718099999999999</v>
      </c>
      <c r="AZ342" s="21">
        <v>31.073799999999999</v>
      </c>
      <c r="BA342" s="21">
        <v>-1.3281299999999999E-2</v>
      </c>
      <c r="BB342" s="21">
        <v>332</v>
      </c>
      <c r="BC342" s="21">
        <v>1.57104</v>
      </c>
      <c r="BD342">
        <f t="shared" si="70"/>
        <v>16.396666666666665</v>
      </c>
      <c r="BE342">
        <f t="shared" si="71"/>
        <v>25.772444633333329</v>
      </c>
    </row>
    <row r="343" spans="6:57" x14ac:dyDescent="0.25">
      <c r="F343" s="9"/>
      <c r="G343" s="21">
        <v>0.14327999999999999</v>
      </c>
      <c r="H343" s="21">
        <v>8.3759599999999992</v>
      </c>
      <c r="I343" s="21">
        <v>-1.50726E-2</v>
      </c>
      <c r="J343" s="21">
        <v>333</v>
      </c>
      <c r="K343" s="21">
        <v>0.142761</v>
      </c>
      <c r="L343">
        <f t="shared" si="60"/>
        <v>18.60814814814815</v>
      </c>
      <c r="M343">
        <f t="shared" si="61"/>
        <v>2.6661754666666666</v>
      </c>
      <c r="N343" s="9"/>
      <c r="O343" s="21">
        <v>1.5683</v>
      </c>
      <c r="P343" s="21">
        <v>14.940099999999999</v>
      </c>
      <c r="Q343" s="21">
        <v>-1.3333100000000001E-2</v>
      </c>
      <c r="R343" s="21">
        <v>50</v>
      </c>
      <c r="S343" s="21">
        <v>1.56738</v>
      </c>
      <c r="T343">
        <f t="shared" si="62"/>
        <v>16.460617283950615</v>
      </c>
      <c r="U343">
        <f t="shared" si="63"/>
        <v>25.81518608641975</v>
      </c>
      <c r="X343" s="9"/>
      <c r="Y343" s="21">
        <v>0.14327999999999999</v>
      </c>
      <c r="Z343" s="21">
        <v>17.790199999999999</v>
      </c>
      <c r="AA343" s="21">
        <v>-1.50665E-2</v>
      </c>
      <c r="AB343" s="21">
        <v>333</v>
      </c>
      <c r="AC343" s="21">
        <v>0.142792</v>
      </c>
      <c r="AD343">
        <f t="shared" si="64"/>
        <v>18.600617283950616</v>
      </c>
      <c r="AE343">
        <f t="shared" si="65"/>
        <v>2.665096444444444</v>
      </c>
      <c r="AF343" s="9"/>
      <c r="AG343" s="21">
        <v>1.57684</v>
      </c>
      <c r="AH343" s="21">
        <v>21.6496</v>
      </c>
      <c r="AI343" s="21">
        <v>-1.32324E-2</v>
      </c>
      <c r="AJ343" s="21">
        <v>333</v>
      </c>
      <c r="AK343" s="21">
        <v>1.57623</v>
      </c>
      <c r="AL343">
        <f t="shared" si="66"/>
        <v>16.336296296296297</v>
      </c>
      <c r="AM343">
        <f t="shared" si="67"/>
        <v>25.759725451851853</v>
      </c>
      <c r="AP343" s="9"/>
      <c r="AQ343" s="21">
        <v>0.14327999999999999</v>
      </c>
      <c r="AR343" s="21">
        <v>27.224399999999999</v>
      </c>
      <c r="AS343" s="21">
        <v>-1.51062E-2</v>
      </c>
      <c r="AT343" s="21">
        <v>333</v>
      </c>
      <c r="AU343" s="21">
        <v>0.14269999999999999</v>
      </c>
      <c r="AV343">
        <f t="shared" si="68"/>
        <v>18.649629629629626</v>
      </c>
      <c r="AW343">
        <f t="shared" si="69"/>
        <v>2.6721189333333326</v>
      </c>
      <c r="AX343" s="9"/>
      <c r="AY343" s="21">
        <v>1.57684</v>
      </c>
      <c r="AZ343" s="21">
        <v>31.0839</v>
      </c>
      <c r="BA343" s="21">
        <v>-1.32324E-2</v>
      </c>
      <c r="BB343" s="21">
        <v>333</v>
      </c>
      <c r="BC343" s="21">
        <v>1.5765400000000001</v>
      </c>
      <c r="BD343">
        <f t="shared" si="70"/>
        <v>16.336296296296297</v>
      </c>
      <c r="BE343">
        <f t="shared" si="71"/>
        <v>25.759725451851853</v>
      </c>
    </row>
    <row r="344" spans="6:57" x14ac:dyDescent="0.25">
      <c r="F344" s="9"/>
      <c r="G344" s="21">
        <v>0.13824500000000001</v>
      </c>
      <c r="H344" s="21">
        <v>8.3860299999999999</v>
      </c>
      <c r="I344" s="21">
        <v>-1.5075699999999999E-2</v>
      </c>
      <c r="J344" s="21">
        <v>334</v>
      </c>
      <c r="K344" s="21">
        <v>0.13772599999999999</v>
      </c>
      <c r="L344">
        <f t="shared" si="60"/>
        <v>18.611975308641973</v>
      </c>
      <c r="M344">
        <f t="shared" si="61"/>
        <v>2.5730125265432098</v>
      </c>
      <c r="N344" s="9"/>
      <c r="O344" s="21">
        <v>1.5733299999999999</v>
      </c>
      <c r="P344" s="21">
        <v>14.93</v>
      </c>
      <c r="Q344" s="21">
        <v>-1.32782E-2</v>
      </c>
      <c r="R344" s="21">
        <v>49</v>
      </c>
      <c r="S344" s="21">
        <v>1.57196</v>
      </c>
      <c r="T344">
        <f t="shared" si="62"/>
        <v>16.392839506172837</v>
      </c>
      <c r="U344">
        <f t="shared" si="63"/>
        <v>25.791346180246908</v>
      </c>
      <c r="X344" s="9"/>
      <c r="Y344" s="21">
        <v>0.13824500000000001</v>
      </c>
      <c r="Z344" s="21">
        <v>17.8002</v>
      </c>
      <c r="AA344" s="21">
        <v>-1.50665E-2</v>
      </c>
      <c r="AB344" s="21">
        <v>334</v>
      </c>
      <c r="AC344" s="21">
        <v>0.13778699999999999</v>
      </c>
      <c r="AD344">
        <f t="shared" si="64"/>
        <v>18.600617283950616</v>
      </c>
      <c r="AE344">
        <f t="shared" si="65"/>
        <v>2.5714423364197532</v>
      </c>
      <c r="AF344" s="9"/>
      <c r="AG344" s="21">
        <v>1.58188</v>
      </c>
      <c r="AH344" s="21">
        <v>21.659700000000001</v>
      </c>
      <c r="AI344" s="21">
        <v>-1.31836E-2</v>
      </c>
      <c r="AJ344" s="21">
        <v>334</v>
      </c>
      <c r="AK344" s="21">
        <v>1.58081</v>
      </c>
      <c r="AL344">
        <f t="shared" si="66"/>
        <v>16.276049382716046</v>
      </c>
      <c r="AM344">
        <f t="shared" si="67"/>
        <v>25.746756997530859</v>
      </c>
      <c r="AP344" s="9"/>
      <c r="AQ344" s="21">
        <v>0.13824500000000001</v>
      </c>
      <c r="AR344" s="21">
        <v>27.234500000000001</v>
      </c>
      <c r="AS344" s="21">
        <v>-1.5090900000000001E-2</v>
      </c>
      <c r="AT344" s="21">
        <v>334</v>
      </c>
      <c r="AU344" s="21">
        <v>0.13772599999999999</v>
      </c>
      <c r="AV344">
        <f t="shared" si="68"/>
        <v>18.630740740740741</v>
      </c>
      <c r="AW344">
        <f t="shared" si="69"/>
        <v>2.575606753703704</v>
      </c>
      <c r="AX344" s="9"/>
      <c r="AY344" s="21">
        <v>1.58188</v>
      </c>
      <c r="AZ344" s="21">
        <v>31.094000000000001</v>
      </c>
      <c r="BA344" s="21">
        <v>-1.31714E-2</v>
      </c>
      <c r="BB344" s="21">
        <v>334</v>
      </c>
      <c r="BC344" s="21">
        <v>1.58142</v>
      </c>
      <c r="BD344">
        <f t="shared" si="70"/>
        <v>16.260987654320989</v>
      </c>
      <c r="BE344">
        <f t="shared" si="71"/>
        <v>25.722931150617285</v>
      </c>
    </row>
    <row r="345" spans="6:57" x14ac:dyDescent="0.25">
      <c r="F345" s="9"/>
      <c r="G345" s="21">
        <v>0.13320899999999999</v>
      </c>
      <c r="H345" s="21">
        <v>8.3961000000000006</v>
      </c>
      <c r="I345" s="21">
        <v>-1.5081799999999999E-2</v>
      </c>
      <c r="J345" s="21">
        <v>335</v>
      </c>
      <c r="K345" s="21">
        <v>0.13259899999999999</v>
      </c>
      <c r="L345">
        <f t="shared" si="60"/>
        <v>18.619506172839504</v>
      </c>
      <c r="M345">
        <f t="shared" si="61"/>
        <v>2.4802857977777775</v>
      </c>
      <c r="N345" s="9"/>
      <c r="O345" s="21">
        <v>1.5783700000000001</v>
      </c>
      <c r="P345" s="21">
        <v>14.9199</v>
      </c>
      <c r="Q345" s="21">
        <v>-1.3229400000000001E-2</v>
      </c>
      <c r="R345" s="21">
        <v>48</v>
      </c>
      <c r="S345" s="21">
        <v>1.5777600000000001</v>
      </c>
      <c r="T345">
        <f t="shared" si="62"/>
        <v>16.332592592592594</v>
      </c>
      <c r="U345">
        <f t="shared" si="63"/>
        <v>25.778874170370372</v>
      </c>
      <c r="X345" s="9"/>
      <c r="Y345" s="21">
        <v>0.13320899999999999</v>
      </c>
      <c r="Z345" s="21">
        <v>17.810300000000002</v>
      </c>
      <c r="AA345" s="21">
        <v>-1.50665E-2</v>
      </c>
      <c r="AB345" s="21">
        <v>335</v>
      </c>
      <c r="AC345" s="21">
        <v>0.13284299999999999</v>
      </c>
      <c r="AD345">
        <f t="shared" si="64"/>
        <v>18.600617283950616</v>
      </c>
      <c r="AE345">
        <f t="shared" si="65"/>
        <v>2.4777696277777777</v>
      </c>
      <c r="AF345" s="9"/>
      <c r="AG345" s="21">
        <v>1.58691</v>
      </c>
      <c r="AH345" s="21">
        <v>21.669799999999999</v>
      </c>
      <c r="AI345" s="21">
        <v>-1.31348E-2</v>
      </c>
      <c r="AJ345" s="21">
        <v>335</v>
      </c>
      <c r="AK345" s="21">
        <v>1.5863</v>
      </c>
      <c r="AL345">
        <f t="shared" si="66"/>
        <v>16.215802469135802</v>
      </c>
      <c r="AM345">
        <f t="shared" si="67"/>
        <v>25.733019096296296</v>
      </c>
      <c r="AP345" s="9"/>
      <c r="AQ345" s="21">
        <v>0.13320899999999999</v>
      </c>
      <c r="AR345" s="21">
        <v>27.244499999999999</v>
      </c>
      <c r="AS345" s="21">
        <v>-1.5084800000000001E-2</v>
      </c>
      <c r="AT345" s="21">
        <v>335</v>
      </c>
      <c r="AU345" s="21">
        <v>0.13259899999999999</v>
      </c>
      <c r="AV345">
        <f t="shared" si="68"/>
        <v>18.623209876543207</v>
      </c>
      <c r="AW345">
        <f t="shared" si="69"/>
        <v>2.4807791644444439</v>
      </c>
      <c r="AX345" s="9"/>
      <c r="AY345" s="21">
        <v>1.58691</v>
      </c>
      <c r="AZ345" s="21">
        <v>31.103999999999999</v>
      </c>
      <c r="BA345" s="21">
        <v>-1.3110399999999999E-2</v>
      </c>
      <c r="BB345" s="21">
        <v>335</v>
      </c>
      <c r="BC345" s="21">
        <v>1.58569</v>
      </c>
      <c r="BD345">
        <f t="shared" si="70"/>
        <v>16.185679012345677</v>
      </c>
      <c r="BE345">
        <f t="shared" si="71"/>
        <v>25.685215881481479</v>
      </c>
    </row>
    <row r="346" spans="6:57" x14ac:dyDescent="0.25">
      <c r="F346" s="9"/>
      <c r="G346" s="21">
        <v>0.12817400000000001</v>
      </c>
      <c r="H346" s="21">
        <v>8.4061699999999995</v>
      </c>
      <c r="I346" s="21">
        <v>-1.5084800000000001E-2</v>
      </c>
      <c r="J346" s="21">
        <v>336</v>
      </c>
      <c r="K346" s="21">
        <v>0.12759400000000001</v>
      </c>
      <c r="L346">
        <f t="shared" si="60"/>
        <v>18.623209876543207</v>
      </c>
      <c r="M346">
        <f t="shared" si="61"/>
        <v>2.3870113027160493</v>
      </c>
      <c r="N346" s="9"/>
      <c r="O346" s="21">
        <v>1.5833999999999999</v>
      </c>
      <c r="P346" s="21">
        <v>14.9099</v>
      </c>
      <c r="Q346" s="21">
        <v>-1.31805E-2</v>
      </c>
      <c r="R346" s="21">
        <v>47</v>
      </c>
      <c r="S346" s="21">
        <v>1.5829500000000001</v>
      </c>
      <c r="T346">
        <f t="shared" si="62"/>
        <v>16.272222222222219</v>
      </c>
      <c r="U346">
        <f t="shared" si="63"/>
        <v>25.765436666666659</v>
      </c>
      <c r="X346" s="9"/>
      <c r="Y346" s="21">
        <v>0.12817400000000001</v>
      </c>
      <c r="Z346" s="21">
        <v>17.820399999999999</v>
      </c>
      <c r="AA346" s="21">
        <v>-1.50574E-2</v>
      </c>
      <c r="AB346" s="21">
        <v>336</v>
      </c>
      <c r="AC346" s="21">
        <v>0.12765499999999999</v>
      </c>
      <c r="AD346">
        <f t="shared" si="64"/>
        <v>18.589382716049382</v>
      </c>
      <c r="AE346">
        <f t="shared" si="65"/>
        <v>2.3826755402469137</v>
      </c>
      <c r="AF346" s="9"/>
      <c r="AG346" s="21">
        <v>1.59195</v>
      </c>
      <c r="AH346" s="21">
        <v>21.6799</v>
      </c>
      <c r="AI346" s="21">
        <v>-1.30676E-2</v>
      </c>
      <c r="AJ346" s="21">
        <v>336</v>
      </c>
      <c r="AK346" s="21">
        <v>1.5918000000000001</v>
      </c>
      <c r="AL346">
        <f t="shared" si="66"/>
        <v>16.132839506172839</v>
      </c>
      <c r="AM346">
        <f t="shared" si="67"/>
        <v>25.682673851851852</v>
      </c>
      <c r="AP346" s="9"/>
      <c r="AQ346" s="21">
        <v>0.12817400000000001</v>
      </c>
      <c r="AR346" s="21">
        <v>27.2546</v>
      </c>
      <c r="AS346" s="21">
        <v>-1.5081799999999999E-2</v>
      </c>
      <c r="AT346" s="21">
        <v>336</v>
      </c>
      <c r="AU346" s="21">
        <v>0.127716</v>
      </c>
      <c r="AV346">
        <f t="shared" si="68"/>
        <v>18.619506172839504</v>
      </c>
      <c r="AW346">
        <f t="shared" si="69"/>
        <v>2.3865365841975308</v>
      </c>
      <c r="AX346" s="9"/>
      <c r="AY346" s="21">
        <v>1.59195</v>
      </c>
      <c r="AZ346" s="21">
        <v>31.114100000000001</v>
      </c>
      <c r="BA346" s="21">
        <v>-1.30554E-2</v>
      </c>
      <c r="BB346" s="21">
        <v>336</v>
      </c>
      <c r="BC346" s="21">
        <v>1.5914900000000001</v>
      </c>
      <c r="BD346">
        <f t="shared" si="70"/>
        <v>16.117777777777775</v>
      </c>
      <c r="BE346">
        <f t="shared" si="71"/>
        <v>25.658696333333328</v>
      </c>
    </row>
    <row r="347" spans="6:57" x14ac:dyDescent="0.25">
      <c r="F347" s="9"/>
      <c r="G347" s="21">
        <v>0.123138</v>
      </c>
      <c r="H347" s="21">
        <v>8.4162499999999998</v>
      </c>
      <c r="I347" s="21">
        <v>-1.5084800000000001E-2</v>
      </c>
      <c r="J347" s="21">
        <v>337</v>
      </c>
      <c r="K347" s="21">
        <v>0.122681</v>
      </c>
      <c r="L347">
        <f t="shared" si="60"/>
        <v>18.623209876543207</v>
      </c>
      <c r="M347">
        <f t="shared" si="61"/>
        <v>2.2932248177777774</v>
      </c>
      <c r="N347" s="9"/>
      <c r="O347" s="21">
        <v>1.5884400000000001</v>
      </c>
      <c r="P347" s="21">
        <v>14.899800000000001</v>
      </c>
      <c r="Q347" s="21">
        <v>-1.31226E-2</v>
      </c>
      <c r="R347" s="21">
        <v>46</v>
      </c>
      <c r="S347" s="21">
        <v>1.5872200000000001</v>
      </c>
      <c r="T347">
        <f t="shared" si="62"/>
        <v>16.200740740740741</v>
      </c>
      <c r="U347">
        <f t="shared" si="63"/>
        <v>25.733904622222223</v>
      </c>
      <c r="X347" s="9"/>
      <c r="Y347" s="21">
        <v>0.123138</v>
      </c>
      <c r="Z347" s="21">
        <v>17.830500000000001</v>
      </c>
      <c r="AA347" s="21">
        <v>-1.50452E-2</v>
      </c>
      <c r="AB347" s="21">
        <v>337</v>
      </c>
      <c r="AC347" s="21">
        <v>0.12265</v>
      </c>
      <c r="AD347">
        <f t="shared" si="64"/>
        <v>18.574320987654321</v>
      </c>
      <c r="AE347">
        <f t="shared" si="65"/>
        <v>2.2872047377777776</v>
      </c>
      <c r="AF347" s="9"/>
      <c r="AG347" s="21">
        <v>1.5969800000000001</v>
      </c>
      <c r="AH347" s="21">
        <v>21.689900000000002</v>
      </c>
      <c r="AI347" s="21">
        <v>-1.30005E-2</v>
      </c>
      <c r="AJ347" s="21">
        <v>337</v>
      </c>
      <c r="AK347" s="21">
        <v>1.5960700000000001</v>
      </c>
      <c r="AL347">
        <f t="shared" si="66"/>
        <v>16.049999999999997</v>
      </c>
      <c r="AM347">
        <f t="shared" si="67"/>
        <v>25.631528999999997</v>
      </c>
      <c r="AP347" s="9"/>
      <c r="AQ347" s="21">
        <v>0.123138</v>
      </c>
      <c r="AR347" s="21">
        <v>27.264700000000001</v>
      </c>
      <c r="AS347" s="21">
        <v>-1.50787E-2</v>
      </c>
      <c r="AT347" s="21">
        <v>337</v>
      </c>
      <c r="AU347" s="21">
        <v>0.122528</v>
      </c>
      <c r="AV347">
        <f t="shared" si="68"/>
        <v>18.61567901234568</v>
      </c>
      <c r="AW347">
        <f t="shared" si="69"/>
        <v>2.2922974822222222</v>
      </c>
      <c r="AX347" s="9"/>
      <c r="AY347" s="21">
        <v>1.5969800000000001</v>
      </c>
      <c r="AZ347" s="21">
        <v>31.124199999999998</v>
      </c>
      <c r="BA347" s="21">
        <v>-1.2997399999999999E-2</v>
      </c>
      <c r="BB347" s="21">
        <v>337</v>
      </c>
      <c r="BC347" s="21">
        <v>1.5963700000000001</v>
      </c>
      <c r="BD347">
        <f t="shared" si="70"/>
        <v>16.04617283950617</v>
      </c>
      <c r="BE347">
        <f t="shared" si="71"/>
        <v>25.625417101234564</v>
      </c>
    </row>
    <row r="348" spans="6:57" x14ac:dyDescent="0.25">
      <c r="F348" s="9"/>
      <c r="G348" s="21">
        <v>0.118103</v>
      </c>
      <c r="H348" s="21">
        <v>8.4263200000000005</v>
      </c>
      <c r="I348" s="21">
        <v>-1.5084800000000001E-2</v>
      </c>
      <c r="J348" s="21">
        <v>338</v>
      </c>
      <c r="K348" s="21">
        <v>0.11758399999999999</v>
      </c>
      <c r="L348">
        <f t="shared" si="60"/>
        <v>18.623209876543207</v>
      </c>
      <c r="M348">
        <f t="shared" si="61"/>
        <v>2.1994569560493824</v>
      </c>
      <c r="N348" s="9"/>
      <c r="O348" s="21">
        <v>1.59348</v>
      </c>
      <c r="P348" s="21">
        <v>14.889699999999999</v>
      </c>
      <c r="Q348" s="21">
        <v>-1.30615E-2</v>
      </c>
      <c r="R348" s="21">
        <v>45</v>
      </c>
      <c r="S348" s="21">
        <v>1.5927100000000001</v>
      </c>
      <c r="T348">
        <f t="shared" si="62"/>
        <v>16.125308641975309</v>
      </c>
      <c r="U348">
        <f t="shared" si="63"/>
        <v>25.695356814814815</v>
      </c>
      <c r="X348" s="9"/>
      <c r="Y348" s="21">
        <v>0.118103</v>
      </c>
      <c r="Z348" s="21">
        <v>17.840499999999999</v>
      </c>
      <c r="AA348" s="21">
        <v>-1.5042099999999999E-2</v>
      </c>
      <c r="AB348" s="21">
        <v>338</v>
      </c>
      <c r="AC348" s="21">
        <v>0.11758399999999999</v>
      </c>
      <c r="AD348">
        <f t="shared" si="64"/>
        <v>18.570493827160494</v>
      </c>
      <c r="AE348">
        <f t="shared" si="65"/>
        <v>2.1932310324691358</v>
      </c>
      <c r="AF348" s="9"/>
      <c r="AG348" s="21">
        <v>1.60202</v>
      </c>
      <c r="AH348" s="21">
        <v>21.7</v>
      </c>
      <c r="AI348" s="21">
        <v>-1.29242E-2</v>
      </c>
      <c r="AJ348" s="21">
        <v>338</v>
      </c>
      <c r="AK348" s="21">
        <v>1.6012599999999999</v>
      </c>
      <c r="AL348">
        <f t="shared" si="66"/>
        <v>15.955802469135801</v>
      </c>
      <c r="AM348">
        <f t="shared" si="67"/>
        <v>25.561514671604936</v>
      </c>
      <c r="AP348" s="9"/>
      <c r="AQ348" s="21">
        <v>0.118103</v>
      </c>
      <c r="AR348" s="21">
        <v>27.274799999999999</v>
      </c>
      <c r="AS348" s="21">
        <v>-1.50726E-2</v>
      </c>
      <c r="AT348" s="21">
        <v>338</v>
      </c>
      <c r="AU348" s="21">
        <v>0.11755400000000001</v>
      </c>
      <c r="AV348">
        <f t="shared" si="68"/>
        <v>18.60814814814815</v>
      </c>
      <c r="AW348">
        <f t="shared" si="69"/>
        <v>2.1976781207407408</v>
      </c>
      <c r="AX348" s="9"/>
      <c r="AY348" s="21">
        <v>1.60202</v>
      </c>
      <c r="AZ348" s="21">
        <v>31.1342</v>
      </c>
      <c r="BA348" s="21">
        <v>-1.29456E-2</v>
      </c>
      <c r="BB348" s="21">
        <v>338</v>
      </c>
      <c r="BC348" s="21">
        <v>1.6015600000000001</v>
      </c>
      <c r="BD348">
        <f t="shared" si="70"/>
        <v>15.982222222222221</v>
      </c>
      <c r="BE348">
        <f t="shared" si="71"/>
        <v>25.603839644444442</v>
      </c>
    </row>
    <row r="349" spans="6:57" x14ac:dyDescent="0.25">
      <c r="F349" s="9"/>
      <c r="G349" s="21">
        <v>0.113068</v>
      </c>
      <c r="H349" s="21">
        <v>8.4363899999999994</v>
      </c>
      <c r="I349" s="21">
        <v>-1.5084800000000001E-2</v>
      </c>
      <c r="J349" s="21">
        <v>339</v>
      </c>
      <c r="K349" s="21">
        <v>0.112457</v>
      </c>
      <c r="L349">
        <f t="shared" si="60"/>
        <v>18.623209876543207</v>
      </c>
      <c r="M349">
        <f t="shared" si="61"/>
        <v>2.1056890943209874</v>
      </c>
      <c r="N349" s="9"/>
      <c r="O349" s="21">
        <v>1.5985100000000001</v>
      </c>
      <c r="P349" s="21">
        <v>14.8797</v>
      </c>
      <c r="Q349" s="21">
        <v>-1.30005E-2</v>
      </c>
      <c r="R349" s="21">
        <v>44</v>
      </c>
      <c r="S349" s="21">
        <v>1.5972900000000001</v>
      </c>
      <c r="T349">
        <f t="shared" si="62"/>
        <v>16.049999999999997</v>
      </c>
      <c r="U349">
        <f t="shared" si="63"/>
        <v>25.656085499999996</v>
      </c>
      <c r="X349" s="9"/>
      <c r="Y349" s="21">
        <v>0.113068</v>
      </c>
      <c r="Z349" s="21">
        <v>17.8506</v>
      </c>
      <c r="AA349" s="21">
        <v>-1.5032999999999999E-2</v>
      </c>
      <c r="AB349" s="21">
        <v>339</v>
      </c>
      <c r="AC349" s="21">
        <v>0.11251800000000001</v>
      </c>
      <c r="AD349">
        <f t="shared" si="64"/>
        <v>18.559259259259257</v>
      </c>
      <c r="AE349">
        <f t="shared" si="65"/>
        <v>2.0984583259259257</v>
      </c>
      <c r="AF349" s="9"/>
      <c r="AG349" s="21">
        <v>1.6070599999999999</v>
      </c>
      <c r="AH349" s="21">
        <v>21.710100000000001</v>
      </c>
      <c r="AI349" s="21">
        <v>-1.2860099999999999E-2</v>
      </c>
      <c r="AJ349" s="21">
        <v>339</v>
      </c>
      <c r="AK349" s="21">
        <v>1.6064499999999999</v>
      </c>
      <c r="AL349">
        <f t="shared" si="66"/>
        <v>15.876666666666663</v>
      </c>
      <c r="AM349">
        <f t="shared" si="67"/>
        <v>25.514755933333326</v>
      </c>
      <c r="AP349" s="9"/>
      <c r="AQ349" s="21">
        <v>0.113068</v>
      </c>
      <c r="AR349" s="21">
        <v>27.284800000000001</v>
      </c>
      <c r="AS349" s="21">
        <v>-1.50787E-2</v>
      </c>
      <c r="AT349" s="21">
        <v>339</v>
      </c>
      <c r="AU349" s="21">
        <v>0.112396</v>
      </c>
      <c r="AV349">
        <f t="shared" si="68"/>
        <v>18.61567901234568</v>
      </c>
      <c r="AW349">
        <f t="shared" si="69"/>
        <v>2.1048375945679014</v>
      </c>
      <c r="AX349" s="9"/>
      <c r="AY349" s="21">
        <v>1.6070599999999999</v>
      </c>
      <c r="AZ349" s="21">
        <v>31.144300000000001</v>
      </c>
      <c r="BA349" s="21">
        <v>-1.2881500000000001E-2</v>
      </c>
      <c r="BB349" s="21">
        <v>339</v>
      </c>
      <c r="BC349" s="21">
        <v>1.6067499999999999</v>
      </c>
      <c r="BD349">
        <f t="shared" si="70"/>
        <v>15.903086419753087</v>
      </c>
      <c r="BE349">
        <f t="shared" si="71"/>
        <v>25.557214061728395</v>
      </c>
    </row>
    <row r="350" spans="6:57" x14ac:dyDescent="0.25">
      <c r="F350" s="9"/>
      <c r="G350" s="21">
        <v>0.108032</v>
      </c>
      <c r="H350" s="21">
        <v>8.4464600000000001</v>
      </c>
      <c r="I350" s="21">
        <v>-1.50879E-2</v>
      </c>
      <c r="J350" s="21">
        <v>340</v>
      </c>
      <c r="K350" s="21">
        <v>0.10745200000000001</v>
      </c>
      <c r="L350">
        <f t="shared" si="60"/>
        <v>18.627037037037034</v>
      </c>
      <c r="M350">
        <f t="shared" si="61"/>
        <v>2.012316065185185</v>
      </c>
      <c r="N350" s="9"/>
      <c r="O350" s="21">
        <v>1.60355</v>
      </c>
      <c r="P350" s="21">
        <v>14.8696</v>
      </c>
      <c r="Q350" s="21">
        <v>-1.2942499999999999E-2</v>
      </c>
      <c r="R350" s="21">
        <v>43</v>
      </c>
      <c r="S350" s="21">
        <v>1.6024799999999999</v>
      </c>
      <c r="T350">
        <f t="shared" si="62"/>
        <v>15.978395061728392</v>
      </c>
      <c r="U350">
        <f t="shared" si="63"/>
        <v>25.622155401234565</v>
      </c>
      <c r="X350" s="9"/>
      <c r="Y350" s="21">
        <v>0.108032</v>
      </c>
      <c r="Z350" s="21">
        <v>17.860700000000001</v>
      </c>
      <c r="AA350" s="21">
        <v>-1.5032999999999999E-2</v>
      </c>
      <c r="AB350" s="21">
        <v>340</v>
      </c>
      <c r="AC350" s="21">
        <v>0.107483</v>
      </c>
      <c r="AD350">
        <f t="shared" si="64"/>
        <v>18.559259259259257</v>
      </c>
      <c r="AE350">
        <f t="shared" si="65"/>
        <v>2.0049938962962961</v>
      </c>
      <c r="AF350" s="9"/>
      <c r="AG350" s="21">
        <v>1.61209</v>
      </c>
      <c r="AH350" s="21">
        <v>21.720099999999999</v>
      </c>
      <c r="AI350" s="21">
        <v>-1.27899E-2</v>
      </c>
      <c r="AJ350" s="21">
        <v>340</v>
      </c>
      <c r="AK350" s="21">
        <v>1.6116299999999999</v>
      </c>
      <c r="AL350">
        <f t="shared" si="66"/>
        <v>15.79</v>
      </c>
      <c r="AM350">
        <f t="shared" si="67"/>
        <v>25.454901100000001</v>
      </c>
      <c r="AP350" s="9"/>
      <c r="AQ350" s="21">
        <v>0.108032</v>
      </c>
      <c r="AR350" s="21">
        <v>27.294899999999998</v>
      </c>
      <c r="AS350" s="21">
        <v>-1.50879E-2</v>
      </c>
      <c r="AT350" s="21">
        <v>340</v>
      </c>
      <c r="AU350" s="21">
        <v>0.107422</v>
      </c>
      <c r="AV350">
        <f t="shared" si="68"/>
        <v>18.627037037037034</v>
      </c>
      <c r="AW350">
        <f t="shared" si="69"/>
        <v>2.012316065185185</v>
      </c>
      <c r="AX350" s="9"/>
      <c r="AY350" s="21">
        <v>1.61209</v>
      </c>
      <c r="AZ350" s="21">
        <v>31.154399999999999</v>
      </c>
      <c r="BA350" s="21">
        <v>-1.2811299999999999E-2</v>
      </c>
      <c r="BB350" s="21">
        <v>340</v>
      </c>
      <c r="BC350" s="21">
        <v>1.6110199999999999</v>
      </c>
      <c r="BD350">
        <f t="shared" si="70"/>
        <v>15.816419753086418</v>
      </c>
      <c r="BE350">
        <f t="shared" si="71"/>
        <v>25.497492119753083</v>
      </c>
    </row>
    <row r="351" spans="6:57" x14ac:dyDescent="0.25">
      <c r="F351" s="9"/>
      <c r="G351" s="21">
        <v>0.10299700000000001</v>
      </c>
      <c r="H351" s="21">
        <v>8.4565300000000008</v>
      </c>
      <c r="I351" s="21">
        <v>-1.5084800000000001E-2</v>
      </c>
      <c r="J351" s="21">
        <v>341</v>
      </c>
      <c r="K351" s="21">
        <v>0.10241699999999999</v>
      </c>
      <c r="L351">
        <f t="shared" si="60"/>
        <v>18.623209876543207</v>
      </c>
      <c r="M351">
        <f t="shared" si="61"/>
        <v>1.9181347476543207</v>
      </c>
      <c r="N351" s="9"/>
      <c r="O351" s="21">
        <v>1.6085799999999999</v>
      </c>
      <c r="P351" s="21">
        <v>14.859500000000001</v>
      </c>
      <c r="Q351" s="21">
        <v>-1.28784E-2</v>
      </c>
      <c r="R351" s="21">
        <v>42</v>
      </c>
      <c r="S351" s="21">
        <v>1.6079699999999999</v>
      </c>
      <c r="T351">
        <f t="shared" si="62"/>
        <v>15.899259259259258</v>
      </c>
      <c r="U351">
        <f t="shared" si="63"/>
        <v>25.575230459259256</v>
      </c>
      <c r="X351" s="9"/>
      <c r="Y351" s="21">
        <v>0.10299700000000001</v>
      </c>
      <c r="Z351" s="21">
        <v>17.870699999999999</v>
      </c>
      <c r="AA351" s="21">
        <v>-1.5042099999999999E-2</v>
      </c>
      <c r="AB351" s="21">
        <v>341</v>
      </c>
      <c r="AC351" s="21">
        <v>0.102509</v>
      </c>
      <c r="AD351">
        <f t="shared" si="64"/>
        <v>18.570493827160494</v>
      </c>
      <c r="AE351">
        <f t="shared" si="65"/>
        <v>1.9127051527160495</v>
      </c>
      <c r="AF351" s="9"/>
      <c r="AG351" s="21">
        <v>1.61713</v>
      </c>
      <c r="AH351" s="21">
        <v>21.7302</v>
      </c>
      <c r="AI351" s="21">
        <v>-1.27197E-2</v>
      </c>
      <c r="AJ351" s="21">
        <v>341</v>
      </c>
      <c r="AK351" s="21">
        <v>1.6168199999999999</v>
      </c>
      <c r="AL351">
        <f t="shared" si="66"/>
        <v>15.703333333333333</v>
      </c>
      <c r="AM351">
        <f t="shared" si="67"/>
        <v>25.394331433333331</v>
      </c>
      <c r="AP351" s="9"/>
      <c r="AQ351" s="21">
        <v>0.10299700000000001</v>
      </c>
      <c r="AR351" s="21">
        <v>27.305</v>
      </c>
      <c r="AS351" s="21">
        <v>-1.50879E-2</v>
      </c>
      <c r="AT351" s="21">
        <v>341</v>
      </c>
      <c r="AU351" s="21">
        <v>0.102448</v>
      </c>
      <c r="AV351">
        <f t="shared" si="68"/>
        <v>18.627037037037034</v>
      </c>
      <c r="AW351">
        <f t="shared" si="69"/>
        <v>1.9185289337037035</v>
      </c>
      <c r="AX351" s="9"/>
      <c r="AY351" s="21">
        <v>1.61713</v>
      </c>
      <c r="AZ351" s="21">
        <v>31.164400000000001</v>
      </c>
      <c r="BA351" s="21">
        <v>-1.2725800000000001E-2</v>
      </c>
      <c r="BB351" s="21">
        <v>341</v>
      </c>
      <c r="BC351" s="21">
        <v>1.61652</v>
      </c>
      <c r="BD351">
        <f t="shared" si="70"/>
        <v>15.710864197530865</v>
      </c>
      <c r="BE351">
        <f t="shared" si="71"/>
        <v>25.406509819753087</v>
      </c>
    </row>
    <row r="352" spans="6:57" x14ac:dyDescent="0.25">
      <c r="F352" s="9"/>
      <c r="G352" s="21">
        <v>9.7961400000000004E-2</v>
      </c>
      <c r="H352" s="21">
        <v>8.4665999999999997</v>
      </c>
      <c r="I352" s="21">
        <v>-1.50879E-2</v>
      </c>
      <c r="J352" s="21">
        <v>342</v>
      </c>
      <c r="K352" s="21">
        <v>9.7503699999999999E-2</v>
      </c>
      <c r="L352">
        <f t="shared" si="60"/>
        <v>18.627037037037034</v>
      </c>
      <c r="M352">
        <f t="shared" si="61"/>
        <v>1.8247306259999998</v>
      </c>
      <c r="N352" s="9"/>
      <c r="O352" s="21">
        <v>1.6136200000000001</v>
      </c>
      <c r="P352" s="21">
        <v>14.849399999999999</v>
      </c>
      <c r="Q352" s="21">
        <v>-1.28082E-2</v>
      </c>
      <c r="R352" s="21">
        <v>41</v>
      </c>
      <c r="S352" s="21">
        <v>1.6128499999999999</v>
      </c>
      <c r="T352">
        <f t="shared" si="62"/>
        <v>15.812592592592594</v>
      </c>
      <c r="U352">
        <f t="shared" si="63"/>
        <v>25.515515659259261</v>
      </c>
      <c r="X352" s="9"/>
      <c r="Y352" s="21">
        <v>9.7961400000000004E-2</v>
      </c>
      <c r="Z352" s="21">
        <v>17.880800000000001</v>
      </c>
      <c r="AA352" s="21">
        <v>-1.5042099999999999E-2</v>
      </c>
      <c r="AB352" s="21">
        <v>342</v>
      </c>
      <c r="AC352" s="21">
        <v>9.7381599999999999E-2</v>
      </c>
      <c r="AD352">
        <f t="shared" si="64"/>
        <v>18.570493827160494</v>
      </c>
      <c r="AE352">
        <f t="shared" si="65"/>
        <v>1.819191574</v>
      </c>
      <c r="AF352" s="9"/>
      <c r="AG352" s="21">
        <v>1.62216</v>
      </c>
      <c r="AH352" s="21">
        <v>21.740300000000001</v>
      </c>
      <c r="AI352" s="21">
        <v>-1.26404E-2</v>
      </c>
      <c r="AJ352" s="21">
        <v>342</v>
      </c>
      <c r="AK352" s="21">
        <v>1.6214</v>
      </c>
      <c r="AL352">
        <f t="shared" si="66"/>
        <v>15.60543209876543</v>
      </c>
      <c r="AM352">
        <f t="shared" si="67"/>
        <v>25.314507733333329</v>
      </c>
      <c r="AP352" s="9"/>
      <c r="AQ352" s="21">
        <v>9.7961400000000004E-2</v>
      </c>
      <c r="AR352" s="21">
        <v>27.315000000000001</v>
      </c>
      <c r="AS352" s="21">
        <v>-1.5094E-2</v>
      </c>
      <c r="AT352" s="21">
        <v>342</v>
      </c>
      <c r="AU352" s="21">
        <v>9.7473099999999993E-2</v>
      </c>
      <c r="AV352">
        <f t="shared" si="68"/>
        <v>18.634567901234568</v>
      </c>
      <c r="AW352">
        <f t="shared" si="69"/>
        <v>1.8254683600000001</v>
      </c>
      <c r="AX352" s="9"/>
      <c r="AY352" s="21">
        <v>1.62216</v>
      </c>
      <c r="AZ352" s="21">
        <v>31.174499999999998</v>
      </c>
      <c r="BA352" s="21">
        <v>-1.26404E-2</v>
      </c>
      <c r="BB352" s="21">
        <v>342</v>
      </c>
      <c r="BC352" s="21">
        <v>1.6214</v>
      </c>
      <c r="BD352">
        <f t="shared" si="70"/>
        <v>15.60543209876543</v>
      </c>
      <c r="BE352">
        <f t="shared" si="71"/>
        <v>25.314507733333329</v>
      </c>
    </row>
    <row r="353" spans="6:57" x14ac:dyDescent="0.25">
      <c r="F353" s="9"/>
      <c r="G353" s="21">
        <v>9.2925999999999995E-2</v>
      </c>
      <c r="H353" s="21">
        <v>8.4766700000000004</v>
      </c>
      <c r="I353" s="21">
        <v>-1.50879E-2</v>
      </c>
      <c r="J353" s="21">
        <v>343</v>
      </c>
      <c r="K353" s="21">
        <v>9.2376700000000006E-2</v>
      </c>
      <c r="L353">
        <f t="shared" si="60"/>
        <v>18.627037037037034</v>
      </c>
      <c r="M353">
        <f t="shared" si="61"/>
        <v>1.7309360437037034</v>
      </c>
      <c r="N353" s="9"/>
      <c r="O353" s="21">
        <v>1.6186499999999999</v>
      </c>
      <c r="P353" s="21">
        <v>14.839399999999999</v>
      </c>
      <c r="Q353" s="21">
        <v>-1.2731900000000001E-2</v>
      </c>
      <c r="R353" s="21">
        <v>40</v>
      </c>
      <c r="S353" s="21">
        <v>1.6180399999999999</v>
      </c>
      <c r="T353">
        <f t="shared" si="62"/>
        <v>15.718395061728396</v>
      </c>
      <c r="U353">
        <f t="shared" si="63"/>
        <v>25.442580166666666</v>
      </c>
      <c r="X353" s="9"/>
      <c r="Y353" s="21">
        <v>9.2925999999999995E-2</v>
      </c>
      <c r="Z353" s="21">
        <v>17.890899999999998</v>
      </c>
      <c r="AA353" s="21">
        <v>-1.5048199999999999E-2</v>
      </c>
      <c r="AB353" s="21">
        <v>343</v>
      </c>
      <c r="AC353" s="21">
        <v>9.2346200000000003E-2</v>
      </c>
      <c r="AD353">
        <f t="shared" si="64"/>
        <v>18.578024691358021</v>
      </c>
      <c r="AE353">
        <f t="shared" si="65"/>
        <v>1.7263815224691352</v>
      </c>
      <c r="AF353" s="9"/>
      <c r="AG353" s="21">
        <v>1.6272</v>
      </c>
      <c r="AH353" s="21">
        <v>21.750399999999999</v>
      </c>
      <c r="AI353" s="21">
        <v>-1.2558E-2</v>
      </c>
      <c r="AJ353" s="21">
        <v>343</v>
      </c>
      <c r="AK353" s="21">
        <v>1.6262799999999999</v>
      </c>
      <c r="AL353">
        <f t="shared" si="66"/>
        <v>15.503703703703701</v>
      </c>
      <c r="AM353">
        <f t="shared" si="67"/>
        <v>25.227626666666662</v>
      </c>
      <c r="AP353" s="9"/>
      <c r="AQ353" s="21">
        <v>9.2925999999999995E-2</v>
      </c>
      <c r="AR353" s="21">
        <v>27.325099999999999</v>
      </c>
      <c r="AS353" s="21">
        <v>-1.5090900000000001E-2</v>
      </c>
      <c r="AT353" s="21">
        <v>343</v>
      </c>
      <c r="AU353" s="21">
        <v>9.2346200000000003E-2</v>
      </c>
      <c r="AV353">
        <f t="shared" si="68"/>
        <v>18.630740740740741</v>
      </c>
      <c r="AW353">
        <f t="shared" si="69"/>
        <v>1.731280214074074</v>
      </c>
      <c r="AX353" s="9"/>
      <c r="AY353" s="21">
        <v>1.6272</v>
      </c>
      <c r="AZ353" s="21">
        <v>31.1846</v>
      </c>
      <c r="BA353" s="21">
        <v>-1.2558E-2</v>
      </c>
      <c r="BB353" s="21">
        <v>343</v>
      </c>
      <c r="BC353" s="21">
        <v>1.62659</v>
      </c>
      <c r="BD353">
        <f t="shared" si="70"/>
        <v>15.503703703703701</v>
      </c>
      <c r="BE353">
        <f t="shared" si="71"/>
        <v>25.227626666666662</v>
      </c>
    </row>
    <row r="354" spans="6:57" x14ac:dyDescent="0.25">
      <c r="F354" s="9"/>
      <c r="G354" s="21">
        <v>8.7890599999999999E-2</v>
      </c>
      <c r="H354" s="21">
        <v>8.4867399999999993</v>
      </c>
      <c r="I354" s="21">
        <v>-1.5094E-2</v>
      </c>
      <c r="J354" s="21">
        <v>344</v>
      </c>
      <c r="K354" s="21">
        <v>8.7310799999999994E-2</v>
      </c>
      <c r="L354">
        <f t="shared" si="60"/>
        <v>18.634567901234568</v>
      </c>
      <c r="M354">
        <f t="shared" si="61"/>
        <v>1.637803353580247</v>
      </c>
      <c r="N354" s="9"/>
      <c r="O354" s="21">
        <v>1.6236900000000001</v>
      </c>
      <c r="P354" s="21">
        <v>14.8293</v>
      </c>
      <c r="Q354" s="21">
        <v>-1.2655599999999999E-2</v>
      </c>
      <c r="R354" s="21">
        <v>39</v>
      </c>
      <c r="S354" s="21">
        <v>1.6223099999999999</v>
      </c>
      <c r="T354">
        <f t="shared" si="62"/>
        <v>15.624197530864196</v>
      </c>
      <c r="U354">
        <f t="shared" si="63"/>
        <v>25.368853288888886</v>
      </c>
      <c r="X354" s="9"/>
      <c r="Y354" s="21">
        <v>8.7890599999999999E-2</v>
      </c>
      <c r="Z354" s="21">
        <v>17.901</v>
      </c>
      <c r="AA354" s="21">
        <v>-1.50391E-2</v>
      </c>
      <c r="AB354" s="21">
        <v>344</v>
      </c>
      <c r="AC354" s="21">
        <v>8.7371799999999999E-2</v>
      </c>
      <c r="AD354">
        <f t="shared" si="64"/>
        <v>18.566790123456791</v>
      </c>
      <c r="AE354">
        <f t="shared" si="65"/>
        <v>1.6318463240246914</v>
      </c>
      <c r="AF354" s="9"/>
      <c r="AG354" s="21">
        <v>1.6322300000000001</v>
      </c>
      <c r="AH354" s="21">
        <v>21.760400000000001</v>
      </c>
      <c r="AI354" s="21">
        <v>-1.2463399999999999E-2</v>
      </c>
      <c r="AJ354" s="21">
        <v>344</v>
      </c>
      <c r="AK354" s="21">
        <v>1.63086</v>
      </c>
      <c r="AL354">
        <f t="shared" si="66"/>
        <v>15.386913580246912</v>
      </c>
      <c r="AM354">
        <f t="shared" si="67"/>
        <v>25.114981953086417</v>
      </c>
      <c r="AP354" s="9"/>
      <c r="AQ354" s="21">
        <v>8.7890599999999999E-2</v>
      </c>
      <c r="AR354" s="21">
        <v>27.3352</v>
      </c>
      <c r="AS354" s="21">
        <v>-1.5075699999999999E-2</v>
      </c>
      <c r="AT354" s="21">
        <v>344</v>
      </c>
      <c r="AU354" s="21">
        <v>8.7402300000000002E-2</v>
      </c>
      <c r="AV354">
        <f t="shared" si="68"/>
        <v>18.611975308641973</v>
      </c>
      <c r="AW354">
        <f t="shared" si="69"/>
        <v>1.6358176770617283</v>
      </c>
      <c r="AX354" s="9"/>
      <c r="AY354" s="21">
        <v>1.6322300000000001</v>
      </c>
      <c r="AZ354" s="21">
        <v>31.194700000000001</v>
      </c>
      <c r="BA354" s="21">
        <v>-1.2463399999999999E-2</v>
      </c>
      <c r="BB354" s="21">
        <v>344</v>
      </c>
      <c r="BC354" s="21">
        <v>1.63147</v>
      </c>
      <c r="BD354">
        <f t="shared" si="70"/>
        <v>15.386913580246912</v>
      </c>
      <c r="BE354">
        <f t="shared" si="71"/>
        <v>25.114981953086417</v>
      </c>
    </row>
    <row r="355" spans="6:57" x14ac:dyDescent="0.25">
      <c r="F355" s="9"/>
      <c r="G355" s="21">
        <v>8.2855200000000004E-2</v>
      </c>
      <c r="H355" s="21">
        <v>8.49681</v>
      </c>
      <c r="I355" s="21">
        <v>-1.5090900000000001E-2</v>
      </c>
      <c r="J355" s="21">
        <v>345</v>
      </c>
      <c r="K355" s="21">
        <v>8.2428000000000001E-2</v>
      </c>
      <c r="L355">
        <f t="shared" si="60"/>
        <v>18.630740740740741</v>
      </c>
      <c r="M355">
        <f t="shared" si="61"/>
        <v>1.5436537502222223</v>
      </c>
      <c r="N355" s="9"/>
      <c r="O355" s="21">
        <v>1.6287199999999999</v>
      </c>
      <c r="P355" s="21">
        <v>14.8192</v>
      </c>
      <c r="Q355" s="21">
        <v>-1.25702E-2</v>
      </c>
      <c r="R355" s="21">
        <v>38</v>
      </c>
      <c r="S355" s="21">
        <v>1.6281099999999999</v>
      </c>
      <c r="T355">
        <f t="shared" si="62"/>
        <v>15.518765432098766</v>
      </c>
      <c r="U355">
        <f t="shared" si="63"/>
        <v>25.2757236345679</v>
      </c>
      <c r="X355" s="9"/>
      <c r="Y355" s="21">
        <v>8.2855200000000004E-2</v>
      </c>
      <c r="Z355" s="21">
        <v>17.911000000000001</v>
      </c>
      <c r="AA355" s="21">
        <v>-1.50177E-2</v>
      </c>
      <c r="AB355" s="21">
        <v>345</v>
      </c>
      <c r="AC355" s="21">
        <v>8.2366900000000007E-2</v>
      </c>
      <c r="AD355">
        <f t="shared" si="64"/>
        <v>18.540370370370372</v>
      </c>
      <c r="AE355">
        <f t="shared" si="65"/>
        <v>1.5361660951111114</v>
      </c>
      <c r="AF355" s="9"/>
      <c r="AG355" s="21">
        <v>1.63727</v>
      </c>
      <c r="AH355" s="21">
        <v>21.770499999999998</v>
      </c>
      <c r="AI355" s="21">
        <v>-1.2368799999999999E-2</v>
      </c>
      <c r="AJ355" s="21">
        <v>345</v>
      </c>
      <c r="AK355" s="21">
        <v>1.63635</v>
      </c>
      <c r="AL355">
        <f t="shared" si="66"/>
        <v>15.270123456790122</v>
      </c>
      <c r="AM355">
        <f t="shared" si="67"/>
        <v>25.001315032098763</v>
      </c>
      <c r="AP355" s="9"/>
      <c r="AQ355" s="21">
        <v>8.2855200000000004E-2</v>
      </c>
      <c r="AR355" s="21">
        <v>27.345300000000002</v>
      </c>
      <c r="AS355" s="21">
        <v>-1.5063500000000001E-2</v>
      </c>
      <c r="AT355" s="21">
        <v>345</v>
      </c>
      <c r="AU355" s="21">
        <v>8.2336400000000004E-2</v>
      </c>
      <c r="AV355">
        <f t="shared" si="68"/>
        <v>18.596913580246913</v>
      </c>
      <c r="AW355">
        <f t="shared" si="69"/>
        <v>1.540850994074074</v>
      </c>
      <c r="AX355" s="9"/>
      <c r="AY355" s="21">
        <v>1.63727</v>
      </c>
      <c r="AZ355" s="21">
        <v>31.204699999999999</v>
      </c>
      <c r="BA355" s="21">
        <v>-1.2368799999999999E-2</v>
      </c>
      <c r="BB355" s="21">
        <v>345</v>
      </c>
      <c r="BC355" s="21">
        <v>1.63635</v>
      </c>
      <c r="BD355">
        <f t="shared" si="70"/>
        <v>15.270123456790122</v>
      </c>
      <c r="BE355">
        <f t="shared" si="71"/>
        <v>25.001315032098763</v>
      </c>
    </row>
    <row r="356" spans="6:57" x14ac:dyDescent="0.25">
      <c r="F356" s="9"/>
      <c r="G356" s="21">
        <v>7.7819799999999995E-2</v>
      </c>
      <c r="H356" s="21">
        <v>8.5068800000000007</v>
      </c>
      <c r="I356" s="21">
        <v>-1.50879E-2</v>
      </c>
      <c r="J356" s="21">
        <v>346</v>
      </c>
      <c r="K356" s="21">
        <v>7.7270500000000006E-2</v>
      </c>
      <c r="L356">
        <f t="shared" si="60"/>
        <v>18.627037037037034</v>
      </c>
      <c r="M356">
        <f t="shared" si="61"/>
        <v>1.4495522968148145</v>
      </c>
      <c r="N356" s="9"/>
      <c r="O356" s="21">
        <v>1.6337600000000001</v>
      </c>
      <c r="P356" s="21">
        <v>14.809200000000001</v>
      </c>
      <c r="Q356" s="21">
        <v>-1.24756E-2</v>
      </c>
      <c r="R356" s="21">
        <v>37</v>
      </c>
      <c r="S356" s="21">
        <v>1.633</v>
      </c>
      <c r="T356">
        <f t="shared" si="62"/>
        <v>15.401975308641974</v>
      </c>
      <c r="U356">
        <f t="shared" si="63"/>
        <v>25.163131180246914</v>
      </c>
      <c r="X356" s="9"/>
      <c r="Y356" s="21">
        <v>7.7819799999999995E-2</v>
      </c>
      <c r="Z356" s="21">
        <v>17.921099999999999</v>
      </c>
      <c r="AA356" s="21">
        <v>-1.5020800000000001E-2</v>
      </c>
      <c r="AB356" s="21">
        <v>346</v>
      </c>
      <c r="AC356" s="21">
        <v>7.72095E-2</v>
      </c>
      <c r="AD356">
        <f t="shared" si="64"/>
        <v>18.544197530864199</v>
      </c>
      <c r="AE356">
        <f t="shared" si="65"/>
        <v>1.4431057430123457</v>
      </c>
      <c r="AF356" s="9"/>
      <c r="AG356" s="21">
        <v>1.6423000000000001</v>
      </c>
      <c r="AH356" s="21">
        <v>21.7806</v>
      </c>
      <c r="AI356" s="21">
        <v>-1.2274200000000001E-2</v>
      </c>
      <c r="AJ356" s="21">
        <v>346</v>
      </c>
      <c r="AK356" s="21">
        <v>1.64154</v>
      </c>
      <c r="AL356">
        <f t="shared" si="66"/>
        <v>15.153333333333332</v>
      </c>
      <c r="AM356">
        <f t="shared" si="67"/>
        <v>24.886319333333333</v>
      </c>
      <c r="AP356" s="9"/>
      <c r="AQ356" s="21">
        <v>7.7819799999999995E-2</v>
      </c>
      <c r="AR356" s="21">
        <v>27.3553</v>
      </c>
      <c r="AS356" s="21">
        <v>-1.5063500000000001E-2</v>
      </c>
      <c r="AT356" s="21">
        <v>346</v>
      </c>
      <c r="AU356" s="21">
        <v>7.7300999999999995E-2</v>
      </c>
      <c r="AV356">
        <f t="shared" si="68"/>
        <v>18.596913580246913</v>
      </c>
      <c r="AW356">
        <f t="shared" si="69"/>
        <v>1.4472080954320985</v>
      </c>
      <c r="AX356" s="9"/>
      <c r="AY356" s="21">
        <v>1.6423000000000001</v>
      </c>
      <c r="AZ356" s="21">
        <v>31.2148</v>
      </c>
      <c r="BA356" s="21">
        <v>-1.22711E-2</v>
      </c>
      <c r="BB356" s="21">
        <v>346</v>
      </c>
      <c r="BC356" s="21">
        <v>1.64154</v>
      </c>
      <c r="BD356">
        <f t="shared" si="70"/>
        <v>15.149506172839505</v>
      </c>
      <c r="BE356">
        <f t="shared" si="71"/>
        <v>24.880033987654322</v>
      </c>
    </row>
    <row r="357" spans="6:57" x14ac:dyDescent="0.25">
      <c r="F357" s="9"/>
      <c r="G357" s="21">
        <v>7.2784399999999999E-2</v>
      </c>
      <c r="H357" s="21">
        <v>8.5169599999999992</v>
      </c>
      <c r="I357" s="21">
        <v>-1.5094E-2</v>
      </c>
      <c r="J357" s="21">
        <v>347</v>
      </c>
      <c r="K357" s="21">
        <v>7.2143600000000002E-2</v>
      </c>
      <c r="L357">
        <f t="shared" si="60"/>
        <v>18.634567901234568</v>
      </c>
      <c r="M357">
        <f t="shared" si="61"/>
        <v>1.3563058439506173</v>
      </c>
      <c r="N357" s="9"/>
      <c r="O357" s="21">
        <v>1.63879</v>
      </c>
      <c r="P357" s="21">
        <v>14.799099999999999</v>
      </c>
      <c r="Q357" s="21">
        <v>-1.2390099999999999E-2</v>
      </c>
      <c r="R357" s="21">
        <v>36</v>
      </c>
      <c r="S357" s="21">
        <v>1.63849</v>
      </c>
      <c r="T357">
        <f t="shared" si="62"/>
        <v>15.296419753086418</v>
      </c>
      <c r="U357">
        <f t="shared" si="63"/>
        <v>25.067619727160491</v>
      </c>
      <c r="X357" s="9"/>
      <c r="Y357" s="21">
        <v>7.2784399999999999E-2</v>
      </c>
      <c r="Z357" s="21">
        <v>17.9312</v>
      </c>
      <c r="AA357" s="21">
        <v>-1.5026899999999999E-2</v>
      </c>
      <c r="AB357" s="21">
        <v>347</v>
      </c>
      <c r="AC357" s="21">
        <v>7.2174100000000005E-2</v>
      </c>
      <c r="AD357">
        <f t="shared" si="64"/>
        <v>18.551728395061726</v>
      </c>
      <c r="AE357">
        <f t="shared" si="65"/>
        <v>1.3502764201975306</v>
      </c>
      <c r="AF357" s="9"/>
      <c r="AG357" s="21">
        <v>1.64734</v>
      </c>
      <c r="AH357" s="21">
        <v>21.790600000000001</v>
      </c>
      <c r="AI357" s="21">
        <v>-1.21765E-2</v>
      </c>
      <c r="AJ357" s="21">
        <v>347</v>
      </c>
      <c r="AK357" s="21">
        <v>1.64673</v>
      </c>
      <c r="AL357">
        <f t="shared" si="66"/>
        <v>15.032716049382715</v>
      </c>
      <c r="AM357">
        <f t="shared" si="67"/>
        <v>24.763994456790122</v>
      </c>
      <c r="AP357" s="9"/>
      <c r="AQ357" s="21">
        <v>7.2784399999999999E-2</v>
      </c>
      <c r="AR357" s="21">
        <v>27.365400000000001</v>
      </c>
      <c r="AS357" s="21">
        <v>-1.50604E-2</v>
      </c>
      <c r="AT357" s="21">
        <v>347</v>
      </c>
      <c r="AU357" s="21">
        <v>7.2326699999999994E-2</v>
      </c>
      <c r="AV357">
        <f t="shared" si="68"/>
        <v>18.593086419753085</v>
      </c>
      <c r="AW357">
        <f t="shared" si="69"/>
        <v>1.3532866392098764</v>
      </c>
      <c r="AX357" s="9"/>
      <c r="AY357" s="21">
        <v>1.64734</v>
      </c>
      <c r="AZ357" s="21">
        <v>31.224900000000002</v>
      </c>
      <c r="BA357" s="21">
        <v>-1.21613E-2</v>
      </c>
      <c r="BB357" s="21">
        <v>347</v>
      </c>
      <c r="BC357" s="21">
        <v>1.64612</v>
      </c>
      <c r="BD357">
        <f t="shared" si="70"/>
        <v>15.01395061728395</v>
      </c>
      <c r="BE357">
        <f t="shared" si="71"/>
        <v>24.733081409876544</v>
      </c>
    </row>
    <row r="358" spans="6:57" x14ac:dyDescent="0.25">
      <c r="F358" s="9"/>
      <c r="G358" s="21">
        <v>6.7749000000000004E-2</v>
      </c>
      <c r="H358" s="21">
        <v>8.5270299999999999</v>
      </c>
      <c r="I358" s="21">
        <v>-1.51001E-2</v>
      </c>
      <c r="J358" s="21">
        <v>348</v>
      </c>
      <c r="K358" s="21">
        <v>6.7169199999999998E-2</v>
      </c>
      <c r="L358">
        <f t="shared" si="60"/>
        <v>18.642098765432099</v>
      </c>
      <c r="M358">
        <f t="shared" si="61"/>
        <v>1.2629835492592594</v>
      </c>
      <c r="N358" s="9"/>
      <c r="O358" s="21">
        <v>1.6438299999999999</v>
      </c>
      <c r="P358" s="21">
        <v>14.789</v>
      </c>
      <c r="Q358" s="21">
        <v>-1.2289400000000001E-2</v>
      </c>
      <c r="R358" s="21">
        <v>35</v>
      </c>
      <c r="S358" s="21">
        <v>1.64337</v>
      </c>
      <c r="T358">
        <f t="shared" si="62"/>
        <v>15.172098765432098</v>
      </c>
      <c r="U358">
        <f t="shared" si="63"/>
        <v>24.940351113580245</v>
      </c>
      <c r="X358" s="9"/>
      <c r="Y358" s="21">
        <v>6.7749000000000004E-2</v>
      </c>
      <c r="Z358" s="21">
        <v>17.941199999999998</v>
      </c>
      <c r="AA358" s="21">
        <v>-1.5029900000000001E-2</v>
      </c>
      <c r="AB358" s="21">
        <v>348</v>
      </c>
      <c r="AC358" s="21">
        <v>6.7230200000000004E-2</v>
      </c>
      <c r="AD358">
        <f t="shared" si="64"/>
        <v>18.555432098765429</v>
      </c>
      <c r="AE358">
        <f t="shared" si="65"/>
        <v>1.2571119692592592</v>
      </c>
      <c r="AF358" s="9"/>
      <c r="AG358" s="21">
        <v>1.6523699999999999</v>
      </c>
      <c r="AH358" s="21">
        <v>21.800699999999999</v>
      </c>
      <c r="AI358" s="21">
        <v>-1.2075799999999999E-2</v>
      </c>
      <c r="AJ358" s="21">
        <v>348</v>
      </c>
      <c r="AK358" s="21">
        <v>1.6519200000000001</v>
      </c>
      <c r="AL358">
        <f t="shared" si="66"/>
        <v>14.908395061728394</v>
      </c>
      <c r="AM358">
        <f t="shared" si="67"/>
        <v>24.634184748148144</v>
      </c>
      <c r="AP358" s="9"/>
      <c r="AQ358" s="21">
        <v>6.7749000000000004E-2</v>
      </c>
      <c r="AR358" s="21">
        <v>27.375499999999999</v>
      </c>
      <c r="AS358" s="21">
        <v>-1.50391E-2</v>
      </c>
      <c r="AT358" s="21">
        <v>348</v>
      </c>
      <c r="AU358" s="21">
        <v>6.7321800000000001E-2</v>
      </c>
      <c r="AV358">
        <f t="shared" si="68"/>
        <v>18.566790123456791</v>
      </c>
      <c r="AW358">
        <f t="shared" si="69"/>
        <v>1.2578814640740741</v>
      </c>
      <c r="AX358" s="9"/>
      <c r="AY358" s="21">
        <v>1.6523699999999999</v>
      </c>
      <c r="AZ358" s="21">
        <v>31.2349</v>
      </c>
      <c r="BA358" s="21">
        <v>-1.20544E-2</v>
      </c>
      <c r="BB358" s="21">
        <v>348</v>
      </c>
      <c r="BC358" s="21">
        <v>1.6513100000000001</v>
      </c>
      <c r="BD358">
        <f t="shared" si="70"/>
        <v>14.881975308641973</v>
      </c>
      <c r="BE358">
        <f t="shared" si="71"/>
        <v>24.590529540740736</v>
      </c>
    </row>
    <row r="359" spans="6:57" x14ac:dyDescent="0.25">
      <c r="F359" s="9"/>
      <c r="G359" s="21">
        <v>6.2713599999999994E-2</v>
      </c>
      <c r="H359" s="21">
        <v>8.5371000000000006</v>
      </c>
      <c r="I359" s="21">
        <v>-1.51062E-2</v>
      </c>
      <c r="J359" s="21">
        <v>349</v>
      </c>
      <c r="K359" s="21">
        <v>6.2164299999999999E-2</v>
      </c>
      <c r="L359">
        <f t="shared" si="60"/>
        <v>18.649629629629626</v>
      </c>
      <c r="M359">
        <f t="shared" si="61"/>
        <v>1.1695854127407403</v>
      </c>
      <c r="N359" s="9"/>
      <c r="O359" s="21">
        <v>1.64886</v>
      </c>
      <c r="P359" s="21">
        <v>14.7789</v>
      </c>
      <c r="Q359" s="21">
        <v>-1.21887E-2</v>
      </c>
      <c r="R359" s="21">
        <v>34</v>
      </c>
      <c r="S359" s="21">
        <v>1.64764</v>
      </c>
      <c r="T359">
        <f t="shared" si="62"/>
        <v>15.047777777777776</v>
      </c>
      <c r="U359">
        <f t="shared" si="63"/>
        <v>24.811678866666664</v>
      </c>
      <c r="X359" s="9"/>
      <c r="Y359" s="21">
        <v>6.2713599999999994E-2</v>
      </c>
      <c r="Z359" s="21">
        <v>17.9513</v>
      </c>
      <c r="AA359" s="21">
        <v>-1.5042099999999999E-2</v>
      </c>
      <c r="AB359" s="21">
        <v>349</v>
      </c>
      <c r="AC359" s="21">
        <v>6.21033E-2</v>
      </c>
      <c r="AD359">
        <f t="shared" si="64"/>
        <v>18.570493827160494</v>
      </c>
      <c r="AE359">
        <f t="shared" si="65"/>
        <v>1.1646225216790123</v>
      </c>
      <c r="AF359" s="9"/>
      <c r="AG359" s="21">
        <v>1.65741</v>
      </c>
      <c r="AH359" s="21">
        <v>21.8108</v>
      </c>
      <c r="AI359" s="21">
        <v>-1.19598E-2</v>
      </c>
      <c r="AJ359" s="21">
        <v>349</v>
      </c>
      <c r="AK359" s="21">
        <v>1.65649</v>
      </c>
      <c r="AL359">
        <f t="shared" si="66"/>
        <v>14.765185185185183</v>
      </c>
      <c r="AM359">
        <f t="shared" si="67"/>
        <v>24.471965577777777</v>
      </c>
      <c r="AP359" s="9"/>
      <c r="AQ359" s="21">
        <v>6.2713599999999994E-2</v>
      </c>
      <c r="AR359" s="21">
        <v>27.3855</v>
      </c>
      <c r="AS359" s="21">
        <v>-1.5029900000000001E-2</v>
      </c>
      <c r="AT359" s="21">
        <v>349</v>
      </c>
      <c r="AU359" s="21">
        <v>6.2133800000000003E-2</v>
      </c>
      <c r="AV359">
        <f t="shared" si="68"/>
        <v>18.555432098765429</v>
      </c>
      <c r="AW359">
        <f t="shared" si="69"/>
        <v>1.1636779464691356</v>
      </c>
      <c r="AX359" s="9"/>
      <c r="AY359" s="21">
        <v>1.65741</v>
      </c>
      <c r="AZ359" s="21">
        <v>31.245000000000001</v>
      </c>
      <c r="BA359" s="21">
        <v>-1.1941500000000001E-2</v>
      </c>
      <c r="BB359" s="21">
        <v>349</v>
      </c>
      <c r="BC359" s="21">
        <v>1.65649</v>
      </c>
      <c r="BD359">
        <f t="shared" si="70"/>
        <v>14.742592592592592</v>
      </c>
      <c r="BE359">
        <f t="shared" si="71"/>
        <v>24.434520388888888</v>
      </c>
    </row>
    <row r="360" spans="6:57" x14ac:dyDescent="0.25">
      <c r="F360" s="9"/>
      <c r="G360" s="21">
        <v>5.7678199999999999E-2</v>
      </c>
      <c r="H360" s="21">
        <v>8.5471699999999995</v>
      </c>
      <c r="I360" s="21">
        <v>-1.51062E-2</v>
      </c>
      <c r="J360" s="21">
        <v>350</v>
      </c>
      <c r="K360" s="21">
        <v>5.7098400000000001E-2</v>
      </c>
      <c r="L360">
        <f t="shared" si="60"/>
        <v>18.649629629629626</v>
      </c>
      <c r="M360">
        <f t="shared" si="61"/>
        <v>1.0756770677037035</v>
      </c>
      <c r="N360" s="9"/>
      <c r="O360" s="21">
        <v>1.6538999999999999</v>
      </c>
      <c r="P360" s="21">
        <v>14.7689</v>
      </c>
      <c r="Q360" s="21">
        <v>-1.20819E-2</v>
      </c>
      <c r="R360" s="21">
        <v>33</v>
      </c>
      <c r="S360" s="21">
        <v>1.6531400000000001</v>
      </c>
      <c r="T360">
        <f t="shared" si="62"/>
        <v>14.915925925925924</v>
      </c>
      <c r="U360">
        <f t="shared" si="63"/>
        <v>24.669449888888884</v>
      </c>
      <c r="X360" s="9"/>
      <c r="Y360" s="21">
        <v>5.7678199999999999E-2</v>
      </c>
      <c r="Z360" s="21">
        <v>17.961400000000001</v>
      </c>
      <c r="AA360" s="21">
        <v>-1.5063500000000001E-2</v>
      </c>
      <c r="AB360" s="21">
        <v>350</v>
      </c>
      <c r="AC360" s="21">
        <v>5.7128900000000003E-2</v>
      </c>
      <c r="AD360">
        <f t="shared" si="64"/>
        <v>18.596913580246913</v>
      </c>
      <c r="AE360">
        <f t="shared" si="65"/>
        <v>1.0726365008641974</v>
      </c>
      <c r="AF360" s="9"/>
      <c r="AG360" s="21">
        <v>1.66245</v>
      </c>
      <c r="AH360" s="21">
        <v>21.820900000000002</v>
      </c>
      <c r="AI360" s="21">
        <v>-1.18408E-2</v>
      </c>
      <c r="AJ360" s="21">
        <v>350</v>
      </c>
      <c r="AK360" s="21">
        <v>1.66168</v>
      </c>
      <c r="AL360">
        <f t="shared" si="66"/>
        <v>14.618271604938272</v>
      </c>
      <c r="AM360">
        <f t="shared" si="67"/>
        <v>24.302145629629631</v>
      </c>
      <c r="AP360" s="9"/>
      <c r="AQ360" s="21">
        <v>5.7678199999999999E-2</v>
      </c>
      <c r="AR360" s="21">
        <v>27.395600000000002</v>
      </c>
      <c r="AS360" s="21">
        <v>-1.5036000000000001E-2</v>
      </c>
      <c r="AT360" s="21">
        <v>350</v>
      </c>
      <c r="AU360" s="21">
        <v>5.7128900000000003E-2</v>
      </c>
      <c r="AV360">
        <f t="shared" si="68"/>
        <v>18.562962962962963</v>
      </c>
      <c r="AW360">
        <f t="shared" si="69"/>
        <v>1.0706782903703704</v>
      </c>
      <c r="AX360" s="9"/>
      <c r="AY360" s="21">
        <v>1.66245</v>
      </c>
      <c r="AZ360" s="21">
        <v>31.255099999999999</v>
      </c>
      <c r="BA360" s="21">
        <v>-1.18286E-2</v>
      </c>
      <c r="BB360" s="21">
        <v>350</v>
      </c>
      <c r="BC360" s="21">
        <v>1.66168</v>
      </c>
      <c r="BD360">
        <f t="shared" si="70"/>
        <v>14.603209876543209</v>
      </c>
      <c r="BE360">
        <f t="shared" si="71"/>
        <v>24.277106259259259</v>
      </c>
    </row>
    <row r="361" spans="6:57" x14ac:dyDescent="0.25">
      <c r="F361" s="9"/>
      <c r="G361" s="21">
        <v>5.2642799999999997E-2</v>
      </c>
      <c r="H361" s="21">
        <v>8.5572400000000002</v>
      </c>
      <c r="I361" s="21">
        <v>-1.51001E-2</v>
      </c>
      <c r="J361" s="21">
        <v>351</v>
      </c>
      <c r="K361" s="21">
        <v>5.1940899999999998E-2</v>
      </c>
      <c r="L361">
        <f t="shared" si="60"/>
        <v>18.642098765432099</v>
      </c>
      <c r="M361">
        <f t="shared" si="61"/>
        <v>0.98137227688888884</v>
      </c>
      <c r="N361" s="9"/>
      <c r="O361" s="21">
        <v>1.6589400000000001</v>
      </c>
      <c r="P361" s="21">
        <v>14.758800000000001</v>
      </c>
      <c r="Q361" s="21">
        <v>-1.1972E-2</v>
      </c>
      <c r="R361" s="21">
        <v>32</v>
      </c>
      <c r="S361" s="21">
        <v>1.6583300000000001</v>
      </c>
      <c r="T361">
        <f t="shared" si="62"/>
        <v>14.780246913580246</v>
      </c>
      <c r="U361">
        <f t="shared" si="63"/>
        <v>24.519542814814816</v>
      </c>
      <c r="X361" s="9"/>
      <c r="Y361" s="21">
        <v>5.2642799999999997E-2</v>
      </c>
      <c r="Z361" s="21">
        <v>17.971499999999999</v>
      </c>
      <c r="AA361" s="21">
        <v>-1.5063500000000001E-2</v>
      </c>
      <c r="AB361" s="21">
        <v>351</v>
      </c>
      <c r="AC361" s="21">
        <v>5.2185099999999998E-2</v>
      </c>
      <c r="AD361">
        <f t="shared" si="64"/>
        <v>18.596913580246913</v>
      </c>
      <c r="AE361">
        <f t="shared" si="65"/>
        <v>0.97899360222222209</v>
      </c>
      <c r="AF361" s="9"/>
      <c r="AG361" s="21">
        <v>1.6674800000000001</v>
      </c>
      <c r="AH361" s="21">
        <v>21.8309</v>
      </c>
      <c r="AI361" s="21">
        <v>-1.1721799999999999E-2</v>
      </c>
      <c r="AJ361" s="21">
        <v>351</v>
      </c>
      <c r="AK361" s="21">
        <v>1.6662600000000001</v>
      </c>
      <c r="AL361">
        <f t="shared" si="66"/>
        <v>14.471358024691357</v>
      </c>
      <c r="AM361">
        <f t="shared" si="67"/>
        <v>24.130700079012346</v>
      </c>
      <c r="AP361" s="9"/>
      <c r="AQ361" s="21">
        <v>5.2642799999999997E-2</v>
      </c>
      <c r="AR361" s="21">
        <v>27.4057</v>
      </c>
      <c r="AS361" s="21">
        <v>-1.50452E-2</v>
      </c>
      <c r="AT361" s="21">
        <v>351</v>
      </c>
      <c r="AU361" s="21">
        <v>5.2093500000000001E-2</v>
      </c>
      <c r="AV361">
        <f t="shared" si="68"/>
        <v>18.574320987654321</v>
      </c>
      <c r="AW361">
        <f t="shared" si="69"/>
        <v>0.97780426488888883</v>
      </c>
      <c r="AX361" s="9"/>
      <c r="AY361" s="21">
        <v>1.6674800000000001</v>
      </c>
      <c r="AZ361" s="21">
        <v>31.2652</v>
      </c>
      <c r="BA361" s="21">
        <v>-1.17004E-2</v>
      </c>
      <c r="BB361" s="21">
        <v>351</v>
      </c>
      <c r="BC361" s="21">
        <v>1.6671800000000001</v>
      </c>
      <c r="BD361">
        <f t="shared" si="70"/>
        <v>14.444938271604938</v>
      </c>
      <c r="BE361">
        <f t="shared" si="71"/>
        <v>24.086645669135802</v>
      </c>
    </row>
    <row r="362" spans="6:57" x14ac:dyDescent="0.25">
      <c r="F362" s="9"/>
      <c r="G362" s="21">
        <v>4.7607400000000001E-2</v>
      </c>
      <c r="H362" s="21">
        <v>8.5673100000000009</v>
      </c>
      <c r="I362" s="21">
        <v>-1.51062E-2</v>
      </c>
      <c r="J362" s="21">
        <v>352</v>
      </c>
      <c r="K362" s="21">
        <v>4.7518900000000003E-2</v>
      </c>
      <c r="L362">
        <f t="shared" si="60"/>
        <v>18.649629629629626</v>
      </c>
      <c r="M362">
        <f t="shared" si="61"/>
        <v>0.88786037762962944</v>
      </c>
      <c r="N362" s="9"/>
      <c r="O362" s="21">
        <v>1.6639699999999999</v>
      </c>
      <c r="P362" s="21">
        <v>14.748699999999999</v>
      </c>
      <c r="Q362" s="21">
        <v>-1.18469E-2</v>
      </c>
      <c r="R362" s="21">
        <v>31</v>
      </c>
      <c r="S362" s="21">
        <v>1.66351</v>
      </c>
      <c r="T362">
        <f t="shared" si="62"/>
        <v>14.625802469135802</v>
      </c>
      <c r="U362">
        <f t="shared" si="63"/>
        <v>24.336896534567899</v>
      </c>
      <c r="X362" s="9"/>
      <c r="Y362" s="21">
        <v>4.7607400000000001E-2</v>
      </c>
      <c r="Z362" s="21">
        <v>17.9815</v>
      </c>
      <c r="AA362" s="21">
        <v>-1.5075699999999999E-2</v>
      </c>
      <c r="AB362" s="21">
        <v>352</v>
      </c>
      <c r="AC362" s="21">
        <v>4.7463999999999999E-2</v>
      </c>
      <c r="AD362">
        <f t="shared" si="64"/>
        <v>18.611975308641973</v>
      </c>
      <c r="AE362">
        <f t="shared" si="65"/>
        <v>0.88606775330864196</v>
      </c>
      <c r="AF362" s="9"/>
      <c r="AG362" s="21">
        <v>1.67252</v>
      </c>
      <c r="AH362" s="21">
        <v>21.841000000000001</v>
      </c>
      <c r="AI362" s="21">
        <v>-1.1584499999999999E-2</v>
      </c>
      <c r="AJ362" s="21">
        <v>352</v>
      </c>
      <c r="AK362" s="21">
        <v>1.6717500000000001</v>
      </c>
      <c r="AL362">
        <f t="shared" si="66"/>
        <v>14.30185185185185</v>
      </c>
      <c r="AM362">
        <f t="shared" si="67"/>
        <v>23.920133259259256</v>
      </c>
      <c r="AP362" s="9"/>
      <c r="AQ362" s="21">
        <v>4.7607400000000001E-2</v>
      </c>
      <c r="AR362" s="21">
        <v>27.415800000000001</v>
      </c>
      <c r="AS362" s="21">
        <v>-1.5048199999999999E-2</v>
      </c>
      <c r="AT362" s="21">
        <v>352</v>
      </c>
      <c r="AU362" s="21">
        <v>4.7479199999999999E-2</v>
      </c>
      <c r="AV362">
        <f t="shared" si="68"/>
        <v>18.578024691358021</v>
      </c>
      <c r="AW362">
        <f t="shared" si="69"/>
        <v>0.88445145269135783</v>
      </c>
      <c r="AX362" s="9"/>
      <c r="AY362" s="21">
        <v>1.67252</v>
      </c>
      <c r="AZ362" s="21">
        <v>31.275200000000002</v>
      </c>
      <c r="BA362" s="21">
        <v>-1.1578400000000001E-2</v>
      </c>
      <c r="BB362" s="21">
        <v>352</v>
      </c>
      <c r="BC362" s="21">
        <v>1.6717500000000001</v>
      </c>
      <c r="BD362">
        <f t="shared" si="70"/>
        <v>14.29432098765432</v>
      </c>
      <c r="BE362">
        <f t="shared" si="71"/>
        <v>23.907537738271603</v>
      </c>
    </row>
    <row r="363" spans="6:57" x14ac:dyDescent="0.25">
      <c r="F363" s="9"/>
      <c r="G363" s="21">
        <v>4.2571999999999999E-2</v>
      </c>
      <c r="H363" s="21">
        <v>8.5773799999999998</v>
      </c>
      <c r="I363" s="21">
        <v>-1.5115399999999999E-2</v>
      </c>
      <c r="J363" s="21">
        <v>353</v>
      </c>
      <c r="K363" s="21">
        <v>4.2507900000000001E-2</v>
      </c>
      <c r="L363">
        <f t="shared" si="60"/>
        <v>18.660987654320987</v>
      </c>
      <c r="M363">
        <f t="shared" si="61"/>
        <v>0.79443556641975299</v>
      </c>
      <c r="N363" s="9"/>
      <c r="O363" s="21">
        <v>1.6690100000000001</v>
      </c>
      <c r="P363" s="21">
        <v>14.7387</v>
      </c>
      <c r="Q363" s="21">
        <v>-1.17126E-2</v>
      </c>
      <c r="R363" s="21">
        <v>30</v>
      </c>
      <c r="S363" s="21">
        <v>1.6680900000000001</v>
      </c>
      <c r="T363">
        <f t="shared" si="62"/>
        <v>14.459999999999999</v>
      </c>
      <c r="U363">
        <f t="shared" si="63"/>
        <v>24.133884599999998</v>
      </c>
      <c r="X363" s="9"/>
      <c r="Y363" s="21">
        <v>4.2571999999999999E-2</v>
      </c>
      <c r="Z363" s="21">
        <v>17.991599999999998</v>
      </c>
      <c r="AA363" s="21">
        <v>-1.50879E-2</v>
      </c>
      <c r="AB363" s="21">
        <v>353</v>
      </c>
      <c r="AC363" s="21">
        <v>4.2379800000000002E-2</v>
      </c>
      <c r="AD363">
        <f t="shared" si="64"/>
        <v>18.627037037037034</v>
      </c>
      <c r="AE363">
        <f t="shared" si="65"/>
        <v>0.79299022074074066</v>
      </c>
      <c r="AF363" s="9"/>
      <c r="AG363" s="21">
        <v>1.6775500000000001</v>
      </c>
      <c r="AH363" s="21">
        <v>21.851099999999999</v>
      </c>
      <c r="AI363" s="21">
        <v>-1.14471E-2</v>
      </c>
      <c r="AJ363" s="21">
        <v>353</v>
      </c>
      <c r="AK363" s="21">
        <v>1.6769400000000001</v>
      </c>
      <c r="AL363">
        <f t="shared" si="66"/>
        <v>14.132222222222222</v>
      </c>
      <c r="AM363">
        <f t="shared" si="67"/>
        <v>23.707509388888891</v>
      </c>
      <c r="AP363" s="9"/>
      <c r="AQ363" s="21">
        <v>4.2571999999999999E-2</v>
      </c>
      <c r="AR363" s="21">
        <v>27.425799999999999</v>
      </c>
      <c r="AS363" s="21">
        <v>-1.50452E-2</v>
      </c>
      <c r="AT363" s="21">
        <v>353</v>
      </c>
      <c r="AU363" s="21">
        <v>4.2569000000000003E-2</v>
      </c>
      <c r="AV363">
        <f t="shared" si="68"/>
        <v>18.574320987654321</v>
      </c>
      <c r="AW363">
        <f t="shared" si="69"/>
        <v>0.79074599308641969</v>
      </c>
      <c r="AX363" s="9"/>
      <c r="AY363" s="21">
        <v>1.6775500000000001</v>
      </c>
      <c r="AZ363" s="21">
        <v>31.285299999999999</v>
      </c>
      <c r="BA363" s="21">
        <v>-1.14349E-2</v>
      </c>
      <c r="BB363" s="21">
        <v>353</v>
      </c>
      <c r="BC363" s="21">
        <v>1.6772499999999999</v>
      </c>
      <c r="BD363">
        <f t="shared" si="70"/>
        <v>14.117160493827161</v>
      </c>
      <c r="BE363">
        <f t="shared" si="71"/>
        <v>23.682242586419754</v>
      </c>
    </row>
    <row r="364" spans="6:57" x14ac:dyDescent="0.25">
      <c r="F364" s="9"/>
      <c r="G364" s="21">
        <v>3.7536600000000003E-2</v>
      </c>
      <c r="H364" s="21">
        <v>8.5874500000000005</v>
      </c>
      <c r="I364" s="21">
        <v>-1.5115399999999999E-2</v>
      </c>
      <c r="J364" s="21">
        <v>354</v>
      </c>
      <c r="K364" s="21">
        <v>3.7420700000000001E-2</v>
      </c>
      <c r="L364">
        <f t="shared" si="60"/>
        <v>18.660987654320987</v>
      </c>
      <c r="M364">
        <f t="shared" si="61"/>
        <v>0.70047002918518519</v>
      </c>
      <c r="N364" s="9"/>
      <c r="O364" s="21">
        <v>1.67404</v>
      </c>
      <c r="P364" s="21">
        <v>14.7286</v>
      </c>
      <c r="Q364" s="21">
        <v>-1.15753E-2</v>
      </c>
      <c r="R364" s="21">
        <v>29</v>
      </c>
      <c r="S364" s="21">
        <v>1.6732800000000001</v>
      </c>
      <c r="T364">
        <f t="shared" si="62"/>
        <v>14.290493827160493</v>
      </c>
      <c r="U364">
        <f t="shared" si="63"/>
        <v>23.92285828641975</v>
      </c>
      <c r="X364" s="9"/>
      <c r="Y364" s="21">
        <v>3.7536600000000003E-2</v>
      </c>
      <c r="Z364" s="21">
        <v>18.0017</v>
      </c>
      <c r="AA364" s="21">
        <v>-1.5094E-2</v>
      </c>
      <c r="AB364" s="21">
        <v>354</v>
      </c>
      <c r="AC364" s="21">
        <v>3.74817E-2</v>
      </c>
      <c r="AD364">
        <f t="shared" si="64"/>
        <v>18.634567901234568</v>
      </c>
      <c r="AE364">
        <f t="shared" si="65"/>
        <v>0.69947832148148159</v>
      </c>
      <c r="AF364" s="9"/>
      <c r="AG364" s="21">
        <v>1.68259</v>
      </c>
      <c r="AH364" s="21">
        <v>21.8611</v>
      </c>
      <c r="AI364" s="21">
        <v>-1.12946E-2</v>
      </c>
      <c r="AJ364" s="21">
        <v>354</v>
      </c>
      <c r="AK364" s="21">
        <v>1.6818200000000001</v>
      </c>
      <c r="AL364">
        <f t="shared" si="66"/>
        <v>13.943950617283949</v>
      </c>
      <c r="AM364">
        <f t="shared" si="67"/>
        <v>23.461951869135802</v>
      </c>
      <c r="AP364" s="9"/>
      <c r="AQ364" s="21">
        <v>3.7536600000000003E-2</v>
      </c>
      <c r="AR364" s="21">
        <v>27.4359</v>
      </c>
      <c r="AS364" s="21">
        <v>-1.50574E-2</v>
      </c>
      <c r="AT364" s="21">
        <v>354</v>
      </c>
      <c r="AU364" s="21">
        <v>3.7423699999999997E-2</v>
      </c>
      <c r="AV364">
        <f t="shared" si="68"/>
        <v>18.589382716049382</v>
      </c>
      <c r="AW364">
        <f t="shared" si="69"/>
        <v>0.69778222325925932</v>
      </c>
      <c r="AX364" s="9"/>
      <c r="AY364" s="21">
        <v>1.68259</v>
      </c>
      <c r="AZ364" s="21">
        <v>31.295400000000001</v>
      </c>
      <c r="BA364" s="21">
        <v>-1.12885E-2</v>
      </c>
      <c r="BB364" s="21">
        <v>354</v>
      </c>
      <c r="BC364" s="21">
        <v>1.6821299999999999</v>
      </c>
      <c r="BD364">
        <f t="shared" si="70"/>
        <v>13.936419753086419</v>
      </c>
      <c r="BE364">
        <f t="shared" si="71"/>
        <v>23.449280512345677</v>
      </c>
    </row>
    <row r="365" spans="6:57" x14ac:dyDescent="0.25">
      <c r="F365" s="9"/>
      <c r="G365" s="21">
        <v>3.2501200000000001E-2</v>
      </c>
      <c r="H365" s="21">
        <v>8.5975199999999994</v>
      </c>
      <c r="I365" s="21">
        <v>-1.51001E-2</v>
      </c>
      <c r="J365" s="21">
        <v>355</v>
      </c>
      <c r="K365" s="21">
        <v>3.2357799999999999E-2</v>
      </c>
      <c r="L365">
        <f t="shared" si="60"/>
        <v>18.642098765432099</v>
      </c>
      <c r="M365">
        <f t="shared" si="61"/>
        <v>0.60589058039506172</v>
      </c>
      <c r="N365" s="9"/>
      <c r="O365" s="21">
        <v>1.6790799999999999</v>
      </c>
      <c r="P365" s="21">
        <v>14.718500000000001</v>
      </c>
      <c r="Q365" s="21">
        <v>-1.14197E-2</v>
      </c>
      <c r="R365" s="21">
        <v>28</v>
      </c>
      <c r="S365" s="21">
        <v>1.6784699999999999</v>
      </c>
      <c r="T365">
        <f t="shared" si="62"/>
        <v>14.098395061728393</v>
      </c>
      <c r="U365">
        <f t="shared" si="63"/>
        <v>23.672333180246909</v>
      </c>
      <c r="X365" s="9"/>
      <c r="Y365" s="21">
        <v>3.2501200000000001E-2</v>
      </c>
      <c r="Z365" s="21">
        <v>18.011700000000001</v>
      </c>
      <c r="AA365" s="21">
        <v>-1.5094E-2</v>
      </c>
      <c r="AB365" s="21">
        <v>355</v>
      </c>
      <c r="AC365" s="21">
        <v>3.2385299999999999E-2</v>
      </c>
      <c r="AD365">
        <f t="shared" si="64"/>
        <v>18.634567901234568</v>
      </c>
      <c r="AE365">
        <f t="shared" si="65"/>
        <v>0.60564581827160502</v>
      </c>
      <c r="AF365" s="9"/>
      <c r="AG365" s="21">
        <v>1.6876199999999999</v>
      </c>
      <c r="AH365" s="21">
        <v>21.871200000000002</v>
      </c>
      <c r="AI365" s="21">
        <v>-1.1135900000000001E-2</v>
      </c>
      <c r="AJ365" s="21">
        <v>355</v>
      </c>
      <c r="AK365" s="21">
        <v>1.6863999999999999</v>
      </c>
      <c r="AL365">
        <f t="shared" si="66"/>
        <v>13.748024691358024</v>
      </c>
      <c r="AM365">
        <f t="shared" si="67"/>
        <v>23.201441429629629</v>
      </c>
      <c r="AP365" s="9"/>
      <c r="AQ365" s="21">
        <v>3.2501200000000001E-2</v>
      </c>
      <c r="AR365" s="21">
        <v>27.446000000000002</v>
      </c>
      <c r="AS365" s="21">
        <v>-1.50513E-2</v>
      </c>
      <c r="AT365" s="21">
        <v>355</v>
      </c>
      <c r="AU365" s="21">
        <v>3.2394399999999997E-2</v>
      </c>
      <c r="AV365">
        <f t="shared" si="68"/>
        <v>18.581851851851848</v>
      </c>
      <c r="AW365">
        <f t="shared" si="69"/>
        <v>0.60393248340740735</v>
      </c>
      <c r="AX365" s="9"/>
      <c r="AY365" s="21">
        <v>1.6876199999999999</v>
      </c>
      <c r="AZ365" s="21">
        <v>31.305399999999999</v>
      </c>
      <c r="BA365" s="21">
        <v>-1.11267E-2</v>
      </c>
      <c r="BB365" s="21">
        <v>355</v>
      </c>
      <c r="BC365" s="21">
        <v>1.6870099999999999</v>
      </c>
      <c r="BD365">
        <f t="shared" si="70"/>
        <v>13.736666666666666</v>
      </c>
      <c r="BE365">
        <f t="shared" si="71"/>
        <v>23.1822734</v>
      </c>
    </row>
    <row r="366" spans="6:57" x14ac:dyDescent="0.25">
      <c r="F366" s="9"/>
      <c r="G366" s="21">
        <v>2.7465799999999999E-2</v>
      </c>
      <c r="H366" s="21">
        <v>8.6075900000000001</v>
      </c>
      <c r="I366" s="21">
        <v>-1.5094E-2</v>
      </c>
      <c r="J366" s="21">
        <v>356</v>
      </c>
      <c r="K366" s="21">
        <v>2.73376E-2</v>
      </c>
      <c r="L366">
        <f t="shared" si="60"/>
        <v>18.634567901234568</v>
      </c>
      <c r="M366">
        <f t="shared" si="61"/>
        <v>0.51181331506172834</v>
      </c>
      <c r="N366" s="9"/>
      <c r="O366" s="21">
        <v>1.68411</v>
      </c>
      <c r="P366" s="21">
        <v>14.708500000000001</v>
      </c>
      <c r="Q366" s="21">
        <v>-1.1261E-2</v>
      </c>
      <c r="R366" s="21">
        <v>27</v>
      </c>
      <c r="S366" s="21">
        <v>1.6833499999999999</v>
      </c>
      <c r="T366">
        <f t="shared" si="62"/>
        <v>13.90246913580247</v>
      </c>
      <c r="U366">
        <f t="shared" si="63"/>
        <v>23.413287296296296</v>
      </c>
      <c r="X366" s="9"/>
      <c r="Y366" s="21">
        <v>2.7465799999999999E-2</v>
      </c>
      <c r="Z366" s="21">
        <v>18.021799999999999</v>
      </c>
      <c r="AA366" s="21">
        <v>-1.5084800000000001E-2</v>
      </c>
      <c r="AB366" s="21">
        <v>356</v>
      </c>
      <c r="AC366" s="21">
        <v>2.7276600000000002E-2</v>
      </c>
      <c r="AD366">
        <f t="shared" si="64"/>
        <v>18.623209876543207</v>
      </c>
      <c r="AE366">
        <f t="shared" si="65"/>
        <v>0.51150135782716044</v>
      </c>
      <c r="AF366" s="9"/>
      <c r="AG366" s="21">
        <v>1.6926600000000001</v>
      </c>
      <c r="AH366" s="21">
        <v>21.8813</v>
      </c>
      <c r="AI366" s="21">
        <v>-1.09619E-2</v>
      </c>
      <c r="AJ366" s="21">
        <v>356</v>
      </c>
      <c r="AK366" s="21">
        <v>1.6921999999999999</v>
      </c>
      <c r="AL366">
        <f t="shared" si="66"/>
        <v>13.533209876543209</v>
      </c>
      <c r="AM366">
        <f t="shared" si="67"/>
        <v>22.907123029629627</v>
      </c>
      <c r="AP366" s="9"/>
      <c r="AQ366" s="21">
        <v>2.7465799999999999E-2</v>
      </c>
      <c r="AR366" s="21">
        <v>27.456</v>
      </c>
      <c r="AS366" s="21">
        <v>-1.5048199999999999E-2</v>
      </c>
      <c r="AT366" s="21">
        <v>356</v>
      </c>
      <c r="AU366" s="21">
        <v>2.7304100000000001E-2</v>
      </c>
      <c r="AV366">
        <f t="shared" si="68"/>
        <v>18.578024691358021</v>
      </c>
      <c r="AW366">
        <f t="shared" si="69"/>
        <v>0.51026031056790111</v>
      </c>
      <c r="AX366" s="9"/>
      <c r="AY366" s="21">
        <v>1.6926600000000001</v>
      </c>
      <c r="AZ366" s="21">
        <v>31.3155</v>
      </c>
      <c r="BA366" s="21">
        <v>-1.09436E-2</v>
      </c>
      <c r="BB366" s="21">
        <v>356</v>
      </c>
      <c r="BC366" s="21">
        <v>1.6915899999999999</v>
      </c>
      <c r="BD366">
        <f t="shared" si="70"/>
        <v>13.510617283950616</v>
      </c>
      <c r="BE366">
        <f t="shared" si="71"/>
        <v>22.868881451851848</v>
      </c>
    </row>
    <row r="367" spans="6:57" x14ac:dyDescent="0.25">
      <c r="F367" s="9"/>
      <c r="G367" s="21">
        <v>2.24304E-2</v>
      </c>
      <c r="H367" s="21">
        <v>8.6176700000000004</v>
      </c>
      <c r="I367" s="21">
        <v>-1.5090900000000001E-2</v>
      </c>
      <c r="J367" s="21">
        <v>357</v>
      </c>
      <c r="K367" s="21">
        <v>2.2247300000000001E-2</v>
      </c>
      <c r="L367">
        <f t="shared" si="60"/>
        <v>18.630740740740741</v>
      </c>
      <c r="M367">
        <f t="shared" si="61"/>
        <v>0.41789496711111113</v>
      </c>
      <c r="N367" s="9"/>
      <c r="O367" s="21">
        <v>1.6891499999999999</v>
      </c>
      <c r="P367" s="21">
        <v>14.698399999999999</v>
      </c>
      <c r="Q367" s="21">
        <v>-1.1096200000000001E-2</v>
      </c>
      <c r="R367" s="21">
        <v>26</v>
      </c>
      <c r="S367" s="21">
        <v>1.6888399999999999</v>
      </c>
      <c r="T367">
        <f t="shared" si="62"/>
        <v>13.699012345679012</v>
      </c>
      <c r="U367">
        <f t="shared" si="63"/>
        <v>23.139686703703703</v>
      </c>
      <c r="X367" s="9"/>
      <c r="Y367" s="21">
        <v>2.24304E-2</v>
      </c>
      <c r="Z367" s="21">
        <v>18.0319</v>
      </c>
      <c r="AA367" s="21">
        <v>-1.5069600000000001E-2</v>
      </c>
      <c r="AB367" s="21">
        <v>357</v>
      </c>
      <c r="AC367" s="21">
        <v>2.2299200000000002E-2</v>
      </c>
      <c r="AD367">
        <f t="shared" si="64"/>
        <v>18.604444444444443</v>
      </c>
      <c r="AE367">
        <f t="shared" si="65"/>
        <v>0.41730513066666663</v>
      </c>
      <c r="AF367" s="9"/>
      <c r="AG367" s="21">
        <v>1.6976899999999999</v>
      </c>
      <c r="AH367" s="21">
        <v>21.891400000000001</v>
      </c>
      <c r="AI367" s="21">
        <v>-1.07697E-2</v>
      </c>
      <c r="AJ367" s="21">
        <v>357</v>
      </c>
      <c r="AK367" s="21">
        <v>1.69678</v>
      </c>
      <c r="AL367">
        <f t="shared" si="66"/>
        <v>13.295925925925925</v>
      </c>
      <c r="AM367">
        <f t="shared" si="67"/>
        <v>22.572360485185182</v>
      </c>
      <c r="AP367" s="9"/>
      <c r="AQ367" s="21">
        <v>2.24304E-2</v>
      </c>
      <c r="AR367" s="21">
        <v>27.466100000000001</v>
      </c>
      <c r="AS367" s="21">
        <v>-1.50574E-2</v>
      </c>
      <c r="AT367" s="21">
        <v>357</v>
      </c>
      <c r="AU367" s="21">
        <v>2.2152700000000001E-2</v>
      </c>
      <c r="AV367">
        <f t="shared" si="68"/>
        <v>18.589382716049382</v>
      </c>
      <c r="AW367">
        <f t="shared" si="69"/>
        <v>0.41696729007407407</v>
      </c>
      <c r="AX367" s="9"/>
      <c r="AY367" s="21">
        <v>1.6976899999999999</v>
      </c>
      <c r="AZ367" s="21">
        <v>31.325600000000001</v>
      </c>
      <c r="BA367" s="21">
        <v>-1.07513E-2</v>
      </c>
      <c r="BB367" s="21">
        <v>357</v>
      </c>
      <c r="BC367" s="21">
        <v>1.6970799999999999</v>
      </c>
      <c r="BD367">
        <f t="shared" si="70"/>
        <v>13.273209876543209</v>
      </c>
      <c r="BE367">
        <f t="shared" si="71"/>
        <v>22.533795675308639</v>
      </c>
    </row>
    <row r="368" spans="6:57" x14ac:dyDescent="0.25">
      <c r="F368" s="9"/>
      <c r="G368" s="21">
        <v>1.7395000000000001E-2</v>
      </c>
      <c r="H368" s="21">
        <v>8.6277399999999993</v>
      </c>
      <c r="I368" s="21">
        <v>-1.51001E-2</v>
      </c>
      <c r="J368" s="21">
        <v>358</v>
      </c>
      <c r="K368" s="21">
        <v>1.7227200000000002E-2</v>
      </c>
      <c r="L368">
        <f t="shared" si="60"/>
        <v>18.642098765432099</v>
      </c>
      <c r="M368">
        <f t="shared" si="61"/>
        <v>0.32427930802469135</v>
      </c>
      <c r="N368" s="9"/>
      <c r="O368" s="21">
        <v>1.69418</v>
      </c>
      <c r="P368" s="21">
        <v>14.6883</v>
      </c>
      <c r="Q368" s="21">
        <v>-1.09222E-2</v>
      </c>
      <c r="R368" s="21">
        <v>25</v>
      </c>
      <c r="S368" s="21">
        <v>1.6934199999999999</v>
      </c>
      <c r="T368">
        <f t="shared" si="62"/>
        <v>13.484197530864197</v>
      </c>
      <c r="U368">
        <f t="shared" si="63"/>
        <v>22.844657772839504</v>
      </c>
      <c r="X368" s="9"/>
      <c r="Y368" s="21">
        <v>1.7395000000000001E-2</v>
      </c>
      <c r="Z368" s="21">
        <v>18.042000000000002</v>
      </c>
      <c r="AA368" s="21">
        <v>-1.50665E-2</v>
      </c>
      <c r="AB368" s="21">
        <v>358</v>
      </c>
      <c r="AC368" s="21">
        <v>1.7312600000000001E-2</v>
      </c>
      <c r="AD368">
        <f t="shared" si="64"/>
        <v>18.600617283950616</v>
      </c>
      <c r="AE368">
        <f t="shared" si="65"/>
        <v>0.323557737654321</v>
      </c>
      <c r="AF368" s="9"/>
      <c r="AG368" s="21">
        <v>1.7027300000000001</v>
      </c>
      <c r="AH368" s="21">
        <v>21.901399999999999</v>
      </c>
      <c r="AI368" s="21">
        <v>-1.0577400000000001E-2</v>
      </c>
      <c r="AJ368" s="21">
        <v>358</v>
      </c>
      <c r="AK368" s="21">
        <v>1.7022699999999999</v>
      </c>
      <c r="AL368">
        <f t="shared" si="66"/>
        <v>13.058518518518518</v>
      </c>
      <c r="AM368">
        <f t="shared" si="67"/>
        <v>22.235131237037038</v>
      </c>
      <c r="AP368" s="9"/>
      <c r="AQ368" s="21">
        <v>1.7395000000000001E-2</v>
      </c>
      <c r="AR368" s="21">
        <v>27.476199999999999</v>
      </c>
      <c r="AS368" s="21">
        <v>-1.50574E-2</v>
      </c>
      <c r="AT368" s="21">
        <v>358</v>
      </c>
      <c r="AU368" s="21">
        <v>1.72485E-2</v>
      </c>
      <c r="AV368">
        <f t="shared" si="68"/>
        <v>18.589382716049382</v>
      </c>
      <c r="AW368">
        <f t="shared" si="69"/>
        <v>0.32336231234567903</v>
      </c>
      <c r="AX368" s="9"/>
      <c r="AY368" s="21">
        <v>1.7027300000000001</v>
      </c>
      <c r="AZ368" s="21">
        <v>31.335699999999999</v>
      </c>
      <c r="BA368" s="21">
        <v>-1.0540799999999999E-2</v>
      </c>
      <c r="BB368" s="21">
        <v>358</v>
      </c>
      <c r="BC368" s="21">
        <v>1.7022699999999999</v>
      </c>
      <c r="BD368">
        <f t="shared" si="70"/>
        <v>13.013333333333332</v>
      </c>
      <c r="BE368">
        <f t="shared" si="71"/>
        <v>22.158193066666666</v>
      </c>
    </row>
    <row r="369" spans="6:57" x14ac:dyDescent="0.25">
      <c r="F369" s="9"/>
      <c r="G369" s="21">
        <v>1.23596E-2</v>
      </c>
      <c r="H369" s="21">
        <v>8.63781</v>
      </c>
      <c r="I369" s="21">
        <v>-1.51062E-2</v>
      </c>
      <c r="J369" s="21">
        <v>359</v>
      </c>
      <c r="K369" s="21">
        <v>1.2191799999999999E-2</v>
      </c>
      <c r="L369">
        <f t="shared" si="60"/>
        <v>18.649629629629626</v>
      </c>
      <c r="M369">
        <f t="shared" si="61"/>
        <v>0.23050196237037032</v>
      </c>
      <c r="N369" s="9"/>
      <c r="O369" s="21">
        <v>1.69922</v>
      </c>
      <c r="P369" s="21">
        <v>14.6782</v>
      </c>
      <c r="Q369" s="21">
        <v>-1.07361E-2</v>
      </c>
      <c r="R369" s="21">
        <v>24</v>
      </c>
      <c r="S369" s="21">
        <v>1.6982999999999999</v>
      </c>
      <c r="T369">
        <f t="shared" si="62"/>
        <v>13.254444444444443</v>
      </c>
      <c r="U369">
        <f t="shared" si="63"/>
        <v>22.522217088888887</v>
      </c>
      <c r="X369" s="9"/>
      <c r="Y369" s="21">
        <v>1.23596E-2</v>
      </c>
      <c r="Z369" s="21">
        <v>18.052</v>
      </c>
      <c r="AA369" s="21">
        <v>-1.50665E-2</v>
      </c>
      <c r="AB369" s="21">
        <v>359</v>
      </c>
      <c r="AC369" s="21">
        <v>1.21552E-2</v>
      </c>
      <c r="AD369">
        <f t="shared" si="64"/>
        <v>18.600617283950616</v>
      </c>
      <c r="AE369">
        <f t="shared" si="65"/>
        <v>0.22989618938271603</v>
      </c>
      <c r="AF369" s="9"/>
      <c r="AG369" s="21">
        <v>1.7077599999999999</v>
      </c>
      <c r="AH369" s="21">
        <v>21.9115</v>
      </c>
      <c r="AI369" s="21">
        <v>-1.03607E-2</v>
      </c>
      <c r="AJ369" s="21">
        <v>359</v>
      </c>
      <c r="AK369" s="21">
        <v>1.70746</v>
      </c>
      <c r="AL369">
        <f t="shared" si="66"/>
        <v>12.790987654320988</v>
      </c>
      <c r="AM369">
        <f t="shared" si="67"/>
        <v>21.843937076543209</v>
      </c>
      <c r="AP369" s="9"/>
      <c r="AQ369" s="21">
        <v>1.23596E-2</v>
      </c>
      <c r="AR369" s="21">
        <v>27.4863</v>
      </c>
      <c r="AS369" s="21">
        <v>-1.50665E-2</v>
      </c>
      <c r="AT369" s="21">
        <v>359</v>
      </c>
      <c r="AU369" s="21">
        <v>1.21674E-2</v>
      </c>
      <c r="AV369">
        <f t="shared" si="68"/>
        <v>18.600617283950616</v>
      </c>
      <c r="AW369">
        <f t="shared" si="69"/>
        <v>0.22989618938271603</v>
      </c>
      <c r="AX369" s="9"/>
      <c r="AY369" s="21">
        <v>1.7077599999999999</v>
      </c>
      <c r="AZ369" s="21">
        <v>31.345700000000001</v>
      </c>
      <c r="BA369" s="21">
        <v>-1.0330199999999999E-2</v>
      </c>
      <c r="BB369" s="21">
        <v>359</v>
      </c>
      <c r="BC369" s="21">
        <v>1.7071499999999999</v>
      </c>
      <c r="BD369">
        <f t="shared" si="70"/>
        <v>12.753333333333332</v>
      </c>
      <c r="BE369">
        <f t="shared" si="71"/>
        <v>21.779632533333331</v>
      </c>
    </row>
    <row r="370" spans="6:57" x14ac:dyDescent="0.25">
      <c r="F370" s="9"/>
      <c r="G370" s="21">
        <v>7.3242200000000002E-3</v>
      </c>
      <c r="H370" s="21">
        <v>8.6478800000000007</v>
      </c>
      <c r="I370" s="21">
        <v>-1.5109300000000001E-2</v>
      </c>
      <c r="J370" s="21">
        <v>360</v>
      </c>
      <c r="K370" s="21">
        <v>7.1228000000000003E-3</v>
      </c>
      <c r="L370">
        <f t="shared" si="60"/>
        <v>18.653456790123457</v>
      </c>
      <c r="M370">
        <f t="shared" si="61"/>
        <v>0.13662202129135803</v>
      </c>
      <c r="N370" s="9"/>
      <c r="O370" s="21">
        <v>1.70425</v>
      </c>
      <c r="P370" s="21">
        <v>14.668200000000001</v>
      </c>
      <c r="Q370" s="21">
        <v>-1.0537700000000001E-2</v>
      </c>
      <c r="R370" s="21">
        <v>23</v>
      </c>
      <c r="S370" s="21">
        <v>1.70319</v>
      </c>
      <c r="T370">
        <f t="shared" si="62"/>
        <v>13.009506172839506</v>
      </c>
      <c r="U370">
        <f t="shared" si="63"/>
        <v>22.171450895061728</v>
      </c>
      <c r="X370" s="9"/>
      <c r="Y370" s="21">
        <v>7.3242200000000002E-3</v>
      </c>
      <c r="Z370" s="21">
        <v>18.062100000000001</v>
      </c>
      <c r="AA370" s="21">
        <v>-1.50665E-2</v>
      </c>
      <c r="AB370" s="21">
        <v>360</v>
      </c>
      <c r="AC370" s="21">
        <v>7.1197500000000002E-3</v>
      </c>
      <c r="AD370">
        <f t="shared" si="64"/>
        <v>18.600617283950616</v>
      </c>
      <c r="AE370">
        <f t="shared" si="65"/>
        <v>0.13623501312345679</v>
      </c>
      <c r="AF370" s="9"/>
      <c r="AG370" s="21">
        <v>1.7128000000000001</v>
      </c>
      <c r="AH370" s="21">
        <v>21.921600000000002</v>
      </c>
      <c r="AI370" s="21">
        <v>-1.01379E-2</v>
      </c>
      <c r="AJ370" s="21">
        <v>360</v>
      </c>
      <c r="AK370" s="21">
        <v>1.71295</v>
      </c>
      <c r="AL370">
        <f t="shared" si="66"/>
        <v>12.515925925925925</v>
      </c>
      <c r="AM370">
        <f t="shared" si="67"/>
        <v>21.437277925925926</v>
      </c>
      <c r="AP370" s="9"/>
      <c r="AQ370" s="21">
        <v>7.3242200000000002E-3</v>
      </c>
      <c r="AR370" s="21">
        <v>27.496300000000002</v>
      </c>
      <c r="AS370" s="21">
        <v>-1.50665E-2</v>
      </c>
      <c r="AT370" s="21">
        <v>360</v>
      </c>
      <c r="AU370" s="21">
        <v>7.2387700000000003E-3</v>
      </c>
      <c r="AV370">
        <f t="shared" si="68"/>
        <v>18.600617283950616</v>
      </c>
      <c r="AW370">
        <f t="shared" si="69"/>
        <v>0.13623501312345679</v>
      </c>
      <c r="AX370" s="9"/>
      <c r="AY370" s="21">
        <v>1.7128000000000001</v>
      </c>
      <c r="AZ370" s="21">
        <v>31.355799999999999</v>
      </c>
      <c r="BA370" s="21">
        <v>-1.0107400000000001E-2</v>
      </c>
      <c r="BB370" s="21">
        <v>360</v>
      </c>
      <c r="BC370" s="21">
        <v>1.71265</v>
      </c>
      <c r="BD370">
        <f t="shared" si="70"/>
        <v>12.478271604938271</v>
      </c>
      <c r="BE370">
        <f t="shared" si="71"/>
        <v>21.372783604938274</v>
      </c>
    </row>
    <row r="371" spans="6:57" x14ac:dyDescent="0.25">
      <c r="F371" s="9"/>
      <c r="G371" s="21">
        <v>2.28882E-3</v>
      </c>
      <c r="H371" s="21">
        <v>8.6579499999999996</v>
      </c>
      <c r="I371" s="21">
        <v>-1.51001E-2</v>
      </c>
      <c r="J371" s="21">
        <v>361</v>
      </c>
      <c r="K371" s="21">
        <v>2.1026600000000001E-3</v>
      </c>
      <c r="L371">
        <f t="shared" si="60"/>
        <v>18.642098765432099</v>
      </c>
      <c r="M371">
        <f t="shared" si="61"/>
        <v>4.2668408496296294E-2</v>
      </c>
      <c r="N371" s="9"/>
      <c r="O371" s="21">
        <v>1.70929</v>
      </c>
      <c r="P371" s="21">
        <v>14.658099999999999</v>
      </c>
      <c r="Q371" s="21">
        <v>-1.03149E-2</v>
      </c>
      <c r="R371" s="21">
        <v>22</v>
      </c>
      <c r="S371" s="21">
        <v>1.7089799999999999</v>
      </c>
      <c r="T371">
        <f t="shared" si="62"/>
        <v>12.734444444444444</v>
      </c>
      <c r="U371">
        <f t="shared" si="63"/>
        <v>21.766858544444442</v>
      </c>
      <c r="X371" s="9"/>
      <c r="Y371" s="21">
        <v>2.28882E-3</v>
      </c>
      <c r="Z371" s="21">
        <v>18.072199999999999</v>
      </c>
      <c r="AA371" s="21">
        <v>-1.5069600000000001E-2</v>
      </c>
      <c r="AB371" s="21">
        <v>361</v>
      </c>
      <c r="AC371" s="21">
        <v>2.1392799999999999E-3</v>
      </c>
      <c r="AD371">
        <f t="shared" si="64"/>
        <v>18.604444444444443</v>
      </c>
      <c r="AE371">
        <f t="shared" si="65"/>
        <v>4.2582224533333331E-2</v>
      </c>
      <c r="AF371" s="9"/>
      <c r="AG371" s="21">
        <v>1.71783</v>
      </c>
      <c r="AH371" s="21">
        <v>21.9316</v>
      </c>
      <c r="AI371" s="21">
        <v>-9.8968500000000004E-3</v>
      </c>
      <c r="AJ371" s="21">
        <v>361</v>
      </c>
      <c r="AK371" s="21">
        <v>1.71722</v>
      </c>
      <c r="AL371">
        <f t="shared" si="66"/>
        <v>12.218333333333332</v>
      </c>
      <c r="AM371">
        <f t="shared" si="67"/>
        <v>20.989019549999998</v>
      </c>
      <c r="AP371" s="9"/>
      <c r="AQ371" s="21">
        <v>2.28882E-3</v>
      </c>
      <c r="AR371" s="21">
        <v>27.506399999999999</v>
      </c>
      <c r="AS371" s="21">
        <v>-1.5081799999999999E-2</v>
      </c>
      <c r="AT371" s="21">
        <v>361</v>
      </c>
      <c r="AU371" s="21">
        <v>2.1942099999999998E-3</v>
      </c>
      <c r="AV371">
        <f t="shared" si="68"/>
        <v>18.619506172839504</v>
      </c>
      <c r="AW371">
        <f t="shared" si="69"/>
        <v>4.2616698118518516E-2</v>
      </c>
      <c r="AX371" s="9"/>
      <c r="AY371" s="21">
        <v>1.71783</v>
      </c>
      <c r="AZ371" s="21">
        <v>31.3659</v>
      </c>
      <c r="BA371" s="21">
        <v>-9.8602299999999993E-3</v>
      </c>
      <c r="BB371" s="21">
        <v>361</v>
      </c>
      <c r="BC371" s="21">
        <v>1.71661</v>
      </c>
      <c r="BD371">
        <f t="shared" si="70"/>
        <v>12.173123456790123</v>
      </c>
      <c r="BE371">
        <f t="shared" si="71"/>
        <v>20.911356667777778</v>
      </c>
    </row>
    <row r="372" spans="6:57" x14ac:dyDescent="0.25">
      <c r="F372" s="9"/>
      <c r="G372" s="21">
        <v>-2.7465800000000002E-3</v>
      </c>
      <c r="H372" s="21">
        <v>8.6680200000000003</v>
      </c>
      <c r="I372" s="21">
        <v>-1.50879E-2</v>
      </c>
      <c r="J372" s="21">
        <v>362</v>
      </c>
      <c r="K372" s="21">
        <v>-2.9785200000000001E-3</v>
      </c>
      <c r="L372">
        <f t="shared" si="60"/>
        <v>18.627037037037034</v>
      </c>
      <c r="M372">
        <f t="shared" si="61"/>
        <v>-5.1160647385185179E-2</v>
      </c>
      <c r="N372" s="9"/>
      <c r="O372" s="21">
        <v>1.7143200000000001</v>
      </c>
      <c r="P372" s="21">
        <v>14.648</v>
      </c>
      <c r="Q372" s="21">
        <v>-1.0083E-2</v>
      </c>
      <c r="R372" s="21">
        <v>21</v>
      </c>
      <c r="S372" s="21">
        <v>1.71326</v>
      </c>
      <c r="T372">
        <f t="shared" si="62"/>
        <v>12.448148148148148</v>
      </c>
      <c r="U372">
        <f t="shared" si="63"/>
        <v>21.340109333333334</v>
      </c>
      <c r="X372" s="9"/>
      <c r="Y372" s="21">
        <v>-2.7465800000000002E-3</v>
      </c>
      <c r="Z372" s="21">
        <v>18.0822</v>
      </c>
      <c r="AA372" s="21">
        <v>-1.5069600000000001E-2</v>
      </c>
      <c r="AB372" s="21">
        <v>362</v>
      </c>
      <c r="AC372" s="21">
        <v>-2.97241E-3</v>
      </c>
      <c r="AD372">
        <f t="shared" si="64"/>
        <v>18.604444444444443</v>
      </c>
      <c r="AE372">
        <f t="shared" si="65"/>
        <v>-5.1098595022222221E-2</v>
      </c>
      <c r="AF372" s="9"/>
      <c r="AG372" s="21">
        <v>1.7228699999999999</v>
      </c>
      <c r="AH372" s="21">
        <v>21.941700000000001</v>
      </c>
      <c r="AI372" s="21">
        <v>-9.6313500000000003E-3</v>
      </c>
      <c r="AJ372" s="21">
        <v>362</v>
      </c>
      <c r="AK372" s="21">
        <v>1.7218</v>
      </c>
      <c r="AL372">
        <f t="shared" si="66"/>
        <v>11.890555555555554</v>
      </c>
      <c r="AM372">
        <f t="shared" si="67"/>
        <v>20.485881449999997</v>
      </c>
      <c r="AP372" s="9"/>
      <c r="AQ372" s="21">
        <v>-2.7465800000000002E-3</v>
      </c>
      <c r="AR372" s="21">
        <v>27.516500000000001</v>
      </c>
      <c r="AS372" s="21">
        <v>-1.5084800000000001E-2</v>
      </c>
      <c r="AT372" s="21">
        <v>362</v>
      </c>
      <c r="AU372" s="21">
        <v>-2.8503399999999998E-3</v>
      </c>
      <c r="AV372">
        <f t="shared" si="68"/>
        <v>18.623209876543207</v>
      </c>
      <c r="AW372">
        <f t="shared" si="69"/>
        <v>-5.1150135782716044E-2</v>
      </c>
      <c r="AX372" s="9"/>
      <c r="AY372" s="21">
        <v>1.7228699999999999</v>
      </c>
      <c r="AZ372" s="21">
        <v>31.375900000000001</v>
      </c>
      <c r="BA372" s="21">
        <v>-9.6038800000000004E-3</v>
      </c>
      <c r="BB372" s="21">
        <v>362</v>
      </c>
      <c r="BC372" s="21">
        <v>1.72119</v>
      </c>
      <c r="BD372">
        <f t="shared" si="70"/>
        <v>11.856641975308643</v>
      </c>
      <c r="BE372">
        <f t="shared" si="71"/>
        <v>20.427452760000001</v>
      </c>
    </row>
    <row r="373" spans="6:57" x14ac:dyDescent="0.25">
      <c r="F373" s="9"/>
      <c r="G373" s="21">
        <v>-7.78198E-3</v>
      </c>
      <c r="H373" s="21">
        <v>8.6780899999999992</v>
      </c>
      <c r="I373" s="21">
        <v>-1.5081799999999999E-2</v>
      </c>
      <c r="J373" s="21">
        <v>363</v>
      </c>
      <c r="K373" s="21">
        <v>-8.0566400000000003E-3</v>
      </c>
      <c r="L373">
        <f t="shared" si="60"/>
        <v>18.619506172839504</v>
      </c>
      <c r="M373">
        <f t="shared" si="61"/>
        <v>-0.14489662464691355</v>
      </c>
      <c r="N373" s="9"/>
      <c r="O373" s="21">
        <v>1.71936</v>
      </c>
      <c r="P373" s="21">
        <v>14.638</v>
      </c>
      <c r="Q373" s="21">
        <v>-9.8174999999999998E-3</v>
      </c>
      <c r="R373" s="21">
        <v>20</v>
      </c>
      <c r="S373" s="21">
        <v>1.71844</v>
      </c>
      <c r="T373">
        <f t="shared" si="62"/>
        <v>12.12037037037037</v>
      </c>
      <c r="U373">
        <f t="shared" si="63"/>
        <v>20.839279999999999</v>
      </c>
      <c r="X373" s="9"/>
      <c r="Y373" s="21">
        <v>-7.78198E-3</v>
      </c>
      <c r="Z373" s="21">
        <v>18.092300000000002</v>
      </c>
      <c r="AA373" s="21">
        <v>-1.5075699999999999E-2</v>
      </c>
      <c r="AB373" s="21">
        <v>363</v>
      </c>
      <c r="AC373" s="21">
        <v>-8.0718999999999999E-3</v>
      </c>
      <c r="AD373">
        <f t="shared" si="64"/>
        <v>18.611975308641973</v>
      </c>
      <c r="AE373">
        <f t="shared" si="65"/>
        <v>-0.14483801961234566</v>
      </c>
      <c r="AF373" s="9"/>
      <c r="AG373" s="21">
        <v>1.7279100000000001</v>
      </c>
      <c r="AH373" s="21">
        <v>21.951799999999999</v>
      </c>
      <c r="AI373" s="21">
        <v>-9.3475299999999997E-3</v>
      </c>
      <c r="AJ373" s="21">
        <v>363</v>
      </c>
      <c r="AK373" s="21">
        <v>1.72699</v>
      </c>
      <c r="AL373">
        <f t="shared" si="66"/>
        <v>11.540160493827159</v>
      </c>
      <c r="AM373">
        <f t="shared" si="67"/>
        <v>19.940358718888888</v>
      </c>
      <c r="AP373" s="9"/>
      <c r="AQ373" s="21">
        <v>-7.78198E-3</v>
      </c>
      <c r="AR373" s="21">
        <v>27.526499999999999</v>
      </c>
      <c r="AS373" s="21">
        <v>-1.5084800000000001E-2</v>
      </c>
      <c r="AT373" s="21">
        <v>363</v>
      </c>
      <c r="AU373" s="21">
        <v>-8.0383299999999998E-3</v>
      </c>
      <c r="AV373">
        <f t="shared" si="68"/>
        <v>18.623209876543207</v>
      </c>
      <c r="AW373">
        <f t="shared" si="69"/>
        <v>-0.1449254467950617</v>
      </c>
      <c r="AX373" s="9"/>
      <c r="AY373" s="21">
        <v>1.7279100000000001</v>
      </c>
      <c r="AZ373" s="21">
        <v>31.385999999999999</v>
      </c>
      <c r="BA373" s="21">
        <v>-9.3200699999999997E-3</v>
      </c>
      <c r="BB373" s="21">
        <v>363</v>
      </c>
      <c r="BC373" s="21">
        <v>1.72699</v>
      </c>
      <c r="BD373">
        <f t="shared" si="70"/>
        <v>11.506259259259258</v>
      </c>
      <c r="BE373">
        <f t="shared" si="71"/>
        <v>19.881780436666663</v>
      </c>
    </row>
    <row r="374" spans="6:57" x14ac:dyDescent="0.25">
      <c r="F374" s="9"/>
      <c r="G374" s="21">
        <v>-1.28174E-2</v>
      </c>
      <c r="H374" s="21">
        <v>8.6881599999999999</v>
      </c>
      <c r="I374" s="21">
        <v>-1.5081799999999999E-2</v>
      </c>
      <c r="J374" s="21">
        <v>364</v>
      </c>
      <c r="K374" s="21">
        <v>-1.30341E-2</v>
      </c>
      <c r="L374">
        <f t="shared" si="60"/>
        <v>18.619506172839504</v>
      </c>
      <c r="M374">
        <f t="shared" si="61"/>
        <v>-0.23865365841975306</v>
      </c>
      <c r="N374" s="9"/>
      <c r="O374" s="21">
        <v>1.7243999999999999</v>
      </c>
      <c r="P374" s="21">
        <v>14.6279</v>
      </c>
      <c r="Q374" s="21">
        <v>-9.5458999999999995E-3</v>
      </c>
      <c r="R374" s="21">
        <v>19</v>
      </c>
      <c r="S374" s="21">
        <v>1.72333</v>
      </c>
      <c r="T374">
        <f t="shared" si="62"/>
        <v>11.78506172839506</v>
      </c>
      <c r="U374">
        <f t="shared" si="63"/>
        <v>20.322160444444442</v>
      </c>
      <c r="X374" s="9"/>
      <c r="Y374" s="21">
        <v>-1.28174E-2</v>
      </c>
      <c r="Z374" s="21">
        <v>18.102399999999999</v>
      </c>
      <c r="AA374" s="21">
        <v>-1.50787E-2</v>
      </c>
      <c r="AB374" s="21">
        <v>364</v>
      </c>
      <c r="AC374" s="21">
        <v>-1.3119499999999999E-2</v>
      </c>
      <c r="AD374">
        <f t="shared" si="64"/>
        <v>18.61567901234568</v>
      </c>
      <c r="AE374">
        <f t="shared" si="65"/>
        <v>-0.23860460417283952</v>
      </c>
      <c r="AF374" s="9"/>
      <c r="AG374" s="21">
        <v>1.7329399999999999</v>
      </c>
      <c r="AH374" s="21">
        <v>21.9618</v>
      </c>
      <c r="AI374" s="21">
        <v>-9.0454100000000003E-3</v>
      </c>
      <c r="AJ374" s="21">
        <v>364</v>
      </c>
      <c r="AK374" s="21">
        <v>1.73187</v>
      </c>
      <c r="AL374">
        <f t="shared" si="66"/>
        <v>11.167172839506172</v>
      </c>
      <c r="AM374">
        <f t="shared" si="67"/>
        <v>19.352040500493825</v>
      </c>
      <c r="AP374" s="9"/>
      <c r="AQ374" s="21">
        <v>-1.28174E-2</v>
      </c>
      <c r="AR374" s="21">
        <v>27.5366</v>
      </c>
      <c r="AS374" s="21">
        <v>-1.5075699999999999E-2</v>
      </c>
      <c r="AT374" s="21">
        <v>364</v>
      </c>
      <c r="AU374" s="21">
        <v>-1.3119499999999999E-2</v>
      </c>
      <c r="AV374">
        <f t="shared" si="68"/>
        <v>18.611975308641973</v>
      </c>
      <c r="AW374">
        <f t="shared" si="69"/>
        <v>-0.23855713232098763</v>
      </c>
      <c r="AX374" s="9"/>
      <c r="AY374" s="21">
        <v>1.7329399999999999</v>
      </c>
      <c r="AZ374" s="21">
        <v>31.396100000000001</v>
      </c>
      <c r="BA374" s="21">
        <v>-9.0118400000000001E-3</v>
      </c>
      <c r="BB374" s="21">
        <v>364</v>
      </c>
      <c r="BC374" s="21">
        <v>1.7321800000000001</v>
      </c>
      <c r="BD374">
        <f t="shared" si="70"/>
        <v>11.125728395061728</v>
      </c>
      <c r="BE374">
        <f t="shared" si="71"/>
        <v>19.28021976493827</v>
      </c>
    </row>
    <row r="375" spans="6:57" x14ac:dyDescent="0.25">
      <c r="F375" s="9"/>
      <c r="G375" s="21">
        <v>-1.7852799999999999E-2</v>
      </c>
      <c r="H375" s="21">
        <v>8.6982300000000006</v>
      </c>
      <c r="I375" s="21">
        <v>-1.5090900000000001E-2</v>
      </c>
      <c r="J375" s="21">
        <v>365</v>
      </c>
      <c r="K375" s="21">
        <v>-1.8060300000000001E-2</v>
      </c>
      <c r="L375">
        <f t="shared" si="60"/>
        <v>18.630740740740741</v>
      </c>
      <c r="M375">
        <f t="shared" si="61"/>
        <v>-0.33261088829629626</v>
      </c>
      <c r="N375" s="9"/>
      <c r="O375" s="21">
        <v>1.72943</v>
      </c>
      <c r="P375" s="21">
        <v>14.617800000000001</v>
      </c>
      <c r="Q375" s="21">
        <v>-9.2590299999999997E-3</v>
      </c>
      <c r="R375" s="21">
        <v>18</v>
      </c>
      <c r="S375" s="21">
        <v>1.72882</v>
      </c>
      <c r="T375">
        <f t="shared" si="62"/>
        <v>11.4309012345679</v>
      </c>
      <c r="U375">
        <f t="shared" si="63"/>
        <v>19.768943522098763</v>
      </c>
      <c r="X375" s="9"/>
      <c r="Y375" s="21">
        <v>-1.7852799999999999E-2</v>
      </c>
      <c r="Z375" s="21">
        <v>18.112400000000001</v>
      </c>
      <c r="AA375" s="21">
        <v>-1.5081799999999999E-2</v>
      </c>
      <c r="AB375" s="21">
        <v>365</v>
      </c>
      <c r="AC375" s="21">
        <v>-1.8020600000000001E-2</v>
      </c>
      <c r="AD375">
        <f t="shared" si="64"/>
        <v>18.619506172839504</v>
      </c>
      <c r="AE375">
        <f t="shared" si="65"/>
        <v>-0.33241031980246905</v>
      </c>
      <c r="AF375" s="9"/>
      <c r="AG375" s="21">
        <v>1.7379800000000001</v>
      </c>
      <c r="AH375" s="21">
        <v>21.971900000000002</v>
      </c>
      <c r="AI375" s="21">
        <v>-8.7127699999999999E-3</v>
      </c>
      <c r="AJ375" s="21">
        <v>365</v>
      </c>
      <c r="AK375" s="21">
        <v>1.73767</v>
      </c>
      <c r="AL375">
        <f t="shared" si="66"/>
        <v>10.756506172839506</v>
      </c>
      <c r="AM375">
        <f t="shared" si="67"/>
        <v>18.694592598271605</v>
      </c>
      <c r="AP375" s="9"/>
      <c r="AQ375" s="21">
        <v>-1.7852799999999999E-2</v>
      </c>
      <c r="AR375" s="21">
        <v>27.546700000000001</v>
      </c>
      <c r="AS375" s="21">
        <v>-1.5069600000000001E-2</v>
      </c>
      <c r="AT375" s="21">
        <v>365</v>
      </c>
      <c r="AU375" s="21">
        <v>-1.8103000000000001E-2</v>
      </c>
      <c r="AV375">
        <f t="shared" si="68"/>
        <v>18.604444444444443</v>
      </c>
      <c r="AW375">
        <f t="shared" si="69"/>
        <v>-0.33214142577777772</v>
      </c>
      <c r="AX375" s="9"/>
      <c r="AY375" s="21">
        <v>1.7379800000000001</v>
      </c>
      <c r="AZ375" s="21">
        <v>31.406199999999998</v>
      </c>
      <c r="BA375" s="21">
        <v>-8.6730999999999996E-3</v>
      </c>
      <c r="BB375" s="21">
        <v>365</v>
      </c>
      <c r="BC375" s="21">
        <v>1.7373700000000001</v>
      </c>
      <c r="BD375">
        <f t="shared" si="70"/>
        <v>10.70753086419753</v>
      </c>
      <c r="BE375">
        <f t="shared" si="71"/>
        <v>18.609474491358025</v>
      </c>
    </row>
    <row r="376" spans="6:57" x14ac:dyDescent="0.25">
      <c r="F376" s="9"/>
      <c r="G376" s="21">
        <v>-2.2888200000000001E-2</v>
      </c>
      <c r="H376" s="21">
        <v>8.7082999999999995</v>
      </c>
      <c r="I376" s="21">
        <v>-1.51001E-2</v>
      </c>
      <c r="J376" s="21">
        <v>366</v>
      </c>
      <c r="K376" s="21">
        <v>-2.3230000000000001E-2</v>
      </c>
      <c r="L376">
        <f t="shared" si="60"/>
        <v>18.642098765432099</v>
      </c>
      <c r="M376">
        <f t="shared" si="61"/>
        <v>-0.42668408496296301</v>
      </c>
      <c r="N376" s="9"/>
      <c r="O376" s="21">
        <v>1.73447</v>
      </c>
      <c r="P376" s="21">
        <v>14.607699999999999</v>
      </c>
      <c r="Q376" s="21">
        <v>-8.9416500000000006E-3</v>
      </c>
      <c r="R376" s="21">
        <v>17</v>
      </c>
      <c r="S376" s="21">
        <v>1.7337</v>
      </c>
      <c r="T376">
        <f t="shared" si="62"/>
        <v>11.039074074074074</v>
      </c>
      <c r="U376">
        <f t="shared" si="63"/>
        <v>19.146942809259258</v>
      </c>
      <c r="X376" s="9"/>
      <c r="Y376" s="21">
        <v>-2.2888200000000001E-2</v>
      </c>
      <c r="Z376" s="21">
        <v>18.122499999999999</v>
      </c>
      <c r="AA376" s="21">
        <v>-1.5090900000000001E-2</v>
      </c>
      <c r="AB376" s="21">
        <v>366</v>
      </c>
      <c r="AC376" s="21">
        <v>-2.3153699999999999E-2</v>
      </c>
      <c r="AD376">
        <f t="shared" si="64"/>
        <v>18.630740740740741</v>
      </c>
      <c r="AE376">
        <f t="shared" si="65"/>
        <v>-0.42642412022222226</v>
      </c>
      <c r="AF376" s="9"/>
      <c r="AG376" s="21">
        <v>1.7430099999999999</v>
      </c>
      <c r="AH376" s="21">
        <v>21.981999999999999</v>
      </c>
      <c r="AI376" s="21">
        <v>-8.3526599999999996E-3</v>
      </c>
      <c r="AJ376" s="21">
        <v>366</v>
      </c>
      <c r="AK376" s="21">
        <v>1.7422500000000001</v>
      </c>
      <c r="AL376">
        <f t="shared" si="66"/>
        <v>10.311925925925925</v>
      </c>
      <c r="AM376">
        <f t="shared" si="67"/>
        <v>17.973790008148146</v>
      </c>
      <c r="AP376" s="9"/>
      <c r="AQ376" s="21">
        <v>-2.2888200000000001E-2</v>
      </c>
      <c r="AR376" s="21">
        <v>27.556799999999999</v>
      </c>
      <c r="AS376" s="21">
        <v>-1.5063500000000001E-2</v>
      </c>
      <c r="AT376" s="21">
        <v>366</v>
      </c>
      <c r="AU376" s="21">
        <v>-2.31384E-2</v>
      </c>
      <c r="AV376">
        <f t="shared" si="68"/>
        <v>18.596913580246913</v>
      </c>
      <c r="AW376">
        <f t="shared" si="69"/>
        <v>-0.4256498774074074</v>
      </c>
      <c r="AX376" s="9"/>
      <c r="AY376" s="21">
        <v>1.7430099999999999</v>
      </c>
      <c r="AZ376" s="21">
        <v>31.4162</v>
      </c>
      <c r="BA376" s="21">
        <v>-8.2946800000000005E-3</v>
      </c>
      <c r="BB376" s="21">
        <v>366</v>
      </c>
      <c r="BC376" s="21">
        <v>1.74255</v>
      </c>
      <c r="BD376">
        <f t="shared" si="70"/>
        <v>10.240345679012346</v>
      </c>
      <c r="BE376">
        <f t="shared" si="71"/>
        <v>17.84902492197531</v>
      </c>
    </row>
    <row r="377" spans="6:57" x14ac:dyDescent="0.25">
      <c r="F377" s="9"/>
      <c r="G377" s="21">
        <v>-2.79236E-2</v>
      </c>
      <c r="H377" s="21">
        <v>8.7183799999999998</v>
      </c>
      <c r="I377" s="21">
        <v>-1.5109300000000001E-2</v>
      </c>
      <c r="J377" s="21">
        <v>367</v>
      </c>
      <c r="K377" s="21">
        <v>-2.8204300000000002E-2</v>
      </c>
      <c r="L377">
        <f t="shared" si="60"/>
        <v>18.653456790123457</v>
      </c>
      <c r="M377">
        <f t="shared" si="61"/>
        <v>-0.52087166602469137</v>
      </c>
      <c r="N377" s="9"/>
      <c r="O377" s="21">
        <v>1.7395</v>
      </c>
      <c r="P377" s="21">
        <v>14.5977</v>
      </c>
      <c r="Q377" s="21">
        <v>-8.5937500000000007E-3</v>
      </c>
      <c r="R377" s="21">
        <v>16</v>
      </c>
      <c r="S377" s="21">
        <v>1.73889</v>
      </c>
      <c r="T377">
        <f t="shared" si="62"/>
        <v>10.609567901234568</v>
      </c>
      <c r="U377">
        <f t="shared" si="63"/>
        <v>18.455343364197532</v>
      </c>
      <c r="X377" s="9"/>
      <c r="Y377" s="21">
        <v>-2.79236E-2</v>
      </c>
      <c r="Z377" s="21">
        <v>18.1326</v>
      </c>
      <c r="AA377" s="21">
        <v>-1.5090900000000001E-2</v>
      </c>
      <c r="AB377" s="21">
        <v>367</v>
      </c>
      <c r="AC377" s="21">
        <v>-2.82379E-2</v>
      </c>
      <c r="AD377">
        <f t="shared" si="64"/>
        <v>18.630740740740741</v>
      </c>
      <c r="AE377">
        <f t="shared" si="65"/>
        <v>-0.52023735214814815</v>
      </c>
      <c r="AF377" s="9"/>
      <c r="AG377" s="21">
        <v>1.7480500000000001</v>
      </c>
      <c r="AH377" s="21">
        <v>21.992100000000001</v>
      </c>
      <c r="AI377" s="21">
        <v>-7.9803500000000006E-3</v>
      </c>
      <c r="AJ377" s="21">
        <v>367</v>
      </c>
      <c r="AK377" s="21">
        <v>1.7474400000000001</v>
      </c>
      <c r="AL377">
        <f t="shared" si="66"/>
        <v>9.8522839506172843</v>
      </c>
      <c r="AM377">
        <f t="shared" si="67"/>
        <v>17.222284959876546</v>
      </c>
      <c r="AP377" s="9"/>
      <c r="AQ377" s="21">
        <v>-2.79236E-2</v>
      </c>
      <c r="AR377" s="21">
        <v>27.566800000000001</v>
      </c>
      <c r="AS377" s="21">
        <v>-1.50513E-2</v>
      </c>
      <c r="AT377" s="21">
        <v>367</v>
      </c>
      <c r="AU377" s="21">
        <v>-2.8231800000000001E-2</v>
      </c>
      <c r="AV377">
        <f t="shared" si="68"/>
        <v>18.581851851851848</v>
      </c>
      <c r="AW377">
        <f t="shared" si="69"/>
        <v>-0.51887219837037024</v>
      </c>
      <c r="AX377" s="9"/>
      <c r="AY377" s="21">
        <v>1.7480500000000001</v>
      </c>
      <c r="AZ377" s="21">
        <v>31.426300000000001</v>
      </c>
      <c r="BA377" s="21">
        <v>-7.8826899999999995E-3</v>
      </c>
      <c r="BB377" s="21">
        <v>367</v>
      </c>
      <c r="BC377" s="21">
        <v>1.7471300000000001</v>
      </c>
      <c r="BD377">
        <f t="shared" si="70"/>
        <v>9.7317160493827153</v>
      </c>
      <c r="BE377">
        <f t="shared" si="71"/>
        <v>17.011526240123455</v>
      </c>
    </row>
    <row r="378" spans="6:57" x14ac:dyDescent="0.25">
      <c r="F378" s="9"/>
      <c r="G378" s="21">
        <v>-3.2959000000000002E-2</v>
      </c>
      <c r="H378" s="21">
        <v>8.7284500000000005</v>
      </c>
      <c r="I378" s="21">
        <v>-1.51123E-2</v>
      </c>
      <c r="J378" s="21">
        <v>368</v>
      </c>
      <c r="K378" s="21">
        <v>-3.3313000000000002E-2</v>
      </c>
      <c r="L378">
        <f t="shared" si="60"/>
        <v>18.65716049382716</v>
      </c>
      <c r="M378">
        <f t="shared" si="61"/>
        <v>-0.61492135271604942</v>
      </c>
      <c r="N378" s="9"/>
      <c r="O378" s="21">
        <v>1.74454</v>
      </c>
      <c r="P378" s="21">
        <v>14.5876</v>
      </c>
      <c r="Q378" s="21">
        <v>-8.2183800000000008E-3</v>
      </c>
      <c r="R378" s="21">
        <v>15</v>
      </c>
      <c r="S378" s="21">
        <v>1.74377</v>
      </c>
      <c r="T378">
        <f t="shared" si="62"/>
        <v>10.146148148148148</v>
      </c>
      <c r="U378">
        <f t="shared" si="63"/>
        <v>17.70036129037037</v>
      </c>
      <c r="X378" s="9"/>
      <c r="Y378" s="21">
        <v>-3.2959000000000002E-2</v>
      </c>
      <c r="Z378" s="21">
        <v>18.142700000000001</v>
      </c>
      <c r="AA378" s="21">
        <v>-1.50879E-2</v>
      </c>
      <c r="AB378" s="21">
        <v>368</v>
      </c>
      <c r="AC378" s="21">
        <v>-3.3255E-2</v>
      </c>
      <c r="AD378">
        <f t="shared" si="64"/>
        <v>18.627037037037034</v>
      </c>
      <c r="AE378">
        <f t="shared" si="65"/>
        <v>-0.6139285137037036</v>
      </c>
      <c r="AF378" s="9"/>
      <c r="AG378" s="21">
        <v>1.75308</v>
      </c>
      <c r="AH378" s="21">
        <v>22.002099999999999</v>
      </c>
      <c r="AI378" s="21">
        <v>-7.5561500000000002E-3</v>
      </c>
      <c r="AJ378" s="21">
        <v>368</v>
      </c>
      <c r="AK378" s="21">
        <v>1.7523200000000001</v>
      </c>
      <c r="AL378">
        <f t="shared" si="66"/>
        <v>9.3285802469135799</v>
      </c>
      <c r="AM378">
        <f t="shared" si="67"/>
        <v>16.353747459259257</v>
      </c>
      <c r="AP378" s="9"/>
      <c r="AQ378" s="21">
        <v>-3.2959000000000002E-2</v>
      </c>
      <c r="AR378" s="21">
        <v>27.576899999999998</v>
      </c>
      <c r="AS378" s="21">
        <v>-1.5048199999999999E-2</v>
      </c>
      <c r="AT378" s="21">
        <v>368</v>
      </c>
      <c r="AU378" s="21">
        <v>-3.3261100000000002E-2</v>
      </c>
      <c r="AV378">
        <f t="shared" si="68"/>
        <v>18.578024691358021</v>
      </c>
      <c r="AW378">
        <f t="shared" si="69"/>
        <v>-0.61231311580246905</v>
      </c>
      <c r="AX378" s="9"/>
      <c r="AY378" s="21">
        <v>1.75308</v>
      </c>
      <c r="AZ378" s="21">
        <v>31.436399999999999</v>
      </c>
      <c r="BA378" s="21">
        <v>-7.4462900000000004E-3</v>
      </c>
      <c r="BB378" s="21">
        <v>368</v>
      </c>
      <c r="BC378" s="21">
        <v>1.7523200000000001</v>
      </c>
      <c r="BD378">
        <f t="shared" si="70"/>
        <v>9.1929506172839499</v>
      </c>
      <c r="BE378">
        <f t="shared" si="71"/>
        <v>16.115977868148146</v>
      </c>
    </row>
    <row r="379" spans="6:57" x14ac:dyDescent="0.25">
      <c r="F379" s="9"/>
      <c r="G379" s="21">
        <v>-3.7994399999999998E-2</v>
      </c>
      <c r="H379" s="21">
        <v>8.7385199999999994</v>
      </c>
      <c r="I379" s="21">
        <v>-1.51062E-2</v>
      </c>
      <c r="J379" s="21">
        <v>369</v>
      </c>
      <c r="K379" s="21">
        <v>-3.8293500000000001E-2</v>
      </c>
      <c r="L379">
        <f t="shared" si="60"/>
        <v>18.649629629629626</v>
      </c>
      <c r="M379">
        <f t="shared" si="61"/>
        <v>-0.70858148799999976</v>
      </c>
      <c r="N379" s="9"/>
      <c r="O379" s="21">
        <v>1.7495700000000001</v>
      </c>
      <c r="P379" s="21">
        <v>14.577500000000001</v>
      </c>
      <c r="Q379" s="21">
        <v>-7.8063999999999998E-3</v>
      </c>
      <c r="R379" s="21">
        <v>14</v>
      </c>
      <c r="S379" s="21">
        <v>1.7489600000000001</v>
      </c>
      <c r="T379">
        <f t="shared" si="62"/>
        <v>9.6375308641975295</v>
      </c>
      <c r="U379">
        <f t="shared" si="63"/>
        <v>16.861534874074071</v>
      </c>
      <c r="X379" s="9"/>
      <c r="Y379" s="21">
        <v>-3.7994399999999998E-2</v>
      </c>
      <c r="Z379" s="21">
        <v>18.152699999999999</v>
      </c>
      <c r="AA379" s="21">
        <v>-1.5090900000000001E-2</v>
      </c>
      <c r="AB379" s="21">
        <v>369</v>
      </c>
      <c r="AC379" s="21">
        <v>-3.83545E-2</v>
      </c>
      <c r="AD379">
        <f t="shared" si="64"/>
        <v>18.630740740740741</v>
      </c>
      <c r="AE379">
        <f t="shared" si="65"/>
        <v>-0.70786381599999992</v>
      </c>
      <c r="AF379" s="9"/>
      <c r="AG379" s="21">
        <v>1.7581199999999999</v>
      </c>
      <c r="AH379" s="21">
        <v>22.0122</v>
      </c>
      <c r="AI379" s="21">
        <v>-7.08313E-3</v>
      </c>
      <c r="AJ379" s="21">
        <v>369</v>
      </c>
      <c r="AK379" s="21">
        <v>1.7572000000000001</v>
      </c>
      <c r="AL379">
        <f t="shared" si="66"/>
        <v>8.7446049382716033</v>
      </c>
      <c r="AM379">
        <f t="shared" si="67"/>
        <v>15.374064834074071</v>
      </c>
      <c r="AP379" s="9"/>
      <c r="AQ379" s="21">
        <v>-3.7994399999999998E-2</v>
      </c>
      <c r="AR379" s="21">
        <v>27.587</v>
      </c>
      <c r="AS379" s="21">
        <v>-1.5042099999999999E-2</v>
      </c>
      <c r="AT379" s="21">
        <v>369</v>
      </c>
      <c r="AU379" s="21">
        <v>-3.8256800000000001E-2</v>
      </c>
      <c r="AV379">
        <f t="shared" si="68"/>
        <v>18.570493827160494</v>
      </c>
      <c r="AW379">
        <f t="shared" si="69"/>
        <v>-0.70557477066666663</v>
      </c>
      <c r="AX379" s="9"/>
      <c r="AY379" s="21">
        <v>1.7581199999999999</v>
      </c>
      <c r="AZ379" s="21">
        <v>31.446400000000001</v>
      </c>
      <c r="BA379" s="21">
        <v>-6.9702100000000001E-3</v>
      </c>
      <c r="BB379" s="21">
        <v>369</v>
      </c>
      <c r="BC379" s="21">
        <v>1.7568999999999999</v>
      </c>
      <c r="BD379">
        <f t="shared" si="70"/>
        <v>8.6051975308641957</v>
      </c>
      <c r="BE379">
        <f t="shared" si="71"/>
        <v>15.128969882962959</v>
      </c>
    </row>
    <row r="380" spans="6:57" x14ac:dyDescent="0.25">
      <c r="F380" s="9"/>
      <c r="G380" s="21">
        <v>-4.30298E-2</v>
      </c>
      <c r="H380" s="21">
        <v>8.7485900000000001</v>
      </c>
      <c r="I380" s="21">
        <v>-1.5109300000000001E-2</v>
      </c>
      <c r="J380" s="21">
        <v>370</v>
      </c>
      <c r="K380" s="21">
        <v>-4.3374599999999999E-2</v>
      </c>
      <c r="L380">
        <f t="shared" si="60"/>
        <v>18.653456790123457</v>
      </c>
      <c r="M380">
        <f t="shared" si="61"/>
        <v>-0.80265451498765428</v>
      </c>
      <c r="N380" s="9"/>
      <c r="O380" s="21">
        <v>1.75461</v>
      </c>
      <c r="P380" s="21">
        <v>14.567500000000001</v>
      </c>
      <c r="Q380" s="21">
        <v>-7.3516800000000002E-3</v>
      </c>
      <c r="R380" s="21">
        <v>13</v>
      </c>
      <c r="S380" s="21">
        <v>1.7535400000000001</v>
      </c>
      <c r="T380">
        <f t="shared" si="62"/>
        <v>9.0761481481481479</v>
      </c>
      <c r="U380">
        <f t="shared" si="63"/>
        <v>15.925100302222221</v>
      </c>
      <c r="X380" s="9"/>
      <c r="Y380" s="21">
        <v>-4.30298E-2</v>
      </c>
      <c r="Z380" s="21">
        <v>18.162800000000001</v>
      </c>
      <c r="AA380" s="21">
        <v>-1.51031E-2</v>
      </c>
      <c r="AB380" s="21">
        <v>370</v>
      </c>
      <c r="AC380" s="21">
        <v>-4.3344100000000003E-2</v>
      </c>
      <c r="AD380">
        <f t="shared" si="64"/>
        <v>18.645802469135798</v>
      </c>
      <c r="AE380">
        <f t="shared" si="65"/>
        <v>-0.80232515108641955</v>
      </c>
      <c r="AF380" s="9"/>
      <c r="AG380" s="21">
        <v>1.76315</v>
      </c>
      <c r="AH380" s="21">
        <v>22.022300000000001</v>
      </c>
      <c r="AI380" s="21">
        <v>-6.5704300000000004E-3</v>
      </c>
      <c r="AJ380" s="21">
        <v>370</v>
      </c>
      <c r="AK380" s="21">
        <v>1.7620800000000001</v>
      </c>
      <c r="AL380">
        <f t="shared" si="66"/>
        <v>8.1116419753086415</v>
      </c>
      <c r="AM380">
        <f t="shared" si="67"/>
        <v>14.30204154876543</v>
      </c>
      <c r="AP380" s="9"/>
      <c r="AQ380" s="21">
        <v>-4.30298E-2</v>
      </c>
      <c r="AR380" s="21">
        <v>27.597000000000001</v>
      </c>
      <c r="AS380" s="21">
        <v>-1.50391E-2</v>
      </c>
      <c r="AT380" s="21">
        <v>370</v>
      </c>
      <c r="AU380" s="21">
        <v>-4.3353299999999997E-2</v>
      </c>
      <c r="AV380">
        <f t="shared" si="68"/>
        <v>18.566790123456791</v>
      </c>
      <c r="AW380">
        <f t="shared" si="69"/>
        <v>-0.79892526565432098</v>
      </c>
      <c r="AX380" s="9"/>
      <c r="AY380" s="21">
        <v>1.76315</v>
      </c>
      <c r="AZ380" s="21">
        <v>31.456499999999998</v>
      </c>
      <c r="BA380" s="21">
        <v>-6.4178500000000001E-3</v>
      </c>
      <c r="BB380" s="21">
        <v>370</v>
      </c>
      <c r="BC380" s="21">
        <v>1.7626999999999999</v>
      </c>
      <c r="BD380">
        <f t="shared" si="70"/>
        <v>7.9232716049382708</v>
      </c>
      <c r="BE380">
        <f t="shared" si="71"/>
        <v>13.969916330246912</v>
      </c>
    </row>
    <row r="381" spans="6:57" x14ac:dyDescent="0.25">
      <c r="F381" s="9"/>
      <c r="G381" s="21">
        <v>-4.8065200000000002E-2</v>
      </c>
      <c r="H381" s="21">
        <v>8.7586600000000008</v>
      </c>
      <c r="I381" s="21">
        <v>-1.51062E-2</v>
      </c>
      <c r="J381" s="21">
        <v>371</v>
      </c>
      <c r="K381" s="21">
        <v>-4.8391700000000003E-2</v>
      </c>
      <c r="L381">
        <f t="shared" si="60"/>
        <v>18.649629629629626</v>
      </c>
      <c r="M381">
        <f t="shared" si="61"/>
        <v>-0.89639817807407396</v>
      </c>
      <c r="N381" s="9"/>
      <c r="O381" s="21">
        <v>1.7596400000000001</v>
      </c>
      <c r="P381" s="21">
        <v>14.557399999999999</v>
      </c>
      <c r="Q381" s="21">
        <v>-6.8420399999999998E-3</v>
      </c>
      <c r="R381" s="21">
        <v>12</v>
      </c>
      <c r="S381" s="21">
        <v>1.7593399999999999</v>
      </c>
      <c r="T381">
        <f t="shared" si="62"/>
        <v>8.4469629629629619</v>
      </c>
      <c r="U381">
        <f t="shared" si="63"/>
        <v>14.863613908148148</v>
      </c>
      <c r="X381" s="9"/>
      <c r="Y381" s="21">
        <v>-4.8065200000000002E-2</v>
      </c>
      <c r="Z381" s="21">
        <v>18.172899999999998</v>
      </c>
      <c r="AA381" s="21">
        <v>-1.5109300000000001E-2</v>
      </c>
      <c r="AB381" s="21">
        <v>371</v>
      </c>
      <c r="AC381" s="21">
        <v>-4.84039E-2</v>
      </c>
      <c r="AD381">
        <f t="shared" si="64"/>
        <v>18.653456790123457</v>
      </c>
      <c r="AE381">
        <f t="shared" si="65"/>
        <v>-0.89658213130864206</v>
      </c>
      <c r="AF381" s="9"/>
      <c r="AG381" s="21">
        <v>1.7681899999999999</v>
      </c>
      <c r="AH381" s="21">
        <v>22.032299999999999</v>
      </c>
      <c r="AI381" s="21">
        <v>-5.9875500000000003E-3</v>
      </c>
      <c r="AJ381" s="21">
        <v>371</v>
      </c>
      <c r="AK381" s="21">
        <v>1.7675799999999999</v>
      </c>
      <c r="AL381">
        <f t="shared" si="66"/>
        <v>7.3920370370370376</v>
      </c>
      <c r="AM381">
        <f t="shared" si="67"/>
        <v>13.070525968518519</v>
      </c>
      <c r="AP381" s="9"/>
      <c r="AQ381" s="21">
        <v>-4.8065200000000002E-2</v>
      </c>
      <c r="AR381" s="21">
        <v>27.607099999999999</v>
      </c>
      <c r="AS381" s="21">
        <v>-1.5042099999999999E-2</v>
      </c>
      <c r="AT381" s="21">
        <v>371</v>
      </c>
      <c r="AU381" s="21">
        <v>-4.8425299999999998E-2</v>
      </c>
      <c r="AV381">
        <f t="shared" si="68"/>
        <v>18.570493827160494</v>
      </c>
      <c r="AW381">
        <f t="shared" si="69"/>
        <v>-0.89259449990123463</v>
      </c>
      <c r="AX381" s="9"/>
      <c r="AY381" s="21">
        <v>1.7681899999999999</v>
      </c>
      <c r="AZ381" s="21">
        <v>31.4666</v>
      </c>
      <c r="BA381" s="21">
        <v>-5.8105500000000003E-3</v>
      </c>
      <c r="BB381" s="21">
        <v>371</v>
      </c>
      <c r="BC381" s="21">
        <v>1.7678799999999999</v>
      </c>
      <c r="BD381">
        <f t="shared" si="70"/>
        <v>7.1735185185185184</v>
      </c>
      <c r="BE381">
        <f t="shared" si="71"/>
        <v>12.684143709259258</v>
      </c>
    </row>
    <row r="382" spans="6:57" x14ac:dyDescent="0.25">
      <c r="F382" s="9"/>
      <c r="G382" s="21">
        <v>-5.3100599999999998E-2</v>
      </c>
      <c r="H382" s="21">
        <v>8.7687299999999997</v>
      </c>
      <c r="I382" s="21">
        <v>-1.5096999999999999E-2</v>
      </c>
      <c r="J382" s="21">
        <v>372</v>
      </c>
      <c r="K382" s="21">
        <v>-5.3558300000000003E-2</v>
      </c>
      <c r="L382">
        <f t="shared" si="60"/>
        <v>18.638271604938272</v>
      </c>
      <c r="M382">
        <f t="shared" si="61"/>
        <v>-0.98970340518518518</v>
      </c>
      <c r="N382" s="9"/>
      <c r="O382" s="21">
        <v>1.76468</v>
      </c>
      <c r="P382" s="21">
        <v>14.5473</v>
      </c>
      <c r="Q382" s="21">
        <v>-6.29578E-3</v>
      </c>
      <c r="R382" s="21">
        <v>11</v>
      </c>
      <c r="S382" s="21">
        <v>1.7636099999999999</v>
      </c>
      <c r="T382">
        <f t="shared" si="62"/>
        <v>7.7725679012345674</v>
      </c>
      <c r="U382">
        <f t="shared" si="63"/>
        <v>13.716095123950616</v>
      </c>
      <c r="X382" s="9"/>
      <c r="Y382" s="21">
        <v>-5.3100599999999998E-2</v>
      </c>
      <c r="Z382" s="21">
        <v>18.1829</v>
      </c>
      <c r="AA382" s="21">
        <v>-1.51215E-2</v>
      </c>
      <c r="AB382" s="21">
        <v>372</v>
      </c>
      <c r="AC382" s="21">
        <v>-5.3558300000000003E-2</v>
      </c>
      <c r="AD382">
        <f t="shared" si="64"/>
        <v>18.668518518518518</v>
      </c>
      <c r="AE382">
        <f t="shared" si="65"/>
        <v>-0.99130953444444436</v>
      </c>
      <c r="AF382" s="9"/>
      <c r="AG382" s="21">
        <v>1.77322</v>
      </c>
      <c r="AH382" s="21">
        <v>22.042400000000001</v>
      </c>
      <c r="AI382" s="21">
        <v>-5.3527799999999997E-3</v>
      </c>
      <c r="AJ382" s="21">
        <v>372</v>
      </c>
      <c r="AK382" s="21">
        <v>1.7724599999999999</v>
      </c>
      <c r="AL382">
        <f t="shared" si="66"/>
        <v>6.6083703703703698</v>
      </c>
      <c r="AM382">
        <f t="shared" si="67"/>
        <v>11.718094508148146</v>
      </c>
      <c r="AP382" s="9"/>
      <c r="AQ382" s="21">
        <v>-5.3100599999999998E-2</v>
      </c>
      <c r="AR382" s="21">
        <v>27.6172</v>
      </c>
      <c r="AS382" s="21">
        <v>-1.50391E-2</v>
      </c>
      <c r="AT382" s="21">
        <v>372</v>
      </c>
      <c r="AU382" s="21">
        <v>-5.3619399999999998E-2</v>
      </c>
      <c r="AV382">
        <f t="shared" si="68"/>
        <v>18.566790123456791</v>
      </c>
      <c r="AW382">
        <f t="shared" si="69"/>
        <v>-0.98590769562962965</v>
      </c>
      <c r="AX382" s="9"/>
      <c r="AY382" s="21">
        <v>1.77322</v>
      </c>
      <c r="AZ382" s="21">
        <v>31.476600000000001</v>
      </c>
      <c r="BA382" s="21">
        <v>-5.13E-3</v>
      </c>
      <c r="BB382" s="21">
        <v>372</v>
      </c>
      <c r="BC382" s="21">
        <v>1.7724599999999999</v>
      </c>
      <c r="BD382">
        <f t="shared" si="70"/>
        <v>6.333333333333333</v>
      </c>
      <c r="BE382">
        <f t="shared" si="71"/>
        <v>11.230393333333334</v>
      </c>
    </row>
    <row r="383" spans="6:57" x14ac:dyDescent="0.25">
      <c r="F383" s="9"/>
      <c r="G383" s="21">
        <v>-5.8136E-2</v>
      </c>
      <c r="H383" s="21">
        <v>8.7788000000000004</v>
      </c>
      <c r="I383" s="21">
        <v>-1.5096999999999999E-2</v>
      </c>
      <c r="J383" s="21">
        <v>373</v>
      </c>
      <c r="K383" s="21">
        <v>-5.8593800000000001E-2</v>
      </c>
      <c r="L383">
        <f t="shared" si="60"/>
        <v>18.638271604938272</v>
      </c>
      <c r="M383">
        <f t="shared" si="61"/>
        <v>-1.0835545580246913</v>
      </c>
      <c r="N383" s="9"/>
      <c r="O383" s="21">
        <v>1.7697099999999999</v>
      </c>
      <c r="P383" s="21">
        <v>14.5372</v>
      </c>
      <c r="Q383" s="21">
        <v>-5.6518599999999999E-3</v>
      </c>
      <c r="R383" s="21">
        <v>10</v>
      </c>
      <c r="S383" s="21">
        <v>1.7690999999999999</v>
      </c>
      <c r="T383">
        <f t="shared" si="62"/>
        <v>6.9776049382716048</v>
      </c>
      <c r="U383">
        <f t="shared" si="63"/>
        <v>12.348337235308641</v>
      </c>
      <c r="X383" s="9"/>
      <c r="Y383" s="21">
        <v>-5.8136E-2</v>
      </c>
      <c r="Z383" s="21">
        <v>18.193000000000001</v>
      </c>
      <c r="AA383" s="21">
        <v>-1.5115399999999999E-2</v>
      </c>
      <c r="AB383" s="21">
        <v>373</v>
      </c>
      <c r="AC383" s="21">
        <v>-5.86548E-2</v>
      </c>
      <c r="AD383">
        <f t="shared" si="64"/>
        <v>18.660987654320987</v>
      </c>
      <c r="AE383">
        <f t="shared" si="65"/>
        <v>-1.0848751782716048</v>
      </c>
      <c r="AF383" s="9"/>
      <c r="AG383" s="21">
        <v>1.77826</v>
      </c>
      <c r="AH383" s="21">
        <v>22.052499999999998</v>
      </c>
      <c r="AI383" s="21">
        <v>-4.6072400000000003E-3</v>
      </c>
      <c r="AJ383" s="21">
        <v>373</v>
      </c>
      <c r="AK383" s="21">
        <v>1.7773399999999999</v>
      </c>
      <c r="AL383">
        <f t="shared" si="66"/>
        <v>5.68795061728395</v>
      </c>
      <c r="AM383">
        <f t="shared" si="67"/>
        <v>10.114655064691357</v>
      </c>
      <c r="AP383" s="9"/>
      <c r="AQ383" s="21">
        <v>-5.8136E-2</v>
      </c>
      <c r="AR383" s="21">
        <v>27.627199999999998</v>
      </c>
      <c r="AS383" s="21">
        <v>-1.5048199999999999E-2</v>
      </c>
      <c r="AT383" s="21">
        <v>373</v>
      </c>
      <c r="AU383" s="21">
        <v>-5.8593800000000001E-2</v>
      </c>
      <c r="AV383">
        <f t="shared" si="68"/>
        <v>18.578024691358021</v>
      </c>
      <c r="AW383">
        <f t="shared" si="69"/>
        <v>-1.08005204345679</v>
      </c>
      <c r="AX383" s="9"/>
      <c r="AY383" s="21">
        <v>1.77826</v>
      </c>
      <c r="AZ383" s="21">
        <v>31.486699999999999</v>
      </c>
      <c r="BA383" s="21">
        <v>-4.3386800000000001E-3</v>
      </c>
      <c r="BB383" s="21">
        <v>373</v>
      </c>
      <c r="BC383" s="21">
        <v>1.77765</v>
      </c>
      <c r="BD383">
        <f t="shared" si="70"/>
        <v>5.3563950617283949</v>
      </c>
      <c r="BE383">
        <f t="shared" si="71"/>
        <v>9.5250630824691349</v>
      </c>
    </row>
    <row r="384" spans="6:57" x14ac:dyDescent="0.25">
      <c r="F384" s="9"/>
      <c r="G384" s="21">
        <v>-6.3171400000000003E-2</v>
      </c>
      <c r="H384" s="21">
        <v>8.7888699999999993</v>
      </c>
      <c r="I384" s="21">
        <v>-1.51001E-2</v>
      </c>
      <c r="J384" s="21">
        <v>374</v>
      </c>
      <c r="K384" s="21">
        <v>-6.36597E-2</v>
      </c>
      <c r="L384">
        <f t="shared" si="60"/>
        <v>18.642098765432099</v>
      </c>
      <c r="M384">
        <f t="shared" si="61"/>
        <v>-1.1776474779506174</v>
      </c>
      <c r="N384" s="9"/>
      <c r="O384" s="21">
        <v>1.77475</v>
      </c>
      <c r="P384" s="21">
        <v>14.527200000000001</v>
      </c>
      <c r="Q384" s="21">
        <v>-4.9725300000000002E-3</v>
      </c>
      <c r="R384" s="21">
        <v>9</v>
      </c>
      <c r="S384" s="21">
        <v>1.77399</v>
      </c>
      <c r="T384">
        <f t="shared" si="62"/>
        <v>6.1389259259259266</v>
      </c>
      <c r="U384">
        <f t="shared" si="63"/>
        <v>10.895058787037039</v>
      </c>
      <c r="X384" s="9"/>
      <c r="Y384" s="21">
        <v>-6.3171400000000003E-2</v>
      </c>
      <c r="Z384" s="21">
        <v>18.203099999999999</v>
      </c>
      <c r="AA384" s="21">
        <v>-1.51123E-2</v>
      </c>
      <c r="AB384" s="21">
        <v>374</v>
      </c>
      <c r="AC384" s="21">
        <v>-6.3598600000000005E-2</v>
      </c>
      <c r="AD384">
        <f t="shared" si="64"/>
        <v>18.65716049382716</v>
      </c>
      <c r="AE384">
        <f t="shared" si="65"/>
        <v>-1.178598948419753</v>
      </c>
      <c r="AF384" s="9"/>
      <c r="AG384" s="21">
        <v>1.78329</v>
      </c>
      <c r="AH384" s="21">
        <v>22.0626</v>
      </c>
      <c r="AI384" s="21">
        <v>-3.7893699999999998E-3</v>
      </c>
      <c r="AJ384" s="21">
        <v>374</v>
      </c>
      <c r="AK384" s="21">
        <v>1.78223</v>
      </c>
      <c r="AL384">
        <f t="shared" si="66"/>
        <v>4.6782345679012334</v>
      </c>
      <c r="AM384">
        <f t="shared" si="67"/>
        <v>8.3426489225925913</v>
      </c>
      <c r="AP384" s="9"/>
      <c r="AQ384" s="21">
        <v>-6.3171400000000003E-2</v>
      </c>
      <c r="AR384" s="21">
        <v>27.6373</v>
      </c>
      <c r="AS384" s="21">
        <v>-1.50543E-2</v>
      </c>
      <c r="AT384" s="21">
        <v>374</v>
      </c>
      <c r="AU384" s="21">
        <v>-6.3690200000000002E-2</v>
      </c>
      <c r="AV384">
        <f t="shared" si="68"/>
        <v>18.585555555555555</v>
      </c>
      <c r="AW384">
        <f t="shared" si="69"/>
        <v>-1.1740755642222223</v>
      </c>
      <c r="AX384" s="9"/>
      <c r="AY384" s="21">
        <v>1.78329</v>
      </c>
      <c r="AZ384" s="21">
        <v>31.4968</v>
      </c>
      <c r="BA384" s="21">
        <v>-3.4637499999999998E-3</v>
      </c>
      <c r="BB384" s="21">
        <v>374</v>
      </c>
      <c r="BC384" s="21">
        <v>1.78223</v>
      </c>
      <c r="BD384">
        <f t="shared" si="70"/>
        <v>4.2762345679012341</v>
      </c>
      <c r="BE384">
        <f t="shared" si="71"/>
        <v>7.6257663425925921</v>
      </c>
    </row>
    <row r="385" spans="6:57" x14ac:dyDescent="0.25">
      <c r="F385" s="9"/>
      <c r="G385" s="21">
        <v>-6.8206799999999998E-2</v>
      </c>
      <c r="H385" s="21">
        <v>8.79894</v>
      </c>
      <c r="I385" s="21">
        <v>-1.51001E-2</v>
      </c>
      <c r="J385" s="21">
        <v>375</v>
      </c>
      <c r="K385" s="21">
        <v>-6.8756100000000001E-2</v>
      </c>
      <c r="L385">
        <f t="shared" si="60"/>
        <v>18.642098765432099</v>
      </c>
      <c r="M385">
        <f t="shared" si="61"/>
        <v>-1.2715179020740741</v>
      </c>
      <c r="N385" s="9"/>
      <c r="O385" s="21">
        <v>1.77979</v>
      </c>
      <c r="P385" s="21">
        <v>14.517099999999999</v>
      </c>
      <c r="Q385" s="21">
        <v>-4.1677900000000002E-3</v>
      </c>
      <c r="R385" s="21">
        <v>8</v>
      </c>
      <c r="S385" s="21">
        <v>1.7791699999999999</v>
      </c>
      <c r="T385">
        <f t="shared" si="62"/>
        <v>5.1454197530864194</v>
      </c>
      <c r="U385">
        <f t="shared" si="63"/>
        <v>9.1577666223456777</v>
      </c>
      <c r="X385" s="9"/>
      <c r="Y385" s="21">
        <v>-6.8206799999999998E-2</v>
      </c>
      <c r="Z385" s="21">
        <v>18.213200000000001</v>
      </c>
      <c r="AA385" s="21">
        <v>-1.51123E-2</v>
      </c>
      <c r="AB385" s="21">
        <v>375</v>
      </c>
      <c r="AC385" s="21">
        <v>-6.8786600000000003E-2</v>
      </c>
      <c r="AD385">
        <f t="shared" si="64"/>
        <v>18.65716049382716</v>
      </c>
      <c r="AE385">
        <f t="shared" si="65"/>
        <v>-1.2725452143703704</v>
      </c>
      <c r="AF385" s="9"/>
      <c r="AG385" s="21">
        <v>1.78833</v>
      </c>
      <c r="AH385" s="21">
        <v>22.072600000000001</v>
      </c>
      <c r="AI385" s="21">
        <v>-2.8311199999999999E-3</v>
      </c>
      <c r="AJ385" s="21">
        <v>375</v>
      </c>
      <c r="AK385" s="21">
        <v>1.78772</v>
      </c>
      <c r="AL385">
        <f t="shared" si="66"/>
        <v>3.4952098765432096</v>
      </c>
      <c r="AM385">
        <f t="shared" si="67"/>
        <v>6.2505886785185183</v>
      </c>
      <c r="AP385" s="9"/>
      <c r="AQ385" s="21">
        <v>-6.8206799999999998E-2</v>
      </c>
      <c r="AR385" s="21">
        <v>27.647400000000001</v>
      </c>
      <c r="AS385" s="21">
        <v>-1.50665E-2</v>
      </c>
      <c r="AT385" s="21">
        <v>375</v>
      </c>
      <c r="AU385" s="21">
        <v>-6.8695099999999995E-2</v>
      </c>
      <c r="AV385">
        <f t="shared" si="68"/>
        <v>18.600617283950616</v>
      </c>
      <c r="AW385">
        <f t="shared" si="69"/>
        <v>-1.2686885829629628</v>
      </c>
      <c r="AX385" s="9"/>
      <c r="AY385" s="21">
        <v>1.78833</v>
      </c>
      <c r="AZ385" s="21">
        <v>31.506900000000002</v>
      </c>
      <c r="BA385" s="21">
        <v>-2.4414100000000002E-3</v>
      </c>
      <c r="BB385" s="21">
        <v>375</v>
      </c>
      <c r="BC385" s="21">
        <v>1.78772</v>
      </c>
      <c r="BD385">
        <f t="shared" si="70"/>
        <v>3.0140864197530863</v>
      </c>
      <c r="BE385">
        <f t="shared" si="71"/>
        <v>5.3901811670370368</v>
      </c>
    </row>
    <row r="386" spans="6:57" x14ac:dyDescent="0.25">
      <c r="F386" s="9"/>
      <c r="G386" s="21">
        <v>-7.3242199999999993E-2</v>
      </c>
      <c r="H386" s="21">
        <v>8.8090100000000007</v>
      </c>
      <c r="I386" s="21">
        <v>-1.51001E-2</v>
      </c>
      <c r="J386" s="21">
        <v>376</v>
      </c>
      <c r="K386" s="21">
        <v>-7.3700000000000002E-2</v>
      </c>
      <c r="L386">
        <f t="shared" si="60"/>
        <v>18.642098765432099</v>
      </c>
      <c r="M386">
        <f t="shared" si="61"/>
        <v>-1.3653883261975308</v>
      </c>
      <c r="N386" s="9"/>
      <c r="O386" s="21">
        <v>1.7848200000000001</v>
      </c>
      <c r="P386" s="21">
        <v>14.507</v>
      </c>
      <c r="Q386" s="21">
        <v>-3.2702600000000001E-3</v>
      </c>
      <c r="R386" s="21">
        <v>7</v>
      </c>
      <c r="S386" s="21">
        <v>1.78406</v>
      </c>
      <c r="T386">
        <f t="shared" si="62"/>
        <v>4.0373580246913576</v>
      </c>
      <c r="U386">
        <f t="shared" si="63"/>
        <v>7.205957349629629</v>
      </c>
      <c r="X386" s="9"/>
      <c r="Y386" s="21">
        <v>-7.3242199999999993E-2</v>
      </c>
      <c r="Z386" s="21">
        <v>18.223199999999999</v>
      </c>
      <c r="AA386" s="21">
        <v>-1.5115399999999999E-2</v>
      </c>
      <c r="AB386" s="21">
        <v>376</v>
      </c>
      <c r="AC386" s="21">
        <v>-7.3821999999999999E-2</v>
      </c>
      <c r="AD386">
        <f t="shared" si="64"/>
        <v>18.660987654320987</v>
      </c>
      <c r="AE386">
        <f t="shared" si="65"/>
        <v>-1.3667717899753085</v>
      </c>
      <c r="AF386" s="9"/>
      <c r="AG386" s="21">
        <v>1.7933699999999999</v>
      </c>
      <c r="AH386" s="21">
        <v>22.082699999999999</v>
      </c>
      <c r="AI386" s="21">
        <v>-1.7361500000000001E-3</v>
      </c>
      <c r="AJ386" s="21">
        <v>376</v>
      </c>
      <c r="AK386" s="21">
        <v>1.7923</v>
      </c>
      <c r="AL386">
        <f t="shared" si="66"/>
        <v>2.1433950617283952</v>
      </c>
      <c r="AM386">
        <f t="shared" si="67"/>
        <v>3.8439004018518519</v>
      </c>
      <c r="AP386" s="9"/>
      <c r="AQ386" s="21">
        <v>-7.3242199999999993E-2</v>
      </c>
      <c r="AR386" s="21">
        <v>27.657499999999999</v>
      </c>
      <c r="AS386" s="21">
        <v>-1.5069600000000001E-2</v>
      </c>
      <c r="AT386" s="21">
        <v>376</v>
      </c>
      <c r="AU386" s="21">
        <v>-7.3791499999999996E-2</v>
      </c>
      <c r="AV386">
        <f t="shared" si="68"/>
        <v>18.604444444444443</v>
      </c>
      <c r="AW386">
        <f t="shared" si="69"/>
        <v>-1.3626304408888887</v>
      </c>
      <c r="AX386" s="9"/>
      <c r="AY386" s="21">
        <v>1.7933699999999999</v>
      </c>
      <c r="AZ386" s="21">
        <v>31.5169</v>
      </c>
      <c r="BA386" s="21">
        <v>-1.2698399999999999E-3</v>
      </c>
      <c r="BB386" s="21">
        <v>376</v>
      </c>
      <c r="BC386" s="21">
        <v>1.7926</v>
      </c>
      <c r="BD386">
        <f t="shared" si="70"/>
        <v>1.5677037037037036</v>
      </c>
      <c r="BE386">
        <f t="shared" si="71"/>
        <v>2.8114727911111106</v>
      </c>
    </row>
    <row r="387" spans="6:57" x14ac:dyDescent="0.25">
      <c r="F387" s="9"/>
      <c r="G387" s="21">
        <v>-7.8277600000000003E-2</v>
      </c>
      <c r="H387" s="21">
        <v>8.8190899999999992</v>
      </c>
      <c r="I387" s="21">
        <v>-1.51123E-2</v>
      </c>
      <c r="J387" s="21">
        <v>377</v>
      </c>
      <c r="K387" s="21">
        <v>-7.8704800000000005E-2</v>
      </c>
      <c r="L387">
        <f t="shared" si="60"/>
        <v>18.65716049382716</v>
      </c>
      <c r="M387">
        <f t="shared" si="61"/>
        <v>-1.4604377462716049</v>
      </c>
      <c r="N387" s="9"/>
      <c r="O387" s="21">
        <v>1.78986</v>
      </c>
      <c r="P387" s="21">
        <v>14.497</v>
      </c>
      <c r="Q387" s="21">
        <v>-2.2335800000000002E-3</v>
      </c>
      <c r="R387" s="21">
        <v>6</v>
      </c>
      <c r="S387" s="21">
        <v>1.78894</v>
      </c>
      <c r="T387">
        <f t="shared" si="62"/>
        <v>2.7575061728395065</v>
      </c>
      <c r="U387">
        <f t="shared" si="63"/>
        <v>4.9355499985185194</v>
      </c>
      <c r="X387" s="9"/>
      <c r="Y387" s="21">
        <v>-7.8277600000000003E-2</v>
      </c>
      <c r="Z387" s="21">
        <v>18.2333</v>
      </c>
      <c r="AA387" s="21">
        <v>-1.5115399999999999E-2</v>
      </c>
      <c r="AB387" s="21">
        <v>377</v>
      </c>
      <c r="AC387" s="21">
        <v>-7.8857399999999994E-2</v>
      </c>
      <c r="AD387">
        <f t="shared" si="64"/>
        <v>18.660987654320987</v>
      </c>
      <c r="AE387">
        <f t="shared" si="65"/>
        <v>-1.4607373272098765</v>
      </c>
      <c r="AF387" s="9"/>
      <c r="AG387" s="21">
        <v>1.7984</v>
      </c>
      <c r="AH387" s="21">
        <v>22.0928</v>
      </c>
      <c r="AI387" s="21">
        <v>-4.8312399999999998E-4</v>
      </c>
      <c r="AJ387" s="21">
        <v>377</v>
      </c>
      <c r="AK387" s="21">
        <v>1.79779</v>
      </c>
      <c r="AL387">
        <f t="shared" si="66"/>
        <v>0.5964493827160493</v>
      </c>
      <c r="AM387">
        <f t="shared" si="67"/>
        <v>1.0726545698765431</v>
      </c>
      <c r="AP387" s="9"/>
      <c r="AQ387" s="21">
        <v>-7.8277600000000003E-2</v>
      </c>
      <c r="AR387" s="21">
        <v>27.6675</v>
      </c>
      <c r="AS387" s="21">
        <v>-1.50604E-2</v>
      </c>
      <c r="AT387" s="21">
        <v>377</v>
      </c>
      <c r="AU387" s="21">
        <v>-7.8826900000000005E-2</v>
      </c>
      <c r="AV387">
        <f t="shared" si="68"/>
        <v>18.593086419753085</v>
      </c>
      <c r="AW387">
        <f t="shared" si="69"/>
        <v>-1.4554221815308641</v>
      </c>
      <c r="AX387" s="9"/>
      <c r="AY387" s="21">
        <v>1.7984</v>
      </c>
      <c r="AZ387" s="21">
        <v>31.527000000000001</v>
      </c>
      <c r="BA387" s="21">
        <v>1.15814E-4</v>
      </c>
      <c r="BB387" s="21">
        <v>377</v>
      </c>
      <c r="BC387" s="21">
        <v>1.79749</v>
      </c>
      <c r="BD387">
        <f t="shared" si="70"/>
        <v>-0.14298024691358022</v>
      </c>
      <c r="BE387">
        <f t="shared" si="71"/>
        <v>-0.25713567604938264</v>
      </c>
    </row>
    <row r="388" spans="6:57" x14ac:dyDescent="0.25">
      <c r="F388" s="9"/>
      <c r="G388" s="21">
        <v>-8.3312999999999998E-2</v>
      </c>
      <c r="H388" s="21">
        <v>8.8291599999999999</v>
      </c>
      <c r="I388" s="21">
        <v>-1.5109300000000001E-2</v>
      </c>
      <c r="J388" s="21">
        <v>378</v>
      </c>
      <c r="K388" s="21">
        <v>-8.3923300000000006E-2</v>
      </c>
      <c r="L388">
        <f t="shared" si="60"/>
        <v>18.653456790123457</v>
      </c>
      <c r="M388">
        <f t="shared" si="61"/>
        <v>-1.5540754455555554</v>
      </c>
      <c r="N388" s="9"/>
      <c r="O388" s="21">
        <v>1.7948900000000001</v>
      </c>
      <c r="P388" s="21">
        <v>14.4869</v>
      </c>
      <c r="Q388" s="21">
        <v>-1.0510300000000001E-3</v>
      </c>
      <c r="R388" s="21">
        <v>5</v>
      </c>
      <c r="S388" s="21">
        <v>1.79352</v>
      </c>
      <c r="T388">
        <f t="shared" si="62"/>
        <v>1.297567901234568</v>
      </c>
      <c r="U388">
        <f t="shared" si="63"/>
        <v>2.3289916502469139</v>
      </c>
      <c r="X388" s="9"/>
      <c r="Y388" s="21">
        <v>-8.3312999999999998E-2</v>
      </c>
      <c r="Z388" s="21">
        <v>18.243400000000001</v>
      </c>
      <c r="AA388" s="21">
        <v>-1.51123E-2</v>
      </c>
      <c r="AB388" s="21">
        <v>378</v>
      </c>
      <c r="AC388" s="21">
        <v>-8.3953899999999998E-2</v>
      </c>
      <c r="AD388">
        <f t="shared" si="64"/>
        <v>18.65716049382716</v>
      </c>
      <c r="AE388">
        <f t="shared" si="65"/>
        <v>-1.5543840122222221</v>
      </c>
      <c r="AF388" s="9"/>
      <c r="AG388" s="21">
        <v>1.8034399999999999</v>
      </c>
      <c r="AH388" s="21">
        <v>22.102799999999998</v>
      </c>
      <c r="AI388" s="21">
        <v>9.4177200000000001E-4</v>
      </c>
      <c r="AJ388" s="21">
        <v>378</v>
      </c>
      <c r="AK388" s="21">
        <v>1.80298</v>
      </c>
      <c r="AL388">
        <f t="shared" si="66"/>
        <v>-1.1626814814814814</v>
      </c>
      <c r="AM388">
        <f t="shared" si="67"/>
        <v>-2.0968262909629627</v>
      </c>
      <c r="AP388" s="9"/>
      <c r="AQ388" s="21">
        <v>-8.3312999999999998E-2</v>
      </c>
      <c r="AR388" s="21">
        <v>27.677600000000002</v>
      </c>
      <c r="AS388" s="21">
        <v>-1.50543E-2</v>
      </c>
      <c r="AT388" s="21">
        <v>378</v>
      </c>
      <c r="AU388" s="21">
        <v>-8.3801299999999995E-2</v>
      </c>
      <c r="AV388">
        <f t="shared" si="68"/>
        <v>18.585555555555555</v>
      </c>
      <c r="AW388">
        <f t="shared" si="69"/>
        <v>-1.5484183899999999</v>
      </c>
      <c r="AX388" s="9"/>
      <c r="AY388" s="21">
        <v>1.8034399999999999</v>
      </c>
      <c r="AZ388" s="21">
        <v>31.537099999999999</v>
      </c>
      <c r="BA388" s="21">
        <v>1.65131E-3</v>
      </c>
      <c r="BB388" s="21">
        <v>378</v>
      </c>
      <c r="BC388" s="21">
        <v>1.80267</v>
      </c>
      <c r="BD388">
        <f t="shared" si="70"/>
        <v>-2.0386543209876544</v>
      </c>
      <c r="BE388">
        <f t="shared" si="71"/>
        <v>-3.6765907486419755</v>
      </c>
    </row>
    <row r="389" spans="6:57" x14ac:dyDescent="0.25">
      <c r="F389" s="9"/>
      <c r="G389" s="21">
        <v>-8.8348399999999994E-2</v>
      </c>
      <c r="H389" s="21">
        <v>8.8392300000000006</v>
      </c>
      <c r="I389" s="21">
        <v>-1.5109300000000001E-2</v>
      </c>
      <c r="J389" s="21">
        <v>379</v>
      </c>
      <c r="K389" s="21">
        <v>-8.8867199999999993E-2</v>
      </c>
      <c r="L389">
        <f t="shared" si="60"/>
        <v>18.653456790123457</v>
      </c>
      <c r="M389">
        <f t="shared" si="61"/>
        <v>-1.6480030618765431</v>
      </c>
      <c r="N389" s="9"/>
      <c r="O389" s="21">
        <v>1.79993</v>
      </c>
      <c r="P389" s="21">
        <v>14.476800000000001</v>
      </c>
      <c r="Q389" s="21">
        <v>3.4283399999999998E-4</v>
      </c>
      <c r="R389" s="21">
        <v>4</v>
      </c>
      <c r="S389" s="21">
        <v>1.79901</v>
      </c>
      <c r="T389">
        <f t="shared" si="62"/>
        <v>-0.42325185185185177</v>
      </c>
      <c r="U389">
        <f t="shared" si="63"/>
        <v>-0.76182370570370361</v>
      </c>
      <c r="X389" s="9"/>
      <c r="Y389" s="21">
        <v>-8.8348399999999994E-2</v>
      </c>
      <c r="Z389" s="21">
        <v>18.253399999999999</v>
      </c>
      <c r="AA389" s="21">
        <v>-1.51062E-2</v>
      </c>
      <c r="AB389" s="21">
        <v>379</v>
      </c>
      <c r="AC389" s="21">
        <v>-8.8836700000000005E-2</v>
      </c>
      <c r="AD389">
        <f t="shared" si="64"/>
        <v>18.649629629629626</v>
      </c>
      <c r="AE389">
        <f t="shared" si="65"/>
        <v>-1.6476649383703699</v>
      </c>
      <c r="AF389" s="9"/>
      <c r="AG389" s="21">
        <v>1.80847</v>
      </c>
      <c r="AH389" s="21">
        <v>22.1129</v>
      </c>
      <c r="AI389" s="21">
        <v>2.5732400000000001E-3</v>
      </c>
      <c r="AJ389" s="21">
        <v>379</v>
      </c>
      <c r="AK389" s="21">
        <v>1.80786</v>
      </c>
      <c r="AL389">
        <f t="shared" si="66"/>
        <v>-3.1768395061728394</v>
      </c>
      <c r="AM389">
        <f t="shared" si="67"/>
        <v>-5.7452189417283952</v>
      </c>
      <c r="AP389" s="9"/>
      <c r="AQ389" s="21">
        <v>-8.8348399999999994E-2</v>
      </c>
      <c r="AR389" s="21">
        <v>27.6877</v>
      </c>
      <c r="AS389" s="21">
        <v>-1.50452E-2</v>
      </c>
      <c r="AT389" s="21">
        <v>379</v>
      </c>
      <c r="AU389" s="21">
        <v>-8.8867199999999993E-2</v>
      </c>
      <c r="AV389">
        <f t="shared" si="68"/>
        <v>18.574320987654321</v>
      </c>
      <c r="AW389">
        <f t="shared" si="69"/>
        <v>-1.6410115403456789</v>
      </c>
      <c r="AX389" s="9"/>
      <c r="AY389" s="21">
        <v>1.80847</v>
      </c>
      <c r="AZ389" s="21">
        <v>31.5471</v>
      </c>
      <c r="BA389" s="21">
        <v>3.36761E-3</v>
      </c>
      <c r="BB389" s="21">
        <v>379</v>
      </c>
      <c r="BC389" s="21">
        <v>1.80847</v>
      </c>
      <c r="BD389">
        <f t="shared" si="70"/>
        <v>-4.1575432098765432</v>
      </c>
      <c r="BE389">
        <f t="shared" si="71"/>
        <v>-7.5187921687654322</v>
      </c>
    </row>
    <row r="390" spans="6:57" x14ac:dyDescent="0.25">
      <c r="F390" s="9"/>
      <c r="G390" s="21">
        <v>-9.3383800000000003E-2</v>
      </c>
      <c r="H390" s="21">
        <v>8.8492999999999995</v>
      </c>
      <c r="I390" s="21">
        <v>-1.5115399999999999E-2</v>
      </c>
      <c r="J390" s="21">
        <v>380</v>
      </c>
      <c r="K390" s="21">
        <v>-9.3780500000000003E-2</v>
      </c>
      <c r="L390">
        <f t="shared" si="60"/>
        <v>18.660987654320987</v>
      </c>
      <c r="M390">
        <f t="shared" si="61"/>
        <v>-1.7426339389135803</v>
      </c>
      <c r="N390" s="9"/>
      <c r="O390" s="21">
        <v>1.8049599999999999</v>
      </c>
      <c r="P390" s="21">
        <v>14.466699999999999</v>
      </c>
      <c r="Q390" s="21">
        <v>1.8573000000000001E-3</v>
      </c>
      <c r="R390" s="21">
        <v>3</v>
      </c>
      <c r="S390" s="21">
        <v>1.8045</v>
      </c>
      <c r="T390">
        <f t="shared" si="62"/>
        <v>-2.2929629629629629</v>
      </c>
      <c r="U390">
        <f t="shared" si="63"/>
        <v>-4.1387064296296296</v>
      </c>
      <c r="X390" s="9"/>
      <c r="Y390" s="21">
        <v>-9.3383800000000003E-2</v>
      </c>
      <c r="Z390" s="21">
        <v>18.263500000000001</v>
      </c>
      <c r="AA390" s="21">
        <v>-1.5094E-2</v>
      </c>
      <c r="AB390" s="21">
        <v>380</v>
      </c>
      <c r="AC390" s="21">
        <v>-9.3902600000000003E-2</v>
      </c>
      <c r="AD390">
        <f t="shared" si="64"/>
        <v>18.634567901234568</v>
      </c>
      <c r="AE390">
        <f t="shared" si="65"/>
        <v>-1.7401667619753087</v>
      </c>
      <c r="AF390" s="9"/>
      <c r="AG390" s="21">
        <v>1.81351</v>
      </c>
      <c r="AH390" s="21">
        <v>22.123000000000001</v>
      </c>
      <c r="AI390" s="21">
        <v>4.3398999999999998E-3</v>
      </c>
      <c r="AJ390" s="21">
        <v>380</v>
      </c>
      <c r="AK390" s="21">
        <v>1.81274</v>
      </c>
      <c r="AL390">
        <f t="shared" si="66"/>
        <v>-5.3579012345679002</v>
      </c>
      <c r="AM390">
        <f t="shared" si="67"/>
        <v>-9.7166074679012322</v>
      </c>
      <c r="AP390" s="9"/>
      <c r="AQ390" s="21">
        <v>-9.3383800000000003E-2</v>
      </c>
      <c r="AR390" s="21">
        <v>27.697700000000001</v>
      </c>
      <c r="AS390" s="21">
        <v>-1.5042099999999999E-2</v>
      </c>
      <c r="AT390" s="21">
        <v>380</v>
      </c>
      <c r="AU390" s="21">
        <v>-9.3719499999999997E-2</v>
      </c>
      <c r="AV390">
        <f t="shared" si="68"/>
        <v>18.570493827160494</v>
      </c>
      <c r="AW390">
        <f t="shared" si="69"/>
        <v>-1.7341832814567901</v>
      </c>
      <c r="AX390" s="9"/>
      <c r="AY390" s="21">
        <v>1.81351</v>
      </c>
      <c r="AZ390" s="21">
        <v>31.557200000000002</v>
      </c>
      <c r="BA390" s="21">
        <v>5.2520800000000001E-3</v>
      </c>
      <c r="BB390" s="21">
        <v>380</v>
      </c>
      <c r="BC390" s="21">
        <v>1.8130500000000001</v>
      </c>
      <c r="BD390">
        <f t="shared" si="70"/>
        <v>-6.4840493827160497</v>
      </c>
      <c r="BE390">
        <f t="shared" si="71"/>
        <v>-11.758888396049382</v>
      </c>
    </row>
    <row r="391" spans="6:57" x14ac:dyDescent="0.25">
      <c r="F391" s="9"/>
      <c r="G391" s="21">
        <v>-9.8419199999999998E-2</v>
      </c>
      <c r="H391" s="21">
        <v>8.8593700000000002</v>
      </c>
      <c r="I391" s="21">
        <v>-1.5118400000000001E-2</v>
      </c>
      <c r="J391" s="21">
        <v>381</v>
      </c>
      <c r="K391" s="21">
        <v>-9.8937999999999998E-2</v>
      </c>
      <c r="L391">
        <f t="shared" si="60"/>
        <v>18.66469135802469</v>
      </c>
      <c r="M391">
        <f t="shared" si="61"/>
        <v>-1.8369639917037035</v>
      </c>
      <c r="N391" s="9"/>
      <c r="O391" s="21">
        <v>1.81</v>
      </c>
      <c r="P391" s="21">
        <v>14.4567</v>
      </c>
      <c r="Q391" s="21">
        <v>3.5717800000000001E-3</v>
      </c>
      <c r="R391" s="21">
        <v>2</v>
      </c>
      <c r="S391" s="21">
        <v>1.8093900000000001</v>
      </c>
      <c r="T391">
        <f t="shared" si="62"/>
        <v>-4.4096049382716043</v>
      </c>
      <c r="U391">
        <f t="shared" si="63"/>
        <v>-7.9813849382716038</v>
      </c>
      <c r="X391" s="9"/>
      <c r="Y391" s="21">
        <v>-9.8419199999999998E-2</v>
      </c>
      <c r="Z391" s="21">
        <v>18.273599999999998</v>
      </c>
      <c r="AA391" s="21">
        <v>-1.5094E-2</v>
      </c>
      <c r="AB391" s="21">
        <v>381</v>
      </c>
      <c r="AC391" s="21">
        <v>-9.8937999999999998E-2</v>
      </c>
      <c r="AD391">
        <f t="shared" si="64"/>
        <v>18.634567901234568</v>
      </c>
      <c r="AE391">
        <f t="shared" si="65"/>
        <v>-1.8339992651851853</v>
      </c>
      <c r="AF391" s="9"/>
      <c r="AG391" s="21">
        <v>1.81854</v>
      </c>
      <c r="AH391" s="21">
        <v>22.133099999999999</v>
      </c>
      <c r="AI391" s="21">
        <v>6.3140899999999996E-3</v>
      </c>
      <c r="AJ391" s="21">
        <v>381</v>
      </c>
      <c r="AK391" s="21">
        <v>1.8176300000000001</v>
      </c>
      <c r="AL391">
        <f t="shared" si="66"/>
        <v>-7.7951728395061712</v>
      </c>
      <c r="AM391">
        <f t="shared" si="67"/>
        <v>-14.175833615555552</v>
      </c>
      <c r="AP391" s="9"/>
      <c r="AQ391" s="21">
        <v>-9.8419199999999998E-2</v>
      </c>
      <c r="AR391" s="21">
        <v>27.707799999999999</v>
      </c>
      <c r="AS391" s="21">
        <v>-1.5042099999999999E-2</v>
      </c>
      <c r="AT391" s="21">
        <v>381</v>
      </c>
      <c r="AU391" s="21">
        <v>-9.8968500000000001E-2</v>
      </c>
      <c r="AV391">
        <f t="shared" si="68"/>
        <v>18.570493827160494</v>
      </c>
      <c r="AW391">
        <f t="shared" si="69"/>
        <v>-1.827693146074074</v>
      </c>
      <c r="AX391" s="9"/>
      <c r="AY391" s="21">
        <v>1.81854</v>
      </c>
      <c r="AZ391" s="21">
        <v>31.567299999999999</v>
      </c>
      <c r="BA391" s="21">
        <v>7.3089599999999998E-3</v>
      </c>
      <c r="BB391" s="21">
        <v>381</v>
      </c>
      <c r="BC391" s="21">
        <v>1.81793</v>
      </c>
      <c r="BD391">
        <f t="shared" si="70"/>
        <v>-9.0234074074074062</v>
      </c>
      <c r="BE391">
        <f t="shared" si="71"/>
        <v>-16.409427306666664</v>
      </c>
    </row>
    <row r="392" spans="6:57" x14ac:dyDescent="0.25">
      <c r="F392" s="9"/>
      <c r="G392" s="21">
        <v>-0.10345500000000001</v>
      </c>
      <c r="H392" s="21">
        <v>8.8694400000000009</v>
      </c>
      <c r="I392" s="21">
        <v>-1.51123E-2</v>
      </c>
      <c r="J392" s="21">
        <v>382</v>
      </c>
      <c r="K392" s="21">
        <v>-0.103973</v>
      </c>
      <c r="L392">
        <f t="shared" si="60"/>
        <v>18.65716049382716</v>
      </c>
      <c r="M392">
        <f t="shared" si="61"/>
        <v>-1.930176538888889</v>
      </c>
      <c r="N392" s="9"/>
      <c r="O392" s="21">
        <v>1.8150299999999999</v>
      </c>
      <c r="P392" s="21">
        <v>14.4466</v>
      </c>
      <c r="Q392" s="21">
        <v>5.48096E-3</v>
      </c>
      <c r="R392" s="21">
        <v>1</v>
      </c>
      <c r="S392" s="21">
        <v>1.8145800000000001</v>
      </c>
      <c r="T392">
        <f t="shared" si="62"/>
        <v>-6.766617283950616</v>
      </c>
      <c r="U392">
        <f t="shared" si="63"/>
        <v>-12.281613368888886</v>
      </c>
      <c r="X392" s="9"/>
      <c r="Y392" s="21">
        <v>-0.10345500000000001</v>
      </c>
      <c r="Z392" s="21">
        <v>18.2837</v>
      </c>
      <c r="AA392" s="21">
        <v>-1.51001E-2</v>
      </c>
      <c r="AB392" s="21">
        <v>382</v>
      </c>
      <c r="AC392" s="21">
        <v>-0.103973</v>
      </c>
      <c r="AD392">
        <f t="shared" si="64"/>
        <v>18.642098765432099</v>
      </c>
      <c r="AE392">
        <f t="shared" si="65"/>
        <v>-1.928618327777778</v>
      </c>
      <c r="AF392" s="9"/>
      <c r="AG392" s="21">
        <v>1.82358</v>
      </c>
      <c r="AH392" s="21">
        <v>22.1431</v>
      </c>
      <c r="AI392" s="21">
        <v>8.4197999999999999E-3</v>
      </c>
      <c r="AJ392" s="21">
        <v>382</v>
      </c>
      <c r="AK392" s="21">
        <v>1.8231200000000001</v>
      </c>
      <c r="AL392">
        <f t="shared" si="66"/>
        <v>-10.394814814814813</v>
      </c>
      <c r="AM392">
        <f t="shared" si="67"/>
        <v>-18.955776399999998</v>
      </c>
      <c r="AP392" s="9"/>
      <c r="AQ392" s="21">
        <v>-0.10345500000000001</v>
      </c>
      <c r="AR392" s="21">
        <v>27.7179</v>
      </c>
      <c r="AS392" s="21">
        <v>-1.50452E-2</v>
      </c>
      <c r="AT392" s="21">
        <v>382</v>
      </c>
      <c r="AU392" s="21">
        <v>-0.10394299999999999</v>
      </c>
      <c r="AV392">
        <f t="shared" si="68"/>
        <v>18.574320987654321</v>
      </c>
      <c r="AW392">
        <f t="shared" si="69"/>
        <v>-1.9216063777777779</v>
      </c>
      <c r="AX392" s="9"/>
      <c r="AY392" s="21">
        <v>1.82358</v>
      </c>
      <c r="AZ392" s="21">
        <v>31.577400000000001</v>
      </c>
      <c r="BA392" s="21">
        <v>9.5214800000000006E-3</v>
      </c>
      <c r="BB392" s="21">
        <v>382</v>
      </c>
      <c r="BC392" s="21">
        <v>1.82281</v>
      </c>
      <c r="BD392">
        <f t="shared" si="70"/>
        <v>-11.754913580246914</v>
      </c>
      <c r="BE392">
        <f t="shared" si="71"/>
        <v>-21.436025306666668</v>
      </c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88"/>
  <sheetViews>
    <sheetView topLeftCell="AP1" workbookViewId="0">
      <selection activeCell="BD11" sqref="BD11:BE38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1326.8662258076126</v>
      </c>
      <c r="H2" s="2"/>
      <c r="I2" s="6" t="s">
        <v>12</v>
      </c>
      <c r="J2" s="2"/>
      <c r="K2" s="7" t="s">
        <v>13</v>
      </c>
      <c r="L2" s="3">
        <f>L4*I6*L9/100*100</f>
        <v>23.809094261728397</v>
      </c>
      <c r="M2" s="8" t="s">
        <v>14</v>
      </c>
      <c r="N2" s="9"/>
      <c r="O2" s="2">
        <f>ABS(S7-S6)/ABS(T7-T6)*1000</f>
        <v>5249.2546451610106</v>
      </c>
      <c r="P2" s="2"/>
      <c r="Q2" s="6" t="s">
        <v>15</v>
      </c>
      <c r="R2" s="2"/>
      <c r="S2" s="7" t="s">
        <v>13</v>
      </c>
      <c r="T2" s="3">
        <f>T4*Q6*T9/100*100</f>
        <v>22.732903488888887</v>
      </c>
      <c r="U2" s="8" t="s">
        <v>14</v>
      </c>
      <c r="X2" s="9"/>
      <c r="Y2" s="2">
        <f>ABS(AC7-AC6)/ABS(AD7-AD6)*1000</f>
        <v>14848.015500016669</v>
      </c>
      <c r="Z2" s="2"/>
      <c r="AA2" s="6" t="s">
        <v>12</v>
      </c>
      <c r="AB2" s="2"/>
      <c r="AC2" s="7" t="s">
        <v>13</v>
      </c>
      <c r="AD2" s="3">
        <f>AD4*AA6*AD9/100*100</f>
        <v>23.525192038271605</v>
      </c>
      <c r="AE2" s="8" t="s">
        <v>14</v>
      </c>
      <c r="AF2" s="9"/>
      <c r="AG2" s="2">
        <f>ABS(AK7-AK6)/ABS(AL7-AL6)*1000</f>
        <v>667.82375409839631</v>
      </c>
      <c r="AH2" s="2"/>
      <c r="AI2" s="6" t="s">
        <v>15</v>
      </c>
      <c r="AJ2" s="2"/>
      <c r="AK2" s="7" t="s">
        <v>13</v>
      </c>
      <c r="AL2" s="3">
        <f>AL4*AI6*AL9/100*100</f>
        <v>22.567466074074069</v>
      </c>
      <c r="AM2" s="8" t="s">
        <v>14</v>
      </c>
      <c r="AP2" s="9"/>
      <c r="AQ2" s="2">
        <f>ABS(AU7-AU6)/ABS(AV7-AV6)*1000</f>
        <v>1354.6944590164655</v>
      </c>
      <c r="AR2" s="2"/>
      <c r="AS2" s="6" t="s">
        <v>12</v>
      </c>
      <c r="AT2" s="2"/>
      <c r="AU2" s="7" t="s">
        <v>13</v>
      </c>
      <c r="AV2" s="3">
        <f>AV4*AS6*AV9/100*100</f>
        <v>23.425112533333333</v>
      </c>
      <c r="AW2" s="8" t="s">
        <v>14</v>
      </c>
      <c r="AX2" s="9"/>
      <c r="AY2" s="2">
        <f>ABS(BC7-BC6)/ABS(BD7-BD6)*1000</f>
        <v>1332.4101639338687</v>
      </c>
      <c r="AZ2" s="2"/>
      <c r="BA2" s="6" t="s">
        <v>15</v>
      </c>
      <c r="BB2" s="2"/>
      <c r="BC2" s="7" t="s">
        <v>13</v>
      </c>
      <c r="BD2" s="3">
        <f>BD4*BA6*BD9/100*100</f>
        <v>22.642857758024693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1.77887</v>
      </c>
      <c r="J3" s="2"/>
      <c r="K3" s="10">
        <f>INDEX(L11:L1056,MATCH(I3,K11:K1056,0))</f>
        <v>-2.1042098765432096</v>
      </c>
      <c r="L3" s="26" t="s">
        <v>16</v>
      </c>
      <c r="M3" s="11">
        <f>M9</f>
        <v>23.809094261728394</v>
      </c>
      <c r="N3" s="9"/>
      <c r="O3" s="2" t="s">
        <v>44</v>
      </c>
      <c r="P3" s="2"/>
      <c r="Q3" s="2">
        <f>INDEX(S11:S1056,MATCH(0,T11:T1056,-1))</f>
        <v>1.69678</v>
      </c>
      <c r="R3" s="2"/>
      <c r="S3" s="10">
        <f>INDEX(T11:T1056,MATCH(Q3,S11:S1056,0))</f>
        <v>0.52245308641975308</v>
      </c>
      <c r="T3" s="26" t="s">
        <v>16</v>
      </c>
      <c r="U3" s="11">
        <f>U9</f>
        <v>22.732903488888887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-0.5053481481481481</v>
      </c>
      <c r="AD3" s="26" t="s">
        <v>16</v>
      </c>
      <c r="AE3" s="11">
        <f>AE9</f>
        <v>23.525192038271605</v>
      </c>
      <c r="AF3" s="9"/>
      <c r="AG3" s="2" t="s">
        <v>44</v>
      </c>
      <c r="AH3" s="2"/>
      <c r="AI3" s="2">
        <f>INDEX(AK11:AK1056,MATCH(0,AL11:AL1056,-1))</f>
        <v>1.69678</v>
      </c>
      <c r="AJ3" s="2"/>
      <c r="AK3" s="10">
        <f>INDEX(AL11:AL1056,MATCH(AI3,AK11:AK1056,0))</f>
        <v>0.45207407407407407</v>
      </c>
      <c r="AL3" s="26" t="s">
        <v>16</v>
      </c>
      <c r="AM3" s="11">
        <f>AM9</f>
        <v>22.567466074074069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-1.6622716049382715</v>
      </c>
      <c r="AV3" s="26" t="s">
        <v>16</v>
      </c>
      <c r="AW3" s="11">
        <f>AW9</f>
        <v>23.425112533333333</v>
      </c>
      <c r="AX3" s="9"/>
      <c r="AY3" s="2" t="s">
        <v>44</v>
      </c>
      <c r="AZ3" s="2"/>
      <c r="BA3" s="2">
        <f>INDEX(BC11:BC1056,MATCH(0,BD11:BD1056,-1))</f>
        <v>1.69678</v>
      </c>
      <c r="BB3" s="2"/>
      <c r="BC3" s="10">
        <f>INDEX(BD11:BD1056,MATCH(BA3,BC11:BC1056,0))</f>
        <v>0.40064691358024696</v>
      </c>
      <c r="BD3" s="26" t="s">
        <v>16</v>
      </c>
      <c r="BE3" s="11">
        <f>BE9</f>
        <v>22.642857758024689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1.7773600037944721</v>
      </c>
      <c r="H4" s="2"/>
      <c r="I4" s="2">
        <f>INDEX(K11:K1000,1+MATCH(0,L11:L856,1))</f>
        <v>1.7742899999999999</v>
      </c>
      <c r="J4" s="2"/>
      <c r="K4" s="10">
        <f>INDEX(L11:L1056,MATCH(I4,K11:K1056,0))</f>
        <v>0.47264567901234567</v>
      </c>
      <c r="L4" s="25">
        <f>M3/(I6*L9)</f>
        <v>0.72869581667006</v>
      </c>
      <c r="M4" s="8" t="s">
        <v>17</v>
      </c>
      <c r="N4" s="9"/>
      <c r="O4" s="2">
        <f>ABS(Q3-Q4)/ABS(S3-S4)*1000</f>
        <v>3.6206121426024787</v>
      </c>
      <c r="P4" s="2"/>
      <c r="Q4" s="2">
        <f>INDEX(S11:S856,1+MATCH(0,T11:T856,-1))</f>
        <v>1.70197</v>
      </c>
      <c r="R4" s="2"/>
      <c r="S4" s="10">
        <f>INDEX(T11:T856,MATCH(Q4,S11:S856,0))</f>
        <v>-0.91100617283950613</v>
      </c>
      <c r="T4" s="25">
        <f>U3/(Q6*T9)</f>
        <v>0.72836442513577759</v>
      </c>
      <c r="U4" s="8" t="s">
        <v>17</v>
      </c>
      <c r="X4" s="9"/>
      <c r="Y4" s="2">
        <f>ABS(AA3-AA4)/ABS(AC3-AC4)*1000</f>
        <v>2.4678320162091434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1.476148148148148</v>
      </c>
      <c r="AD4" s="25">
        <f>AE3/(AA6*AD9)</f>
        <v>0.7332311622195159</v>
      </c>
      <c r="AE4" s="8" t="s">
        <v>17</v>
      </c>
      <c r="AF4" s="9"/>
      <c r="AG4" s="2">
        <f>ABS(AI3-AI4)/ABS(AK3-AK4)*1000</f>
        <v>4.0011012948311997</v>
      </c>
      <c r="AH4" s="2"/>
      <c r="AI4" s="2">
        <f>INDEX(AK11:AK856,1+MATCH(0,AL11:AL856,-1))</f>
        <v>1.7022699999999999</v>
      </c>
      <c r="AJ4" s="2"/>
      <c r="AK4" s="10">
        <f>INDEX(AL11:AL856,MATCH(AI4,AK11:AK856,0))</f>
        <v>-0.92004814814814806</v>
      </c>
      <c r="AL4" s="25">
        <f>AM3/(AI6*AL9)</f>
        <v>0.72532671107189717</v>
      </c>
      <c r="AM4" s="8" t="s">
        <v>17</v>
      </c>
      <c r="AP4" s="9"/>
      <c r="AQ4" s="2">
        <f>ABS(AS3-AS4)/ABS(AU3-AU4)*1000</f>
        <v>2.1074948488572178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0.51092469135802465</v>
      </c>
      <c r="AV4" s="25">
        <f>AW3/(AS6*AV9)</f>
        <v>0.72752252296252407</v>
      </c>
      <c r="AW4" s="8" t="s">
        <v>17</v>
      </c>
      <c r="AX4" s="9"/>
      <c r="AY4" s="2">
        <f>ABS(BA3-BA4)/ABS(BC3-BC4)*1000</f>
        <v>3.6055363700545615</v>
      </c>
      <c r="AZ4" s="2"/>
      <c r="BA4" s="2">
        <f>INDEX(BC11:BC856,1+MATCH(0,BD11:BD856,-1))</f>
        <v>1.70166</v>
      </c>
      <c r="BB4" s="2"/>
      <c r="BC4" s="10">
        <f>INDEX(BD11:BD856,MATCH(BA4,BC11:BC856,0))</f>
        <v>-0.9528271604938271</v>
      </c>
      <c r="BD4" s="25">
        <f>BE3/(BA6*BD9)</f>
        <v>0.72535057034975903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15.737283950617284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15.888024691358023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15.601604938271604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15.940740740740738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15.330370370370371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15.60543209876543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1.7751300615258427</v>
      </c>
      <c r="J6" s="25"/>
      <c r="K6" s="2">
        <f>INDEX(K11:K1056,MATCH(L6,L11:L1056,0))</f>
        <v>2.13013E-3</v>
      </c>
      <c r="L6" s="10">
        <f>INDEX(L11:L1056,MATCH(0,K11:K1056,-1))</f>
        <v>18.404691358024692</v>
      </c>
      <c r="M6" s="8" t="s">
        <v>22</v>
      </c>
      <c r="N6" s="9"/>
      <c r="O6" s="2"/>
      <c r="P6" s="2"/>
      <c r="Q6" s="27">
        <f>(Q3-Q4)/(S3-S4)*(-S4)+Q4</f>
        <v>1.6986715999886315</v>
      </c>
      <c r="R6" s="27"/>
      <c r="S6" s="2">
        <f>INDEX(S11:S1056,MATCH(T6,T11:T1056,0))</f>
        <v>-4.5257600000000002E-3</v>
      </c>
      <c r="T6" s="10">
        <f>INDEX(T11:T1056,MATCH(0,S11:S1056,1))</f>
        <v>18.374567901234567</v>
      </c>
      <c r="U6" s="8" t="s">
        <v>22</v>
      </c>
      <c r="X6" s="9"/>
      <c r="Y6" s="2"/>
      <c r="Z6" s="2"/>
      <c r="AA6" s="25">
        <f>(AA3-AA4)/(AC3-AC4)*(-AC4)+AA4</f>
        <v>1.7526028856606679</v>
      </c>
      <c r="AB6" s="25"/>
      <c r="AC6" s="2">
        <f>INDEX(AC11:AC1056,MATCH(AD6,AD11:AD1056,0))</f>
        <v>2.1667499999999998E-3</v>
      </c>
      <c r="AD6" s="10">
        <f>INDEX(AD11:AD1056,MATCH(0,AC11:AC1056,-1))</f>
        <v>18.306790123456789</v>
      </c>
      <c r="AE6" s="8" t="s">
        <v>22</v>
      </c>
      <c r="AF6" s="9"/>
      <c r="AG6" s="2"/>
      <c r="AH6" s="2"/>
      <c r="AI6" s="27">
        <f>(AI3-AI4)/(AK3-AK4)*(-AK4)+AI4</f>
        <v>1.6985887941631372</v>
      </c>
      <c r="AJ6" s="27"/>
      <c r="AK6" s="2">
        <f>INDEX(AK11:AK1056,MATCH(AL6,AL11:AL1056,0))</f>
        <v>-9.5581099999999999E-3</v>
      </c>
      <c r="AL6" s="10">
        <f>INDEX(AL11:AL1056,MATCH(0,AK11:AK1056,1))</f>
        <v>18.302962962962962</v>
      </c>
      <c r="AM6" s="8" t="s">
        <v>22</v>
      </c>
      <c r="AP6" s="9"/>
      <c r="AQ6" s="2"/>
      <c r="AR6" s="2"/>
      <c r="AS6" s="25">
        <f>(AS3-AS4)/(AU3-AU4)*(-AU4)+AS4</f>
        <v>1.750036771155191</v>
      </c>
      <c r="AT6" s="25"/>
      <c r="AU6" s="2">
        <f>INDEX(AU11:AU1056,MATCH(AV6,AV11:AV1056,0))</f>
        <v>7.1563699999999996E-3</v>
      </c>
      <c r="AV6" s="10">
        <f>INDEX(AV11:AV1056,MATCH(0,AU11:AU1056,-1))</f>
        <v>18.393456790123455</v>
      </c>
      <c r="AW6" s="8" t="s">
        <v>22</v>
      </c>
      <c r="AX6" s="9"/>
      <c r="AY6" s="2"/>
      <c r="AZ6" s="2"/>
      <c r="BA6" s="27">
        <f>(BA3-BA4)/(BC3-BC4)*(-BC4)+BA4</f>
        <v>1.6982245470184636</v>
      </c>
      <c r="BB6" s="27"/>
      <c r="BC6" s="2">
        <f>INDEX(BC11:BC1056,MATCH(BD6,BD11:BD1056,0))</f>
        <v>-2.9711899999999999E-2</v>
      </c>
      <c r="BD6" s="10">
        <f>INDEX(BD11:BD1056,MATCH(0,BC11:BC1056,1))</f>
        <v>18.359506172839506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-2.9480000000000001E-3</v>
      </c>
      <c r="L7" s="10">
        <f>INDEX(L11:L856,1+MATCH(0,K11:K856,-1))</f>
        <v>18.408518518518516</v>
      </c>
      <c r="M7" s="12">
        <f>INDEX(K11:K1056,MATCH(M9,M11:M1056,0))</f>
        <v>1.5121500000000001</v>
      </c>
      <c r="N7" s="9"/>
      <c r="O7" s="2"/>
      <c r="P7" s="2"/>
      <c r="Q7" s="2"/>
      <c r="R7" s="2"/>
      <c r="S7" s="2">
        <f>INDEX(S11:S1056,MATCH(T7,T11:T1056,0))</f>
        <v>-2.4615499999999998E-2</v>
      </c>
      <c r="T7" s="10">
        <f>INDEX(T11:T1056,1+MATCH(0,S11:S1056,1))</f>
        <v>18.378395061728394</v>
      </c>
      <c r="U7" s="12">
        <f>INDEX(S11:S1056,MATCH(U9,U11:U1056,0))</f>
        <v>1.43066</v>
      </c>
      <c r="X7" s="9"/>
      <c r="Y7" s="2"/>
      <c r="Z7" s="2"/>
      <c r="AA7" s="2"/>
      <c r="AB7" s="2"/>
      <c r="AC7" s="2">
        <f>INDEX(AC11:AC856,MATCH(AD7,AD11:AD856,1))</f>
        <v>5.7159399999999999E-2</v>
      </c>
      <c r="AD7" s="10">
        <f>INDEX(AD11:AD856,1+MATCH(0,AC11:AC856,-1))</f>
        <v>18.310493827160489</v>
      </c>
      <c r="AE7" s="12">
        <f>INDEX(AC11:AC1056,MATCH(AE9,AE11:AE1056,0))</f>
        <v>1.5069600000000001</v>
      </c>
      <c r="AF7" s="9"/>
      <c r="AG7" s="2"/>
      <c r="AH7" s="2"/>
      <c r="AI7" s="2"/>
      <c r="AJ7" s="2"/>
      <c r="AK7" s="2">
        <f>INDEX(AK11:AK1056,MATCH(AL7,AL11:AL1056,0))</f>
        <v>-1.45874E-2</v>
      </c>
      <c r="AL7" s="10">
        <f>INDEX(AL11:AL1056,1+MATCH(0,AK11:AK1056,1))</f>
        <v>18.295432098765431</v>
      </c>
      <c r="AM7" s="12">
        <f>INDEX(AK11:AK1056,MATCH(AM9,AM11:AM1056,0))</f>
        <v>1.4151</v>
      </c>
      <c r="AP7" s="9"/>
      <c r="AQ7" s="2"/>
      <c r="AR7" s="2"/>
      <c r="AS7" s="2"/>
      <c r="AT7" s="2"/>
      <c r="AU7" s="2">
        <f>INDEX(AU11:AU856,MATCH(AV7,AV11:AV856,1))</f>
        <v>-3.04565E-3</v>
      </c>
      <c r="AV7" s="10">
        <f>INDEX(AV11:AV856,1+MATCH(0,AU11:AU856,-1))</f>
        <v>18.400987654320986</v>
      </c>
      <c r="AW7" s="12">
        <f>INDEX(AU11:AU1056,MATCH(AW9,AW11:AW1056,0))</f>
        <v>1.5270999999999999</v>
      </c>
      <c r="AX7" s="9"/>
      <c r="AY7" s="2"/>
      <c r="AZ7" s="2"/>
      <c r="BA7" s="2"/>
      <c r="BB7" s="2"/>
      <c r="BC7" s="2">
        <f>INDEX(BC11:BC1056,MATCH(BD7,BD11:BD1056,0))</f>
        <v>-3.9746099999999999E-2</v>
      </c>
      <c r="BD7" s="10">
        <f>INDEX(BD11:BD1056,1+MATCH(0,BC11:BC1056,1))</f>
        <v>18.351975308641972</v>
      </c>
      <c r="BE7" s="12">
        <f>INDEX(BC11:BC1056,MATCH(BE9,BE11:BE1056,0))</f>
        <v>1.4498899999999999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4.5200827927730884</v>
      </c>
      <c r="J9" s="2"/>
      <c r="K9" s="2"/>
      <c r="L9" s="3">
        <f>(L6-L7)/(K6-K7)*(-K7)+L7</f>
        <v>18.4062967421686</v>
      </c>
      <c r="M9" s="15">
        <f>MAX(M11:M1056)</f>
        <v>23.809094261728394</v>
      </c>
      <c r="N9" s="9"/>
      <c r="O9" s="2"/>
      <c r="P9" s="2"/>
      <c r="Q9" s="2"/>
      <c r="R9" s="2"/>
      <c r="S9" s="2"/>
      <c r="T9" s="3">
        <f>(T6-T7)/(S6-S7)*(-S7)+T7</f>
        <v>18.373705729306181</v>
      </c>
      <c r="U9" s="15">
        <f>MAX(U11:U1056)</f>
        <v>22.732903488888887</v>
      </c>
      <c r="X9" s="9"/>
      <c r="Y9" s="2"/>
      <c r="Z9" s="2"/>
      <c r="AA9" s="14">
        <f>(MAX(AD2,AL2)-MIN(AD2,AL2))/MAX(AD2,AL2)%</f>
        <v>4.0710654460948668</v>
      </c>
      <c r="AB9" s="2"/>
      <c r="AC9" s="2"/>
      <c r="AD9" s="3">
        <f>(AD6-AD7)/(AC6-AC7)*(-AC7)+AD7</f>
        <v>18.306644194864514</v>
      </c>
      <c r="AE9" s="15">
        <f>MAX(AE11:AE1056)</f>
        <v>23.525192038271605</v>
      </c>
      <c r="AF9" s="9"/>
      <c r="AG9" s="2"/>
      <c r="AH9" s="2"/>
      <c r="AI9" s="2"/>
      <c r="AJ9" s="2"/>
      <c r="AK9" s="2"/>
      <c r="AL9" s="3">
        <f>(AL6-AL7)/(AK6-AK7)*(-AK7)+AL7</f>
        <v>18.317275287047487</v>
      </c>
      <c r="AM9" s="15">
        <f>MAX(AM11:AM1056)</f>
        <v>22.567466074074069</v>
      </c>
      <c r="AP9" s="9"/>
      <c r="AQ9" s="2"/>
      <c r="AR9" s="2"/>
      <c r="AS9" s="14">
        <f>(MAX(AV2,BD2)-MIN(AV2,BD2))/MAX(AV2,BD2)%</f>
        <v>3.339385346369252</v>
      </c>
      <c r="AT9" s="2"/>
      <c r="AU9" s="2"/>
      <c r="AV9" s="3">
        <f>(AV6-AV7)/(AU6-AU7)*(-AU7)+AV7</f>
        <v>18.398739435189558</v>
      </c>
      <c r="AW9" s="15">
        <f>MAX(AW11:AW1056)</f>
        <v>23.425112533333333</v>
      </c>
      <c r="AX9" s="9"/>
      <c r="AY9" s="2"/>
      <c r="AZ9" s="2"/>
      <c r="BA9" s="2"/>
      <c r="BB9" s="2"/>
      <c r="BC9" s="2"/>
      <c r="BD9" s="3">
        <f>(BD6-BD7)/(BC6-BC7)*(-BC7)+BD7</f>
        <v>18.381805537407754</v>
      </c>
      <c r="BE9" s="15">
        <f>MAX(BE11:BE1056)</f>
        <v>22.642857758024689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1.7751300615258427</v>
      </c>
      <c r="B11" s="18">
        <f>IFERROR(L9,0)</f>
        <v>18.4062967421686</v>
      </c>
      <c r="C11" s="19">
        <f>IFERROR(L4,0)</f>
        <v>0.72869581667006</v>
      </c>
      <c r="D11" s="20">
        <f>IFERROR(L2,0)</f>
        <v>23.809094261728397</v>
      </c>
      <c r="E11" s="20">
        <f>IFERROR(I9,0)</f>
        <v>4.5200827927730884</v>
      </c>
      <c r="F11" s="9"/>
      <c r="G11" s="21">
        <v>1.7948900000000001</v>
      </c>
      <c r="H11" s="21">
        <v>5.3524000000000003</v>
      </c>
      <c r="I11" s="21">
        <v>1.008E-2</v>
      </c>
      <c r="J11" s="21">
        <v>1</v>
      </c>
      <c r="K11" s="21">
        <v>1.79413</v>
      </c>
      <c r="L11">
        <f>-I11/$F$2*1000</f>
        <v>-12.444444444444443</v>
      </c>
      <c r="M11">
        <f>L11*G11</f>
        <v>-22.336408888888887</v>
      </c>
      <c r="N11" s="9"/>
      <c r="O11" s="21">
        <v>-9.49097E-2</v>
      </c>
      <c r="P11" s="21">
        <v>9.1715900000000001</v>
      </c>
      <c r="Q11" s="21">
        <v>-1.49231E-2</v>
      </c>
      <c r="R11" s="21">
        <v>1</v>
      </c>
      <c r="S11" s="21">
        <v>-9.5459000000000002E-2</v>
      </c>
      <c r="T11">
        <f>-Q11/$F$2*1000</f>
        <v>18.423580246913577</v>
      </c>
      <c r="U11">
        <f>T11*O11</f>
        <v>-1.7485764741604934</v>
      </c>
      <c r="V11" s="22"/>
      <c r="W11" s="23"/>
      <c r="X11" s="9"/>
      <c r="Y11" s="21">
        <v>1.7948900000000001</v>
      </c>
      <c r="Z11" s="21">
        <v>14.675599999999999</v>
      </c>
      <c r="AA11" s="21">
        <v>2.6651000000000001E-2</v>
      </c>
      <c r="AB11" s="21">
        <v>1</v>
      </c>
      <c r="AC11" s="21">
        <v>1.79443</v>
      </c>
      <c r="AD11">
        <f>-AA11/$F$2*1000</f>
        <v>-32.90246913580247</v>
      </c>
      <c r="AE11">
        <f>AD11*Y11</f>
        <v>-59.056312827160497</v>
      </c>
      <c r="AF11" s="9"/>
      <c r="AG11" s="21">
        <v>-9.49097E-2</v>
      </c>
      <c r="AH11" s="21">
        <v>18.494800000000001</v>
      </c>
      <c r="AI11" s="21">
        <v>-1.4843800000000001E-2</v>
      </c>
      <c r="AJ11" s="21">
        <v>1</v>
      </c>
      <c r="AK11" s="21">
        <v>-9.5336900000000002E-2</v>
      </c>
      <c r="AL11">
        <f>-AI11/$F$2*1000</f>
        <v>18.325679012345677</v>
      </c>
      <c r="AM11">
        <f>AL11*AG11</f>
        <v>-1.7392846973580245</v>
      </c>
      <c r="AP11" s="9"/>
      <c r="AQ11" s="21">
        <v>1.7948900000000001</v>
      </c>
      <c r="AR11" s="21">
        <v>23.9878</v>
      </c>
      <c r="AS11" s="21">
        <v>2.81006E-2</v>
      </c>
      <c r="AT11" s="21">
        <v>1</v>
      </c>
      <c r="AU11" s="21">
        <v>1.79443</v>
      </c>
      <c r="AV11">
        <f>-AS11/$F$2*1000</f>
        <v>-34.6920987654321</v>
      </c>
      <c r="AW11">
        <f>AV11*AQ11</f>
        <v>-62.268501153086426</v>
      </c>
      <c r="AX11" s="9"/>
      <c r="AY11" s="21">
        <v>-9.49097E-2</v>
      </c>
      <c r="AZ11" s="21">
        <v>27.807099999999998</v>
      </c>
      <c r="BA11" s="21">
        <v>-1.4892600000000001E-2</v>
      </c>
      <c r="BB11" s="21">
        <v>1</v>
      </c>
      <c r="BC11" s="21">
        <v>-9.5336900000000002E-2</v>
      </c>
      <c r="BD11">
        <f>-BA11/$F$2*1000</f>
        <v>18.385925925925928</v>
      </c>
      <c r="BE11">
        <f>BD11*AY11</f>
        <v>-1.745002713851852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1.6986715999886315</v>
      </c>
      <c r="B12" s="18">
        <f>IFERROR(T9,0)</f>
        <v>18.373705729306181</v>
      </c>
      <c r="C12" s="19">
        <f>IFERROR(T4,0)</f>
        <v>0.72836442513577759</v>
      </c>
      <c r="D12" s="20">
        <f>IFERROR(T2,0)</f>
        <v>22.732903488888887</v>
      </c>
      <c r="E12" s="20"/>
      <c r="F12" s="9"/>
      <c r="G12" s="21">
        <v>1.78986</v>
      </c>
      <c r="H12" s="21">
        <v>5.3624700000000001</v>
      </c>
      <c r="I12" s="21">
        <v>6.8023700000000003E-3</v>
      </c>
      <c r="J12" s="21">
        <v>2</v>
      </c>
      <c r="K12" s="21">
        <v>1.78955</v>
      </c>
      <c r="L12">
        <f t="shared" ref="L12:L75" si="0">-I12/$F$2*1000</f>
        <v>-8.3979876543209873</v>
      </c>
      <c r="M12">
        <f t="shared" ref="M12:M75" si="1">L12*G12</f>
        <v>-15.031222182962962</v>
      </c>
      <c r="N12" s="9"/>
      <c r="O12" s="21">
        <v>-8.9874300000000004E-2</v>
      </c>
      <c r="P12" s="21">
        <v>9.1816600000000008</v>
      </c>
      <c r="Q12" s="21">
        <v>-1.4932300000000001E-2</v>
      </c>
      <c r="R12" s="21">
        <v>2</v>
      </c>
      <c r="S12" s="21">
        <v>-9.0331999999999996E-2</v>
      </c>
      <c r="T12">
        <f t="shared" ref="T12:T75" si="2">-Q12/$F$2*1000</f>
        <v>18.434938271604938</v>
      </c>
      <c r="U12">
        <f t="shared" ref="U12:U75" si="3">T12*O12</f>
        <v>-1.6568271727037038</v>
      </c>
      <c r="V12" s="22"/>
      <c r="W12" s="23"/>
      <c r="X12" s="9"/>
      <c r="Y12" s="21">
        <v>1.78986</v>
      </c>
      <c r="Z12" s="21">
        <v>14.685700000000001</v>
      </c>
      <c r="AA12" s="21">
        <v>2.2064199999999999E-2</v>
      </c>
      <c r="AB12" s="21">
        <v>2</v>
      </c>
      <c r="AC12" s="21">
        <v>1.78986</v>
      </c>
      <c r="AD12">
        <f t="shared" ref="AD12:AD75" si="4">-AA12/$F$2*1000</f>
        <v>-27.239753086419753</v>
      </c>
      <c r="AE12">
        <f t="shared" ref="AE12:AE75" si="5">AD12*Y12</f>
        <v>-48.755344459259263</v>
      </c>
      <c r="AF12" s="9"/>
      <c r="AG12" s="21">
        <v>-8.9874300000000004E-2</v>
      </c>
      <c r="AH12" s="21">
        <v>18.504899999999999</v>
      </c>
      <c r="AI12" s="21">
        <v>-1.4843800000000001E-2</v>
      </c>
      <c r="AJ12" s="21">
        <v>2</v>
      </c>
      <c r="AK12" s="21">
        <v>-9.0271000000000004E-2</v>
      </c>
      <c r="AL12">
        <f t="shared" ref="AL12:AL75" si="6">-AI12/$F$2*1000</f>
        <v>18.325679012345677</v>
      </c>
      <c r="AM12">
        <f t="shared" ref="AM12:AM75" si="7">AL12*AG12</f>
        <v>-1.6470075732592593</v>
      </c>
      <c r="AP12" s="9"/>
      <c r="AQ12" s="21">
        <v>1.78986</v>
      </c>
      <c r="AR12" s="21">
        <v>23.997900000000001</v>
      </c>
      <c r="AS12" s="21">
        <v>2.3455799999999999E-2</v>
      </c>
      <c r="AT12" s="21">
        <v>2</v>
      </c>
      <c r="AU12" s="21">
        <v>1.78925</v>
      </c>
      <c r="AV12">
        <f t="shared" ref="AV12:AV75" si="8">-AS12/$F$2*1000</f>
        <v>-28.957777777777775</v>
      </c>
      <c r="AW12">
        <f t="shared" ref="AW12:AW75" si="9">AV12*AQ12</f>
        <v>-51.83036813333333</v>
      </c>
      <c r="AX12" s="9"/>
      <c r="AY12" s="21">
        <v>-8.9874300000000004E-2</v>
      </c>
      <c r="AZ12" s="21">
        <v>27.8172</v>
      </c>
      <c r="BA12" s="21">
        <v>-1.48956E-2</v>
      </c>
      <c r="BB12" s="21">
        <v>2</v>
      </c>
      <c r="BC12" s="21">
        <v>-9.0301500000000007E-2</v>
      </c>
      <c r="BD12">
        <f t="shared" ref="BD12:BD75" si="10">-BA12/$F$2*1000</f>
        <v>18.389629629629628</v>
      </c>
      <c r="BE12">
        <f t="shared" ref="BE12:BE75" si="11">BD12*AY12</f>
        <v>-1.6527550902222221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1.7526028856606679</v>
      </c>
      <c r="B13" s="18">
        <f>IFERROR(AD9,0)</f>
        <v>18.306644194864514</v>
      </c>
      <c r="C13" s="19">
        <f>IFERROR(AD4,0)</f>
        <v>0.7332311622195159</v>
      </c>
      <c r="D13" s="20">
        <f>IFERROR(AD2,0)</f>
        <v>23.525192038271605</v>
      </c>
      <c r="E13" s="20">
        <f>IFERROR(AA9,0)</f>
        <v>4.0710654460948668</v>
      </c>
      <c r="F13" s="9"/>
      <c r="G13" s="21">
        <v>1.7848200000000001</v>
      </c>
      <c r="H13" s="21">
        <v>5.3725399999999999</v>
      </c>
      <c r="I13" s="21">
        <v>3.9633200000000002E-3</v>
      </c>
      <c r="J13" s="21">
        <v>3</v>
      </c>
      <c r="K13" s="21">
        <v>1.78406</v>
      </c>
      <c r="L13">
        <f t="shared" si="0"/>
        <v>-4.8929876543209874</v>
      </c>
      <c r="M13">
        <f t="shared" si="1"/>
        <v>-8.7331022251851849</v>
      </c>
      <c r="N13" s="9"/>
      <c r="O13" s="21">
        <v>-8.4838899999999995E-2</v>
      </c>
      <c r="P13" s="21">
        <v>9.1917299999999997</v>
      </c>
      <c r="Q13" s="21">
        <v>-1.4932300000000001E-2</v>
      </c>
      <c r="R13" s="21">
        <v>3</v>
      </c>
      <c r="S13" s="21">
        <v>-8.52966E-2</v>
      </c>
      <c r="T13">
        <f t="shared" si="2"/>
        <v>18.434938271604938</v>
      </c>
      <c r="U13">
        <f t="shared" si="3"/>
        <v>-1.563999884530864</v>
      </c>
      <c r="V13" s="22"/>
      <c r="W13" s="23"/>
      <c r="X13" s="9"/>
      <c r="Y13" s="21">
        <v>1.7848200000000001</v>
      </c>
      <c r="Z13" s="21">
        <v>14.6958</v>
      </c>
      <c r="AA13" s="21">
        <v>1.78467E-2</v>
      </c>
      <c r="AB13" s="21">
        <v>3</v>
      </c>
      <c r="AC13" s="21">
        <v>1.78467</v>
      </c>
      <c r="AD13">
        <f t="shared" si="4"/>
        <v>-22.032962962962962</v>
      </c>
      <c r="AE13">
        <f t="shared" si="5"/>
        <v>-39.324872955555556</v>
      </c>
      <c r="AF13" s="9"/>
      <c r="AG13" s="21">
        <v>-8.4838899999999995E-2</v>
      </c>
      <c r="AH13" s="21">
        <v>18.514900000000001</v>
      </c>
      <c r="AI13" s="21">
        <v>-1.48468E-2</v>
      </c>
      <c r="AJ13" s="21">
        <v>3</v>
      </c>
      <c r="AK13" s="21">
        <v>-8.5327100000000003E-2</v>
      </c>
      <c r="AL13">
        <f t="shared" si="6"/>
        <v>18.329382716049381</v>
      </c>
      <c r="AM13">
        <f t="shared" si="7"/>
        <v>-1.5550446673086418</v>
      </c>
      <c r="AP13" s="9"/>
      <c r="AQ13" s="21">
        <v>1.7848200000000001</v>
      </c>
      <c r="AR13" s="21">
        <v>24.007999999999999</v>
      </c>
      <c r="AS13" s="21">
        <v>1.9216899999999999E-2</v>
      </c>
      <c r="AT13" s="21">
        <v>3</v>
      </c>
      <c r="AU13" s="21">
        <v>1.7843599999999999</v>
      </c>
      <c r="AV13">
        <f t="shared" si="8"/>
        <v>-23.724567901234565</v>
      </c>
      <c r="AW13">
        <f t="shared" si="9"/>
        <v>-42.344083281481474</v>
      </c>
      <c r="AX13" s="9"/>
      <c r="AY13" s="21">
        <v>-8.4838899999999995E-2</v>
      </c>
      <c r="AZ13" s="21">
        <v>27.827200000000001</v>
      </c>
      <c r="BA13" s="21">
        <v>-1.49017E-2</v>
      </c>
      <c r="BB13" s="21">
        <v>3</v>
      </c>
      <c r="BC13" s="21">
        <v>-8.5357699999999995E-2</v>
      </c>
      <c r="BD13">
        <f t="shared" si="10"/>
        <v>18.397160493827158</v>
      </c>
      <c r="BE13">
        <f t="shared" si="11"/>
        <v>-1.5607948594197527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1.6985887941631372</v>
      </c>
      <c r="B14" s="18">
        <f>IFERROR(AL9,0)</f>
        <v>18.317275287047487</v>
      </c>
      <c r="C14" s="19">
        <f>IFERROR(AL4,0)</f>
        <v>0.72532671107189717</v>
      </c>
      <c r="D14" s="20">
        <f>IFERROR(AL2,0)</f>
        <v>22.567466074074069</v>
      </c>
      <c r="E14" s="20"/>
      <c r="F14" s="9"/>
      <c r="G14" s="21">
        <v>1.77979</v>
      </c>
      <c r="H14" s="21">
        <v>5.3826099999999997</v>
      </c>
      <c r="I14" s="21">
        <v>1.70441E-3</v>
      </c>
      <c r="J14" s="21">
        <v>4</v>
      </c>
      <c r="K14" s="21">
        <v>1.77887</v>
      </c>
      <c r="L14">
        <f t="shared" si="0"/>
        <v>-2.1042098765432096</v>
      </c>
      <c r="M14">
        <f t="shared" si="1"/>
        <v>-3.7450516961728391</v>
      </c>
      <c r="N14" s="9"/>
      <c r="O14" s="21">
        <v>-7.9803499999999999E-2</v>
      </c>
      <c r="P14" s="21">
        <v>9.2018000000000004</v>
      </c>
      <c r="Q14" s="21">
        <v>-1.4926099999999999E-2</v>
      </c>
      <c r="R14" s="21">
        <v>4</v>
      </c>
      <c r="S14" s="21">
        <v>-8.0169699999999997E-2</v>
      </c>
      <c r="T14">
        <f t="shared" si="2"/>
        <v>18.427283950617284</v>
      </c>
      <c r="U14">
        <f t="shared" si="3"/>
        <v>-1.4705617547530865</v>
      </c>
      <c r="V14" s="22"/>
      <c r="W14" s="23"/>
      <c r="X14" s="9"/>
      <c r="Y14" s="21">
        <v>1.77979</v>
      </c>
      <c r="Z14" s="21">
        <v>14.7058</v>
      </c>
      <c r="AA14" s="21">
        <v>1.40289E-2</v>
      </c>
      <c r="AB14" s="21">
        <v>4</v>
      </c>
      <c r="AC14" s="21">
        <v>1.7791699999999999</v>
      </c>
      <c r="AD14">
        <f t="shared" si="4"/>
        <v>-17.319629629629631</v>
      </c>
      <c r="AE14">
        <f t="shared" si="5"/>
        <v>-30.825303618518522</v>
      </c>
      <c r="AF14" s="9"/>
      <c r="AG14" s="21">
        <v>-7.9803499999999999E-2</v>
      </c>
      <c r="AH14" s="21">
        <v>18.524999999999999</v>
      </c>
      <c r="AI14" s="21">
        <v>-1.4843800000000001E-2</v>
      </c>
      <c r="AJ14" s="21">
        <v>4</v>
      </c>
      <c r="AK14" s="21">
        <v>-8.0291699999999994E-2</v>
      </c>
      <c r="AL14">
        <f t="shared" si="6"/>
        <v>18.325679012345677</v>
      </c>
      <c r="AM14">
        <f t="shared" si="7"/>
        <v>-1.4624533250617282</v>
      </c>
      <c r="AP14" s="9"/>
      <c r="AQ14" s="21">
        <v>1.77979</v>
      </c>
      <c r="AR14" s="21">
        <v>24.0181</v>
      </c>
      <c r="AS14" s="21">
        <v>1.5383900000000001E-2</v>
      </c>
      <c r="AT14" s="21">
        <v>4</v>
      </c>
      <c r="AU14" s="21">
        <v>1.77887</v>
      </c>
      <c r="AV14">
        <f t="shared" si="8"/>
        <v>-18.99246913580247</v>
      </c>
      <c r="AW14">
        <f t="shared" si="9"/>
        <v>-33.802606643209877</v>
      </c>
      <c r="AX14" s="9"/>
      <c r="AY14" s="21">
        <v>-7.9803499999999999E-2</v>
      </c>
      <c r="AZ14" s="21">
        <v>27.837299999999999</v>
      </c>
      <c r="BA14" s="21">
        <v>-1.4898700000000001E-2</v>
      </c>
      <c r="BB14" s="21">
        <v>4</v>
      </c>
      <c r="BC14" s="21">
        <v>-8.0230700000000002E-2</v>
      </c>
      <c r="BD14">
        <f t="shared" si="10"/>
        <v>18.393456790123455</v>
      </c>
      <c r="BE14">
        <f t="shared" si="11"/>
        <v>-1.4678622289506171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1.750036771155191</v>
      </c>
      <c r="B15" s="18">
        <f>IFERROR(AV9,0)</f>
        <v>18.398739435189558</v>
      </c>
      <c r="C15" s="19">
        <f>IFERROR(AV4,0)</f>
        <v>0.72752252296252407</v>
      </c>
      <c r="D15" s="20">
        <f>IFERROR(AV2,0)</f>
        <v>23.425112533333333</v>
      </c>
      <c r="E15" s="20">
        <f>IFERROR(AS9,0)</f>
        <v>3.339385346369252</v>
      </c>
      <c r="F15" s="9"/>
      <c r="G15" s="21">
        <v>1.77475</v>
      </c>
      <c r="H15" s="21">
        <v>5.3926800000000004</v>
      </c>
      <c r="I15" s="21">
        <v>-3.8284300000000001E-4</v>
      </c>
      <c r="J15" s="21">
        <v>5</v>
      </c>
      <c r="K15" s="21">
        <v>1.7742899999999999</v>
      </c>
      <c r="L15">
        <f t="shared" si="0"/>
        <v>0.47264567901234567</v>
      </c>
      <c r="M15">
        <f t="shared" si="1"/>
        <v>0.83882791882716046</v>
      </c>
      <c r="N15" s="9"/>
      <c r="O15" s="21">
        <v>-7.4768100000000004E-2</v>
      </c>
      <c r="P15" s="21">
        <v>9.2118699999999993</v>
      </c>
      <c r="Q15" s="21">
        <v>-1.4926099999999999E-2</v>
      </c>
      <c r="R15" s="21">
        <v>5</v>
      </c>
      <c r="S15" s="21">
        <v>-7.5225799999999995E-2</v>
      </c>
      <c r="T15">
        <f t="shared" si="2"/>
        <v>18.427283950617284</v>
      </c>
      <c r="U15">
        <f t="shared" si="3"/>
        <v>-1.3777730091481482</v>
      </c>
      <c r="V15" s="22"/>
      <c r="W15" s="23"/>
      <c r="X15" s="9"/>
      <c r="Y15" s="21">
        <v>1.77475</v>
      </c>
      <c r="Z15" s="21">
        <v>14.7159</v>
      </c>
      <c r="AA15" s="21">
        <v>1.0549899999999999E-2</v>
      </c>
      <c r="AB15" s="21">
        <v>5</v>
      </c>
      <c r="AC15" s="21">
        <v>1.77399</v>
      </c>
      <c r="AD15">
        <f t="shared" si="4"/>
        <v>-13.024567901234567</v>
      </c>
      <c r="AE15">
        <f t="shared" si="5"/>
        <v>-23.115351882716048</v>
      </c>
      <c r="AF15" s="9"/>
      <c r="AG15" s="21">
        <v>-7.4768100000000004E-2</v>
      </c>
      <c r="AH15" s="21">
        <v>18.5351</v>
      </c>
      <c r="AI15" s="21">
        <v>-1.4849899999999999E-2</v>
      </c>
      <c r="AJ15" s="21">
        <v>5</v>
      </c>
      <c r="AK15" s="21">
        <v>-7.5134300000000001E-2</v>
      </c>
      <c r="AL15">
        <f t="shared" si="6"/>
        <v>18.333209876543208</v>
      </c>
      <c r="AM15">
        <f t="shared" si="7"/>
        <v>-1.3707392693703704</v>
      </c>
      <c r="AP15" s="9"/>
      <c r="AQ15" s="21">
        <v>1.77475</v>
      </c>
      <c r="AR15" s="21">
        <v>24.028099999999998</v>
      </c>
      <c r="AS15" s="21">
        <v>1.18774E-2</v>
      </c>
      <c r="AT15" s="21">
        <v>5</v>
      </c>
      <c r="AU15" s="21">
        <v>1.7746</v>
      </c>
      <c r="AV15">
        <f t="shared" si="8"/>
        <v>-14.663456790123456</v>
      </c>
      <c r="AW15">
        <f t="shared" si="9"/>
        <v>-26.023969938271605</v>
      </c>
      <c r="AX15" s="9"/>
      <c r="AY15" s="21">
        <v>-7.4768100000000004E-2</v>
      </c>
      <c r="AZ15" s="21">
        <v>27.8474</v>
      </c>
      <c r="BA15" s="21">
        <v>-1.4892600000000001E-2</v>
      </c>
      <c r="BB15" s="21">
        <v>5</v>
      </c>
      <c r="BC15" s="21">
        <v>-7.5073200000000007E-2</v>
      </c>
      <c r="BD15">
        <f t="shared" si="10"/>
        <v>18.385925925925928</v>
      </c>
      <c r="BE15">
        <f t="shared" si="11"/>
        <v>-1.3746807482222225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1.6982245470184636</v>
      </c>
      <c r="B16" s="18">
        <f>IFERROR(BD9,0)</f>
        <v>18.381805537407754</v>
      </c>
      <c r="C16" s="19">
        <f>IFERROR(BD4,0)</f>
        <v>0.72535057034975903</v>
      </c>
      <c r="D16" s="20">
        <f>IFERROR(BD2,0)</f>
        <v>22.642857758024693</v>
      </c>
      <c r="E16" s="20"/>
      <c r="F16" s="9"/>
      <c r="G16" s="21">
        <v>1.7697099999999999</v>
      </c>
      <c r="H16" s="21">
        <v>5.4027500000000002</v>
      </c>
      <c r="I16" s="21">
        <v>-1.8853800000000001E-3</v>
      </c>
      <c r="J16" s="21">
        <v>6</v>
      </c>
      <c r="K16" s="21">
        <v>1.7687999999999999</v>
      </c>
      <c r="L16">
        <f t="shared" si="0"/>
        <v>2.3276296296296297</v>
      </c>
      <c r="M16">
        <f t="shared" si="1"/>
        <v>4.1192294318518519</v>
      </c>
      <c r="N16" s="9"/>
      <c r="O16" s="21">
        <v>-6.9732699999999995E-2</v>
      </c>
      <c r="P16" s="21">
        <v>9.22194</v>
      </c>
      <c r="Q16" s="21">
        <v>-1.4917E-2</v>
      </c>
      <c r="R16" s="21">
        <v>6</v>
      </c>
      <c r="S16" s="21">
        <v>-7.01904E-2</v>
      </c>
      <c r="T16">
        <f t="shared" si="2"/>
        <v>18.416049382716047</v>
      </c>
      <c r="U16">
        <f t="shared" si="3"/>
        <v>-1.2842008467901231</v>
      </c>
      <c r="V16" s="22"/>
      <c r="W16" s="23"/>
      <c r="X16" s="9"/>
      <c r="Y16" s="21">
        <v>1.7697099999999999</v>
      </c>
      <c r="Z16" s="21">
        <v>14.726000000000001</v>
      </c>
      <c r="AA16" s="21">
        <v>7.5012200000000003E-3</v>
      </c>
      <c r="AB16" s="21">
        <v>6</v>
      </c>
      <c r="AC16" s="21">
        <v>1.7687999999999999</v>
      </c>
      <c r="AD16">
        <f t="shared" si="4"/>
        <v>-9.2607654320987649</v>
      </c>
      <c r="AE16">
        <f t="shared" si="5"/>
        <v>-16.388869192839504</v>
      </c>
      <c r="AF16" s="9"/>
      <c r="AG16" s="21">
        <v>-6.9732699999999995E-2</v>
      </c>
      <c r="AH16" s="21">
        <v>18.545200000000001</v>
      </c>
      <c r="AI16" s="21">
        <v>-1.4855999999999999E-2</v>
      </c>
      <c r="AJ16" s="21">
        <v>6</v>
      </c>
      <c r="AK16" s="21">
        <v>-7.0251499999999995E-2</v>
      </c>
      <c r="AL16">
        <f t="shared" si="6"/>
        <v>18.340740740740738</v>
      </c>
      <c r="AM16">
        <f t="shared" si="7"/>
        <v>-1.2789493718518516</v>
      </c>
      <c r="AP16" s="9"/>
      <c r="AQ16" s="21">
        <v>1.7697099999999999</v>
      </c>
      <c r="AR16" s="21">
        <v>24.0382</v>
      </c>
      <c r="AS16" s="21">
        <v>8.7066699999999997E-3</v>
      </c>
      <c r="AT16" s="21">
        <v>6</v>
      </c>
      <c r="AU16" s="21">
        <v>1.7694099999999999</v>
      </c>
      <c r="AV16">
        <f t="shared" si="8"/>
        <v>-10.748975308641974</v>
      </c>
      <c r="AW16">
        <f t="shared" si="9"/>
        <v>-19.022569093456788</v>
      </c>
      <c r="AX16" s="9"/>
      <c r="AY16" s="21">
        <v>-6.9732699999999995E-2</v>
      </c>
      <c r="AZ16" s="21">
        <v>27.857500000000002</v>
      </c>
      <c r="BA16" s="21">
        <v>-1.48956E-2</v>
      </c>
      <c r="BB16" s="21">
        <v>6</v>
      </c>
      <c r="BC16" s="21">
        <v>-7.0251499999999995E-2</v>
      </c>
      <c r="BD16">
        <f t="shared" si="10"/>
        <v>18.389629629629628</v>
      </c>
      <c r="BE16">
        <f t="shared" si="11"/>
        <v>-1.2823585260740737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5.41282</v>
      </c>
      <c r="I17" s="21">
        <v>-3.12897E-3</v>
      </c>
      <c r="J17" s="21">
        <v>7</v>
      </c>
      <c r="K17" s="21">
        <v>1.7636099999999999</v>
      </c>
      <c r="L17">
        <f t="shared" si="0"/>
        <v>3.8629259259259259</v>
      </c>
      <c r="M17">
        <f t="shared" si="1"/>
        <v>6.8168281229629626</v>
      </c>
      <c r="N17" s="9"/>
      <c r="O17" s="21">
        <v>-6.4697299999999999E-2</v>
      </c>
      <c r="P17" s="21">
        <v>9.2320200000000003</v>
      </c>
      <c r="Q17" s="21">
        <v>-1.4913900000000001E-2</v>
      </c>
      <c r="R17" s="21">
        <v>7</v>
      </c>
      <c r="S17" s="21">
        <v>-6.5155000000000005E-2</v>
      </c>
      <c r="T17">
        <f t="shared" si="2"/>
        <v>18.412222222222223</v>
      </c>
      <c r="U17">
        <f t="shared" si="3"/>
        <v>-1.1912210647777779</v>
      </c>
      <c r="V17" s="22"/>
      <c r="W17" s="23"/>
      <c r="X17" s="9"/>
      <c r="Y17" s="21">
        <v>1.76468</v>
      </c>
      <c r="Z17" s="21">
        <v>14.736000000000001</v>
      </c>
      <c r="AA17" s="21">
        <v>4.7406000000000002E-3</v>
      </c>
      <c r="AB17" s="21">
        <v>7</v>
      </c>
      <c r="AC17" s="21">
        <v>1.7639199999999999</v>
      </c>
      <c r="AD17">
        <f t="shared" si="4"/>
        <v>-5.8525925925925923</v>
      </c>
      <c r="AE17">
        <f t="shared" si="5"/>
        <v>-10.327953096296296</v>
      </c>
      <c r="AF17" s="9"/>
      <c r="AG17" s="21">
        <v>-6.4697299999999999E-2</v>
      </c>
      <c r="AH17" s="21">
        <v>18.555199999999999</v>
      </c>
      <c r="AI17" s="21">
        <v>-1.4859000000000001E-2</v>
      </c>
      <c r="AJ17" s="21">
        <v>7</v>
      </c>
      <c r="AK17" s="21">
        <v>-6.5124500000000002E-2</v>
      </c>
      <c r="AL17">
        <f t="shared" si="6"/>
        <v>18.344444444444445</v>
      </c>
      <c r="AM17">
        <f t="shared" si="7"/>
        <v>-1.1868360255555557</v>
      </c>
      <c r="AP17" s="9"/>
      <c r="AQ17" s="21">
        <v>1.76468</v>
      </c>
      <c r="AR17" s="21">
        <v>24.048300000000001</v>
      </c>
      <c r="AS17" s="21">
        <v>5.9051499999999996E-3</v>
      </c>
      <c r="AT17" s="21">
        <v>7</v>
      </c>
      <c r="AU17" s="21">
        <v>1.7639199999999999</v>
      </c>
      <c r="AV17">
        <f t="shared" si="8"/>
        <v>-7.290308641975308</v>
      </c>
      <c r="AW17">
        <f t="shared" si="9"/>
        <v>-12.865061854320986</v>
      </c>
      <c r="AX17" s="9"/>
      <c r="AY17" s="21">
        <v>-6.4697299999999999E-2</v>
      </c>
      <c r="AZ17" s="21">
        <v>27.8675</v>
      </c>
      <c r="BA17" s="21">
        <v>-1.4892600000000001E-2</v>
      </c>
      <c r="BB17" s="21">
        <v>7</v>
      </c>
      <c r="BC17" s="21">
        <v>-6.5185499999999993E-2</v>
      </c>
      <c r="BD17">
        <f t="shared" si="10"/>
        <v>18.385925925925928</v>
      </c>
      <c r="BE17">
        <f t="shared" si="11"/>
        <v>-1.1895197654074074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5.4228899999999998</v>
      </c>
      <c r="I18" s="21">
        <v>-4.0817300000000004E-3</v>
      </c>
      <c r="J18" s="21">
        <v>8</v>
      </c>
      <c r="K18" s="21">
        <v>1.7587299999999999</v>
      </c>
      <c r="L18">
        <f t="shared" si="0"/>
        <v>5.0391728395061728</v>
      </c>
      <c r="M18">
        <f t="shared" si="1"/>
        <v>8.8671300953086423</v>
      </c>
      <c r="N18" s="9"/>
      <c r="O18" s="21">
        <v>-5.9661899999999997E-2</v>
      </c>
      <c r="P18" s="21">
        <v>9.2420899999999993</v>
      </c>
      <c r="Q18" s="21">
        <v>-1.49109E-2</v>
      </c>
      <c r="R18" s="21">
        <v>8</v>
      </c>
      <c r="S18" s="21">
        <v>-6.0150099999999998E-2</v>
      </c>
      <c r="T18">
        <f t="shared" si="2"/>
        <v>18.408518518518516</v>
      </c>
      <c r="U18">
        <f t="shared" si="3"/>
        <v>-1.0982871909999998</v>
      </c>
      <c r="V18" s="22"/>
      <c r="W18" s="23"/>
      <c r="X18" s="9"/>
      <c r="Y18" s="21">
        <v>1.7596400000000001</v>
      </c>
      <c r="Z18" s="21">
        <v>14.7461</v>
      </c>
      <c r="AA18" s="21">
        <v>2.4172999999999998E-3</v>
      </c>
      <c r="AB18" s="21">
        <v>8</v>
      </c>
      <c r="AC18" s="21">
        <v>1.7587299999999999</v>
      </c>
      <c r="AD18">
        <f t="shared" si="4"/>
        <v>-2.9843209876543209</v>
      </c>
      <c r="AE18">
        <f t="shared" si="5"/>
        <v>-5.251330582716049</v>
      </c>
      <c r="AF18" s="9"/>
      <c r="AG18" s="21">
        <v>-5.9661899999999997E-2</v>
      </c>
      <c r="AH18" s="21">
        <v>18.565300000000001</v>
      </c>
      <c r="AI18" s="21">
        <v>-1.48529E-2</v>
      </c>
      <c r="AJ18" s="21">
        <v>8</v>
      </c>
      <c r="AK18" s="21">
        <v>-6.0150099999999998E-2</v>
      </c>
      <c r="AL18">
        <f t="shared" si="6"/>
        <v>18.336913580246915</v>
      </c>
      <c r="AM18">
        <f t="shared" si="7"/>
        <v>-1.0940151043333333</v>
      </c>
      <c r="AP18" s="9"/>
      <c r="AQ18" s="21">
        <v>1.7596400000000001</v>
      </c>
      <c r="AR18" s="21">
        <v>24.058299999999999</v>
      </c>
      <c r="AS18" s="21">
        <v>3.4500099999999999E-3</v>
      </c>
      <c r="AT18" s="21">
        <v>8</v>
      </c>
      <c r="AU18" s="21">
        <v>1.7593399999999999</v>
      </c>
      <c r="AV18">
        <f t="shared" si="8"/>
        <v>-4.2592716049382719</v>
      </c>
      <c r="AW18">
        <f t="shared" si="9"/>
        <v>-7.4947846869135812</v>
      </c>
      <c r="AX18" s="9"/>
      <c r="AY18" s="21">
        <v>-5.9661899999999997E-2</v>
      </c>
      <c r="AZ18" s="21">
        <v>27.877600000000001</v>
      </c>
      <c r="BA18" s="21">
        <v>-1.48895E-2</v>
      </c>
      <c r="BB18" s="21">
        <v>8</v>
      </c>
      <c r="BC18" s="21">
        <v>-6.0150099999999998E-2</v>
      </c>
      <c r="BD18">
        <f t="shared" si="10"/>
        <v>18.382098765432101</v>
      </c>
      <c r="BE18">
        <f t="shared" si="11"/>
        <v>-1.0967109383333333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5.4329599999999996</v>
      </c>
      <c r="I19" s="21">
        <v>-4.8971600000000002E-3</v>
      </c>
      <c r="J19" s="21">
        <v>9</v>
      </c>
      <c r="K19" s="21">
        <v>1.7538499999999999</v>
      </c>
      <c r="L19">
        <f t="shared" si="0"/>
        <v>6.0458765432098769</v>
      </c>
      <c r="M19">
        <f t="shared" si="1"/>
        <v>10.608155441481482</v>
      </c>
      <c r="N19" s="9"/>
      <c r="O19" s="21">
        <v>-5.4626500000000001E-2</v>
      </c>
      <c r="P19" s="21">
        <v>9.2521599999999999</v>
      </c>
      <c r="Q19" s="21">
        <v>-1.49109E-2</v>
      </c>
      <c r="R19" s="21">
        <v>9</v>
      </c>
      <c r="S19" s="21">
        <v>-5.5053699999999997E-2</v>
      </c>
      <c r="T19">
        <f t="shared" si="2"/>
        <v>18.408518518518516</v>
      </c>
      <c r="U19">
        <f t="shared" si="3"/>
        <v>-1.0055929368518517</v>
      </c>
      <c r="V19" s="22"/>
      <c r="W19" s="23"/>
      <c r="X19" s="9"/>
      <c r="Y19" s="21">
        <v>1.75461</v>
      </c>
      <c r="Z19" s="21">
        <v>14.7562</v>
      </c>
      <c r="AA19" s="21">
        <v>4.0933199999999999E-4</v>
      </c>
      <c r="AB19" s="21">
        <v>9</v>
      </c>
      <c r="AC19" s="21">
        <v>1.7538499999999999</v>
      </c>
      <c r="AD19">
        <f t="shared" si="4"/>
        <v>-0.5053481481481481</v>
      </c>
      <c r="AE19">
        <f t="shared" si="5"/>
        <v>-0.88668891422222218</v>
      </c>
      <c r="AF19" s="9"/>
      <c r="AG19" s="21">
        <v>-5.4626500000000001E-2</v>
      </c>
      <c r="AH19" s="21">
        <v>18.575399999999998</v>
      </c>
      <c r="AI19" s="21">
        <v>-1.48407E-2</v>
      </c>
      <c r="AJ19" s="21">
        <v>9</v>
      </c>
      <c r="AK19" s="21">
        <v>-5.52063E-2</v>
      </c>
      <c r="AL19">
        <f t="shared" si="6"/>
        <v>18.32185185185185</v>
      </c>
      <c r="AM19">
        <f t="shared" si="7"/>
        <v>-1.0008586401851851</v>
      </c>
      <c r="AP19" s="9"/>
      <c r="AQ19" s="21">
        <v>1.75461</v>
      </c>
      <c r="AR19" s="21">
        <v>24.0684</v>
      </c>
      <c r="AS19" s="21">
        <v>1.34644E-3</v>
      </c>
      <c r="AT19" s="21">
        <v>9</v>
      </c>
      <c r="AU19" s="21">
        <v>1.7535400000000001</v>
      </c>
      <c r="AV19">
        <f t="shared" si="8"/>
        <v>-1.6622716049382715</v>
      </c>
      <c r="AW19">
        <f t="shared" si="9"/>
        <v>-2.9166383807407406</v>
      </c>
      <c r="AX19" s="9"/>
      <c r="AY19" s="21">
        <v>-5.4626500000000001E-2</v>
      </c>
      <c r="AZ19" s="21">
        <v>27.887699999999999</v>
      </c>
      <c r="BA19" s="21">
        <v>-1.48895E-2</v>
      </c>
      <c r="BB19" s="21">
        <v>9</v>
      </c>
      <c r="BC19" s="21">
        <v>-5.50842E-2</v>
      </c>
      <c r="BD19">
        <f t="shared" si="10"/>
        <v>18.382098765432101</v>
      </c>
      <c r="BE19">
        <f t="shared" si="11"/>
        <v>-1.0041497182098766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5.4430399999999999</v>
      </c>
      <c r="I20" s="21">
        <v>-5.56946E-3</v>
      </c>
      <c r="J20" s="21">
        <v>10</v>
      </c>
      <c r="K20" s="21">
        <v>1.7489600000000001</v>
      </c>
      <c r="L20">
        <f t="shared" si="0"/>
        <v>6.8758765432098761</v>
      </c>
      <c r="M20">
        <f t="shared" si="1"/>
        <v>12.029827323703703</v>
      </c>
      <c r="N20" s="9"/>
      <c r="O20" s="21">
        <v>-4.9591099999999999E-2</v>
      </c>
      <c r="P20" s="21">
        <v>9.2622300000000006</v>
      </c>
      <c r="Q20" s="21">
        <v>-1.4907800000000001E-2</v>
      </c>
      <c r="R20" s="21">
        <v>10</v>
      </c>
      <c r="S20" s="21">
        <v>-5.00793E-2</v>
      </c>
      <c r="T20">
        <f t="shared" si="2"/>
        <v>18.404691358024692</v>
      </c>
      <c r="U20">
        <f t="shared" si="3"/>
        <v>-0.91270888960493834</v>
      </c>
      <c r="V20" s="22"/>
      <c r="W20" s="23"/>
      <c r="X20" s="9"/>
      <c r="Y20" s="21">
        <v>1.7495700000000001</v>
      </c>
      <c r="Z20" s="21">
        <v>14.7662</v>
      </c>
      <c r="AA20" s="21">
        <v>-1.19568E-3</v>
      </c>
      <c r="AB20" s="21">
        <v>10</v>
      </c>
      <c r="AC20" s="21">
        <v>1.7489600000000001</v>
      </c>
      <c r="AD20">
        <f t="shared" si="4"/>
        <v>1.476148148148148</v>
      </c>
      <c r="AE20">
        <f t="shared" si="5"/>
        <v>2.5826245155555552</v>
      </c>
      <c r="AF20" s="9"/>
      <c r="AG20" s="21">
        <v>-4.9591099999999999E-2</v>
      </c>
      <c r="AH20" s="21">
        <v>18.5854</v>
      </c>
      <c r="AI20" s="21">
        <v>-1.4837599999999999E-2</v>
      </c>
      <c r="AJ20" s="21">
        <v>10</v>
      </c>
      <c r="AK20" s="21">
        <v>-5.00793E-2</v>
      </c>
      <c r="AL20">
        <f t="shared" si="6"/>
        <v>18.318024691358023</v>
      </c>
      <c r="AM20">
        <f t="shared" si="7"/>
        <v>-0.90841099427160488</v>
      </c>
      <c r="AP20" s="9"/>
      <c r="AQ20" s="21">
        <v>1.7495700000000001</v>
      </c>
      <c r="AR20" s="21">
        <v>24.078499999999998</v>
      </c>
      <c r="AS20" s="21">
        <v>-4.1384899999999999E-4</v>
      </c>
      <c r="AT20" s="21">
        <v>10</v>
      </c>
      <c r="AU20" s="21">
        <v>1.7489600000000001</v>
      </c>
      <c r="AV20">
        <f t="shared" si="8"/>
        <v>0.51092469135802465</v>
      </c>
      <c r="AW20">
        <f t="shared" si="9"/>
        <v>0.8938985122592592</v>
      </c>
      <c r="AX20" s="9"/>
      <c r="AY20" s="21">
        <v>-4.9591099999999999E-2</v>
      </c>
      <c r="AZ20" s="21">
        <v>27.8977</v>
      </c>
      <c r="BA20" s="21">
        <v>-1.48865E-2</v>
      </c>
      <c r="BB20" s="21">
        <v>10</v>
      </c>
      <c r="BC20" s="21">
        <v>-5.00793E-2</v>
      </c>
      <c r="BD20">
        <f t="shared" si="10"/>
        <v>18.378395061728394</v>
      </c>
      <c r="BE20">
        <f t="shared" si="11"/>
        <v>-0.91140482734567896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5.4531099999999997</v>
      </c>
      <c r="I21" s="21">
        <v>-6.1248800000000001E-3</v>
      </c>
      <c r="J21" s="21">
        <v>11</v>
      </c>
      <c r="K21" s="21">
        <v>1.74377</v>
      </c>
      <c r="L21">
        <f t="shared" si="0"/>
        <v>7.5615802469135796</v>
      </c>
      <c r="M21">
        <f t="shared" si="1"/>
        <v>13.191479203950616</v>
      </c>
      <c r="N21" s="9"/>
      <c r="O21" s="21">
        <v>-4.4555699999999997E-2</v>
      </c>
      <c r="P21" s="21">
        <v>9.2722999999999995</v>
      </c>
      <c r="Q21" s="21">
        <v>-1.49109E-2</v>
      </c>
      <c r="R21" s="21">
        <v>11</v>
      </c>
      <c r="S21" s="21">
        <v>-4.4833400000000002E-2</v>
      </c>
      <c r="T21">
        <f t="shared" si="2"/>
        <v>18.408518518518516</v>
      </c>
      <c r="U21">
        <f t="shared" si="3"/>
        <v>-0.82020442855555542</v>
      </c>
      <c r="V21" s="22"/>
      <c r="W21" s="23"/>
      <c r="X21" s="9"/>
      <c r="Y21" s="21">
        <v>1.74454</v>
      </c>
      <c r="Z21" s="21">
        <v>14.776300000000001</v>
      </c>
      <c r="AA21" s="21">
        <v>-2.5198400000000002E-3</v>
      </c>
      <c r="AB21" s="21">
        <v>11</v>
      </c>
      <c r="AC21" s="21">
        <v>1.74438</v>
      </c>
      <c r="AD21">
        <f t="shared" si="4"/>
        <v>3.1109135802469137</v>
      </c>
      <c r="AE21">
        <f t="shared" si="5"/>
        <v>5.4271131772839505</v>
      </c>
      <c r="AF21" s="9"/>
      <c r="AG21" s="21">
        <v>-4.4555699999999997E-2</v>
      </c>
      <c r="AH21" s="21">
        <v>18.595500000000001</v>
      </c>
      <c r="AI21" s="21">
        <v>-1.48407E-2</v>
      </c>
      <c r="AJ21" s="21">
        <v>11</v>
      </c>
      <c r="AK21" s="21">
        <v>-4.4845599999999999E-2</v>
      </c>
      <c r="AL21">
        <f t="shared" si="6"/>
        <v>18.32185185185185</v>
      </c>
      <c r="AM21">
        <f t="shared" si="7"/>
        <v>-0.8163429345555554</v>
      </c>
      <c r="AP21" s="9"/>
      <c r="AQ21" s="21">
        <v>1.74454</v>
      </c>
      <c r="AR21" s="21">
        <v>24.0885</v>
      </c>
      <c r="AS21" s="21">
        <v>-1.8392899999999999E-3</v>
      </c>
      <c r="AT21" s="21">
        <v>11</v>
      </c>
      <c r="AU21" s="21">
        <v>1.74377</v>
      </c>
      <c r="AV21">
        <f t="shared" si="8"/>
        <v>2.2707283950617283</v>
      </c>
      <c r="AW21">
        <f t="shared" si="9"/>
        <v>3.9613765143209876</v>
      </c>
      <c r="AX21" s="9"/>
      <c r="AY21" s="21">
        <v>-4.4555699999999997E-2</v>
      </c>
      <c r="AZ21" s="21">
        <v>27.907800000000002</v>
      </c>
      <c r="BA21" s="21">
        <v>-1.48804E-2</v>
      </c>
      <c r="BB21" s="21">
        <v>11</v>
      </c>
      <c r="BC21" s="21">
        <v>-4.47906E-2</v>
      </c>
      <c r="BD21">
        <f t="shared" si="10"/>
        <v>18.370864197530864</v>
      </c>
      <c r="BE21">
        <f t="shared" si="11"/>
        <v>-0.8185267139259258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5.4631800000000004</v>
      </c>
      <c r="I22" s="21">
        <v>-6.6558800000000003E-3</v>
      </c>
      <c r="J22" s="21">
        <v>12</v>
      </c>
      <c r="K22" s="21">
        <v>1.73889</v>
      </c>
      <c r="L22">
        <f t="shared" si="0"/>
        <v>8.2171358024691354</v>
      </c>
      <c r="M22">
        <f t="shared" si="1"/>
        <v>14.293707728395061</v>
      </c>
      <c r="N22" s="9"/>
      <c r="O22" s="21">
        <v>-3.9520300000000001E-2</v>
      </c>
      <c r="P22" s="21">
        <v>9.2823700000000002</v>
      </c>
      <c r="Q22" s="21">
        <v>-1.4913900000000001E-2</v>
      </c>
      <c r="R22" s="21">
        <v>12</v>
      </c>
      <c r="S22" s="21">
        <v>-3.9816299999999999E-2</v>
      </c>
      <c r="T22">
        <f t="shared" si="2"/>
        <v>18.412222222222223</v>
      </c>
      <c r="U22">
        <f t="shared" si="3"/>
        <v>-0.72765654588888895</v>
      </c>
      <c r="V22" s="22"/>
      <c r="W22" s="23"/>
      <c r="X22" s="9"/>
      <c r="Y22" s="21">
        <v>1.7395</v>
      </c>
      <c r="Z22" s="21">
        <v>14.7864</v>
      </c>
      <c r="AA22" s="21">
        <v>-3.5748300000000002E-3</v>
      </c>
      <c r="AB22" s="21">
        <v>12</v>
      </c>
      <c r="AC22" s="21">
        <v>1.7385900000000001</v>
      </c>
      <c r="AD22">
        <f t="shared" si="4"/>
        <v>4.4133703703703704</v>
      </c>
      <c r="AE22">
        <f t="shared" si="5"/>
        <v>7.6770577592592595</v>
      </c>
      <c r="AF22" s="9"/>
      <c r="AG22" s="21">
        <v>-3.9520300000000001E-2</v>
      </c>
      <c r="AH22" s="21">
        <v>18.605599999999999</v>
      </c>
      <c r="AI22" s="21">
        <v>-1.4843800000000001E-2</v>
      </c>
      <c r="AJ22" s="21">
        <v>12</v>
      </c>
      <c r="AK22" s="21">
        <v>-3.9825399999999997E-2</v>
      </c>
      <c r="AL22">
        <f t="shared" si="6"/>
        <v>18.325679012345677</v>
      </c>
      <c r="AM22">
        <f t="shared" si="7"/>
        <v>-0.72423633227160489</v>
      </c>
      <c r="AP22" s="9"/>
      <c r="AQ22" s="21">
        <v>1.7395</v>
      </c>
      <c r="AR22" s="21">
        <v>24.098600000000001</v>
      </c>
      <c r="AS22" s="21">
        <v>-2.9882799999999998E-3</v>
      </c>
      <c r="AT22" s="21">
        <v>12</v>
      </c>
      <c r="AU22" s="21">
        <v>1.73889</v>
      </c>
      <c r="AV22">
        <f t="shared" si="8"/>
        <v>3.6892345679012344</v>
      </c>
      <c r="AW22">
        <f t="shared" si="9"/>
        <v>6.4174235308641974</v>
      </c>
      <c r="AX22" s="9"/>
      <c r="AY22" s="21">
        <v>-3.9520300000000001E-2</v>
      </c>
      <c r="AZ22" s="21">
        <v>27.917899999999999</v>
      </c>
      <c r="BA22" s="21">
        <v>-1.4865099999999999E-2</v>
      </c>
      <c r="BB22" s="21">
        <v>12</v>
      </c>
      <c r="BC22" s="21">
        <v>-3.9746099999999999E-2</v>
      </c>
      <c r="BD22">
        <f t="shared" si="10"/>
        <v>18.351975308641972</v>
      </c>
      <c r="BE22">
        <f t="shared" si="11"/>
        <v>-0.72527556979012331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5.4732500000000002</v>
      </c>
      <c r="I23" s="21">
        <v>-7.1167000000000001E-3</v>
      </c>
      <c r="J23" s="21">
        <v>13</v>
      </c>
      <c r="K23" s="21">
        <v>1.7337</v>
      </c>
      <c r="L23">
        <f t="shared" si="0"/>
        <v>8.7860493827160493</v>
      </c>
      <c r="M23">
        <f t="shared" si="1"/>
        <v>15.239139072839505</v>
      </c>
      <c r="N23" s="9"/>
      <c r="O23" s="21">
        <v>-3.4484899999999999E-2</v>
      </c>
      <c r="P23" s="21">
        <v>9.2924399999999991</v>
      </c>
      <c r="Q23" s="21">
        <v>-1.4907800000000001E-2</v>
      </c>
      <c r="R23" s="21">
        <v>13</v>
      </c>
      <c r="S23" s="21">
        <v>-3.4735099999999998E-2</v>
      </c>
      <c r="T23">
        <f t="shared" si="2"/>
        <v>18.404691358024692</v>
      </c>
      <c r="U23">
        <f t="shared" si="3"/>
        <v>-0.63468394101234571</v>
      </c>
      <c r="V23" s="22"/>
      <c r="W23" s="23"/>
      <c r="X23" s="9"/>
      <c r="Y23" s="21">
        <v>1.73447</v>
      </c>
      <c r="Z23" s="21">
        <v>14.7965</v>
      </c>
      <c r="AA23" s="21">
        <v>-4.46503E-3</v>
      </c>
      <c r="AB23" s="21">
        <v>13</v>
      </c>
      <c r="AC23" s="21">
        <v>1.7334000000000001</v>
      </c>
      <c r="AD23">
        <f t="shared" si="4"/>
        <v>5.512382716049383</v>
      </c>
      <c r="AE23">
        <f t="shared" si="5"/>
        <v>9.5610624495061725</v>
      </c>
      <c r="AF23" s="9"/>
      <c r="AG23" s="21">
        <v>-3.4484899999999999E-2</v>
      </c>
      <c r="AH23" s="21">
        <v>18.6157</v>
      </c>
      <c r="AI23" s="21">
        <v>-1.4837599999999999E-2</v>
      </c>
      <c r="AJ23" s="21">
        <v>13</v>
      </c>
      <c r="AK23" s="21">
        <v>-3.4765600000000001E-2</v>
      </c>
      <c r="AL23">
        <f t="shared" si="6"/>
        <v>18.318024691358023</v>
      </c>
      <c r="AM23">
        <f t="shared" si="7"/>
        <v>-0.63169524967901225</v>
      </c>
      <c r="AP23" s="9"/>
      <c r="AQ23" s="21">
        <v>1.73447</v>
      </c>
      <c r="AR23" s="21">
        <v>24.108699999999999</v>
      </c>
      <c r="AS23" s="21">
        <v>-3.9526400000000003E-3</v>
      </c>
      <c r="AT23" s="21">
        <v>13</v>
      </c>
      <c r="AU23" s="21">
        <v>1.7337</v>
      </c>
      <c r="AV23">
        <f t="shared" si="8"/>
        <v>4.879802469135802</v>
      </c>
      <c r="AW23">
        <f t="shared" si="9"/>
        <v>8.4638709886419736</v>
      </c>
      <c r="AX23" s="9"/>
      <c r="AY23" s="21">
        <v>-3.4484899999999999E-2</v>
      </c>
      <c r="AZ23" s="21">
        <v>27.928000000000001</v>
      </c>
      <c r="BA23" s="21">
        <v>-1.48682E-2</v>
      </c>
      <c r="BB23" s="21">
        <v>13</v>
      </c>
      <c r="BC23" s="21">
        <v>-3.47137E-2</v>
      </c>
      <c r="BD23">
        <f t="shared" si="10"/>
        <v>18.355802469135799</v>
      </c>
      <c r="BE23">
        <f t="shared" si="11"/>
        <v>-0.63299801256790111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5.48332</v>
      </c>
      <c r="I24" s="21">
        <v>-7.5164799999999999E-3</v>
      </c>
      <c r="J24" s="21">
        <v>14</v>
      </c>
      <c r="K24" s="21">
        <v>1.72882</v>
      </c>
      <c r="L24">
        <f t="shared" si="0"/>
        <v>9.2796049382716053</v>
      </c>
      <c r="M24">
        <f t="shared" si="1"/>
        <v>16.048427168395062</v>
      </c>
      <c r="N24" s="9"/>
      <c r="O24" s="21">
        <v>-2.94495E-2</v>
      </c>
      <c r="P24" s="21">
        <v>9.3025099999999998</v>
      </c>
      <c r="Q24" s="21">
        <v>-1.49017E-2</v>
      </c>
      <c r="R24" s="21">
        <v>14</v>
      </c>
      <c r="S24" s="21">
        <v>-2.96814E-2</v>
      </c>
      <c r="T24">
        <f t="shared" si="2"/>
        <v>18.397160493827158</v>
      </c>
      <c r="U24">
        <f t="shared" si="3"/>
        <v>-0.54178717796296294</v>
      </c>
      <c r="V24" s="22"/>
      <c r="W24" s="23"/>
      <c r="X24" s="9"/>
      <c r="Y24" s="21">
        <v>1.72943</v>
      </c>
      <c r="Z24" s="21">
        <v>14.8065</v>
      </c>
      <c r="AA24" s="21">
        <v>-5.1940900000000002E-3</v>
      </c>
      <c r="AB24" s="21">
        <v>14</v>
      </c>
      <c r="AC24" s="21">
        <v>1.7285200000000001</v>
      </c>
      <c r="AD24">
        <f t="shared" si="4"/>
        <v>6.412456790123457</v>
      </c>
      <c r="AE24">
        <f t="shared" si="5"/>
        <v>11.08989514654321</v>
      </c>
      <c r="AF24" s="9"/>
      <c r="AG24" s="21">
        <v>-2.94495E-2</v>
      </c>
      <c r="AH24" s="21">
        <v>18.625699999999998</v>
      </c>
      <c r="AI24" s="21">
        <v>-1.4822399999999999E-2</v>
      </c>
      <c r="AJ24" s="21">
        <v>14</v>
      </c>
      <c r="AK24" s="21">
        <v>-2.9699699999999999E-2</v>
      </c>
      <c r="AL24">
        <f t="shared" si="6"/>
        <v>18.299259259259259</v>
      </c>
      <c r="AM24">
        <f t="shared" si="7"/>
        <v>-0.53890403555555555</v>
      </c>
      <c r="AP24" s="9"/>
      <c r="AQ24" s="21">
        <v>1.72943</v>
      </c>
      <c r="AR24" s="21">
        <v>24.1188</v>
      </c>
      <c r="AS24" s="21">
        <v>-4.7415199999999999E-3</v>
      </c>
      <c r="AT24" s="21">
        <v>14</v>
      </c>
      <c r="AU24" s="21">
        <v>1.72882</v>
      </c>
      <c r="AV24">
        <f t="shared" si="8"/>
        <v>5.8537283950617276</v>
      </c>
      <c r="AW24">
        <f t="shared" si="9"/>
        <v>10.123613498271604</v>
      </c>
      <c r="AX24" s="9"/>
      <c r="AY24" s="21">
        <v>-2.94495E-2</v>
      </c>
      <c r="AZ24" s="21">
        <v>27.937999999999999</v>
      </c>
      <c r="BA24" s="21">
        <v>-1.4871199999999999E-2</v>
      </c>
      <c r="BB24" s="21">
        <v>14</v>
      </c>
      <c r="BC24" s="21">
        <v>-2.9711899999999999E-2</v>
      </c>
      <c r="BD24">
        <f t="shared" si="10"/>
        <v>18.359506172839506</v>
      </c>
      <c r="BE24">
        <f t="shared" si="11"/>
        <v>-0.54067827703703708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5.4933899999999998</v>
      </c>
      <c r="I25" s="21">
        <v>-7.8979500000000008E-3</v>
      </c>
      <c r="J25" s="21">
        <v>15</v>
      </c>
      <c r="K25" s="21">
        <v>1.72333</v>
      </c>
      <c r="L25">
        <f t="shared" si="0"/>
        <v>9.7505555555555556</v>
      </c>
      <c r="M25">
        <f t="shared" si="1"/>
        <v>16.813858</v>
      </c>
      <c r="N25" s="9"/>
      <c r="O25" s="21">
        <v>-2.4414100000000001E-2</v>
      </c>
      <c r="P25" s="21">
        <v>9.3125800000000005</v>
      </c>
      <c r="Q25" s="21">
        <v>-1.48865E-2</v>
      </c>
      <c r="R25" s="21">
        <v>15</v>
      </c>
      <c r="S25" s="21">
        <v>-2.4615499999999998E-2</v>
      </c>
      <c r="T25">
        <f t="shared" si="2"/>
        <v>18.378395061728394</v>
      </c>
      <c r="U25">
        <f t="shared" si="3"/>
        <v>-0.44869197487654322</v>
      </c>
      <c r="V25" s="22"/>
      <c r="W25" s="23"/>
      <c r="X25" s="9"/>
      <c r="Y25" s="21">
        <v>1.7243999999999999</v>
      </c>
      <c r="Z25" s="21">
        <v>14.816599999999999</v>
      </c>
      <c r="AA25" s="21">
        <v>-5.83191E-3</v>
      </c>
      <c r="AB25" s="21">
        <v>15</v>
      </c>
      <c r="AC25" s="21">
        <v>1.72394</v>
      </c>
      <c r="AD25">
        <f t="shared" si="4"/>
        <v>7.1998888888888883</v>
      </c>
      <c r="AE25">
        <f t="shared" si="5"/>
        <v>12.415488399999999</v>
      </c>
      <c r="AF25" s="9"/>
      <c r="AG25" s="21">
        <v>-2.4414100000000001E-2</v>
      </c>
      <c r="AH25" s="21">
        <v>18.6358</v>
      </c>
      <c r="AI25" s="21">
        <v>-1.48132E-2</v>
      </c>
      <c r="AJ25" s="21">
        <v>15</v>
      </c>
      <c r="AK25" s="21">
        <v>-2.4673500000000001E-2</v>
      </c>
      <c r="AL25">
        <f t="shared" si="6"/>
        <v>18.287901234567901</v>
      </c>
      <c r="AM25">
        <f t="shared" si="7"/>
        <v>-0.4464826495308642</v>
      </c>
      <c r="AP25" s="9"/>
      <c r="AQ25" s="21">
        <v>1.7243999999999999</v>
      </c>
      <c r="AR25" s="21">
        <v>24.128799999999998</v>
      </c>
      <c r="AS25" s="21">
        <v>-5.4168699999999998E-3</v>
      </c>
      <c r="AT25" s="21">
        <v>15</v>
      </c>
      <c r="AU25" s="21">
        <v>1.72333</v>
      </c>
      <c r="AV25">
        <f t="shared" si="8"/>
        <v>6.6874938271604929</v>
      </c>
      <c r="AW25">
        <f t="shared" si="9"/>
        <v>11.531914355555553</v>
      </c>
      <c r="AX25" s="9"/>
      <c r="AY25" s="21">
        <v>-2.4414100000000001E-2</v>
      </c>
      <c r="AZ25" s="21">
        <v>27.9481</v>
      </c>
      <c r="BA25" s="21">
        <v>-1.4871199999999999E-2</v>
      </c>
      <c r="BB25" s="21">
        <v>15</v>
      </c>
      <c r="BC25" s="21">
        <v>-2.4713100000000002E-2</v>
      </c>
      <c r="BD25">
        <f t="shared" si="10"/>
        <v>18.359506172839506</v>
      </c>
      <c r="BE25">
        <f t="shared" si="11"/>
        <v>-0.44823081965432099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5.5034599999999996</v>
      </c>
      <c r="I26" s="21">
        <v>-8.2244899999999992E-3</v>
      </c>
      <c r="J26" s="21">
        <v>16</v>
      </c>
      <c r="K26" s="21">
        <v>1.71875</v>
      </c>
      <c r="L26">
        <f t="shared" si="0"/>
        <v>10.153691358024689</v>
      </c>
      <c r="M26">
        <f t="shared" si="1"/>
        <v>17.45785077333333</v>
      </c>
      <c r="N26" s="9"/>
      <c r="O26" s="21">
        <v>-1.9378699999999999E-2</v>
      </c>
      <c r="P26" s="21">
        <v>9.3226499999999994</v>
      </c>
      <c r="Q26" s="21">
        <v>-1.48865E-2</v>
      </c>
      <c r="R26" s="21">
        <v>16</v>
      </c>
      <c r="S26" s="21">
        <v>-1.9610599999999999E-2</v>
      </c>
      <c r="T26">
        <f t="shared" si="2"/>
        <v>18.378395061728394</v>
      </c>
      <c r="U26">
        <f t="shared" si="3"/>
        <v>-0.35614940438271603</v>
      </c>
      <c r="V26" s="22"/>
      <c r="W26" s="23"/>
      <c r="X26" s="9"/>
      <c r="Y26" s="21">
        <v>1.71936</v>
      </c>
      <c r="Z26" s="21">
        <v>14.826700000000001</v>
      </c>
      <c r="AA26" s="21">
        <v>-6.3659700000000003E-3</v>
      </c>
      <c r="AB26" s="21">
        <v>16</v>
      </c>
      <c r="AC26" s="21">
        <v>1.71814</v>
      </c>
      <c r="AD26">
        <f t="shared" si="4"/>
        <v>7.8592222222222219</v>
      </c>
      <c r="AE26">
        <f t="shared" si="5"/>
        <v>13.512832319999999</v>
      </c>
      <c r="AF26" s="9"/>
      <c r="AG26" s="21">
        <v>-1.9378699999999999E-2</v>
      </c>
      <c r="AH26" s="21">
        <v>18.645900000000001</v>
      </c>
      <c r="AI26" s="21">
        <v>-1.48132E-2</v>
      </c>
      <c r="AJ26" s="21">
        <v>16</v>
      </c>
      <c r="AK26" s="21">
        <v>-1.9586200000000002E-2</v>
      </c>
      <c r="AL26">
        <f t="shared" si="6"/>
        <v>18.287901234567901</v>
      </c>
      <c r="AM26">
        <f t="shared" si="7"/>
        <v>-0.35439575165432097</v>
      </c>
      <c r="AP26" s="9"/>
      <c r="AQ26" s="21">
        <v>1.71936</v>
      </c>
      <c r="AR26" s="21">
        <v>24.1389</v>
      </c>
      <c r="AS26" s="21">
        <v>-5.9966999999999998E-3</v>
      </c>
      <c r="AT26" s="21">
        <v>16</v>
      </c>
      <c r="AU26" s="21">
        <v>1.71844</v>
      </c>
      <c r="AV26">
        <f t="shared" si="8"/>
        <v>7.4033333333333333</v>
      </c>
      <c r="AW26">
        <f t="shared" si="9"/>
        <v>12.7289952</v>
      </c>
      <c r="AX26" s="9"/>
      <c r="AY26" s="21">
        <v>-1.9378699999999999E-2</v>
      </c>
      <c r="AZ26" s="21">
        <v>27.958200000000001</v>
      </c>
      <c r="BA26" s="21">
        <v>-1.48682E-2</v>
      </c>
      <c r="BB26" s="21">
        <v>16</v>
      </c>
      <c r="BC26" s="21">
        <v>-1.9628900000000001E-2</v>
      </c>
      <c r="BD26">
        <f t="shared" si="10"/>
        <v>18.355802469135799</v>
      </c>
      <c r="BE26">
        <f t="shared" si="11"/>
        <v>-0.35571158930864188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5.5135300000000003</v>
      </c>
      <c r="I27" s="21">
        <v>-8.54187E-3</v>
      </c>
      <c r="J27" s="21">
        <v>17</v>
      </c>
      <c r="K27" s="21">
        <v>1.71417</v>
      </c>
      <c r="L27">
        <f t="shared" si="0"/>
        <v>10.545518518518518</v>
      </c>
      <c r="M27">
        <f t="shared" si="1"/>
        <v>18.078393306666666</v>
      </c>
      <c r="N27" s="9"/>
      <c r="O27" s="21">
        <v>-1.43433E-2</v>
      </c>
      <c r="P27" s="21">
        <v>9.3327299999999997</v>
      </c>
      <c r="Q27" s="21">
        <v>-1.48895E-2</v>
      </c>
      <c r="R27" s="21">
        <v>17</v>
      </c>
      <c r="S27" s="21">
        <v>-1.4501999999999999E-2</v>
      </c>
      <c r="T27">
        <f t="shared" si="2"/>
        <v>18.382098765432101</v>
      </c>
      <c r="U27">
        <f t="shared" si="3"/>
        <v>-0.26365995722222224</v>
      </c>
      <c r="X27" s="9"/>
      <c r="Y27" s="21">
        <v>1.7143200000000001</v>
      </c>
      <c r="Z27" s="21">
        <v>14.8367</v>
      </c>
      <c r="AA27" s="21">
        <v>-6.8512E-3</v>
      </c>
      <c r="AB27" s="21">
        <v>17</v>
      </c>
      <c r="AC27" s="21">
        <v>1.71387</v>
      </c>
      <c r="AD27">
        <f t="shared" si="4"/>
        <v>8.4582716049382718</v>
      </c>
      <c r="AE27">
        <f t="shared" si="5"/>
        <v>14.500184177777779</v>
      </c>
      <c r="AF27" s="9"/>
      <c r="AG27" s="21">
        <v>-1.43433E-2</v>
      </c>
      <c r="AH27" s="21">
        <v>18.655899999999999</v>
      </c>
      <c r="AI27" s="21">
        <v>-1.4819300000000001E-2</v>
      </c>
      <c r="AJ27" s="21">
        <v>17</v>
      </c>
      <c r="AK27" s="21">
        <v>-1.45874E-2</v>
      </c>
      <c r="AL27">
        <f t="shared" si="6"/>
        <v>18.295432098765431</v>
      </c>
      <c r="AM27">
        <f t="shared" si="7"/>
        <v>-0.26241687122222218</v>
      </c>
      <c r="AP27" s="9"/>
      <c r="AQ27" s="21">
        <v>1.7143200000000001</v>
      </c>
      <c r="AR27" s="21">
        <v>24.149000000000001</v>
      </c>
      <c r="AS27" s="21">
        <v>-6.5216099999999997E-3</v>
      </c>
      <c r="AT27" s="21">
        <v>17</v>
      </c>
      <c r="AU27" s="21">
        <v>1.71326</v>
      </c>
      <c r="AV27">
        <f t="shared" si="8"/>
        <v>8.0513703703703694</v>
      </c>
      <c r="AW27">
        <f t="shared" si="9"/>
        <v>13.802625253333332</v>
      </c>
      <c r="AX27" s="9"/>
      <c r="AY27" s="21">
        <v>-1.43433E-2</v>
      </c>
      <c r="AZ27" s="21">
        <v>27.9682</v>
      </c>
      <c r="BA27" s="21">
        <v>-1.48682E-2</v>
      </c>
      <c r="BB27" s="21">
        <v>17</v>
      </c>
      <c r="BC27" s="21">
        <v>-1.4550799999999999E-2</v>
      </c>
      <c r="BD27">
        <f t="shared" si="10"/>
        <v>18.355802469135799</v>
      </c>
      <c r="BE27">
        <f t="shared" si="11"/>
        <v>-0.26328278155555551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5.5236000000000001</v>
      </c>
      <c r="I28" s="21">
        <v>-8.8104199999999994E-3</v>
      </c>
      <c r="J28" s="21">
        <v>18</v>
      </c>
      <c r="K28" s="21">
        <v>1.70868</v>
      </c>
      <c r="L28">
        <f t="shared" si="0"/>
        <v>10.877061728395059</v>
      </c>
      <c r="M28">
        <f t="shared" si="1"/>
        <v>18.592052841728389</v>
      </c>
      <c r="N28" s="9"/>
      <c r="O28" s="21">
        <v>-9.3078599999999994E-3</v>
      </c>
      <c r="P28" s="21">
        <v>9.3428000000000004</v>
      </c>
      <c r="Q28" s="21">
        <v>-1.48865E-2</v>
      </c>
      <c r="R28" s="21">
        <v>18</v>
      </c>
      <c r="S28" s="21">
        <v>-9.5306399999999999E-3</v>
      </c>
      <c r="T28">
        <f t="shared" si="2"/>
        <v>18.378395061728394</v>
      </c>
      <c r="U28">
        <f t="shared" si="3"/>
        <v>-0.17106352825925925</v>
      </c>
      <c r="X28" s="9"/>
      <c r="Y28" s="21">
        <v>1.70929</v>
      </c>
      <c r="Z28" s="21">
        <v>14.8468</v>
      </c>
      <c r="AA28" s="21">
        <v>-7.2845499999999999E-3</v>
      </c>
      <c r="AB28" s="21">
        <v>18</v>
      </c>
      <c r="AC28" s="21">
        <v>1.7083699999999999</v>
      </c>
      <c r="AD28">
        <f t="shared" si="4"/>
        <v>8.9932716049382702</v>
      </c>
      <c r="AE28">
        <f t="shared" si="5"/>
        <v>15.372109221604935</v>
      </c>
      <c r="AF28" s="9"/>
      <c r="AG28" s="21">
        <v>-9.3078599999999994E-3</v>
      </c>
      <c r="AH28" s="21">
        <v>18.666</v>
      </c>
      <c r="AI28" s="21">
        <v>-1.4825400000000001E-2</v>
      </c>
      <c r="AJ28" s="21">
        <v>18</v>
      </c>
      <c r="AK28" s="21">
        <v>-9.5581099999999999E-3</v>
      </c>
      <c r="AL28">
        <f t="shared" si="6"/>
        <v>18.302962962962962</v>
      </c>
      <c r="AM28">
        <f t="shared" si="7"/>
        <v>-0.17036141684444442</v>
      </c>
      <c r="AP28" s="9"/>
      <c r="AQ28" s="21">
        <v>1.70929</v>
      </c>
      <c r="AR28" s="21">
        <v>24.158999999999999</v>
      </c>
      <c r="AS28" s="21">
        <v>-6.9885299999999997E-3</v>
      </c>
      <c r="AT28" s="21">
        <v>18</v>
      </c>
      <c r="AU28" s="21">
        <v>1.7083699999999999</v>
      </c>
      <c r="AV28">
        <f t="shared" si="8"/>
        <v>8.6278148148148137</v>
      </c>
      <c r="AW28">
        <f t="shared" si="9"/>
        <v>14.747437584814813</v>
      </c>
      <c r="AX28" s="9"/>
      <c r="AY28" s="21">
        <v>-9.3078599999999994E-3</v>
      </c>
      <c r="AZ28" s="21">
        <v>27.978300000000001</v>
      </c>
      <c r="BA28" s="21">
        <v>-1.4871199999999999E-2</v>
      </c>
      <c r="BB28" s="21">
        <v>18</v>
      </c>
      <c r="BC28" s="21">
        <v>-9.5825200000000006E-3</v>
      </c>
      <c r="BD28">
        <f t="shared" si="10"/>
        <v>18.359506172839506</v>
      </c>
      <c r="BE28">
        <f t="shared" si="11"/>
        <v>-0.17088771312592591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5.5336699999999999</v>
      </c>
      <c r="I29" s="21">
        <v>-9.0698199999999993E-3</v>
      </c>
      <c r="J29" s="21">
        <v>19</v>
      </c>
      <c r="K29" s="21">
        <v>1.7038</v>
      </c>
      <c r="L29">
        <f t="shared" si="0"/>
        <v>11.197308641975308</v>
      </c>
      <c r="M29">
        <f t="shared" si="1"/>
        <v>19.08301325308642</v>
      </c>
      <c r="N29" s="9"/>
      <c r="O29" s="21">
        <v>-4.2724599999999996E-3</v>
      </c>
      <c r="P29" s="21">
        <v>9.3528699999999994</v>
      </c>
      <c r="Q29" s="21">
        <v>-1.48834E-2</v>
      </c>
      <c r="R29" s="21">
        <v>19</v>
      </c>
      <c r="S29" s="21">
        <v>-4.5257600000000002E-3</v>
      </c>
      <c r="T29">
        <f t="shared" si="2"/>
        <v>18.374567901234567</v>
      </c>
      <c r="U29">
        <f t="shared" si="3"/>
        <v>-7.8504606375308636E-2</v>
      </c>
      <c r="X29" s="9"/>
      <c r="Y29" s="21">
        <v>1.70425</v>
      </c>
      <c r="Z29" s="21">
        <v>14.8569</v>
      </c>
      <c r="AA29" s="21">
        <v>-7.6873799999999997E-3</v>
      </c>
      <c r="AB29" s="21">
        <v>19</v>
      </c>
      <c r="AC29" s="21">
        <v>1.7034899999999999</v>
      </c>
      <c r="AD29">
        <f t="shared" si="4"/>
        <v>9.4905925925925914</v>
      </c>
      <c r="AE29">
        <f t="shared" si="5"/>
        <v>16.174342425925925</v>
      </c>
      <c r="AF29" s="9"/>
      <c r="AG29" s="21">
        <v>-4.2724599999999996E-3</v>
      </c>
      <c r="AH29" s="21">
        <v>18.676100000000002</v>
      </c>
      <c r="AI29" s="21">
        <v>-1.4825400000000001E-2</v>
      </c>
      <c r="AJ29" s="21">
        <v>19</v>
      </c>
      <c r="AK29" s="21">
        <v>-4.5227100000000001E-3</v>
      </c>
      <c r="AL29">
        <f t="shared" si="6"/>
        <v>18.302962962962962</v>
      </c>
      <c r="AM29">
        <f t="shared" si="7"/>
        <v>-7.8198677140740733E-2</v>
      </c>
      <c r="AP29" s="9"/>
      <c r="AQ29" s="21">
        <v>1.70425</v>
      </c>
      <c r="AR29" s="21">
        <v>24.1691</v>
      </c>
      <c r="AS29" s="21">
        <v>-7.4096700000000001E-3</v>
      </c>
      <c r="AT29" s="21">
        <v>19</v>
      </c>
      <c r="AU29" s="21">
        <v>1.7038</v>
      </c>
      <c r="AV29">
        <f t="shared" si="8"/>
        <v>9.1477407407407405</v>
      </c>
      <c r="AW29">
        <f t="shared" si="9"/>
        <v>15.590037157407407</v>
      </c>
      <c r="AX29" s="9"/>
      <c r="AY29" s="21">
        <v>-4.2724599999999996E-3</v>
      </c>
      <c r="AZ29" s="21">
        <v>27.988399999999999</v>
      </c>
      <c r="BA29" s="21">
        <v>-1.4871199999999999E-2</v>
      </c>
      <c r="BB29" s="21">
        <v>19</v>
      </c>
      <c r="BC29" s="21">
        <v>-4.4494599999999997E-3</v>
      </c>
      <c r="BD29">
        <f t="shared" si="10"/>
        <v>18.359506172839506</v>
      </c>
      <c r="BE29">
        <f t="shared" si="11"/>
        <v>-7.8440255743209869E-2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5.5437500000000002</v>
      </c>
      <c r="I30" s="21">
        <v>-9.2864999999999996E-3</v>
      </c>
      <c r="J30" s="21">
        <v>20</v>
      </c>
      <c r="K30" s="21">
        <v>1.69861</v>
      </c>
      <c r="L30">
        <f t="shared" si="0"/>
        <v>11.464814814814813</v>
      </c>
      <c r="M30">
        <f t="shared" si="1"/>
        <v>19.481242629629627</v>
      </c>
      <c r="N30" s="9"/>
      <c r="O30" s="21">
        <v>7.6293900000000002E-4</v>
      </c>
      <c r="P30" s="21">
        <v>9.36294</v>
      </c>
      <c r="Q30" s="21">
        <v>-1.48865E-2</v>
      </c>
      <c r="R30" s="21">
        <v>20</v>
      </c>
      <c r="S30" s="21">
        <v>5.6762700000000002E-4</v>
      </c>
      <c r="T30">
        <f t="shared" si="2"/>
        <v>18.378395061728394</v>
      </c>
      <c r="U30">
        <f t="shared" si="3"/>
        <v>1.402159435E-2</v>
      </c>
      <c r="X30" s="9"/>
      <c r="Y30" s="21">
        <v>1.69922</v>
      </c>
      <c r="Z30" s="21">
        <v>14.867000000000001</v>
      </c>
      <c r="AA30" s="21">
        <v>-8.04443E-3</v>
      </c>
      <c r="AB30" s="21">
        <v>20</v>
      </c>
      <c r="AC30" s="21">
        <v>1.69861</v>
      </c>
      <c r="AD30">
        <f t="shared" si="4"/>
        <v>9.9313950617283933</v>
      </c>
      <c r="AE30">
        <f t="shared" si="5"/>
        <v>16.875625116790118</v>
      </c>
      <c r="AF30" s="9"/>
      <c r="AG30" s="21">
        <v>7.6293900000000002E-4</v>
      </c>
      <c r="AH30" s="21">
        <v>18.686199999999999</v>
      </c>
      <c r="AI30" s="21">
        <v>-1.4819300000000001E-2</v>
      </c>
      <c r="AJ30" s="21">
        <v>20</v>
      </c>
      <c r="AK30" s="21">
        <v>5.3100599999999999E-4</v>
      </c>
      <c r="AL30">
        <f t="shared" si="6"/>
        <v>18.295432098765431</v>
      </c>
      <c r="AM30">
        <f t="shared" si="7"/>
        <v>1.3958298669999999E-2</v>
      </c>
      <c r="AP30" s="9"/>
      <c r="AQ30" s="21">
        <v>1.69922</v>
      </c>
      <c r="AR30" s="21">
        <v>24.179200000000002</v>
      </c>
      <c r="AS30" s="21">
        <v>-7.7758799999999998E-3</v>
      </c>
      <c r="AT30" s="21">
        <v>20</v>
      </c>
      <c r="AU30" s="21">
        <v>1.6989099999999999</v>
      </c>
      <c r="AV30">
        <f t="shared" si="8"/>
        <v>9.5998518518518505</v>
      </c>
      <c r="AW30">
        <f t="shared" si="9"/>
        <v>16.312260263703703</v>
      </c>
      <c r="AX30" s="9"/>
      <c r="AY30" s="21">
        <v>7.6293900000000002E-4</v>
      </c>
      <c r="AZ30" s="21">
        <v>27.9985</v>
      </c>
      <c r="BA30" s="21">
        <v>-1.4865099999999999E-2</v>
      </c>
      <c r="BB30" s="21">
        <v>20</v>
      </c>
      <c r="BC30" s="21">
        <v>5.9509299999999999E-4</v>
      </c>
      <c r="BD30">
        <f t="shared" si="10"/>
        <v>18.351975308641972</v>
      </c>
      <c r="BE30">
        <f t="shared" si="11"/>
        <v>1.4001437689999998E-2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5.55382</v>
      </c>
      <c r="I31" s="21">
        <v>-9.50317E-3</v>
      </c>
      <c r="J31" s="21">
        <v>21</v>
      </c>
      <c r="K31" s="21">
        <v>1.69373</v>
      </c>
      <c r="L31">
        <f t="shared" si="0"/>
        <v>11.732308641975308</v>
      </c>
      <c r="M31">
        <f t="shared" si="1"/>
        <v>19.876642655061726</v>
      </c>
      <c r="N31" s="9"/>
      <c r="O31" s="21">
        <v>5.7983399999999999E-3</v>
      </c>
      <c r="P31" s="21">
        <v>9.3730100000000007</v>
      </c>
      <c r="Q31" s="21">
        <v>-1.48834E-2</v>
      </c>
      <c r="R31" s="21">
        <v>21</v>
      </c>
      <c r="S31" s="21">
        <v>5.6243899999999999E-3</v>
      </c>
      <c r="T31">
        <f t="shared" si="2"/>
        <v>18.374567901234567</v>
      </c>
      <c r="U31">
        <f t="shared" si="3"/>
        <v>0.10654199204444444</v>
      </c>
      <c r="X31" s="9"/>
      <c r="Y31" s="21">
        <v>1.69418</v>
      </c>
      <c r="Z31" s="21">
        <v>14.877000000000001</v>
      </c>
      <c r="AA31" s="21">
        <v>-8.3740199999999994E-3</v>
      </c>
      <c r="AB31" s="21">
        <v>21</v>
      </c>
      <c r="AC31" s="21">
        <v>1.6934199999999999</v>
      </c>
      <c r="AD31">
        <f t="shared" si="4"/>
        <v>10.338296296296296</v>
      </c>
      <c r="AE31">
        <f t="shared" si="5"/>
        <v>17.51493481925926</v>
      </c>
      <c r="AF31" s="9"/>
      <c r="AG31" s="21">
        <v>5.7983399999999999E-3</v>
      </c>
      <c r="AH31" s="21">
        <v>18.696200000000001</v>
      </c>
      <c r="AI31" s="21">
        <v>-1.48132E-2</v>
      </c>
      <c r="AJ31" s="21">
        <v>21</v>
      </c>
      <c r="AK31" s="21">
        <v>5.5419900000000001E-3</v>
      </c>
      <c r="AL31">
        <f t="shared" si="6"/>
        <v>18.287901234567901</v>
      </c>
      <c r="AM31">
        <f t="shared" si="7"/>
        <v>0.10603946924444443</v>
      </c>
      <c r="AP31" s="9"/>
      <c r="AQ31" s="21">
        <v>1.69418</v>
      </c>
      <c r="AR31" s="21">
        <v>24.189299999999999</v>
      </c>
      <c r="AS31" s="21">
        <v>-8.1085199999999993E-3</v>
      </c>
      <c r="AT31" s="21">
        <v>21</v>
      </c>
      <c r="AU31" s="21">
        <v>1.6934199999999999</v>
      </c>
      <c r="AV31">
        <f t="shared" si="8"/>
        <v>10.010518518518518</v>
      </c>
      <c r="AW31">
        <f t="shared" si="9"/>
        <v>16.959620263703702</v>
      </c>
      <c r="AX31" s="9"/>
      <c r="AY31" s="21">
        <v>5.7983399999999999E-3</v>
      </c>
      <c r="AZ31" s="21">
        <v>28.008500000000002</v>
      </c>
      <c r="BA31" s="21">
        <v>-1.4849899999999999E-2</v>
      </c>
      <c r="BB31" s="21">
        <v>21</v>
      </c>
      <c r="BC31" s="21">
        <v>5.6243899999999999E-3</v>
      </c>
      <c r="BD31">
        <f t="shared" si="10"/>
        <v>18.333209876543208</v>
      </c>
      <c r="BE31">
        <f t="shared" si="11"/>
        <v>0.10630218415555555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5.5638899999999998</v>
      </c>
      <c r="I32" s="21">
        <v>-9.7045900000000008E-3</v>
      </c>
      <c r="J32" s="21">
        <v>22</v>
      </c>
      <c r="K32" s="21">
        <v>1.6882299999999999</v>
      </c>
      <c r="L32">
        <f t="shared" si="0"/>
        <v>11.980975308641977</v>
      </c>
      <c r="M32">
        <f t="shared" si="1"/>
        <v>20.237664442592596</v>
      </c>
      <c r="N32" s="9"/>
      <c r="O32" s="21">
        <v>1.08337E-2</v>
      </c>
      <c r="P32" s="21">
        <v>9.3830799999999996</v>
      </c>
      <c r="Q32" s="21">
        <v>-1.48834E-2</v>
      </c>
      <c r="R32" s="21">
        <v>22</v>
      </c>
      <c r="S32" s="21">
        <v>1.06842E-2</v>
      </c>
      <c r="T32">
        <f t="shared" si="2"/>
        <v>18.374567901234567</v>
      </c>
      <c r="U32">
        <f t="shared" si="3"/>
        <v>0.19906455627160494</v>
      </c>
      <c r="X32" s="9"/>
      <c r="Y32" s="21">
        <v>1.6891499999999999</v>
      </c>
      <c r="Z32" s="21">
        <v>14.8871</v>
      </c>
      <c r="AA32" s="21">
        <v>-8.6669899999999994E-3</v>
      </c>
      <c r="AB32" s="21">
        <v>22</v>
      </c>
      <c r="AC32" s="21">
        <v>1.6882299999999999</v>
      </c>
      <c r="AD32">
        <f t="shared" si="4"/>
        <v>10.699987654320985</v>
      </c>
      <c r="AE32">
        <f t="shared" si="5"/>
        <v>18.07388414629629</v>
      </c>
      <c r="AF32" s="9"/>
      <c r="AG32" s="21">
        <v>1.08337E-2</v>
      </c>
      <c r="AH32" s="21">
        <v>18.706299999999999</v>
      </c>
      <c r="AI32" s="21">
        <v>-1.4819300000000001E-2</v>
      </c>
      <c r="AJ32" s="21">
        <v>22</v>
      </c>
      <c r="AK32" s="21">
        <v>1.05804E-2</v>
      </c>
      <c r="AL32">
        <f t="shared" si="6"/>
        <v>18.295432098765431</v>
      </c>
      <c r="AM32">
        <f t="shared" si="7"/>
        <v>0.19820722272839505</v>
      </c>
      <c r="AP32" s="9"/>
      <c r="AQ32" s="21">
        <v>1.6891499999999999</v>
      </c>
      <c r="AR32" s="21">
        <v>24.199300000000001</v>
      </c>
      <c r="AS32" s="21">
        <v>-8.4228500000000008E-3</v>
      </c>
      <c r="AT32" s="21">
        <v>22</v>
      </c>
      <c r="AU32" s="21">
        <v>1.6879299999999999</v>
      </c>
      <c r="AV32">
        <f t="shared" si="8"/>
        <v>10.39858024691358</v>
      </c>
      <c r="AW32">
        <f t="shared" si="9"/>
        <v>17.564761824074072</v>
      </c>
      <c r="AX32" s="9"/>
      <c r="AY32" s="21">
        <v>1.08337E-2</v>
      </c>
      <c r="AZ32" s="21">
        <v>28.018599999999999</v>
      </c>
      <c r="BA32" s="21">
        <v>-1.48529E-2</v>
      </c>
      <c r="BB32" s="21">
        <v>22</v>
      </c>
      <c r="BC32" s="21">
        <v>1.0711699999999999E-2</v>
      </c>
      <c r="BD32">
        <f t="shared" si="10"/>
        <v>18.336913580246915</v>
      </c>
      <c r="BE32">
        <f t="shared" si="11"/>
        <v>0.19865662065432099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5.5739599999999996</v>
      </c>
      <c r="I33" s="21">
        <v>-9.8937999999999995E-3</v>
      </c>
      <c r="J33" s="21">
        <v>23</v>
      </c>
      <c r="K33" s="21">
        <v>1.6836500000000001</v>
      </c>
      <c r="L33">
        <f t="shared" si="0"/>
        <v>12.214567901234567</v>
      </c>
      <c r="M33">
        <f t="shared" si="1"/>
        <v>20.570675948148146</v>
      </c>
      <c r="N33" s="9"/>
      <c r="O33" s="21">
        <v>1.5869100000000001E-2</v>
      </c>
      <c r="P33" s="21">
        <v>9.3931500000000003</v>
      </c>
      <c r="Q33" s="21">
        <v>-1.48834E-2</v>
      </c>
      <c r="R33" s="21">
        <v>23</v>
      </c>
      <c r="S33" s="21">
        <v>1.5862999999999999E-2</v>
      </c>
      <c r="T33">
        <f t="shared" si="2"/>
        <v>18.374567901234567</v>
      </c>
      <c r="U33">
        <f t="shared" si="3"/>
        <v>0.29158785548148147</v>
      </c>
      <c r="X33" s="9"/>
      <c r="Y33" s="21">
        <v>1.68411</v>
      </c>
      <c r="Z33" s="21">
        <v>14.8972</v>
      </c>
      <c r="AA33" s="21">
        <v>-8.9477500000000008E-3</v>
      </c>
      <c r="AB33" s="21">
        <v>23</v>
      </c>
      <c r="AC33" s="21">
        <v>1.6836500000000001</v>
      </c>
      <c r="AD33">
        <f t="shared" si="4"/>
        <v>11.046604938271606</v>
      </c>
      <c r="AE33">
        <f t="shared" si="5"/>
        <v>18.603697842592595</v>
      </c>
      <c r="AF33" s="9"/>
      <c r="AG33" s="21">
        <v>1.5869100000000001E-2</v>
      </c>
      <c r="AH33" s="21">
        <v>18.7164</v>
      </c>
      <c r="AI33" s="21">
        <v>-1.4816299999999999E-2</v>
      </c>
      <c r="AJ33" s="21">
        <v>23</v>
      </c>
      <c r="AK33" s="21">
        <v>1.5744000000000001E-2</v>
      </c>
      <c r="AL33">
        <f t="shared" si="6"/>
        <v>18.291728395061728</v>
      </c>
      <c r="AM33">
        <f t="shared" si="7"/>
        <v>0.29027326707407408</v>
      </c>
      <c r="AP33" s="9"/>
      <c r="AQ33" s="21">
        <v>1.68411</v>
      </c>
      <c r="AR33" s="21">
        <v>24.209399999999999</v>
      </c>
      <c r="AS33" s="21">
        <v>-8.7066699999999997E-3</v>
      </c>
      <c r="AT33" s="21">
        <v>23</v>
      </c>
      <c r="AU33" s="21">
        <v>1.6836500000000001</v>
      </c>
      <c r="AV33">
        <f t="shared" si="8"/>
        <v>10.748975308641974</v>
      </c>
      <c r="AW33">
        <f t="shared" si="9"/>
        <v>18.102456807037036</v>
      </c>
      <c r="AX33" s="9"/>
      <c r="AY33" s="21">
        <v>1.5869100000000001E-2</v>
      </c>
      <c r="AZ33" s="21">
        <v>28.028700000000001</v>
      </c>
      <c r="BA33" s="21">
        <v>-1.48529E-2</v>
      </c>
      <c r="BB33" s="21">
        <v>23</v>
      </c>
      <c r="BC33" s="21">
        <v>1.5713499999999998E-2</v>
      </c>
      <c r="BD33">
        <f t="shared" si="10"/>
        <v>18.336913580246915</v>
      </c>
      <c r="BE33">
        <f t="shared" si="11"/>
        <v>0.29099031529629632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5.5840300000000003</v>
      </c>
      <c r="I34" s="21">
        <v>-1.0067700000000001E-2</v>
      </c>
      <c r="J34" s="21">
        <v>24</v>
      </c>
      <c r="K34" s="21">
        <v>1.6781600000000001</v>
      </c>
      <c r="L34">
        <f t="shared" si="0"/>
        <v>12.429259259259259</v>
      </c>
      <c r="M34">
        <f t="shared" si="1"/>
        <v>20.869720637037037</v>
      </c>
      <c r="N34" s="9"/>
      <c r="O34" s="21">
        <v>2.0904499999999999E-2</v>
      </c>
      <c r="P34" s="21">
        <v>9.4032199999999992</v>
      </c>
      <c r="Q34" s="21">
        <v>-1.48804E-2</v>
      </c>
      <c r="R34" s="21">
        <v>24</v>
      </c>
      <c r="S34" s="21">
        <v>2.0752E-2</v>
      </c>
      <c r="T34">
        <f t="shared" si="2"/>
        <v>18.370864197530864</v>
      </c>
      <c r="U34">
        <f t="shared" si="3"/>
        <v>0.38403373061728391</v>
      </c>
      <c r="X34" s="9"/>
      <c r="Y34" s="21">
        <v>1.6790799999999999</v>
      </c>
      <c r="Z34" s="21">
        <v>14.9072</v>
      </c>
      <c r="AA34" s="21">
        <v>-9.1888400000000002E-3</v>
      </c>
      <c r="AB34" s="21">
        <v>24</v>
      </c>
      <c r="AC34" s="21">
        <v>1.6781600000000001</v>
      </c>
      <c r="AD34">
        <f t="shared" si="4"/>
        <v>11.344246913580246</v>
      </c>
      <c r="AE34">
        <f t="shared" si="5"/>
        <v>19.047898107654319</v>
      </c>
      <c r="AF34" s="9"/>
      <c r="AG34" s="21">
        <v>2.0904499999999999E-2</v>
      </c>
      <c r="AH34" s="21">
        <v>18.726400000000002</v>
      </c>
      <c r="AI34" s="21">
        <v>-1.4810200000000001E-2</v>
      </c>
      <c r="AJ34" s="21">
        <v>24</v>
      </c>
      <c r="AK34" s="21">
        <v>2.0742799999999999E-2</v>
      </c>
      <c r="AL34">
        <f t="shared" si="6"/>
        <v>18.284197530864198</v>
      </c>
      <c r="AM34">
        <f t="shared" si="7"/>
        <v>0.38222200728395062</v>
      </c>
      <c r="AP34" s="9"/>
      <c r="AQ34" s="21">
        <v>1.6790799999999999</v>
      </c>
      <c r="AR34" s="21">
        <v>24.2195</v>
      </c>
      <c r="AS34" s="21">
        <v>-8.9691200000000006E-3</v>
      </c>
      <c r="AT34" s="21">
        <v>24</v>
      </c>
      <c r="AU34" s="21">
        <v>1.6781600000000001</v>
      </c>
      <c r="AV34">
        <f t="shared" si="8"/>
        <v>11.072987654320988</v>
      </c>
      <c r="AW34">
        <f t="shared" si="9"/>
        <v>18.592432110617285</v>
      </c>
      <c r="AX34" s="9"/>
      <c r="AY34" s="21">
        <v>2.0904499999999999E-2</v>
      </c>
      <c r="AZ34" s="21">
        <v>28.038699999999999</v>
      </c>
      <c r="BA34" s="21">
        <v>-1.48468E-2</v>
      </c>
      <c r="BB34" s="21">
        <v>24</v>
      </c>
      <c r="BC34" s="21">
        <v>2.07916E-2</v>
      </c>
      <c r="BD34">
        <f t="shared" si="10"/>
        <v>18.329382716049381</v>
      </c>
      <c r="BE34">
        <f t="shared" si="11"/>
        <v>0.38316658098765427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5.5941000000000001</v>
      </c>
      <c r="I35" s="21">
        <v>-1.02264E-2</v>
      </c>
      <c r="J35" s="21">
        <v>25</v>
      </c>
      <c r="K35" s="21">
        <v>1.6732800000000001</v>
      </c>
      <c r="L35">
        <f t="shared" si="0"/>
        <v>12.625185185185185</v>
      </c>
      <c r="M35">
        <f t="shared" si="1"/>
        <v>21.135065007407405</v>
      </c>
      <c r="N35" s="9"/>
      <c r="O35" s="21">
        <v>2.5939899999999998E-2</v>
      </c>
      <c r="P35" s="21">
        <v>9.4132899999999999</v>
      </c>
      <c r="Q35" s="21">
        <v>-1.48682E-2</v>
      </c>
      <c r="R35" s="21">
        <v>25</v>
      </c>
      <c r="S35" s="21">
        <v>2.5817900000000001E-2</v>
      </c>
      <c r="T35">
        <f t="shared" si="2"/>
        <v>18.355802469135799</v>
      </c>
      <c r="U35">
        <f t="shared" si="3"/>
        <v>0.47614768046913569</v>
      </c>
      <c r="X35" s="9"/>
      <c r="Y35" s="21">
        <v>1.67404</v>
      </c>
      <c r="Z35" s="21">
        <v>14.917299999999999</v>
      </c>
      <c r="AA35" s="21">
        <v>-9.4177199999999992E-3</v>
      </c>
      <c r="AB35" s="21">
        <v>25</v>
      </c>
      <c r="AC35" s="21">
        <v>1.6732800000000001</v>
      </c>
      <c r="AD35">
        <f t="shared" si="4"/>
        <v>11.626814814814814</v>
      </c>
      <c r="AE35">
        <f t="shared" si="5"/>
        <v>19.463753072592592</v>
      </c>
      <c r="AF35" s="9"/>
      <c r="AG35" s="21">
        <v>2.5939899999999998E-2</v>
      </c>
      <c r="AH35" s="21">
        <v>18.736499999999999</v>
      </c>
      <c r="AI35" s="21">
        <v>-1.48132E-2</v>
      </c>
      <c r="AJ35" s="21">
        <v>25</v>
      </c>
      <c r="AK35" s="21">
        <v>2.58087E-2</v>
      </c>
      <c r="AL35">
        <f t="shared" si="6"/>
        <v>18.287901234567901</v>
      </c>
      <c r="AM35">
        <f t="shared" si="7"/>
        <v>0.47438632923456786</v>
      </c>
      <c r="AP35" s="9"/>
      <c r="AQ35" s="21">
        <v>1.67404</v>
      </c>
      <c r="AR35" s="21">
        <v>24.229500000000002</v>
      </c>
      <c r="AS35" s="21">
        <v>-9.2102099999999999E-3</v>
      </c>
      <c r="AT35" s="21">
        <v>25</v>
      </c>
      <c r="AU35" s="21">
        <v>1.6732800000000001</v>
      </c>
      <c r="AV35">
        <f t="shared" si="8"/>
        <v>11.370629629629628</v>
      </c>
      <c r="AW35">
        <f t="shared" si="9"/>
        <v>19.034888825185181</v>
      </c>
      <c r="AX35" s="9"/>
      <c r="AY35" s="21">
        <v>2.5939899999999998E-2</v>
      </c>
      <c r="AZ35" s="21">
        <v>28.0488</v>
      </c>
      <c r="BA35" s="21">
        <v>-1.4849899999999999E-2</v>
      </c>
      <c r="BB35" s="21">
        <v>25</v>
      </c>
      <c r="BC35" s="21">
        <v>2.5814799999999999E-2</v>
      </c>
      <c r="BD35">
        <f t="shared" si="10"/>
        <v>18.333209876543208</v>
      </c>
      <c r="BE35">
        <f t="shared" si="11"/>
        <v>0.47556163087654313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5.6041699999999999</v>
      </c>
      <c r="I36" s="21">
        <v>-1.03821E-2</v>
      </c>
      <c r="J36" s="21">
        <v>26</v>
      </c>
      <c r="K36" s="21">
        <v>1.6680900000000001</v>
      </c>
      <c r="L36">
        <f t="shared" si="0"/>
        <v>12.817407407407407</v>
      </c>
      <c r="M36">
        <f t="shared" si="1"/>
        <v>21.392381137037038</v>
      </c>
      <c r="N36" s="9"/>
      <c r="O36" s="21">
        <v>3.0975300000000001E-2</v>
      </c>
      <c r="P36" s="21">
        <v>9.4233600000000006</v>
      </c>
      <c r="Q36" s="21">
        <v>-1.4855999999999999E-2</v>
      </c>
      <c r="R36" s="21">
        <v>26</v>
      </c>
      <c r="S36" s="21">
        <v>3.0892900000000001E-2</v>
      </c>
      <c r="T36">
        <f t="shared" si="2"/>
        <v>18.340740740740738</v>
      </c>
      <c r="U36">
        <f t="shared" si="3"/>
        <v>0.56810994666666659</v>
      </c>
      <c r="X36" s="9"/>
      <c r="Y36" s="21">
        <v>1.6690100000000001</v>
      </c>
      <c r="Z36" s="21">
        <v>14.9274</v>
      </c>
      <c r="AA36" s="21">
        <v>-9.6282999999999994E-3</v>
      </c>
      <c r="AB36" s="21">
        <v>26</v>
      </c>
      <c r="AC36" s="21">
        <v>1.6680900000000001</v>
      </c>
      <c r="AD36">
        <f t="shared" si="4"/>
        <v>11.886790123456787</v>
      </c>
      <c r="AE36">
        <f t="shared" si="5"/>
        <v>19.839171583950613</v>
      </c>
      <c r="AF36" s="9"/>
      <c r="AG36" s="21">
        <v>3.0975300000000001E-2</v>
      </c>
      <c r="AH36" s="21">
        <v>18.746600000000001</v>
      </c>
      <c r="AI36" s="21">
        <v>-1.48071E-2</v>
      </c>
      <c r="AJ36" s="21">
        <v>26</v>
      </c>
      <c r="AK36" s="21">
        <v>3.0874599999999999E-2</v>
      </c>
      <c r="AL36">
        <f t="shared" si="6"/>
        <v>18.28037037037037</v>
      </c>
      <c r="AM36">
        <f t="shared" si="7"/>
        <v>0.56623995633333335</v>
      </c>
      <c r="AP36" s="9"/>
      <c r="AQ36" s="21">
        <v>1.6690100000000001</v>
      </c>
      <c r="AR36" s="21">
        <v>24.239599999999999</v>
      </c>
      <c r="AS36" s="21">
        <v>-9.4299299999999996E-3</v>
      </c>
      <c r="AT36" s="21">
        <v>26</v>
      </c>
      <c r="AU36" s="21">
        <v>1.6684000000000001</v>
      </c>
      <c r="AV36">
        <f t="shared" si="8"/>
        <v>11.641888888888888</v>
      </c>
      <c r="AW36">
        <f t="shared" si="9"/>
        <v>19.430428974444443</v>
      </c>
      <c r="AX36" s="9"/>
      <c r="AY36" s="21">
        <v>3.0975300000000001E-2</v>
      </c>
      <c r="AZ36" s="21">
        <v>28.058900000000001</v>
      </c>
      <c r="BA36" s="21">
        <v>-1.4849899999999999E-2</v>
      </c>
      <c r="BB36" s="21">
        <v>26</v>
      </c>
      <c r="BC36" s="21">
        <v>3.0886799999999999E-2</v>
      </c>
      <c r="BD36">
        <f t="shared" si="10"/>
        <v>18.333209876543208</v>
      </c>
      <c r="BE36">
        <f t="shared" si="11"/>
        <v>0.56787667588888879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5.6142399999999997</v>
      </c>
      <c r="I37" s="21">
        <v>-1.05316E-2</v>
      </c>
      <c r="J37" s="21">
        <v>27</v>
      </c>
      <c r="K37" s="21">
        <v>1.6632100000000001</v>
      </c>
      <c r="L37">
        <f t="shared" si="0"/>
        <v>13.001975308641976</v>
      </c>
      <c r="M37">
        <f t="shared" si="1"/>
        <v>21.634896854320989</v>
      </c>
      <c r="N37" s="9"/>
      <c r="O37" s="21">
        <v>3.60107E-2</v>
      </c>
      <c r="P37" s="21">
        <v>9.4334399999999992</v>
      </c>
      <c r="Q37" s="21">
        <v>-1.48468E-2</v>
      </c>
      <c r="R37" s="21">
        <v>27</v>
      </c>
      <c r="S37" s="21">
        <v>3.5928300000000003E-2</v>
      </c>
      <c r="T37">
        <f t="shared" si="2"/>
        <v>18.329382716049381</v>
      </c>
      <c r="U37">
        <f t="shared" si="3"/>
        <v>0.66005390217283944</v>
      </c>
      <c r="X37" s="9"/>
      <c r="Y37" s="21">
        <v>1.6639699999999999</v>
      </c>
      <c r="Z37" s="21">
        <v>14.9375</v>
      </c>
      <c r="AA37" s="21">
        <v>-9.8297100000000002E-3</v>
      </c>
      <c r="AB37" s="21">
        <v>27</v>
      </c>
      <c r="AC37" s="21">
        <v>1.6632100000000001</v>
      </c>
      <c r="AD37">
        <f t="shared" si="4"/>
        <v>12.135444444444444</v>
      </c>
      <c r="AE37">
        <f t="shared" si="5"/>
        <v>20.193015492222219</v>
      </c>
      <c r="AF37" s="9"/>
      <c r="AG37" s="21">
        <v>3.60107E-2</v>
      </c>
      <c r="AH37" s="21">
        <v>18.756599999999999</v>
      </c>
      <c r="AI37" s="21">
        <v>-1.4798E-2</v>
      </c>
      <c r="AJ37" s="21">
        <v>27</v>
      </c>
      <c r="AK37" s="21">
        <v>3.5922200000000001E-2</v>
      </c>
      <c r="AL37">
        <f t="shared" si="6"/>
        <v>18.269135802469137</v>
      </c>
      <c r="AM37">
        <f t="shared" si="7"/>
        <v>0.6578843686419753</v>
      </c>
      <c r="AP37" s="9"/>
      <c r="AQ37" s="21">
        <v>1.6639699999999999</v>
      </c>
      <c r="AR37" s="21">
        <v>24.249700000000001</v>
      </c>
      <c r="AS37" s="21">
        <v>-9.6435500000000007E-3</v>
      </c>
      <c r="AT37" s="21">
        <v>27</v>
      </c>
      <c r="AU37" s="21">
        <v>1.6626000000000001</v>
      </c>
      <c r="AV37">
        <f t="shared" si="8"/>
        <v>11.905617283950617</v>
      </c>
      <c r="AW37">
        <f t="shared" si="9"/>
        <v>19.810589991975309</v>
      </c>
      <c r="AX37" s="9"/>
      <c r="AY37" s="21">
        <v>3.60107E-2</v>
      </c>
      <c r="AZ37" s="21">
        <v>28.068999999999999</v>
      </c>
      <c r="BA37" s="21">
        <v>-1.48468E-2</v>
      </c>
      <c r="BB37" s="21">
        <v>27</v>
      </c>
      <c r="BC37" s="21">
        <v>3.5848999999999999E-2</v>
      </c>
      <c r="BD37">
        <f t="shared" si="10"/>
        <v>18.329382716049381</v>
      </c>
      <c r="BE37">
        <f t="shared" si="11"/>
        <v>0.66005390217283944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5.6243100000000004</v>
      </c>
      <c r="I38" s="21">
        <v>-1.06689E-2</v>
      </c>
      <c r="J38" s="21">
        <v>28</v>
      </c>
      <c r="K38" s="21">
        <v>1.65802</v>
      </c>
      <c r="L38">
        <f t="shared" si="0"/>
        <v>13.17148148148148</v>
      </c>
      <c r="M38">
        <f t="shared" si="1"/>
        <v>21.850697488888887</v>
      </c>
      <c r="N38" s="9"/>
      <c r="O38" s="21">
        <v>4.1046100000000002E-2</v>
      </c>
      <c r="P38" s="21">
        <v>9.4435099999999998</v>
      </c>
      <c r="Q38" s="21">
        <v>-1.4843800000000001E-2</v>
      </c>
      <c r="R38" s="21">
        <v>28</v>
      </c>
      <c r="S38" s="21">
        <v>4.1030900000000002E-2</v>
      </c>
      <c r="T38">
        <f t="shared" si="2"/>
        <v>18.325679012345677</v>
      </c>
      <c r="U38">
        <f t="shared" si="3"/>
        <v>0.75219765330864197</v>
      </c>
      <c r="X38" s="9"/>
      <c r="Y38" s="21">
        <v>1.6589400000000001</v>
      </c>
      <c r="Z38" s="21">
        <v>14.9475</v>
      </c>
      <c r="AA38" s="21">
        <v>-1.00067E-2</v>
      </c>
      <c r="AB38" s="21">
        <v>28</v>
      </c>
      <c r="AC38" s="21">
        <v>1.65802</v>
      </c>
      <c r="AD38">
        <f t="shared" si="4"/>
        <v>12.353950617283949</v>
      </c>
      <c r="AE38">
        <f t="shared" si="5"/>
        <v>20.494462837037037</v>
      </c>
      <c r="AF38" s="9"/>
      <c r="AG38" s="21">
        <v>4.1046100000000002E-2</v>
      </c>
      <c r="AH38" s="21">
        <v>18.7667</v>
      </c>
      <c r="AI38" s="21">
        <v>-1.47888E-2</v>
      </c>
      <c r="AJ38" s="21">
        <v>28</v>
      </c>
      <c r="AK38" s="21">
        <v>4.09973E-2</v>
      </c>
      <c r="AL38">
        <f t="shared" si="6"/>
        <v>18.257777777777775</v>
      </c>
      <c r="AM38">
        <f t="shared" si="7"/>
        <v>0.74941057244444442</v>
      </c>
      <c r="AP38" s="9"/>
      <c r="AQ38" s="21">
        <v>1.6589400000000001</v>
      </c>
      <c r="AR38" s="21">
        <v>24.259799999999998</v>
      </c>
      <c r="AS38" s="21">
        <v>-9.8358200000000003E-3</v>
      </c>
      <c r="AT38" s="21">
        <v>28</v>
      </c>
      <c r="AU38" s="21">
        <v>1.6583300000000001</v>
      </c>
      <c r="AV38">
        <f t="shared" si="8"/>
        <v>12.142987654320986</v>
      </c>
      <c r="AW38">
        <f t="shared" si="9"/>
        <v>20.144487939259257</v>
      </c>
      <c r="AX38" s="9"/>
      <c r="AY38" s="21">
        <v>4.1046100000000002E-2</v>
      </c>
      <c r="AZ38" s="21">
        <v>28.079000000000001</v>
      </c>
      <c r="BA38" s="21">
        <v>-1.48468E-2</v>
      </c>
      <c r="BB38" s="21">
        <v>28</v>
      </c>
      <c r="BC38" s="21">
        <v>4.0939299999999998E-2</v>
      </c>
      <c r="BD38">
        <f t="shared" si="10"/>
        <v>18.329382716049381</v>
      </c>
      <c r="BE38">
        <f t="shared" si="11"/>
        <v>0.75234967590123447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5.6343800000000002</v>
      </c>
      <c r="I39" s="21">
        <v>-1.0809300000000001E-2</v>
      </c>
      <c r="J39" s="21">
        <v>29</v>
      </c>
      <c r="K39" s="21">
        <v>1.6531400000000001</v>
      </c>
      <c r="L39">
        <f t="shared" si="0"/>
        <v>13.344814814814814</v>
      </c>
      <c r="M39">
        <f t="shared" si="1"/>
        <v>22.07098922222222</v>
      </c>
      <c r="N39" s="9"/>
      <c r="O39" s="21">
        <v>4.6081499999999997E-2</v>
      </c>
      <c r="P39" s="21">
        <v>9.4535800000000005</v>
      </c>
      <c r="Q39" s="21">
        <v>-1.4843800000000001E-2</v>
      </c>
      <c r="R39" s="21">
        <v>29</v>
      </c>
      <c r="S39" s="21">
        <v>4.6023599999999998E-2</v>
      </c>
      <c r="T39">
        <f t="shared" si="2"/>
        <v>18.325679012345677</v>
      </c>
      <c r="U39">
        <f t="shared" si="3"/>
        <v>0.84447477740740728</v>
      </c>
      <c r="X39" s="9"/>
      <c r="Y39" s="21">
        <v>1.6538999999999999</v>
      </c>
      <c r="Z39" s="21">
        <v>14.957599999999999</v>
      </c>
      <c r="AA39" s="21">
        <v>-1.0186799999999999E-2</v>
      </c>
      <c r="AB39" s="21">
        <v>29</v>
      </c>
      <c r="AC39" s="21">
        <v>1.65283</v>
      </c>
      <c r="AD39">
        <f t="shared" si="4"/>
        <v>12.576296296296295</v>
      </c>
      <c r="AE39">
        <f t="shared" si="5"/>
        <v>20.799936444444441</v>
      </c>
      <c r="AF39" s="9"/>
      <c r="AG39" s="21">
        <v>4.6081499999999997E-2</v>
      </c>
      <c r="AH39" s="21">
        <v>18.776800000000001</v>
      </c>
      <c r="AI39" s="21">
        <v>-1.4782699999999999E-2</v>
      </c>
      <c r="AJ39" s="21">
        <v>29</v>
      </c>
      <c r="AK39" s="21">
        <v>4.5990000000000003E-2</v>
      </c>
      <c r="AL39">
        <f t="shared" si="6"/>
        <v>18.250246913580245</v>
      </c>
      <c r="AM39">
        <f t="shared" si="7"/>
        <v>0.84099875314814798</v>
      </c>
      <c r="AP39" s="9"/>
      <c r="AQ39" s="21">
        <v>1.6538999999999999</v>
      </c>
      <c r="AR39" s="21">
        <v>24.2698</v>
      </c>
      <c r="AS39" s="21">
        <v>-1.0009799999999999E-2</v>
      </c>
      <c r="AT39" s="21">
        <v>29</v>
      </c>
      <c r="AU39" s="21">
        <v>1.6531400000000001</v>
      </c>
      <c r="AV39">
        <f t="shared" si="8"/>
        <v>12.357777777777777</v>
      </c>
      <c r="AW39">
        <f t="shared" si="9"/>
        <v>20.438528666666663</v>
      </c>
      <c r="AX39" s="9"/>
      <c r="AY39" s="21">
        <v>4.6081499999999997E-2</v>
      </c>
      <c r="AZ39" s="21">
        <v>28.089099999999998</v>
      </c>
      <c r="BA39" s="21">
        <v>-1.4859000000000001E-2</v>
      </c>
      <c r="BB39" s="21">
        <v>29</v>
      </c>
      <c r="BC39" s="21">
        <v>4.6020499999999999E-2</v>
      </c>
      <c r="BD39">
        <f t="shared" si="10"/>
        <v>18.344444444444445</v>
      </c>
      <c r="BE39">
        <f t="shared" si="11"/>
        <v>0.84533951666666662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5.6444599999999996</v>
      </c>
      <c r="I40" s="21">
        <v>-1.0937499999999999E-2</v>
      </c>
      <c r="J40" s="21">
        <v>30</v>
      </c>
      <c r="K40" s="21">
        <v>1.64795</v>
      </c>
      <c r="L40">
        <f t="shared" si="0"/>
        <v>13.503086419753084</v>
      </c>
      <c r="M40">
        <f t="shared" si="1"/>
        <v>22.26469907407407</v>
      </c>
      <c r="N40" s="9"/>
      <c r="O40" s="21">
        <v>5.11169E-2</v>
      </c>
      <c r="P40" s="21">
        <v>9.4636499999999995</v>
      </c>
      <c r="Q40" s="21">
        <v>-1.4837599999999999E-2</v>
      </c>
      <c r="R40" s="21">
        <v>30</v>
      </c>
      <c r="S40" s="21">
        <v>5.1071199999999997E-2</v>
      </c>
      <c r="T40">
        <f t="shared" si="2"/>
        <v>18.318024691358023</v>
      </c>
      <c r="U40">
        <f t="shared" si="3"/>
        <v>0.9363606363456789</v>
      </c>
      <c r="X40" s="9"/>
      <c r="Y40" s="21">
        <v>1.64886</v>
      </c>
      <c r="Z40" s="21">
        <v>14.967700000000001</v>
      </c>
      <c r="AA40" s="21">
        <v>-1.03424E-2</v>
      </c>
      <c r="AB40" s="21">
        <v>30</v>
      </c>
      <c r="AC40" s="21">
        <v>1.64856</v>
      </c>
      <c r="AD40">
        <f t="shared" si="4"/>
        <v>12.768395061728393</v>
      </c>
      <c r="AE40">
        <f t="shared" si="5"/>
        <v>21.053295881481478</v>
      </c>
      <c r="AF40" s="9"/>
      <c r="AG40" s="21">
        <v>5.11169E-2</v>
      </c>
      <c r="AH40" s="21">
        <v>18.786899999999999</v>
      </c>
      <c r="AI40" s="21">
        <v>-1.47797E-2</v>
      </c>
      <c r="AJ40" s="21">
        <v>30</v>
      </c>
      <c r="AK40" s="21">
        <v>5.1043699999999997E-2</v>
      </c>
      <c r="AL40">
        <f t="shared" si="6"/>
        <v>18.246543209876542</v>
      </c>
      <c r="AM40">
        <f t="shared" si="7"/>
        <v>0.9327067246049382</v>
      </c>
      <c r="AP40" s="9"/>
      <c r="AQ40" s="21">
        <v>1.64886</v>
      </c>
      <c r="AR40" s="21">
        <v>24.279900000000001</v>
      </c>
      <c r="AS40" s="21">
        <v>-1.0174600000000001E-2</v>
      </c>
      <c r="AT40" s="21">
        <v>30</v>
      </c>
      <c r="AU40" s="21">
        <v>1.64825</v>
      </c>
      <c r="AV40">
        <f t="shared" si="8"/>
        <v>12.561234567901234</v>
      </c>
      <c r="AW40">
        <f t="shared" si="9"/>
        <v>20.711717229629627</v>
      </c>
      <c r="AX40" s="9"/>
      <c r="AY40" s="21">
        <v>5.11169E-2</v>
      </c>
      <c r="AZ40" s="21">
        <v>28.0992</v>
      </c>
      <c r="BA40" s="21">
        <v>-1.4865099999999999E-2</v>
      </c>
      <c r="BB40" s="21">
        <v>30</v>
      </c>
      <c r="BC40" s="21">
        <v>5.0659200000000001E-2</v>
      </c>
      <c r="BD40">
        <f t="shared" si="10"/>
        <v>18.351975308641972</v>
      </c>
      <c r="BE40">
        <f t="shared" si="11"/>
        <v>0.93809608665432076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5.6545300000000003</v>
      </c>
      <c r="I41" s="21">
        <v>-1.10504E-2</v>
      </c>
      <c r="J41" s="21">
        <v>31</v>
      </c>
      <c r="K41" s="21">
        <v>1.64276</v>
      </c>
      <c r="L41">
        <f t="shared" si="0"/>
        <v>13.64246913580247</v>
      </c>
      <c r="M41">
        <f t="shared" si="1"/>
        <v>22.425900039506171</v>
      </c>
      <c r="N41" s="9"/>
      <c r="O41" s="21">
        <v>5.6152300000000002E-2</v>
      </c>
      <c r="P41" s="21">
        <v>9.4737200000000001</v>
      </c>
      <c r="Q41" s="21">
        <v>-1.48285E-2</v>
      </c>
      <c r="R41" s="21">
        <v>31</v>
      </c>
      <c r="S41" s="21">
        <v>5.5694599999999997E-2</v>
      </c>
      <c r="T41">
        <f t="shared" si="2"/>
        <v>18.306790123456789</v>
      </c>
      <c r="U41">
        <f t="shared" si="3"/>
        <v>1.0279683710493828</v>
      </c>
      <c r="X41" s="9"/>
      <c r="Y41" s="21">
        <v>1.6438299999999999</v>
      </c>
      <c r="Z41" s="21">
        <v>14.9777</v>
      </c>
      <c r="AA41" s="21">
        <v>-1.04919E-2</v>
      </c>
      <c r="AB41" s="21">
        <v>31</v>
      </c>
      <c r="AC41" s="21">
        <v>1.64307</v>
      </c>
      <c r="AD41">
        <f t="shared" si="4"/>
        <v>12.952962962962962</v>
      </c>
      <c r="AE41">
        <f t="shared" si="5"/>
        <v>21.292469107407406</v>
      </c>
      <c r="AF41" s="9"/>
      <c r="AG41" s="21">
        <v>5.6152300000000002E-2</v>
      </c>
      <c r="AH41" s="21">
        <v>18.796900000000001</v>
      </c>
      <c r="AI41" s="21">
        <v>-1.4767499999999999E-2</v>
      </c>
      <c r="AJ41" s="21">
        <v>31</v>
      </c>
      <c r="AK41" s="21">
        <v>5.57251E-2</v>
      </c>
      <c r="AL41">
        <f t="shared" si="6"/>
        <v>18.231481481481481</v>
      </c>
      <c r="AM41">
        <f t="shared" si="7"/>
        <v>1.0237396175925926</v>
      </c>
      <c r="AP41" s="9"/>
      <c r="AQ41" s="21">
        <v>1.6438299999999999</v>
      </c>
      <c r="AR41" s="21">
        <v>24.29</v>
      </c>
      <c r="AS41" s="21">
        <v>-1.03333E-2</v>
      </c>
      <c r="AT41" s="21">
        <v>31</v>
      </c>
      <c r="AU41" s="21">
        <v>1.64307</v>
      </c>
      <c r="AV41">
        <f t="shared" si="8"/>
        <v>12.757160493827159</v>
      </c>
      <c r="AW41">
        <f t="shared" si="9"/>
        <v>20.970603134567899</v>
      </c>
      <c r="AX41" s="9"/>
      <c r="AY41" s="21">
        <v>5.6152300000000002E-2</v>
      </c>
      <c r="AZ41" s="21">
        <v>28.109200000000001</v>
      </c>
      <c r="BA41" s="21">
        <v>-1.4865099999999999E-2</v>
      </c>
      <c r="BB41" s="21">
        <v>31</v>
      </c>
      <c r="BC41" s="21">
        <v>5.5755600000000002E-2</v>
      </c>
      <c r="BD41">
        <f t="shared" si="10"/>
        <v>18.351975308641972</v>
      </c>
      <c r="BE41">
        <f t="shared" si="11"/>
        <v>1.0305056231234566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5.6646000000000001</v>
      </c>
      <c r="I42" s="21">
        <v>-1.11542E-2</v>
      </c>
      <c r="J42" s="21">
        <v>32</v>
      </c>
      <c r="K42" s="21">
        <v>1.63788</v>
      </c>
      <c r="L42">
        <f t="shared" si="0"/>
        <v>13.770617283950616</v>
      </c>
      <c r="M42">
        <f t="shared" si="1"/>
        <v>22.567149898765429</v>
      </c>
      <c r="N42" s="9"/>
      <c r="O42" s="21">
        <v>6.1187699999999998E-2</v>
      </c>
      <c r="P42" s="21">
        <v>9.4837900000000008</v>
      </c>
      <c r="Q42" s="21">
        <v>-1.48285E-2</v>
      </c>
      <c r="R42" s="21">
        <v>32</v>
      </c>
      <c r="S42" s="21">
        <v>6.0699500000000003E-2</v>
      </c>
      <c r="T42">
        <f t="shared" si="2"/>
        <v>18.306790123456789</v>
      </c>
      <c r="U42">
        <f t="shared" si="3"/>
        <v>1.1201503820370369</v>
      </c>
      <c r="X42" s="9"/>
      <c r="Y42" s="21">
        <v>1.63879</v>
      </c>
      <c r="Z42" s="21">
        <v>14.9878</v>
      </c>
      <c r="AA42" s="21">
        <v>-1.06354E-2</v>
      </c>
      <c r="AB42" s="21">
        <v>32</v>
      </c>
      <c r="AC42" s="21">
        <v>1.63849</v>
      </c>
      <c r="AD42">
        <f t="shared" si="4"/>
        <v>13.130123456790121</v>
      </c>
      <c r="AE42">
        <f t="shared" si="5"/>
        <v>21.517515019753084</v>
      </c>
      <c r="AF42" s="9"/>
      <c r="AG42" s="21">
        <v>6.1187699999999998E-2</v>
      </c>
      <c r="AH42" s="21">
        <v>18.806999999999999</v>
      </c>
      <c r="AI42" s="21">
        <v>-1.47552E-2</v>
      </c>
      <c r="AJ42" s="21">
        <v>32</v>
      </c>
      <c r="AK42" s="21">
        <v>6.0668899999999998E-2</v>
      </c>
      <c r="AL42">
        <f t="shared" si="6"/>
        <v>18.216296296296292</v>
      </c>
      <c r="AM42">
        <f t="shared" si="7"/>
        <v>1.1146132728888887</v>
      </c>
      <c r="AP42" s="9"/>
      <c r="AQ42" s="21">
        <v>1.63879</v>
      </c>
      <c r="AR42" s="21">
        <v>24.3</v>
      </c>
      <c r="AS42" s="21">
        <v>-1.04828E-2</v>
      </c>
      <c r="AT42" s="21">
        <v>32</v>
      </c>
      <c r="AU42" s="21">
        <v>1.63788</v>
      </c>
      <c r="AV42">
        <f t="shared" si="8"/>
        <v>12.941728395061729</v>
      </c>
      <c r="AW42">
        <f t="shared" si="9"/>
        <v>21.208775076543208</v>
      </c>
      <c r="AX42" s="9"/>
      <c r="AY42" s="21">
        <v>6.1187699999999998E-2</v>
      </c>
      <c r="AZ42" s="21">
        <v>28.119299999999999</v>
      </c>
      <c r="BA42" s="21">
        <v>-1.4865099999999999E-2</v>
      </c>
      <c r="BB42" s="21">
        <v>32</v>
      </c>
      <c r="BC42" s="21">
        <v>6.0668899999999998E-2</v>
      </c>
      <c r="BD42">
        <f t="shared" si="10"/>
        <v>18.351975308641972</v>
      </c>
      <c r="BE42">
        <f t="shared" si="11"/>
        <v>1.1229151595925924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5.6746699999999999</v>
      </c>
      <c r="I43" s="21">
        <v>-1.12549E-2</v>
      </c>
      <c r="J43" s="21">
        <v>33</v>
      </c>
      <c r="K43" s="21">
        <v>1.633</v>
      </c>
      <c r="L43">
        <f t="shared" si="0"/>
        <v>13.894938271604937</v>
      </c>
      <c r="M43">
        <f t="shared" si="1"/>
        <v>22.700994350617282</v>
      </c>
      <c r="N43" s="9"/>
      <c r="O43" s="21">
        <v>6.6223099999999993E-2</v>
      </c>
      <c r="P43" s="21">
        <v>9.4938599999999997</v>
      </c>
      <c r="Q43" s="21">
        <v>-1.4816299999999999E-2</v>
      </c>
      <c r="R43" s="21">
        <v>33</v>
      </c>
      <c r="S43" s="21">
        <v>6.5673800000000004E-2</v>
      </c>
      <c r="T43">
        <f t="shared" si="2"/>
        <v>18.291728395061728</v>
      </c>
      <c r="U43">
        <f t="shared" si="3"/>
        <v>1.2113349586790123</v>
      </c>
      <c r="X43" s="9"/>
      <c r="Y43" s="21">
        <v>1.6337600000000001</v>
      </c>
      <c r="Z43" s="21">
        <v>14.9979</v>
      </c>
      <c r="AA43" s="21">
        <v>-1.07727E-2</v>
      </c>
      <c r="AB43" s="21">
        <v>33</v>
      </c>
      <c r="AC43" s="21">
        <v>1.6333</v>
      </c>
      <c r="AD43">
        <f t="shared" si="4"/>
        <v>13.299629629629628</v>
      </c>
      <c r="AE43">
        <f t="shared" si="5"/>
        <v>21.728402903703703</v>
      </c>
      <c r="AF43" s="9"/>
      <c r="AG43" s="21">
        <v>6.6223099999999993E-2</v>
      </c>
      <c r="AH43" s="21">
        <v>18.8171</v>
      </c>
      <c r="AI43" s="21">
        <v>-1.4742999999999999E-2</v>
      </c>
      <c r="AJ43" s="21">
        <v>33</v>
      </c>
      <c r="AK43" s="21">
        <v>6.5856899999999996E-2</v>
      </c>
      <c r="AL43">
        <f t="shared" si="6"/>
        <v>18.201234567901235</v>
      </c>
      <c r="AM43">
        <f t="shared" si="7"/>
        <v>1.2053421769135801</v>
      </c>
      <c r="AP43" s="9"/>
      <c r="AQ43" s="21">
        <v>1.6337600000000001</v>
      </c>
      <c r="AR43" s="21">
        <v>24.310099999999998</v>
      </c>
      <c r="AS43" s="21">
        <v>-1.06354E-2</v>
      </c>
      <c r="AT43" s="21">
        <v>33</v>
      </c>
      <c r="AU43" s="21">
        <v>1.633</v>
      </c>
      <c r="AV43">
        <f t="shared" si="8"/>
        <v>13.130123456790121</v>
      </c>
      <c r="AW43">
        <f t="shared" si="9"/>
        <v>21.451470498765431</v>
      </c>
      <c r="AX43" s="9"/>
      <c r="AY43" s="21">
        <v>6.6223099999999993E-2</v>
      </c>
      <c r="AZ43" s="21">
        <v>28.1294</v>
      </c>
      <c r="BA43" s="21">
        <v>-1.48682E-2</v>
      </c>
      <c r="BB43" s="21">
        <v>33</v>
      </c>
      <c r="BC43" s="21">
        <v>6.5704299999999993E-2</v>
      </c>
      <c r="BD43">
        <f t="shared" si="10"/>
        <v>18.355802469135799</v>
      </c>
      <c r="BE43">
        <f t="shared" si="11"/>
        <v>1.2155781424938268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5.6847399999999997</v>
      </c>
      <c r="I44" s="21">
        <v>-1.13464E-2</v>
      </c>
      <c r="J44" s="21">
        <v>34</v>
      </c>
      <c r="K44" s="21">
        <v>1.6281099999999999</v>
      </c>
      <c r="L44">
        <f t="shared" si="0"/>
        <v>14.0079012345679</v>
      </c>
      <c r="M44">
        <f t="shared" si="1"/>
        <v>22.814948898765429</v>
      </c>
      <c r="N44" s="9"/>
      <c r="O44" s="21">
        <v>7.1258500000000002E-2</v>
      </c>
      <c r="P44" s="21">
        <v>9.5039300000000004</v>
      </c>
      <c r="Q44" s="21">
        <v>-1.4822399999999999E-2</v>
      </c>
      <c r="R44" s="21">
        <v>34</v>
      </c>
      <c r="S44" s="21">
        <v>7.0648199999999994E-2</v>
      </c>
      <c r="T44">
        <f t="shared" si="2"/>
        <v>18.299259259259259</v>
      </c>
      <c r="U44">
        <f t="shared" si="3"/>
        <v>1.303977765925926</v>
      </c>
      <c r="X44" s="9"/>
      <c r="Y44" s="21">
        <v>1.6287199999999999</v>
      </c>
      <c r="Z44" s="21">
        <v>15.007999999999999</v>
      </c>
      <c r="AA44" s="21">
        <v>-1.0888699999999999E-2</v>
      </c>
      <c r="AB44" s="21">
        <v>34</v>
      </c>
      <c r="AC44" s="21">
        <v>1.62781</v>
      </c>
      <c r="AD44">
        <f t="shared" si="4"/>
        <v>13.442839506172838</v>
      </c>
      <c r="AE44">
        <f t="shared" si="5"/>
        <v>21.894621560493825</v>
      </c>
      <c r="AF44" s="9"/>
      <c r="AG44" s="21">
        <v>7.1258500000000002E-2</v>
      </c>
      <c r="AH44" s="21">
        <v>18.827100000000002</v>
      </c>
      <c r="AI44" s="21">
        <v>-1.47308E-2</v>
      </c>
      <c r="AJ44" s="21">
        <v>34</v>
      </c>
      <c r="AK44" s="21">
        <v>7.0739700000000003E-2</v>
      </c>
      <c r="AL44">
        <f t="shared" si="6"/>
        <v>18.186172839506174</v>
      </c>
      <c r="AM44">
        <f t="shared" si="7"/>
        <v>1.2959193972839507</v>
      </c>
      <c r="AP44" s="9"/>
      <c r="AQ44" s="21">
        <v>1.6287199999999999</v>
      </c>
      <c r="AR44" s="21">
        <v>24.3202</v>
      </c>
      <c r="AS44" s="21">
        <v>-1.07727E-2</v>
      </c>
      <c r="AT44" s="21">
        <v>34</v>
      </c>
      <c r="AU44" s="21">
        <v>1.62781</v>
      </c>
      <c r="AV44">
        <f t="shared" si="8"/>
        <v>13.299629629629628</v>
      </c>
      <c r="AW44">
        <f t="shared" si="9"/>
        <v>21.661372770370367</v>
      </c>
      <c r="AX44" s="9"/>
      <c r="AY44" s="21">
        <v>7.1258500000000002E-2</v>
      </c>
      <c r="AZ44" s="21">
        <v>28.139399999999998</v>
      </c>
      <c r="BA44" s="21">
        <v>-1.4865099999999999E-2</v>
      </c>
      <c r="BB44" s="21">
        <v>34</v>
      </c>
      <c r="BC44" s="21">
        <v>7.08313E-2</v>
      </c>
      <c r="BD44">
        <f t="shared" si="10"/>
        <v>18.351975308641972</v>
      </c>
      <c r="BE44">
        <f t="shared" si="11"/>
        <v>1.3077342325308641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5.6948100000000004</v>
      </c>
      <c r="I45" s="21">
        <v>-1.14319E-2</v>
      </c>
      <c r="J45" s="21">
        <v>35</v>
      </c>
      <c r="K45" s="21">
        <v>1.6229199999999999</v>
      </c>
      <c r="L45">
        <f t="shared" si="0"/>
        <v>14.113456790123456</v>
      </c>
      <c r="M45">
        <f t="shared" si="1"/>
        <v>22.915878655555556</v>
      </c>
      <c r="N45" s="9"/>
      <c r="O45" s="21">
        <v>7.6293899999999998E-2</v>
      </c>
      <c r="P45" s="21">
        <v>9.5139999999999993</v>
      </c>
      <c r="Q45" s="21">
        <v>-1.4831499999999999E-2</v>
      </c>
      <c r="R45" s="21">
        <v>35</v>
      </c>
      <c r="S45" s="21">
        <v>7.5897199999999998E-2</v>
      </c>
      <c r="T45">
        <f t="shared" si="2"/>
        <v>18.310493827160489</v>
      </c>
      <c r="U45">
        <f t="shared" si="3"/>
        <v>1.3969789849999996</v>
      </c>
      <c r="X45" s="9"/>
      <c r="Y45" s="21">
        <v>1.6236900000000001</v>
      </c>
      <c r="Z45" s="21">
        <v>15.018000000000001</v>
      </c>
      <c r="AA45" s="21">
        <v>-1.09955E-2</v>
      </c>
      <c r="AB45" s="21">
        <v>35</v>
      </c>
      <c r="AC45" s="21">
        <v>1.62323</v>
      </c>
      <c r="AD45">
        <f t="shared" si="4"/>
        <v>13.574691358024692</v>
      </c>
      <c r="AE45">
        <f t="shared" si="5"/>
        <v>22.041090611111112</v>
      </c>
      <c r="AF45" s="9"/>
      <c r="AG45" s="21">
        <v>7.6293899999999998E-2</v>
      </c>
      <c r="AH45" s="21">
        <v>18.837199999999999</v>
      </c>
      <c r="AI45" s="21">
        <v>-1.47247E-2</v>
      </c>
      <c r="AJ45" s="21">
        <v>35</v>
      </c>
      <c r="AK45" s="21">
        <v>7.5805700000000004E-2</v>
      </c>
      <c r="AL45">
        <f t="shared" si="6"/>
        <v>18.178641975308643</v>
      </c>
      <c r="AM45">
        <f t="shared" si="7"/>
        <v>1.3869194930000002</v>
      </c>
      <c r="AP45" s="9"/>
      <c r="AQ45" s="21">
        <v>1.6236900000000001</v>
      </c>
      <c r="AR45" s="21">
        <v>24.330300000000001</v>
      </c>
      <c r="AS45" s="21">
        <v>-1.08948E-2</v>
      </c>
      <c r="AT45" s="21">
        <v>35</v>
      </c>
      <c r="AU45" s="21">
        <v>1.62323</v>
      </c>
      <c r="AV45">
        <f t="shared" si="8"/>
        <v>13.45037037037037</v>
      </c>
      <c r="AW45">
        <f t="shared" si="9"/>
        <v>21.839231866666669</v>
      </c>
      <c r="AX45" s="9"/>
      <c r="AY45" s="21">
        <v>7.6293899999999998E-2</v>
      </c>
      <c r="AZ45" s="21">
        <v>28.1495</v>
      </c>
      <c r="BA45" s="21">
        <v>-1.48621E-2</v>
      </c>
      <c r="BB45" s="21">
        <v>35</v>
      </c>
      <c r="BC45" s="21">
        <v>7.5775099999999998E-2</v>
      </c>
      <c r="BD45">
        <f t="shared" si="10"/>
        <v>18.348271604938269</v>
      </c>
      <c r="BE45">
        <f t="shared" si="11"/>
        <v>1.3998611989999998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5.7048800000000002</v>
      </c>
      <c r="I46" s="21">
        <v>-1.15204E-2</v>
      </c>
      <c r="J46" s="21">
        <v>36</v>
      </c>
      <c r="K46" s="21">
        <v>1.6174299999999999</v>
      </c>
      <c r="L46">
        <f t="shared" si="0"/>
        <v>14.222716049382715</v>
      </c>
      <c r="M46">
        <f t="shared" si="1"/>
        <v>23.021599333333331</v>
      </c>
      <c r="N46" s="9"/>
      <c r="O46" s="21">
        <v>8.1329299999999993E-2</v>
      </c>
      <c r="P46" s="21">
        <v>9.52407</v>
      </c>
      <c r="Q46" s="21">
        <v>-1.4837599999999999E-2</v>
      </c>
      <c r="R46" s="21">
        <v>36</v>
      </c>
      <c r="S46" s="21">
        <v>8.0810499999999993E-2</v>
      </c>
      <c r="T46">
        <f t="shared" si="2"/>
        <v>18.318024691358023</v>
      </c>
      <c r="U46">
        <f t="shared" si="3"/>
        <v>1.4897921255308639</v>
      </c>
      <c r="X46" s="9"/>
      <c r="Y46" s="21">
        <v>1.6186499999999999</v>
      </c>
      <c r="Z46" s="21">
        <v>15.0281</v>
      </c>
      <c r="AA46" s="21">
        <v>-1.1108399999999999E-2</v>
      </c>
      <c r="AB46" s="21">
        <v>36</v>
      </c>
      <c r="AC46" s="21">
        <v>1.61774</v>
      </c>
      <c r="AD46">
        <f t="shared" si="4"/>
        <v>13.714074074074073</v>
      </c>
      <c r="AE46">
        <f t="shared" si="5"/>
        <v>22.198285999999996</v>
      </c>
      <c r="AF46" s="9"/>
      <c r="AG46" s="21">
        <v>8.1329299999999993E-2</v>
      </c>
      <c r="AH46" s="21">
        <v>18.847300000000001</v>
      </c>
      <c r="AI46" s="21">
        <v>-1.47308E-2</v>
      </c>
      <c r="AJ46" s="21">
        <v>36</v>
      </c>
      <c r="AK46" s="21">
        <v>8.0780000000000005E-2</v>
      </c>
      <c r="AL46">
        <f t="shared" si="6"/>
        <v>18.186172839506174</v>
      </c>
      <c r="AM46">
        <f t="shared" si="7"/>
        <v>1.4790687067160493</v>
      </c>
      <c r="AP46" s="9"/>
      <c r="AQ46" s="21">
        <v>1.6186499999999999</v>
      </c>
      <c r="AR46" s="21">
        <v>24.340299999999999</v>
      </c>
      <c r="AS46" s="21">
        <v>-1.10168E-2</v>
      </c>
      <c r="AT46" s="21">
        <v>36</v>
      </c>
      <c r="AU46" s="21">
        <v>1.61774</v>
      </c>
      <c r="AV46">
        <f t="shared" si="8"/>
        <v>13.600987654320987</v>
      </c>
      <c r="AW46">
        <f t="shared" si="9"/>
        <v>22.015238666666665</v>
      </c>
      <c r="AX46" s="9"/>
      <c r="AY46" s="21">
        <v>8.1329299999999993E-2</v>
      </c>
      <c r="AZ46" s="21">
        <v>28.159600000000001</v>
      </c>
      <c r="BA46" s="21">
        <v>-1.4859000000000001E-2</v>
      </c>
      <c r="BB46" s="21">
        <v>36</v>
      </c>
      <c r="BC46" s="21">
        <v>8.0780000000000005E-2</v>
      </c>
      <c r="BD46">
        <f t="shared" si="10"/>
        <v>18.344444444444445</v>
      </c>
      <c r="BE46">
        <f t="shared" si="11"/>
        <v>1.4919408255555555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5.71495</v>
      </c>
      <c r="I47" s="21">
        <v>-1.16028E-2</v>
      </c>
      <c r="J47" s="21">
        <v>37</v>
      </c>
      <c r="K47" s="21">
        <v>1.6131599999999999</v>
      </c>
      <c r="L47">
        <f t="shared" si="0"/>
        <v>14.324444444444444</v>
      </c>
      <c r="M47">
        <f t="shared" si="1"/>
        <v>23.114210044444444</v>
      </c>
      <c r="N47" s="9"/>
      <c r="O47" s="21">
        <v>8.6364700000000003E-2</v>
      </c>
      <c r="P47" s="21">
        <v>9.5341500000000003</v>
      </c>
      <c r="Q47" s="21">
        <v>-1.4831499999999999E-2</v>
      </c>
      <c r="R47" s="21">
        <v>37</v>
      </c>
      <c r="S47" s="21">
        <v>8.5845900000000003E-2</v>
      </c>
      <c r="T47">
        <f t="shared" si="2"/>
        <v>18.310493827160489</v>
      </c>
      <c r="U47">
        <f t="shared" si="3"/>
        <v>1.5813803062345675</v>
      </c>
      <c r="X47" s="9"/>
      <c r="Y47" s="21">
        <v>1.6136200000000001</v>
      </c>
      <c r="Z47" s="21">
        <v>15.0382</v>
      </c>
      <c r="AA47" s="21">
        <v>-1.12183E-2</v>
      </c>
      <c r="AB47" s="21">
        <v>37</v>
      </c>
      <c r="AC47" s="21">
        <v>1.6128499999999999</v>
      </c>
      <c r="AD47">
        <f t="shared" si="4"/>
        <v>13.849753086419753</v>
      </c>
      <c r="AE47">
        <f t="shared" si="5"/>
        <v>22.348238575308642</v>
      </c>
      <c r="AF47" s="9"/>
      <c r="AG47" s="21">
        <v>8.6364700000000003E-2</v>
      </c>
      <c r="AH47" s="21">
        <v>18.857399999999998</v>
      </c>
      <c r="AI47" s="21">
        <v>-1.4733899999999999E-2</v>
      </c>
      <c r="AJ47" s="21">
        <v>37</v>
      </c>
      <c r="AK47" s="21">
        <v>8.5968000000000003E-2</v>
      </c>
      <c r="AL47">
        <f t="shared" si="6"/>
        <v>18.189999999999998</v>
      </c>
      <c r="AM47">
        <f t="shared" si="7"/>
        <v>1.5709738929999999</v>
      </c>
      <c r="AP47" s="9"/>
      <c r="AQ47" s="21">
        <v>1.6136200000000001</v>
      </c>
      <c r="AR47" s="21">
        <v>24.3504</v>
      </c>
      <c r="AS47" s="21">
        <v>-1.11328E-2</v>
      </c>
      <c r="AT47" s="21">
        <v>37</v>
      </c>
      <c r="AU47" s="21">
        <v>1.6122399999999999</v>
      </c>
      <c r="AV47">
        <f t="shared" si="8"/>
        <v>13.744197530864197</v>
      </c>
      <c r="AW47">
        <f t="shared" si="9"/>
        <v>22.177912019753087</v>
      </c>
      <c r="AX47" s="9"/>
      <c r="AY47" s="21">
        <v>8.6364700000000003E-2</v>
      </c>
      <c r="AZ47" s="21">
        <v>28.169699999999999</v>
      </c>
      <c r="BA47" s="21">
        <v>-1.48529E-2</v>
      </c>
      <c r="BB47" s="21">
        <v>37</v>
      </c>
      <c r="BC47" s="21">
        <v>8.59375E-2</v>
      </c>
      <c r="BD47">
        <f t="shared" si="10"/>
        <v>18.336913580246915</v>
      </c>
      <c r="BE47">
        <f t="shared" si="11"/>
        <v>1.5836620402839507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5.7250199999999998</v>
      </c>
      <c r="I48" s="21">
        <v>-1.16791E-2</v>
      </c>
      <c r="J48" s="21">
        <v>38</v>
      </c>
      <c r="K48" s="21">
        <v>1.6070599999999999</v>
      </c>
      <c r="L48">
        <f t="shared" si="0"/>
        <v>14.41864197530864</v>
      </c>
      <c r="M48">
        <f t="shared" si="1"/>
        <v>23.193539108641971</v>
      </c>
      <c r="N48" s="9"/>
      <c r="O48" s="21">
        <v>9.1400099999999998E-2</v>
      </c>
      <c r="P48" s="21">
        <v>9.5442199999999993</v>
      </c>
      <c r="Q48" s="21">
        <v>-1.4825400000000001E-2</v>
      </c>
      <c r="R48" s="21">
        <v>38</v>
      </c>
      <c r="S48" s="21">
        <v>9.0972899999999995E-2</v>
      </c>
      <c r="T48">
        <f t="shared" si="2"/>
        <v>18.302962962962962</v>
      </c>
      <c r="U48">
        <f t="shared" si="3"/>
        <v>1.672892645111111</v>
      </c>
      <c r="X48" s="9"/>
      <c r="Y48" s="21">
        <v>1.6085799999999999</v>
      </c>
      <c r="Z48" s="21">
        <v>15.0482</v>
      </c>
      <c r="AA48" s="21">
        <v>-1.1322E-2</v>
      </c>
      <c r="AB48" s="21">
        <v>38</v>
      </c>
      <c r="AC48" s="21">
        <v>1.6073599999999999</v>
      </c>
      <c r="AD48">
        <f t="shared" si="4"/>
        <v>13.977777777777778</v>
      </c>
      <c r="AE48">
        <f t="shared" si="5"/>
        <v>22.484373777777776</v>
      </c>
      <c r="AF48" s="9"/>
      <c r="AG48" s="21">
        <v>9.1400099999999998E-2</v>
      </c>
      <c r="AH48" s="21">
        <v>18.8674</v>
      </c>
      <c r="AI48" s="21">
        <v>-1.4733899999999999E-2</v>
      </c>
      <c r="AJ48" s="21">
        <v>38</v>
      </c>
      <c r="AK48" s="21">
        <v>9.0942400000000007E-2</v>
      </c>
      <c r="AL48">
        <f t="shared" si="6"/>
        <v>18.189999999999998</v>
      </c>
      <c r="AM48">
        <f t="shared" si="7"/>
        <v>1.6625678189999997</v>
      </c>
      <c r="AP48" s="9"/>
      <c r="AQ48" s="21">
        <v>1.6085799999999999</v>
      </c>
      <c r="AR48" s="21">
        <v>24.360499999999998</v>
      </c>
      <c r="AS48" s="21">
        <v>-1.1239600000000001E-2</v>
      </c>
      <c r="AT48" s="21">
        <v>38</v>
      </c>
      <c r="AU48" s="21">
        <v>1.6079699999999999</v>
      </c>
      <c r="AV48">
        <f t="shared" si="8"/>
        <v>13.876049382716049</v>
      </c>
      <c r="AW48">
        <f t="shared" si="9"/>
        <v>22.320735516049382</v>
      </c>
      <c r="AX48" s="9"/>
      <c r="AY48" s="21">
        <v>9.1400099999999998E-2</v>
      </c>
      <c r="AZ48" s="21">
        <v>28.1797</v>
      </c>
      <c r="BA48" s="21">
        <v>-1.4843800000000001E-2</v>
      </c>
      <c r="BB48" s="21">
        <v>38</v>
      </c>
      <c r="BC48" s="21">
        <v>9.0911900000000004E-2</v>
      </c>
      <c r="BD48">
        <f t="shared" si="10"/>
        <v>18.325679012345677</v>
      </c>
      <c r="BE48">
        <f t="shared" si="11"/>
        <v>1.6749688942962961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5.7350899999999996</v>
      </c>
      <c r="I49" s="21">
        <v>-1.1755399999999999E-2</v>
      </c>
      <c r="J49" s="21">
        <v>39</v>
      </c>
      <c r="K49" s="21">
        <v>1.6027800000000001</v>
      </c>
      <c r="L49">
        <f t="shared" si="0"/>
        <v>14.512839506172838</v>
      </c>
      <c r="M49">
        <f t="shared" si="1"/>
        <v>23.272063790123454</v>
      </c>
      <c r="N49" s="9"/>
      <c r="O49" s="21">
        <v>9.6435499999999993E-2</v>
      </c>
      <c r="P49" s="21">
        <v>9.5542899999999999</v>
      </c>
      <c r="Q49" s="21">
        <v>-1.48285E-2</v>
      </c>
      <c r="R49" s="21">
        <v>39</v>
      </c>
      <c r="S49" s="21">
        <v>9.5886200000000005E-2</v>
      </c>
      <c r="T49">
        <f t="shared" si="2"/>
        <v>18.306790123456789</v>
      </c>
      <c r="U49">
        <f t="shared" si="3"/>
        <v>1.7654244589506172</v>
      </c>
      <c r="X49" s="9"/>
      <c r="Y49" s="21">
        <v>1.60355</v>
      </c>
      <c r="Z49" s="21">
        <v>15.058299999999999</v>
      </c>
      <c r="AA49" s="21">
        <v>-1.1422699999999999E-2</v>
      </c>
      <c r="AB49" s="21">
        <v>39</v>
      </c>
      <c r="AC49" s="21">
        <v>1.6030899999999999</v>
      </c>
      <c r="AD49">
        <f t="shared" si="4"/>
        <v>14.102098765432096</v>
      </c>
      <c r="AE49">
        <f t="shared" si="5"/>
        <v>22.613420475308637</v>
      </c>
      <c r="AF49" s="9"/>
      <c r="AG49" s="21">
        <v>9.6435499999999993E-2</v>
      </c>
      <c r="AH49" s="21">
        <v>18.877500000000001</v>
      </c>
      <c r="AI49" s="21">
        <v>-1.4727799999999999E-2</v>
      </c>
      <c r="AJ49" s="21">
        <v>39</v>
      </c>
      <c r="AK49" s="21">
        <v>9.5855700000000002E-2</v>
      </c>
      <c r="AL49">
        <f t="shared" si="6"/>
        <v>18.182469135802467</v>
      </c>
      <c r="AM49">
        <f t="shared" si="7"/>
        <v>1.7534355023456787</v>
      </c>
      <c r="AP49" s="9"/>
      <c r="AQ49" s="21">
        <v>1.60355</v>
      </c>
      <c r="AR49" s="21">
        <v>24.3705</v>
      </c>
      <c r="AS49" s="21">
        <v>-1.13312E-2</v>
      </c>
      <c r="AT49" s="21">
        <v>39</v>
      </c>
      <c r="AU49" s="21">
        <v>1.6030899999999999</v>
      </c>
      <c r="AV49">
        <f t="shared" si="8"/>
        <v>13.989135802469134</v>
      </c>
      <c r="AW49">
        <f t="shared" si="9"/>
        <v>22.432278716049382</v>
      </c>
      <c r="AX49" s="9"/>
      <c r="AY49" s="21">
        <v>9.6435499999999993E-2</v>
      </c>
      <c r="AZ49" s="21">
        <v>28.189800000000002</v>
      </c>
      <c r="BA49" s="21">
        <v>-1.4843800000000001E-2</v>
      </c>
      <c r="BB49" s="21">
        <v>39</v>
      </c>
      <c r="BC49" s="21">
        <v>9.5916699999999994E-2</v>
      </c>
      <c r="BD49">
        <f t="shared" si="10"/>
        <v>18.325679012345677</v>
      </c>
      <c r="BE49">
        <f t="shared" si="11"/>
        <v>1.7672460183950613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5.7451699999999999</v>
      </c>
      <c r="I50" s="21">
        <v>-1.18195E-2</v>
      </c>
      <c r="J50" s="21">
        <v>40</v>
      </c>
      <c r="K50" s="21">
        <v>1.5972900000000001</v>
      </c>
      <c r="L50">
        <f t="shared" si="0"/>
        <v>14.591975308641976</v>
      </c>
      <c r="M50">
        <f t="shared" si="1"/>
        <v>23.325418450617285</v>
      </c>
      <c r="N50" s="9"/>
      <c r="O50" s="21">
        <v>0.10147100000000001</v>
      </c>
      <c r="P50" s="21">
        <v>9.5643600000000006</v>
      </c>
      <c r="Q50" s="21">
        <v>-1.4816299999999999E-2</v>
      </c>
      <c r="R50" s="21">
        <v>40</v>
      </c>
      <c r="S50" s="21">
        <v>0.100952</v>
      </c>
      <c r="T50">
        <f t="shared" si="2"/>
        <v>18.291728395061728</v>
      </c>
      <c r="U50">
        <f t="shared" si="3"/>
        <v>1.8560799719753087</v>
      </c>
      <c r="X50" s="9"/>
      <c r="Y50" s="21">
        <v>1.5985100000000001</v>
      </c>
      <c r="Z50" s="21">
        <v>15.0684</v>
      </c>
      <c r="AA50" s="21">
        <v>-1.1517299999999999E-2</v>
      </c>
      <c r="AB50" s="21">
        <v>40</v>
      </c>
      <c r="AC50" s="21">
        <v>1.5972900000000001</v>
      </c>
      <c r="AD50">
        <f t="shared" si="4"/>
        <v>14.218888888888888</v>
      </c>
      <c r="AE50">
        <f t="shared" si="5"/>
        <v>22.729036077777778</v>
      </c>
      <c r="AF50" s="9"/>
      <c r="AG50" s="21">
        <v>0.10147100000000001</v>
      </c>
      <c r="AH50" s="21">
        <v>18.887599999999999</v>
      </c>
      <c r="AI50" s="21">
        <v>-1.47186E-2</v>
      </c>
      <c r="AJ50" s="21">
        <v>40</v>
      </c>
      <c r="AK50" s="21">
        <v>0.100922</v>
      </c>
      <c r="AL50">
        <f t="shared" si="6"/>
        <v>18.171111111111109</v>
      </c>
      <c r="AM50">
        <f t="shared" si="7"/>
        <v>1.8438408155555555</v>
      </c>
      <c r="AP50" s="9"/>
      <c r="AQ50" s="21">
        <v>1.5985100000000001</v>
      </c>
      <c r="AR50" s="21">
        <v>24.380600000000001</v>
      </c>
      <c r="AS50" s="21">
        <v>-1.1416600000000001E-2</v>
      </c>
      <c r="AT50" s="21">
        <v>40</v>
      </c>
      <c r="AU50" s="21">
        <v>1.5975999999999999</v>
      </c>
      <c r="AV50">
        <f t="shared" si="8"/>
        <v>14.094567901234569</v>
      </c>
      <c r="AW50">
        <f t="shared" si="9"/>
        <v>22.530307735802474</v>
      </c>
      <c r="AX50" s="9"/>
      <c r="AY50" s="21">
        <v>0.10147100000000001</v>
      </c>
      <c r="AZ50" s="21">
        <v>28.1999</v>
      </c>
      <c r="BA50" s="21">
        <v>-1.48346E-2</v>
      </c>
      <c r="BB50" s="21">
        <v>40</v>
      </c>
      <c r="BC50" s="21">
        <v>0.10104399999999999</v>
      </c>
      <c r="BD50">
        <f t="shared" si="10"/>
        <v>18.31432098765432</v>
      </c>
      <c r="BE50">
        <f t="shared" si="11"/>
        <v>1.8583724649382716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5.7552399999999997</v>
      </c>
      <c r="I51" s="21">
        <v>-1.18835E-2</v>
      </c>
      <c r="J51" s="21">
        <v>41</v>
      </c>
      <c r="K51" s="21">
        <v>1.5927100000000001</v>
      </c>
      <c r="L51">
        <f t="shared" si="0"/>
        <v>14.670987654320987</v>
      </c>
      <c r="M51">
        <f t="shared" si="1"/>
        <v>23.377925407407407</v>
      </c>
      <c r="N51" s="9"/>
      <c r="O51" s="21">
        <v>0.106506</v>
      </c>
      <c r="P51" s="21">
        <v>9.5744299999999996</v>
      </c>
      <c r="Q51" s="21">
        <v>-1.4810200000000001E-2</v>
      </c>
      <c r="R51" s="21">
        <v>41</v>
      </c>
      <c r="S51" s="21">
        <v>0.106018</v>
      </c>
      <c r="T51">
        <f t="shared" si="2"/>
        <v>18.284197530864198</v>
      </c>
      <c r="U51">
        <f t="shared" si="3"/>
        <v>1.9473767422222223</v>
      </c>
      <c r="X51" s="9"/>
      <c r="Y51" s="21">
        <v>1.59348</v>
      </c>
      <c r="Z51" s="21">
        <v>15.0785</v>
      </c>
      <c r="AA51" s="21">
        <v>-1.16089E-2</v>
      </c>
      <c r="AB51" s="21">
        <v>41</v>
      </c>
      <c r="AC51" s="21">
        <v>1.5924100000000001</v>
      </c>
      <c r="AD51">
        <f t="shared" si="4"/>
        <v>14.331975308641976</v>
      </c>
      <c r="AE51">
        <f t="shared" si="5"/>
        <v>22.837716014814816</v>
      </c>
      <c r="AF51" s="9"/>
      <c r="AG51" s="21">
        <v>0.106506</v>
      </c>
      <c r="AH51" s="21">
        <v>18.897600000000001</v>
      </c>
      <c r="AI51" s="21">
        <v>-1.4721700000000001E-2</v>
      </c>
      <c r="AJ51" s="21">
        <v>41</v>
      </c>
      <c r="AK51" s="21">
        <v>0.105957</v>
      </c>
      <c r="AL51">
        <f t="shared" si="6"/>
        <v>18.174938271604937</v>
      </c>
      <c r="AM51">
        <f t="shared" si="7"/>
        <v>1.9357399755555555</v>
      </c>
      <c r="AP51" s="9"/>
      <c r="AQ51" s="21">
        <v>1.59348</v>
      </c>
      <c r="AR51" s="21">
        <v>24.390699999999999</v>
      </c>
      <c r="AS51" s="21">
        <v>-1.1505100000000001E-2</v>
      </c>
      <c r="AT51" s="21">
        <v>41</v>
      </c>
      <c r="AU51" s="21">
        <v>1.5924100000000001</v>
      </c>
      <c r="AV51">
        <f t="shared" si="8"/>
        <v>14.203827160493827</v>
      </c>
      <c r="AW51">
        <f t="shared" si="9"/>
        <v>22.633514503703704</v>
      </c>
      <c r="AX51" s="9"/>
      <c r="AY51" s="21">
        <v>0.106506</v>
      </c>
      <c r="AZ51" s="21">
        <v>28.209900000000001</v>
      </c>
      <c r="BA51" s="21">
        <v>-1.4819300000000001E-2</v>
      </c>
      <c r="BB51" s="21">
        <v>41</v>
      </c>
      <c r="BC51" s="21">
        <v>0.105988</v>
      </c>
      <c r="BD51">
        <f t="shared" si="10"/>
        <v>18.295432098765431</v>
      </c>
      <c r="BE51">
        <f t="shared" si="11"/>
        <v>1.9485732911111111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5.7653100000000004</v>
      </c>
      <c r="I52" s="21">
        <v>-1.1953699999999999E-2</v>
      </c>
      <c r="J52" s="21">
        <v>42</v>
      </c>
      <c r="K52" s="21">
        <v>1.5878300000000001</v>
      </c>
      <c r="L52">
        <f t="shared" si="0"/>
        <v>14.757654320987653</v>
      </c>
      <c r="M52">
        <f t="shared" si="1"/>
        <v>23.441648429629627</v>
      </c>
      <c r="N52" s="9"/>
      <c r="O52" s="21">
        <v>0.111542</v>
      </c>
      <c r="P52" s="21">
        <v>9.5845000000000002</v>
      </c>
      <c r="Q52" s="21">
        <v>-1.4798E-2</v>
      </c>
      <c r="R52" s="21">
        <v>42</v>
      </c>
      <c r="S52" s="21">
        <v>0.11096200000000001</v>
      </c>
      <c r="T52">
        <f t="shared" si="2"/>
        <v>18.269135802469137</v>
      </c>
      <c r="U52">
        <f t="shared" si="3"/>
        <v>2.0377759456790123</v>
      </c>
      <c r="X52" s="9"/>
      <c r="Y52" s="21">
        <v>1.5884400000000001</v>
      </c>
      <c r="Z52" s="21">
        <v>15.0885</v>
      </c>
      <c r="AA52" s="21">
        <v>-1.1682100000000001E-2</v>
      </c>
      <c r="AB52" s="21">
        <v>42</v>
      </c>
      <c r="AC52" s="21">
        <v>1.5878300000000001</v>
      </c>
      <c r="AD52">
        <f t="shared" si="4"/>
        <v>14.422345679012347</v>
      </c>
      <c r="AE52">
        <f t="shared" si="5"/>
        <v>22.909030770370371</v>
      </c>
      <c r="AF52" s="9"/>
      <c r="AG52" s="21">
        <v>0.111542</v>
      </c>
      <c r="AH52" s="21">
        <v>18.907699999999998</v>
      </c>
      <c r="AI52" s="21">
        <v>-1.4721700000000001E-2</v>
      </c>
      <c r="AJ52" s="21">
        <v>42</v>
      </c>
      <c r="AK52" s="21">
        <v>0.111053</v>
      </c>
      <c r="AL52">
        <f t="shared" si="6"/>
        <v>18.174938271604937</v>
      </c>
      <c r="AM52">
        <f t="shared" si="7"/>
        <v>2.0272689646913578</v>
      </c>
      <c r="AP52" s="9"/>
      <c r="AQ52" s="21">
        <v>1.5884400000000001</v>
      </c>
      <c r="AR52" s="21">
        <v>24.400700000000001</v>
      </c>
      <c r="AS52" s="21">
        <v>-1.1587500000000001E-2</v>
      </c>
      <c r="AT52" s="21">
        <v>42</v>
      </c>
      <c r="AU52" s="21">
        <v>1.5872200000000001</v>
      </c>
      <c r="AV52">
        <f t="shared" si="8"/>
        <v>14.305555555555555</v>
      </c>
      <c r="AW52">
        <f t="shared" si="9"/>
        <v>22.723516666666669</v>
      </c>
      <c r="AX52" s="9"/>
      <c r="AY52" s="21">
        <v>0.111542</v>
      </c>
      <c r="AZ52" s="21">
        <v>28.22</v>
      </c>
      <c r="BA52" s="21">
        <v>-1.4810200000000001E-2</v>
      </c>
      <c r="BB52" s="21">
        <v>42</v>
      </c>
      <c r="BC52" s="21">
        <v>0.110931</v>
      </c>
      <c r="BD52">
        <f t="shared" si="10"/>
        <v>18.284197530864198</v>
      </c>
      <c r="BE52">
        <f t="shared" si="11"/>
        <v>2.0394559609876546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5.7753800000000002</v>
      </c>
      <c r="I53" s="21">
        <v>-1.2020899999999999E-2</v>
      </c>
      <c r="J53" s="21">
        <v>43</v>
      </c>
      <c r="K53" s="21">
        <v>1.5829500000000001</v>
      </c>
      <c r="L53">
        <f t="shared" si="0"/>
        <v>14.840617283950616</v>
      </c>
      <c r="M53">
        <f t="shared" si="1"/>
        <v>23.498633407407404</v>
      </c>
      <c r="N53" s="9"/>
      <c r="O53" s="21">
        <v>0.116577</v>
      </c>
      <c r="P53" s="21">
        <v>9.5945699999999992</v>
      </c>
      <c r="Q53" s="21">
        <v>-1.47949E-2</v>
      </c>
      <c r="R53" s="21">
        <v>43</v>
      </c>
      <c r="S53" s="21">
        <v>0.116089</v>
      </c>
      <c r="T53">
        <f t="shared" si="2"/>
        <v>18.265308641975306</v>
      </c>
      <c r="U53">
        <f t="shared" si="3"/>
        <v>2.129314885555555</v>
      </c>
      <c r="X53" s="9"/>
      <c r="Y53" s="21">
        <v>1.5833999999999999</v>
      </c>
      <c r="Z53" s="21">
        <v>15.098599999999999</v>
      </c>
      <c r="AA53" s="21">
        <v>-1.17676E-2</v>
      </c>
      <c r="AB53" s="21">
        <v>43</v>
      </c>
      <c r="AC53" s="21">
        <v>1.5829500000000001</v>
      </c>
      <c r="AD53">
        <f t="shared" si="4"/>
        <v>14.527901234567899</v>
      </c>
      <c r="AE53">
        <f t="shared" si="5"/>
        <v>23.003478814814809</v>
      </c>
      <c r="AF53" s="9"/>
      <c r="AG53" s="21">
        <v>0.116577</v>
      </c>
      <c r="AH53" s="21">
        <v>18.9178</v>
      </c>
      <c r="AI53" s="21">
        <v>-1.4715600000000001E-2</v>
      </c>
      <c r="AJ53" s="21">
        <v>43</v>
      </c>
      <c r="AK53" s="21">
        <v>0.115997</v>
      </c>
      <c r="AL53">
        <f t="shared" si="6"/>
        <v>18.167407407407406</v>
      </c>
      <c r="AM53">
        <f t="shared" si="7"/>
        <v>2.1179018533333331</v>
      </c>
      <c r="AP53" s="9"/>
      <c r="AQ53" s="21">
        <v>1.5833999999999999</v>
      </c>
      <c r="AR53" s="21">
        <v>24.410799999999998</v>
      </c>
      <c r="AS53" s="21">
        <v>-1.16699E-2</v>
      </c>
      <c r="AT53" s="21">
        <v>43</v>
      </c>
      <c r="AU53" s="21">
        <v>1.5823400000000001</v>
      </c>
      <c r="AV53">
        <f t="shared" si="8"/>
        <v>14.407283950617282</v>
      </c>
      <c r="AW53">
        <f t="shared" si="9"/>
        <v>22.812493407407402</v>
      </c>
      <c r="AX53" s="9"/>
      <c r="AY53" s="21">
        <v>0.116577</v>
      </c>
      <c r="AZ53" s="21">
        <v>28.2301</v>
      </c>
      <c r="BA53" s="21">
        <v>-1.4804100000000001E-2</v>
      </c>
      <c r="BB53" s="21">
        <v>43</v>
      </c>
      <c r="BC53" s="21">
        <v>0.115936</v>
      </c>
      <c r="BD53">
        <f t="shared" si="10"/>
        <v>18.276666666666667</v>
      </c>
      <c r="BE53">
        <f t="shared" si="11"/>
        <v>2.1306389700000001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5.78545</v>
      </c>
      <c r="I54" s="21">
        <v>-1.2085E-2</v>
      </c>
      <c r="J54" s="21">
        <v>44</v>
      </c>
      <c r="K54" s="21">
        <v>1.5771500000000001</v>
      </c>
      <c r="L54">
        <f t="shared" si="0"/>
        <v>14.919753086419753</v>
      </c>
      <c r="M54">
        <f t="shared" si="1"/>
        <v>23.548890679012345</v>
      </c>
      <c r="N54" s="9"/>
      <c r="O54" s="21">
        <v>0.121613</v>
      </c>
      <c r="P54" s="21">
        <v>9.6046399999999998</v>
      </c>
      <c r="Q54" s="21">
        <v>-1.4782699999999999E-2</v>
      </c>
      <c r="R54" s="21">
        <v>44</v>
      </c>
      <c r="S54" s="21">
        <v>0.121124</v>
      </c>
      <c r="T54">
        <f t="shared" si="2"/>
        <v>18.250246913580245</v>
      </c>
      <c r="U54">
        <f t="shared" si="3"/>
        <v>2.2194672779012343</v>
      </c>
      <c r="X54" s="9"/>
      <c r="Y54" s="21">
        <v>1.5783700000000001</v>
      </c>
      <c r="Z54" s="21">
        <v>15.108700000000001</v>
      </c>
      <c r="AA54" s="21">
        <v>-1.1853000000000001E-2</v>
      </c>
      <c r="AB54" s="21">
        <v>44</v>
      </c>
      <c r="AC54" s="21">
        <v>1.57745</v>
      </c>
      <c r="AD54">
        <f t="shared" si="4"/>
        <v>14.633333333333333</v>
      </c>
      <c r="AE54">
        <f t="shared" si="5"/>
        <v>23.096814333333334</v>
      </c>
      <c r="AF54" s="9"/>
      <c r="AG54" s="21">
        <v>0.121613</v>
      </c>
      <c r="AH54" s="21">
        <v>18.927900000000001</v>
      </c>
      <c r="AI54" s="21">
        <v>-1.47095E-2</v>
      </c>
      <c r="AJ54" s="21">
        <v>44</v>
      </c>
      <c r="AK54" s="21">
        <v>0.121063</v>
      </c>
      <c r="AL54">
        <f t="shared" si="6"/>
        <v>18.159876543209876</v>
      </c>
      <c r="AM54">
        <f t="shared" si="7"/>
        <v>2.2084770660493827</v>
      </c>
      <c r="AP54" s="9"/>
      <c r="AQ54" s="21">
        <v>1.5783700000000001</v>
      </c>
      <c r="AR54" s="21">
        <v>24.4209</v>
      </c>
      <c r="AS54" s="21">
        <v>-1.1749300000000001E-2</v>
      </c>
      <c r="AT54" s="21">
        <v>44</v>
      </c>
      <c r="AU54" s="21">
        <v>1.57806</v>
      </c>
      <c r="AV54">
        <f t="shared" si="8"/>
        <v>14.505308641975308</v>
      </c>
      <c r="AW54">
        <f t="shared" si="9"/>
        <v>22.894744001234567</v>
      </c>
      <c r="AX54" s="9"/>
      <c r="AY54" s="21">
        <v>0.121613</v>
      </c>
      <c r="AZ54" s="21">
        <v>28.240200000000002</v>
      </c>
      <c r="BA54" s="21">
        <v>-1.4804100000000001E-2</v>
      </c>
      <c r="BB54" s="21">
        <v>44</v>
      </c>
      <c r="BC54" s="21">
        <v>0.121155</v>
      </c>
      <c r="BD54">
        <f t="shared" si="10"/>
        <v>18.276666666666667</v>
      </c>
      <c r="BE54">
        <f t="shared" si="11"/>
        <v>2.2226802633333334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5.7955199999999998</v>
      </c>
      <c r="I55" s="21">
        <v>-1.21552E-2</v>
      </c>
      <c r="J55" s="21">
        <v>45</v>
      </c>
      <c r="K55" s="21">
        <v>1.57257</v>
      </c>
      <c r="L55">
        <f t="shared" si="0"/>
        <v>15.006419753086417</v>
      </c>
      <c r="M55">
        <f t="shared" si="1"/>
        <v>23.610050390123451</v>
      </c>
      <c r="N55" s="9"/>
      <c r="O55" s="21">
        <v>0.12664800000000001</v>
      </c>
      <c r="P55" s="21">
        <v>9.6147100000000005</v>
      </c>
      <c r="Q55" s="21">
        <v>-1.47736E-2</v>
      </c>
      <c r="R55" s="21">
        <v>45</v>
      </c>
      <c r="S55" s="21">
        <v>0.12606800000000001</v>
      </c>
      <c r="T55">
        <f t="shared" si="2"/>
        <v>18.239012345679011</v>
      </c>
      <c r="U55">
        <f t="shared" si="3"/>
        <v>2.3099344355555558</v>
      </c>
      <c r="X55" s="9"/>
      <c r="Y55" s="21">
        <v>1.5733299999999999</v>
      </c>
      <c r="Z55" s="21">
        <v>15.1187</v>
      </c>
      <c r="AA55" s="21">
        <v>-1.19293E-2</v>
      </c>
      <c r="AB55" s="21">
        <v>45</v>
      </c>
      <c r="AC55" s="21">
        <v>1.57257</v>
      </c>
      <c r="AD55">
        <f t="shared" si="4"/>
        <v>14.727530864197531</v>
      </c>
      <c r="AE55">
        <f t="shared" si="5"/>
        <v>23.171266134567901</v>
      </c>
      <c r="AF55" s="9"/>
      <c r="AG55" s="21">
        <v>0.12664800000000001</v>
      </c>
      <c r="AH55" s="21">
        <v>18.937899999999999</v>
      </c>
      <c r="AI55" s="21">
        <v>-1.4715600000000001E-2</v>
      </c>
      <c r="AJ55" s="21">
        <v>45</v>
      </c>
      <c r="AK55" s="21">
        <v>0.12615999999999999</v>
      </c>
      <c r="AL55">
        <f t="shared" si="6"/>
        <v>18.167407407407406</v>
      </c>
      <c r="AM55">
        <f t="shared" si="7"/>
        <v>2.3008658133333335</v>
      </c>
      <c r="AP55" s="9"/>
      <c r="AQ55" s="21">
        <v>1.5733299999999999</v>
      </c>
      <c r="AR55" s="21">
        <v>24.431000000000001</v>
      </c>
      <c r="AS55" s="21">
        <v>-1.18347E-2</v>
      </c>
      <c r="AT55" s="21">
        <v>45</v>
      </c>
      <c r="AU55" s="21">
        <v>1.5728800000000001</v>
      </c>
      <c r="AV55">
        <f t="shared" si="8"/>
        <v>14.61074074074074</v>
      </c>
      <c r="AW55">
        <f t="shared" si="9"/>
        <v>22.987516729629625</v>
      </c>
      <c r="AX55" s="9"/>
      <c r="AY55" s="21">
        <v>0.12664800000000001</v>
      </c>
      <c r="AZ55" s="21">
        <v>28.2502</v>
      </c>
      <c r="BA55" s="21">
        <v>-1.48071E-2</v>
      </c>
      <c r="BB55" s="21">
        <v>45</v>
      </c>
      <c r="BC55" s="21">
        <v>0.12619</v>
      </c>
      <c r="BD55">
        <f t="shared" si="10"/>
        <v>18.28037037037037</v>
      </c>
      <c r="BE55">
        <f t="shared" si="11"/>
        <v>2.3151723466666669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5.8055899999999996</v>
      </c>
      <c r="I56" s="21">
        <v>-1.22101E-2</v>
      </c>
      <c r="J56" s="21">
        <v>46</v>
      </c>
      <c r="K56" s="21">
        <v>1.56738</v>
      </c>
      <c r="L56">
        <f t="shared" si="0"/>
        <v>15.074197530864195</v>
      </c>
      <c r="M56">
        <f t="shared" si="1"/>
        <v>23.640863987654317</v>
      </c>
      <c r="N56" s="9"/>
      <c r="O56" s="21">
        <v>0.13168299999999999</v>
      </c>
      <c r="P56" s="21">
        <v>9.6247799999999994</v>
      </c>
      <c r="Q56" s="21">
        <v>-1.4770500000000001E-2</v>
      </c>
      <c r="R56" s="21">
        <v>46</v>
      </c>
      <c r="S56" s="21">
        <v>0.13125600000000001</v>
      </c>
      <c r="T56">
        <f t="shared" si="2"/>
        <v>18.235185185185184</v>
      </c>
      <c r="U56">
        <f t="shared" si="3"/>
        <v>2.4012638907407404</v>
      </c>
      <c r="X56" s="9"/>
      <c r="Y56" s="21">
        <v>1.5683</v>
      </c>
      <c r="Z56" s="21">
        <v>15.1288</v>
      </c>
      <c r="AA56" s="21">
        <v>-1.20026E-2</v>
      </c>
      <c r="AB56" s="21">
        <v>46</v>
      </c>
      <c r="AC56" s="21">
        <v>1.56799</v>
      </c>
      <c r="AD56">
        <f t="shared" si="4"/>
        <v>14.818024691358024</v>
      </c>
      <c r="AE56">
        <f t="shared" si="5"/>
        <v>23.239108123456791</v>
      </c>
      <c r="AF56" s="9"/>
      <c r="AG56" s="21">
        <v>0.13168299999999999</v>
      </c>
      <c r="AH56" s="21">
        <v>18.948</v>
      </c>
      <c r="AI56" s="21">
        <v>-1.4727799999999999E-2</v>
      </c>
      <c r="AJ56" s="21">
        <v>46</v>
      </c>
      <c r="AK56" s="21">
        <v>0.131165</v>
      </c>
      <c r="AL56">
        <f t="shared" si="6"/>
        <v>18.182469135802467</v>
      </c>
      <c r="AM56">
        <f t="shared" si="7"/>
        <v>2.3943220832098762</v>
      </c>
      <c r="AP56" s="9"/>
      <c r="AQ56" s="21">
        <v>1.5683</v>
      </c>
      <c r="AR56" s="21">
        <v>24.440999999999999</v>
      </c>
      <c r="AS56" s="21">
        <v>-1.19171E-2</v>
      </c>
      <c r="AT56" s="21">
        <v>46</v>
      </c>
      <c r="AU56" s="21">
        <v>1.56769</v>
      </c>
      <c r="AV56">
        <f t="shared" si="8"/>
        <v>14.712469135802468</v>
      </c>
      <c r="AW56">
        <f t="shared" si="9"/>
        <v>23.073565345679011</v>
      </c>
      <c r="AX56" s="9"/>
      <c r="AY56" s="21">
        <v>0.13168299999999999</v>
      </c>
      <c r="AZ56" s="21">
        <v>28.260300000000001</v>
      </c>
      <c r="BA56" s="21">
        <v>-1.48132E-2</v>
      </c>
      <c r="BB56" s="21">
        <v>46</v>
      </c>
      <c r="BC56" s="21">
        <v>0.13125600000000001</v>
      </c>
      <c r="BD56">
        <f t="shared" si="10"/>
        <v>18.287901234567901</v>
      </c>
      <c r="BE56">
        <f t="shared" si="11"/>
        <v>2.4082056982716047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5.8156600000000003</v>
      </c>
      <c r="I57" s="21">
        <v>-1.2268100000000001E-2</v>
      </c>
      <c r="J57" s="21">
        <v>47</v>
      </c>
      <c r="K57" s="21">
        <v>1.5625</v>
      </c>
      <c r="L57">
        <f t="shared" si="0"/>
        <v>15.145802469135802</v>
      </c>
      <c r="M57">
        <f t="shared" si="1"/>
        <v>23.676827167901234</v>
      </c>
      <c r="N57" s="9"/>
      <c r="O57" s="21">
        <v>0.13671900000000001</v>
      </c>
      <c r="P57" s="21">
        <v>9.6348599999999998</v>
      </c>
      <c r="Q57" s="21">
        <v>-1.4767499999999999E-2</v>
      </c>
      <c r="R57" s="21">
        <v>47</v>
      </c>
      <c r="S57" s="21">
        <v>0.13626099999999999</v>
      </c>
      <c r="T57">
        <f t="shared" si="2"/>
        <v>18.231481481481481</v>
      </c>
      <c r="U57">
        <f t="shared" si="3"/>
        <v>2.4925899166666667</v>
      </c>
      <c r="X57" s="9"/>
      <c r="Y57" s="21">
        <v>1.5632600000000001</v>
      </c>
      <c r="Z57" s="21">
        <v>15.1389</v>
      </c>
      <c r="AA57" s="21">
        <v>-1.2057500000000001E-2</v>
      </c>
      <c r="AB57" s="21">
        <v>47</v>
      </c>
      <c r="AC57" s="21">
        <v>1.56281</v>
      </c>
      <c r="AD57">
        <f t="shared" si="4"/>
        <v>14.885802469135802</v>
      </c>
      <c r="AE57">
        <f t="shared" si="5"/>
        <v>23.270379567901237</v>
      </c>
      <c r="AF57" s="9"/>
      <c r="AG57" s="21">
        <v>0.13671900000000001</v>
      </c>
      <c r="AH57" s="21">
        <v>18.958100000000002</v>
      </c>
      <c r="AI57" s="21">
        <v>-1.474E-2</v>
      </c>
      <c r="AJ57" s="21">
        <v>47</v>
      </c>
      <c r="AK57" s="21">
        <v>0.13622999999999999</v>
      </c>
      <c r="AL57">
        <f t="shared" si="6"/>
        <v>18.197530864197528</v>
      </c>
      <c r="AM57">
        <f t="shared" si="7"/>
        <v>2.4879482222222218</v>
      </c>
      <c r="AP57" s="9"/>
      <c r="AQ57" s="21">
        <v>1.5632600000000001</v>
      </c>
      <c r="AR57" s="21">
        <v>24.4511</v>
      </c>
      <c r="AS57" s="21">
        <v>-1.19934E-2</v>
      </c>
      <c r="AT57" s="21">
        <v>47</v>
      </c>
      <c r="AU57" s="21">
        <v>1.5625</v>
      </c>
      <c r="AV57">
        <f t="shared" si="8"/>
        <v>14.806666666666667</v>
      </c>
      <c r="AW57">
        <f t="shared" si="9"/>
        <v>23.146669733333336</v>
      </c>
      <c r="AX57" s="9"/>
      <c r="AY57" s="21">
        <v>0.13671900000000001</v>
      </c>
      <c r="AZ57" s="21">
        <v>28.270399999999999</v>
      </c>
      <c r="BA57" s="21">
        <v>-1.4816299999999999E-2</v>
      </c>
      <c r="BB57" s="21">
        <v>47</v>
      </c>
      <c r="BC57" s="21">
        <v>0.13613900000000001</v>
      </c>
      <c r="BD57">
        <f t="shared" si="10"/>
        <v>18.291728395061728</v>
      </c>
      <c r="BE57">
        <f t="shared" si="11"/>
        <v>2.5008268144444448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5.8257300000000001</v>
      </c>
      <c r="I58" s="21">
        <v>-1.2323000000000001E-2</v>
      </c>
      <c r="J58" s="21">
        <v>48</v>
      </c>
      <c r="K58" s="21">
        <v>1.55731</v>
      </c>
      <c r="L58">
        <f t="shared" si="0"/>
        <v>15.213580246913581</v>
      </c>
      <c r="M58">
        <f t="shared" si="1"/>
        <v>23.706257148148151</v>
      </c>
      <c r="N58" s="9"/>
      <c r="O58" s="21">
        <v>0.14175399999999999</v>
      </c>
      <c r="P58" s="21">
        <v>9.6449300000000004</v>
      </c>
      <c r="Q58" s="21">
        <v>-1.4767499999999999E-2</v>
      </c>
      <c r="R58" s="21">
        <v>48</v>
      </c>
      <c r="S58" s="21">
        <v>0.14114399999999999</v>
      </c>
      <c r="T58">
        <f t="shared" si="2"/>
        <v>18.231481481481481</v>
      </c>
      <c r="U58">
        <f t="shared" si="3"/>
        <v>2.5843854259259258</v>
      </c>
      <c r="X58" s="9"/>
      <c r="Y58" s="21">
        <v>1.55823</v>
      </c>
      <c r="Z58" s="21">
        <v>15.148899999999999</v>
      </c>
      <c r="AA58" s="21">
        <v>-1.2118500000000001E-2</v>
      </c>
      <c r="AB58" s="21">
        <v>48</v>
      </c>
      <c r="AC58" s="21">
        <v>1.55792</v>
      </c>
      <c r="AD58">
        <f t="shared" si="4"/>
        <v>14.96111111111111</v>
      </c>
      <c r="AE58">
        <f t="shared" si="5"/>
        <v>23.312852166666666</v>
      </c>
      <c r="AF58" s="9"/>
      <c r="AG58" s="21">
        <v>0.14175399999999999</v>
      </c>
      <c r="AH58" s="21">
        <v>18.9681</v>
      </c>
      <c r="AI58" s="21">
        <v>-1.47461E-2</v>
      </c>
      <c r="AJ58" s="21">
        <v>48</v>
      </c>
      <c r="AK58" s="21">
        <v>0.141205</v>
      </c>
      <c r="AL58">
        <f t="shared" si="6"/>
        <v>18.205061728395062</v>
      </c>
      <c r="AM58">
        <f t="shared" si="7"/>
        <v>2.5806403202469137</v>
      </c>
      <c r="AP58" s="9"/>
      <c r="AQ58" s="21">
        <v>1.55823</v>
      </c>
      <c r="AR58" s="21">
        <v>24.461200000000002</v>
      </c>
      <c r="AS58" s="21">
        <v>-1.20667E-2</v>
      </c>
      <c r="AT58" s="21">
        <v>48</v>
      </c>
      <c r="AU58" s="21">
        <v>1.55762</v>
      </c>
      <c r="AV58">
        <f t="shared" si="8"/>
        <v>14.89716049382716</v>
      </c>
      <c r="AW58">
        <f t="shared" si="9"/>
        <v>23.213202396296296</v>
      </c>
      <c r="AX58" s="9"/>
      <c r="AY58" s="21">
        <v>0.14175399999999999</v>
      </c>
      <c r="AZ58" s="21">
        <v>28.2804</v>
      </c>
      <c r="BA58" s="21">
        <v>-1.4831499999999999E-2</v>
      </c>
      <c r="BB58" s="21">
        <v>48</v>
      </c>
      <c r="BC58" s="21">
        <v>0.14111299999999999</v>
      </c>
      <c r="BD58">
        <f t="shared" si="10"/>
        <v>18.310493827160489</v>
      </c>
      <c r="BE58">
        <f t="shared" si="11"/>
        <v>2.5955857419753077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5.8357999999999999</v>
      </c>
      <c r="I59" s="21">
        <v>-1.2362700000000001E-2</v>
      </c>
      <c r="J59" s="21">
        <v>49</v>
      </c>
      <c r="K59" s="21">
        <v>1.55243</v>
      </c>
      <c r="L59">
        <f t="shared" si="0"/>
        <v>15.262592592592593</v>
      </c>
      <c r="M59">
        <f t="shared" si="1"/>
        <v>23.70570618888889</v>
      </c>
      <c r="N59" s="9"/>
      <c r="O59" s="21">
        <v>0.14679</v>
      </c>
      <c r="P59" s="21">
        <v>9.6549999999999994</v>
      </c>
      <c r="Q59" s="21">
        <v>-1.47644E-2</v>
      </c>
      <c r="R59" s="21">
        <v>49</v>
      </c>
      <c r="S59" s="21">
        <v>0.14624000000000001</v>
      </c>
      <c r="T59">
        <f t="shared" si="2"/>
        <v>18.227654320987654</v>
      </c>
      <c r="U59">
        <f t="shared" si="3"/>
        <v>2.6756373777777775</v>
      </c>
      <c r="X59" s="9"/>
      <c r="Y59" s="21">
        <v>1.5531900000000001</v>
      </c>
      <c r="Z59" s="21">
        <v>15.159000000000001</v>
      </c>
      <c r="AA59" s="21">
        <v>-1.21765E-2</v>
      </c>
      <c r="AB59" s="21">
        <v>49</v>
      </c>
      <c r="AC59" s="21">
        <v>1.5527299999999999</v>
      </c>
      <c r="AD59">
        <f t="shared" si="4"/>
        <v>15.032716049382715</v>
      </c>
      <c r="AE59">
        <f t="shared" si="5"/>
        <v>23.348664240740742</v>
      </c>
      <c r="AF59" s="9"/>
      <c r="AG59" s="21">
        <v>0.14679</v>
      </c>
      <c r="AH59" s="21">
        <v>18.978200000000001</v>
      </c>
      <c r="AI59" s="21">
        <v>-1.47461E-2</v>
      </c>
      <c r="AJ59" s="21">
        <v>49</v>
      </c>
      <c r="AK59" s="21">
        <v>0.14630099999999999</v>
      </c>
      <c r="AL59">
        <f t="shared" si="6"/>
        <v>18.205061728395062</v>
      </c>
      <c r="AM59">
        <f t="shared" si="7"/>
        <v>2.6723210111111113</v>
      </c>
      <c r="AP59" s="9"/>
      <c r="AQ59" s="21">
        <v>1.5531900000000001</v>
      </c>
      <c r="AR59" s="21">
        <v>24.4712</v>
      </c>
      <c r="AS59" s="21">
        <v>-1.21338E-2</v>
      </c>
      <c r="AT59" s="21">
        <v>49</v>
      </c>
      <c r="AU59" s="21">
        <v>1.5527299999999999</v>
      </c>
      <c r="AV59">
        <f t="shared" si="8"/>
        <v>14.979999999999999</v>
      </c>
      <c r="AW59">
        <f t="shared" si="9"/>
        <v>23.266786199999999</v>
      </c>
      <c r="AX59" s="9"/>
      <c r="AY59" s="21">
        <v>0.14679</v>
      </c>
      <c r="AZ59" s="21">
        <v>28.290500000000002</v>
      </c>
      <c r="BA59" s="21">
        <v>-1.4831499999999999E-2</v>
      </c>
      <c r="BB59" s="21">
        <v>49</v>
      </c>
      <c r="BC59" s="21">
        <v>0.14627100000000001</v>
      </c>
      <c r="BD59">
        <f t="shared" si="10"/>
        <v>18.310493827160489</v>
      </c>
      <c r="BE59">
        <f t="shared" si="11"/>
        <v>2.6877973888888884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5.8458800000000002</v>
      </c>
      <c r="I60" s="21">
        <v>-1.2411500000000001E-2</v>
      </c>
      <c r="J60" s="21">
        <v>50</v>
      </c>
      <c r="K60" s="21">
        <v>1.5472399999999999</v>
      </c>
      <c r="L60">
        <f t="shared" si="0"/>
        <v>15.322839506172839</v>
      </c>
      <c r="M60">
        <f t="shared" si="1"/>
        <v>23.72220720987654</v>
      </c>
      <c r="N60" s="9"/>
      <c r="O60" s="21">
        <v>0.15182499999999999</v>
      </c>
      <c r="P60" s="21">
        <v>9.6650700000000001</v>
      </c>
      <c r="Q60" s="21">
        <v>-1.4767499999999999E-2</v>
      </c>
      <c r="R60" s="21">
        <v>50</v>
      </c>
      <c r="S60" s="21">
        <v>0.151367</v>
      </c>
      <c r="T60">
        <f t="shared" si="2"/>
        <v>18.231481481481481</v>
      </c>
      <c r="U60">
        <f t="shared" si="3"/>
        <v>2.7679946759259257</v>
      </c>
      <c r="X60" s="9"/>
      <c r="Y60" s="21">
        <v>1.54816</v>
      </c>
      <c r="Z60" s="21">
        <v>15.1691</v>
      </c>
      <c r="AA60" s="21">
        <v>-1.2234500000000001E-2</v>
      </c>
      <c r="AB60" s="21">
        <v>50</v>
      </c>
      <c r="AC60" s="21">
        <v>1.54816</v>
      </c>
      <c r="AD60">
        <f t="shared" si="4"/>
        <v>15.104320987654321</v>
      </c>
      <c r="AE60">
        <f t="shared" si="5"/>
        <v>23.383905580246914</v>
      </c>
      <c r="AF60" s="9"/>
      <c r="AG60" s="21">
        <v>0.15182499999999999</v>
      </c>
      <c r="AH60" s="21">
        <v>18.988299999999999</v>
      </c>
      <c r="AI60" s="21">
        <v>-1.47461E-2</v>
      </c>
      <c r="AJ60" s="21">
        <v>50</v>
      </c>
      <c r="AK60" s="21">
        <v>0.151337</v>
      </c>
      <c r="AL60">
        <f t="shared" si="6"/>
        <v>18.205061728395062</v>
      </c>
      <c r="AM60">
        <f t="shared" si="7"/>
        <v>2.7639834969135801</v>
      </c>
      <c r="AP60" s="9"/>
      <c r="AQ60" s="21">
        <v>1.54816</v>
      </c>
      <c r="AR60" s="21">
        <v>24.481300000000001</v>
      </c>
      <c r="AS60" s="21">
        <v>-1.2197899999999999E-2</v>
      </c>
      <c r="AT60" s="21">
        <v>50</v>
      </c>
      <c r="AU60" s="21">
        <v>1.5472399999999999</v>
      </c>
      <c r="AV60">
        <f t="shared" si="8"/>
        <v>15.059135802469134</v>
      </c>
      <c r="AW60">
        <f t="shared" si="9"/>
        <v>23.313951683950613</v>
      </c>
      <c r="AX60" s="9"/>
      <c r="AY60" s="21">
        <v>0.15182499999999999</v>
      </c>
      <c r="AZ60" s="21">
        <v>28.300599999999999</v>
      </c>
      <c r="BA60" s="21">
        <v>-1.4825400000000001E-2</v>
      </c>
      <c r="BB60" s="21">
        <v>50</v>
      </c>
      <c r="BC60" s="21">
        <v>0.151306</v>
      </c>
      <c r="BD60">
        <f t="shared" si="10"/>
        <v>18.302962962962962</v>
      </c>
      <c r="BE60">
        <f t="shared" si="11"/>
        <v>2.7788473518518515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5.85595</v>
      </c>
      <c r="I61" s="21">
        <v>-1.2451200000000001E-2</v>
      </c>
      <c r="J61" s="21">
        <v>51</v>
      </c>
      <c r="K61" s="21">
        <v>1.54297</v>
      </c>
      <c r="L61">
        <f t="shared" si="0"/>
        <v>15.371851851851853</v>
      </c>
      <c r="M61">
        <f t="shared" si="1"/>
        <v>23.720612029629631</v>
      </c>
      <c r="N61" s="9"/>
      <c r="O61" s="21">
        <v>0.15686</v>
      </c>
      <c r="P61" s="21">
        <v>9.6751400000000007</v>
      </c>
      <c r="Q61" s="21">
        <v>-1.4776600000000001E-2</v>
      </c>
      <c r="R61" s="21">
        <v>51</v>
      </c>
      <c r="S61" s="21">
        <v>0.15625</v>
      </c>
      <c r="T61">
        <f t="shared" si="2"/>
        <v>18.242716049382715</v>
      </c>
      <c r="U61">
        <f t="shared" si="3"/>
        <v>2.8615524395061724</v>
      </c>
      <c r="X61" s="9"/>
      <c r="Y61" s="21">
        <v>1.54312</v>
      </c>
      <c r="Z61" s="21">
        <v>15.1792</v>
      </c>
      <c r="AA61" s="21">
        <v>-1.22833E-2</v>
      </c>
      <c r="AB61" s="21">
        <v>51</v>
      </c>
      <c r="AC61" s="21">
        <v>1.5426599999999999</v>
      </c>
      <c r="AD61">
        <f t="shared" si="4"/>
        <v>15.164567901234568</v>
      </c>
      <c r="AE61">
        <f t="shared" si="5"/>
        <v>23.400748019753088</v>
      </c>
      <c r="AF61" s="9"/>
      <c r="AG61" s="21">
        <v>0.15686</v>
      </c>
      <c r="AH61" s="21">
        <v>18.9984</v>
      </c>
      <c r="AI61" s="21">
        <v>-1.4736900000000001E-2</v>
      </c>
      <c r="AJ61" s="21">
        <v>51</v>
      </c>
      <c r="AK61" s="21">
        <v>0.15634200000000001</v>
      </c>
      <c r="AL61">
        <f t="shared" si="6"/>
        <v>18.193703703703704</v>
      </c>
      <c r="AM61">
        <f t="shared" si="7"/>
        <v>2.853864362962963</v>
      </c>
      <c r="AP61" s="9"/>
      <c r="AQ61" s="21">
        <v>1.54312</v>
      </c>
      <c r="AR61" s="21">
        <v>24.491399999999999</v>
      </c>
      <c r="AS61" s="21">
        <v>-1.22559E-2</v>
      </c>
      <c r="AT61" s="21">
        <v>51</v>
      </c>
      <c r="AU61" s="21">
        <v>1.5420499999999999</v>
      </c>
      <c r="AV61">
        <f t="shared" si="8"/>
        <v>15.130740740740739</v>
      </c>
      <c r="AW61">
        <f t="shared" si="9"/>
        <v>23.34854865185185</v>
      </c>
      <c r="AX61" s="9"/>
      <c r="AY61" s="21">
        <v>0.15686</v>
      </c>
      <c r="AZ61" s="21">
        <v>28.310700000000001</v>
      </c>
      <c r="BA61" s="21">
        <v>-1.4816299999999999E-2</v>
      </c>
      <c r="BB61" s="21">
        <v>51</v>
      </c>
      <c r="BC61" s="21">
        <v>0.15625</v>
      </c>
      <c r="BD61">
        <f t="shared" si="10"/>
        <v>18.291728395061728</v>
      </c>
      <c r="BE61">
        <f t="shared" si="11"/>
        <v>2.8692405160493828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5.8660199999999998</v>
      </c>
      <c r="I62" s="21">
        <v>-1.2506099999999999E-2</v>
      </c>
      <c r="J62" s="21">
        <v>52</v>
      </c>
      <c r="K62" s="21">
        <v>1.53748</v>
      </c>
      <c r="L62">
        <f t="shared" si="0"/>
        <v>15.439629629629628</v>
      </c>
      <c r="M62">
        <f t="shared" si="1"/>
        <v>23.747539937037036</v>
      </c>
      <c r="N62" s="9"/>
      <c r="O62" s="21">
        <v>0.16189600000000001</v>
      </c>
      <c r="P62" s="21">
        <v>9.6852099999999997</v>
      </c>
      <c r="Q62" s="21">
        <v>-1.4782699999999999E-2</v>
      </c>
      <c r="R62" s="21">
        <v>52</v>
      </c>
      <c r="S62" s="21">
        <v>0.16134599999999999</v>
      </c>
      <c r="T62">
        <f t="shared" si="2"/>
        <v>18.250246913580245</v>
      </c>
      <c r="U62">
        <f t="shared" si="3"/>
        <v>2.9546419743209875</v>
      </c>
      <c r="X62" s="9"/>
      <c r="Y62" s="21">
        <v>1.53809</v>
      </c>
      <c r="Z62" s="21">
        <v>15.1892</v>
      </c>
      <c r="AA62" s="21">
        <v>-1.2329100000000001E-2</v>
      </c>
      <c r="AB62" s="21">
        <v>52</v>
      </c>
      <c r="AC62" s="21">
        <v>1.53748</v>
      </c>
      <c r="AD62">
        <f t="shared" si="4"/>
        <v>15.22111111111111</v>
      </c>
      <c r="AE62">
        <f t="shared" si="5"/>
        <v>23.411438788888887</v>
      </c>
      <c r="AF62" s="9"/>
      <c r="AG62" s="21">
        <v>0.16189600000000001</v>
      </c>
      <c r="AH62" s="21">
        <v>19.008400000000002</v>
      </c>
      <c r="AI62" s="21">
        <v>-1.4727799999999999E-2</v>
      </c>
      <c r="AJ62" s="21">
        <v>52</v>
      </c>
      <c r="AK62" s="21">
        <v>0.16137699999999999</v>
      </c>
      <c r="AL62">
        <f t="shared" si="6"/>
        <v>18.182469135802467</v>
      </c>
      <c r="AM62">
        <f t="shared" si="7"/>
        <v>2.9436690232098766</v>
      </c>
      <c r="AP62" s="9"/>
      <c r="AQ62" s="21">
        <v>1.53809</v>
      </c>
      <c r="AR62" s="21">
        <v>24.5015</v>
      </c>
      <c r="AS62" s="21">
        <v>-1.23138E-2</v>
      </c>
      <c r="AT62" s="21">
        <v>52</v>
      </c>
      <c r="AU62" s="21">
        <v>1.5371699999999999</v>
      </c>
      <c r="AV62">
        <f t="shared" si="8"/>
        <v>15.202222222222222</v>
      </c>
      <c r="AW62">
        <f t="shared" si="9"/>
        <v>23.382385977777776</v>
      </c>
      <c r="AX62" s="9"/>
      <c r="AY62" s="21">
        <v>0.16189600000000001</v>
      </c>
      <c r="AZ62" s="21">
        <v>28.320699999999999</v>
      </c>
      <c r="BA62" s="21">
        <v>-1.48132E-2</v>
      </c>
      <c r="BB62" s="21">
        <v>52</v>
      </c>
      <c r="BC62" s="21">
        <v>0.16137699999999999</v>
      </c>
      <c r="BD62">
        <f t="shared" si="10"/>
        <v>18.287901234567901</v>
      </c>
      <c r="BE62">
        <f t="shared" si="11"/>
        <v>2.960738058271605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5.8760899999999996</v>
      </c>
      <c r="I63" s="21">
        <v>-1.25641E-2</v>
      </c>
      <c r="J63" s="21">
        <v>53</v>
      </c>
      <c r="K63" s="21">
        <v>1.5325899999999999</v>
      </c>
      <c r="L63">
        <f t="shared" si="0"/>
        <v>15.511234567901234</v>
      </c>
      <c r="M63">
        <f t="shared" si="1"/>
        <v>23.779498154320986</v>
      </c>
      <c r="N63" s="9"/>
      <c r="O63" s="21">
        <v>0.166931</v>
      </c>
      <c r="P63" s="21">
        <v>9.6952800000000003</v>
      </c>
      <c r="Q63" s="21">
        <v>-1.47797E-2</v>
      </c>
      <c r="R63" s="21">
        <v>53</v>
      </c>
      <c r="S63" s="21">
        <v>0.166412</v>
      </c>
      <c r="T63">
        <f t="shared" si="2"/>
        <v>18.246543209876542</v>
      </c>
      <c r="U63">
        <f t="shared" si="3"/>
        <v>3.045913704567901</v>
      </c>
      <c r="X63" s="9"/>
      <c r="Y63" s="21">
        <v>1.53305</v>
      </c>
      <c r="Z63" s="21">
        <v>15.199299999999999</v>
      </c>
      <c r="AA63" s="21">
        <v>-1.2371800000000001E-2</v>
      </c>
      <c r="AB63" s="21">
        <v>53</v>
      </c>
      <c r="AC63" s="21">
        <v>1.5325899999999999</v>
      </c>
      <c r="AD63">
        <f t="shared" si="4"/>
        <v>15.273827160493827</v>
      </c>
      <c r="AE63">
        <f t="shared" si="5"/>
        <v>23.415540728395062</v>
      </c>
      <c r="AF63" s="9"/>
      <c r="AG63" s="21">
        <v>0.166931</v>
      </c>
      <c r="AH63" s="21">
        <v>19.0185</v>
      </c>
      <c r="AI63" s="21">
        <v>-1.47186E-2</v>
      </c>
      <c r="AJ63" s="21">
        <v>53</v>
      </c>
      <c r="AK63" s="21">
        <v>0.166351</v>
      </c>
      <c r="AL63">
        <f t="shared" si="6"/>
        <v>18.171111111111109</v>
      </c>
      <c r="AM63">
        <f t="shared" si="7"/>
        <v>3.0333217488888886</v>
      </c>
      <c r="AP63" s="9"/>
      <c r="AQ63" s="21">
        <v>1.53305</v>
      </c>
      <c r="AR63" s="21">
        <v>24.511500000000002</v>
      </c>
      <c r="AS63" s="21">
        <v>-1.2368799999999999E-2</v>
      </c>
      <c r="AT63" s="21">
        <v>53</v>
      </c>
      <c r="AU63" s="21">
        <v>1.5322899999999999</v>
      </c>
      <c r="AV63">
        <f t="shared" si="8"/>
        <v>15.270123456790122</v>
      </c>
      <c r="AW63">
        <f t="shared" si="9"/>
        <v>23.409862765432099</v>
      </c>
      <c r="AX63" s="9"/>
      <c r="AY63" s="21">
        <v>0.166931</v>
      </c>
      <c r="AZ63" s="21">
        <v>28.3308</v>
      </c>
      <c r="BA63" s="21">
        <v>-1.4816299999999999E-2</v>
      </c>
      <c r="BB63" s="21">
        <v>53</v>
      </c>
      <c r="BC63" s="21">
        <v>0.166382</v>
      </c>
      <c r="BD63">
        <f t="shared" si="10"/>
        <v>18.291728395061728</v>
      </c>
      <c r="BE63">
        <f t="shared" si="11"/>
        <v>3.0534565127160493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5.8861600000000003</v>
      </c>
      <c r="I64" s="21">
        <v>-1.26099E-2</v>
      </c>
      <c r="J64" s="21">
        <v>54</v>
      </c>
      <c r="K64" s="21">
        <v>1.5274000000000001</v>
      </c>
      <c r="L64">
        <f t="shared" si="0"/>
        <v>15.567777777777778</v>
      </c>
      <c r="M64">
        <f t="shared" si="1"/>
        <v>23.787875799999998</v>
      </c>
      <c r="N64" s="9"/>
      <c r="O64" s="21">
        <v>0.17196700000000001</v>
      </c>
      <c r="P64" s="21">
        <v>9.7053499999999993</v>
      </c>
      <c r="Q64" s="21">
        <v>-1.4776600000000001E-2</v>
      </c>
      <c r="R64" s="21">
        <v>54</v>
      </c>
      <c r="S64" s="21">
        <v>0.17138700000000001</v>
      </c>
      <c r="T64">
        <f t="shared" si="2"/>
        <v>18.242716049382715</v>
      </c>
      <c r="U64">
        <f t="shared" si="3"/>
        <v>3.1371451508641974</v>
      </c>
      <c r="X64" s="9"/>
      <c r="Y64" s="21">
        <v>1.5280199999999999</v>
      </c>
      <c r="Z64" s="21">
        <v>15.2094</v>
      </c>
      <c r="AA64" s="21">
        <v>-1.24268E-2</v>
      </c>
      <c r="AB64" s="21">
        <v>54</v>
      </c>
      <c r="AC64" s="21">
        <v>1.5270999999999999</v>
      </c>
      <c r="AD64">
        <f t="shared" si="4"/>
        <v>15.341728395061727</v>
      </c>
      <c r="AE64">
        <f t="shared" si="5"/>
        <v>23.44246782222222</v>
      </c>
      <c r="AF64" s="9"/>
      <c r="AG64" s="21">
        <v>0.17196700000000001</v>
      </c>
      <c r="AH64" s="21">
        <v>19.028600000000001</v>
      </c>
      <c r="AI64" s="21">
        <v>-1.47186E-2</v>
      </c>
      <c r="AJ64" s="21">
        <v>54</v>
      </c>
      <c r="AK64" s="21">
        <v>0.17144799999999999</v>
      </c>
      <c r="AL64">
        <f t="shared" si="6"/>
        <v>18.171111111111109</v>
      </c>
      <c r="AM64">
        <f t="shared" si="7"/>
        <v>3.1248314644444442</v>
      </c>
      <c r="AP64" s="9"/>
      <c r="AQ64" s="21">
        <v>1.5280199999999999</v>
      </c>
      <c r="AR64" s="21">
        <v>24.521599999999999</v>
      </c>
      <c r="AS64" s="21">
        <v>-1.2417600000000001E-2</v>
      </c>
      <c r="AT64" s="21">
        <v>54</v>
      </c>
      <c r="AU64" s="21">
        <v>1.5270999999999999</v>
      </c>
      <c r="AV64">
        <f t="shared" si="8"/>
        <v>15.330370370370371</v>
      </c>
      <c r="AW64">
        <f t="shared" si="9"/>
        <v>23.425112533333333</v>
      </c>
      <c r="AX64" s="9"/>
      <c r="AY64" s="21">
        <v>0.17196700000000001</v>
      </c>
      <c r="AZ64" s="21">
        <v>28.340900000000001</v>
      </c>
      <c r="BA64" s="21">
        <v>-1.4801E-2</v>
      </c>
      <c r="BB64" s="21">
        <v>54</v>
      </c>
      <c r="BC64" s="21">
        <v>0.171265</v>
      </c>
      <c r="BD64">
        <f t="shared" si="10"/>
        <v>18.27283950617284</v>
      </c>
      <c r="BE64">
        <f t="shared" si="11"/>
        <v>3.1423253913580251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5.8962300000000001</v>
      </c>
      <c r="I65" s="21">
        <v>-1.2655599999999999E-2</v>
      </c>
      <c r="J65" s="21">
        <v>55</v>
      </c>
      <c r="K65" s="21">
        <v>1.5222199999999999</v>
      </c>
      <c r="L65">
        <f t="shared" si="0"/>
        <v>15.624197530864196</v>
      </c>
      <c r="M65">
        <f t="shared" si="1"/>
        <v>23.795340355555552</v>
      </c>
      <c r="N65" s="9"/>
      <c r="O65" s="21">
        <v>0.17700199999999999</v>
      </c>
      <c r="P65" s="21">
        <v>9.7154199999999999</v>
      </c>
      <c r="Q65" s="21">
        <v>-1.47797E-2</v>
      </c>
      <c r="R65" s="21">
        <v>55</v>
      </c>
      <c r="S65" s="21">
        <v>0.176483</v>
      </c>
      <c r="T65">
        <f t="shared" si="2"/>
        <v>18.246543209876542</v>
      </c>
      <c r="U65">
        <f t="shared" si="3"/>
        <v>3.2296746412345674</v>
      </c>
      <c r="X65" s="9"/>
      <c r="Y65" s="21">
        <v>1.52298</v>
      </c>
      <c r="Z65" s="21">
        <v>15.2194</v>
      </c>
      <c r="AA65" s="21">
        <v>-1.24878E-2</v>
      </c>
      <c r="AB65" s="21">
        <v>55</v>
      </c>
      <c r="AC65" s="21">
        <v>1.5216099999999999</v>
      </c>
      <c r="AD65">
        <f t="shared" si="4"/>
        <v>15.417037037037037</v>
      </c>
      <c r="AE65">
        <f t="shared" si="5"/>
        <v>23.479839066666667</v>
      </c>
      <c r="AF65" s="9"/>
      <c r="AG65" s="21">
        <v>0.17700199999999999</v>
      </c>
      <c r="AH65" s="21">
        <v>19.038599999999999</v>
      </c>
      <c r="AI65" s="21">
        <v>-1.47095E-2</v>
      </c>
      <c r="AJ65" s="21">
        <v>55</v>
      </c>
      <c r="AK65" s="21">
        <v>0.176422</v>
      </c>
      <c r="AL65">
        <f t="shared" si="6"/>
        <v>18.159876543209876</v>
      </c>
      <c r="AM65">
        <f t="shared" si="7"/>
        <v>3.2143344679012342</v>
      </c>
      <c r="AP65" s="9"/>
      <c r="AQ65" s="21">
        <v>1.52298</v>
      </c>
      <c r="AR65" s="21">
        <v>24.531700000000001</v>
      </c>
      <c r="AS65" s="21">
        <v>-1.2457299999999999E-2</v>
      </c>
      <c r="AT65" s="21">
        <v>55</v>
      </c>
      <c r="AU65" s="21">
        <v>1.5219100000000001</v>
      </c>
      <c r="AV65">
        <f t="shared" si="8"/>
        <v>15.379382716049379</v>
      </c>
      <c r="AW65">
        <f t="shared" si="9"/>
        <v>23.422492288888883</v>
      </c>
      <c r="AX65" s="9"/>
      <c r="AY65" s="21">
        <v>0.17700199999999999</v>
      </c>
      <c r="AZ65" s="21">
        <v>28.350899999999999</v>
      </c>
      <c r="BA65" s="21">
        <v>-1.47888E-2</v>
      </c>
      <c r="BB65" s="21">
        <v>55</v>
      </c>
      <c r="BC65" s="21">
        <v>0.176453</v>
      </c>
      <c r="BD65">
        <f t="shared" si="10"/>
        <v>18.257777777777775</v>
      </c>
      <c r="BE65">
        <f t="shared" si="11"/>
        <v>3.2316631822222215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5.9062999999999999</v>
      </c>
      <c r="I66" s="21">
        <v>-1.2704500000000001E-2</v>
      </c>
      <c r="J66" s="21">
        <v>56</v>
      </c>
      <c r="K66" s="21">
        <v>1.5170300000000001</v>
      </c>
      <c r="L66">
        <f t="shared" si="0"/>
        <v>15.684567901234566</v>
      </c>
      <c r="M66">
        <f t="shared" si="1"/>
        <v>23.808232999999998</v>
      </c>
      <c r="N66" s="9"/>
      <c r="O66" s="21">
        <v>0.182037</v>
      </c>
      <c r="P66" s="21">
        <v>9.7254900000000006</v>
      </c>
      <c r="Q66" s="21">
        <v>-1.4770500000000001E-2</v>
      </c>
      <c r="R66" s="21">
        <v>56</v>
      </c>
      <c r="S66" s="21">
        <v>0.18151900000000001</v>
      </c>
      <c r="T66">
        <f t="shared" si="2"/>
        <v>18.235185185185184</v>
      </c>
      <c r="U66">
        <f t="shared" si="3"/>
        <v>3.3194784055555555</v>
      </c>
      <c r="X66" s="9"/>
      <c r="Y66" s="21">
        <v>1.5179400000000001</v>
      </c>
      <c r="Z66" s="21">
        <v>15.2295</v>
      </c>
      <c r="AA66" s="21">
        <v>-1.2545799999999999E-2</v>
      </c>
      <c r="AB66" s="21">
        <v>56</v>
      </c>
      <c r="AC66" s="21">
        <v>1.5173300000000001</v>
      </c>
      <c r="AD66">
        <f t="shared" si="4"/>
        <v>15.48864197530864</v>
      </c>
      <c r="AE66">
        <f t="shared" si="5"/>
        <v>23.5108292</v>
      </c>
      <c r="AF66" s="9"/>
      <c r="AG66" s="21">
        <v>0.182037</v>
      </c>
      <c r="AH66" s="21">
        <v>19.0487</v>
      </c>
      <c r="AI66" s="21">
        <v>-1.47095E-2</v>
      </c>
      <c r="AJ66" s="21">
        <v>56</v>
      </c>
      <c r="AK66" s="21">
        <v>0.18145800000000001</v>
      </c>
      <c r="AL66">
        <f t="shared" si="6"/>
        <v>18.159876543209876</v>
      </c>
      <c r="AM66">
        <f t="shared" si="7"/>
        <v>3.3057694462962961</v>
      </c>
      <c r="AP66" s="9"/>
      <c r="AQ66" s="21">
        <v>1.5179400000000001</v>
      </c>
      <c r="AR66" s="21">
        <v>24.541699999999999</v>
      </c>
      <c r="AS66" s="21">
        <v>-1.24908E-2</v>
      </c>
      <c r="AT66" s="21">
        <v>56</v>
      </c>
      <c r="AU66" s="21">
        <v>1.5170300000000001</v>
      </c>
      <c r="AV66">
        <f t="shared" si="8"/>
        <v>15.42074074074074</v>
      </c>
      <c r="AW66">
        <f t="shared" si="9"/>
        <v>23.407759200000001</v>
      </c>
      <c r="AX66" s="9"/>
      <c r="AY66" s="21">
        <v>0.182037</v>
      </c>
      <c r="AZ66" s="21">
        <v>28.361000000000001</v>
      </c>
      <c r="BA66" s="21">
        <v>-1.47736E-2</v>
      </c>
      <c r="BB66" s="21">
        <v>56</v>
      </c>
      <c r="BC66" s="21">
        <v>0.18154899999999999</v>
      </c>
      <c r="BD66">
        <f t="shared" si="10"/>
        <v>18.239012345679011</v>
      </c>
      <c r="BE66">
        <f t="shared" si="11"/>
        <v>3.3201750903703702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5.9163699999999997</v>
      </c>
      <c r="I67" s="21">
        <v>-1.27472E-2</v>
      </c>
      <c r="J67" s="21">
        <v>57</v>
      </c>
      <c r="K67" s="21">
        <v>1.5121500000000001</v>
      </c>
      <c r="L67">
        <f t="shared" si="0"/>
        <v>15.737283950617284</v>
      </c>
      <c r="M67">
        <f t="shared" si="1"/>
        <v>23.809094261728394</v>
      </c>
      <c r="N67" s="9"/>
      <c r="O67" s="21">
        <v>0.18707299999999999</v>
      </c>
      <c r="P67" s="21">
        <v>9.7355699999999992</v>
      </c>
      <c r="Q67" s="21">
        <v>-1.47644E-2</v>
      </c>
      <c r="R67" s="21">
        <v>57</v>
      </c>
      <c r="S67" s="21">
        <v>0.186554</v>
      </c>
      <c r="T67">
        <f t="shared" si="2"/>
        <v>18.227654320987654</v>
      </c>
      <c r="U67">
        <f t="shared" si="3"/>
        <v>3.4099019767901231</v>
      </c>
      <c r="X67" s="9"/>
      <c r="Y67" s="21">
        <v>1.51291</v>
      </c>
      <c r="Z67" s="21">
        <v>15.239599999999999</v>
      </c>
      <c r="AA67" s="21">
        <v>-1.2594599999999999E-2</v>
      </c>
      <c r="AB67" s="21">
        <v>57</v>
      </c>
      <c r="AC67" s="21">
        <v>1.5118400000000001</v>
      </c>
      <c r="AD67">
        <f t="shared" si="4"/>
        <v>15.548888888888886</v>
      </c>
      <c r="AE67">
        <f t="shared" si="5"/>
        <v>23.524069488888884</v>
      </c>
      <c r="AF67" s="9"/>
      <c r="AG67" s="21">
        <v>0.18707299999999999</v>
      </c>
      <c r="AH67" s="21">
        <v>19.058800000000002</v>
      </c>
      <c r="AI67" s="21">
        <v>-1.47186E-2</v>
      </c>
      <c r="AJ67" s="21">
        <v>57</v>
      </c>
      <c r="AK67" s="21">
        <v>0.18646199999999999</v>
      </c>
      <c r="AL67">
        <f t="shared" si="6"/>
        <v>18.171111111111109</v>
      </c>
      <c r="AM67">
        <f t="shared" si="7"/>
        <v>3.3993242688888885</v>
      </c>
      <c r="AP67" s="9"/>
      <c r="AQ67" s="21">
        <v>1.51291</v>
      </c>
      <c r="AR67" s="21">
        <v>24.5518</v>
      </c>
      <c r="AS67" s="21">
        <v>-1.2533600000000001E-2</v>
      </c>
      <c r="AT67" s="21">
        <v>57</v>
      </c>
      <c r="AU67" s="21">
        <v>1.5121500000000001</v>
      </c>
      <c r="AV67">
        <f t="shared" si="8"/>
        <v>15.473580246913581</v>
      </c>
      <c r="AW67">
        <f t="shared" si="9"/>
        <v>23.410134291358027</v>
      </c>
      <c r="AX67" s="9"/>
      <c r="AY67" s="21">
        <v>0.18707299999999999</v>
      </c>
      <c r="AZ67" s="21">
        <v>28.371099999999998</v>
      </c>
      <c r="BA67" s="21">
        <v>-1.4770500000000001E-2</v>
      </c>
      <c r="BB67" s="21">
        <v>57</v>
      </c>
      <c r="BC67" s="21">
        <v>0.186615</v>
      </c>
      <c r="BD67">
        <f t="shared" si="10"/>
        <v>18.235185185185184</v>
      </c>
      <c r="BE67">
        <f t="shared" si="11"/>
        <v>3.4113107981481479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5.9264400000000004</v>
      </c>
      <c r="I68" s="21">
        <v>-1.2771599999999999E-2</v>
      </c>
      <c r="J68" s="21">
        <v>58</v>
      </c>
      <c r="K68" s="21">
        <v>1.5075700000000001</v>
      </c>
      <c r="L68">
        <f t="shared" si="0"/>
        <v>15.767407407407408</v>
      </c>
      <c r="M68">
        <f t="shared" si="1"/>
        <v>23.77520060740741</v>
      </c>
      <c r="N68" s="9"/>
      <c r="O68" s="21">
        <v>0.192108</v>
      </c>
      <c r="P68" s="21">
        <v>9.7456399999999999</v>
      </c>
      <c r="Q68" s="21">
        <v>-1.47552E-2</v>
      </c>
      <c r="R68" s="21">
        <v>58</v>
      </c>
      <c r="S68" s="21">
        <v>0.191528</v>
      </c>
      <c r="T68">
        <f t="shared" si="2"/>
        <v>18.216296296296292</v>
      </c>
      <c r="U68">
        <f t="shared" si="3"/>
        <v>3.4994962488888883</v>
      </c>
      <c r="X68" s="9"/>
      <c r="Y68" s="21">
        <v>1.50787</v>
      </c>
      <c r="Z68" s="21">
        <v>15.249700000000001</v>
      </c>
      <c r="AA68" s="21">
        <v>-1.2637300000000001E-2</v>
      </c>
      <c r="AB68" s="21">
        <v>58</v>
      </c>
      <c r="AC68" s="21">
        <v>1.5069600000000001</v>
      </c>
      <c r="AD68">
        <f t="shared" si="4"/>
        <v>15.601604938271604</v>
      </c>
      <c r="AE68">
        <f t="shared" si="5"/>
        <v>23.525192038271605</v>
      </c>
      <c r="AF68" s="9"/>
      <c r="AG68" s="21">
        <v>0.192108</v>
      </c>
      <c r="AH68" s="21">
        <v>19.0688</v>
      </c>
      <c r="AI68" s="21">
        <v>-1.4727799999999999E-2</v>
      </c>
      <c r="AJ68" s="21">
        <v>58</v>
      </c>
      <c r="AK68" s="21">
        <v>0.19162000000000001</v>
      </c>
      <c r="AL68">
        <f t="shared" si="6"/>
        <v>18.182469135802467</v>
      </c>
      <c r="AM68">
        <f t="shared" si="7"/>
        <v>3.4929977807407404</v>
      </c>
      <c r="AP68" s="9"/>
      <c r="AQ68" s="21">
        <v>1.50787</v>
      </c>
      <c r="AR68" s="21">
        <v>24.561900000000001</v>
      </c>
      <c r="AS68" s="21">
        <v>-1.25702E-2</v>
      </c>
      <c r="AT68" s="21">
        <v>58</v>
      </c>
      <c r="AU68" s="21">
        <v>1.50726</v>
      </c>
      <c r="AV68">
        <f t="shared" si="8"/>
        <v>15.518765432098766</v>
      </c>
      <c r="AW68">
        <f t="shared" si="9"/>
        <v>23.400280832098765</v>
      </c>
      <c r="AX68" s="9"/>
      <c r="AY68" s="21">
        <v>0.192108</v>
      </c>
      <c r="AZ68" s="21">
        <v>28.3812</v>
      </c>
      <c r="BA68" s="21">
        <v>-1.47797E-2</v>
      </c>
      <c r="BB68" s="21">
        <v>58</v>
      </c>
      <c r="BC68" s="21">
        <v>0.191498</v>
      </c>
      <c r="BD68">
        <f t="shared" si="10"/>
        <v>18.246543209876542</v>
      </c>
      <c r="BE68">
        <f t="shared" si="11"/>
        <v>3.5053069229629625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5.9365100000000002</v>
      </c>
      <c r="I69" s="21">
        <v>-1.2799100000000001E-2</v>
      </c>
      <c r="J69" s="21">
        <v>59</v>
      </c>
      <c r="K69" s="21">
        <v>1.5020800000000001</v>
      </c>
      <c r="L69">
        <f t="shared" si="0"/>
        <v>15.801358024691359</v>
      </c>
      <c r="M69">
        <f t="shared" si="1"/>
        <v>23.746912893827162</v>
      </c>
      <c r="N69" s="9"/>
      <c r="O69" s="21">
        <v>0.19714400000000001</v>
      </c>
      <c r="P69" s="21">
        <v>9.7557100000000005</v>
      </c>
      <c r="Q69" s="21">
        <v>-1.4742999999999999E-2</v>
      </c>
      <c r="R69" s="21">
        <v>59</v>
      </c>
      <c r="S69" s="21">
        <v>0.19656399999999999</v>
      </c>
      <c r="T69">
        <f t="shared" si="2"/>
        <v>18.201234567901235</v>
      </c>
      <c r="U69">
        <f t="shared" si="3"/>
        <v>3.5882641876543211</v>
      </c>
      <c r="X69" s="9"/>
      <c r="Y69" s="21">
        <v>1.50284</v>
      </c>
      <c r="Z69" s="21">
        <v>15.2597</v>
      </c>
      <c r="AA69" s="21">
        <v>-1.2670900000000001E-2</v>
      </c>
      <c r="AB69" s="21">
        <v>59</v>
      </c>
      <c r="AC69" s="21">
        <v>1.5020800000000001</v>
      </c>
      <c r="AD69">
        <f t="shared" si="4"/>
        <v>15.643086419753088</v>
      </c>
      <c r="AE69">
        <f t="shared" si="5"/>
        <v>23.509055995061729</v>
      </c>
      <c r="AF69" s="9"/>
      <c r="AG69" s="21">
        <v>0.19714400000000001</v>
      </c>
      <c r="AH69" s="21">
        <v>19.078900000000001</v>
      </c>
      <c r="AI69" s="21">
        <v>-1.4715600000000001E-2</v>
      </c>
      <c r="AJ69" s="21">
        <v>59</v>
      </c>
      <c r="AK69" s="21">
        <v>0.19656399999999999</v>
      </c>
      <c r="AL69">
        <f t="shared" si="6"/>
        <v>18.167407407407406</v>
      </c>
      <c r="AM69">
        <f t="shared" si="7"/>
        <v>3.5815953659259261</v>
      </c>
      <c r="AP69" s="9"/>
      <c r="AQ69" s="21">
        <v>1.50284</v>
      </c>
      <c r="AR69" s="21">
        <v>24.571999999999999</v>
      </c>
      <c r="AS69" s="21">
        <v>-1.2600699999999999E-2</v>
      </c>
      <c r="AT69" s="21">
        <v>59</v>
      </c>
      <c r="AU69" s="21">
        <v>1.50238</v>
      </c>
      <c r="AV69">
        <f t="shared" si="8"/>
        <v>15.556419753086418</v>
      </c>
      <c r="AW69">
        <f t="shared" si="9"/>
        <v>23.378809861728392</v>
      </c>
      <c r="AX69" s="9"/>
      <c r="AY69" s="21">
        <v>0.19714400000000001</v>
      </c>
      <c r="AZ69" s="21">
        <v>28.391200000000001</v>
      </c>
      <c r="BA69" s="21">
        <v>-1.47797E-2</v>
      </c>
      <c r="BB69" s="21">
        <v>59</v>
      </c>
      <c r="BC69" s="21">
        <v>0.19656399999999999</v>
      </c>
      <c r="BD69">
        <f t="shared" si="10"/>
        <v>18.246543209876542</v>
      </c>
      <c r="BE69">
        <f t="shared" si="11"/>
        <v>3.597196514567901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5.9465899999999996</v>
      </c>
      <c r="I70" s="21">
        <v>-1.28326E-2</v>
      </c>
      <c r="J70" s="21">
        <v>60</v>
      </c>
      <c r="K70" s="21">
        <v>1.49719</v>
      </c>
      <c r="L70">
        <f t="shared" si="0"/>
        <v>15.842716049382712</v>
      </c>
      <c r="M70">
        <f t="shared" si="1"/>
        <v>23.729220098765428</v>
      </c>
      <c r="N70" s="9"/>
      <c r="O70" s="21">
        <v>0.202179</v>
      </c>
      <c r="P70" s="21">
        <v>9.7657799999999995</v>
      </c>
      <c r="Q70" s="21">
        <v>-1.4733899999999999E-2</v>
      </c>
      <c r="R70" s="21">
        <v>60</v>
      </c>
      <c r="S70" s="21">
        <v>0.20163</v>
      </c>
      <c r="T70">
        <f t="shared" si="2"/>
        <v>18.189999999999998</v>
      </c>
      <c r="U70">
        <f t="shared" si="3"/>
        <v>3.6776360099999996</v>
      </c>
      <c r="X70" s="9"/>
      <c r="Y70" s="21">
        <v>1.4978</v>
      </c>
      <c r="Z70" s="21">
        <v>15.2698</v>
      </c>
      <c r="AA70" s="21">
        <v>-1.27014E-2</v>
      </c>
      <c r="AB70" s="21">
        <v>60</v>
      </c>
      <c r="AC70" s="21">
        <v>1.4975000000000001</v>
      </c>
      <c r="AD70">
        <f t="shared" si="4"/>
        <v>15.680740740740738</v>
      </c>
      <c r="AE70">
        <f t="shared" si="5"/>
        <v>23.486613481481477</v>
      </c>
      <c r="AF70" s="9"/>
      <c r="AG70" s="21">
        <v>0.202179</v>
      </c>
      <c r="AH70" s="21">
        <v>19.088999999999999</v>
      </c>
      <c r="AI70" s="21">
        <v>-1.47125E-2</v>
      </c>
      <c r="AJ70" s="21">
        <v>60</v>
      </c>
      <c r="AK70" s="21">
        <v>0.20163</v>
      </c>
      <c r="AL70">
        <f t="shared" si="6"/>
        <v>18.163580246913579</v>
      </c>
      <c r="AM70">
        <f t="shared" si="7"/>
        <v>3.6722944907407404</v>
      </c>
      <c r="AP70" s="9"/>
      <c r="AQ70" s="21">
        <v>1.4978</v>
      </c>
      <c r="AR70" s="21">
        <v>24.582000000000001</v>
      </c>
      <c r="AS70" s="21">
        <v>-1.2637300000000001E-2</v>
      </c>
      <c r="AT70" s="21">
        <v>60</v>
      </c>
      <c r="AU70" s="21">
        <v>1.4968900000000001</v>
      </c>
      <c r="AV70">
        <f t="shared" si="8"/>
        <v>15.601604938271604</v>
      </c>
      <c r="AW70">
        <f t="shared" si="9"/>
        <v>23.36808387654321</v>
      </c>
      <c r="AX70" s="9"/>
      <c r="AY70" s="21">
        <v>0.202179</v>
      </c>
      <c r="AZ70" s="21">
        <v>28.401299999999999</v>
      </c>
      <c r="BA70" s="21">
        <v>-1.4770500000000001E-2</v>
      </c>
      <c r="BB70" s="21">
        <v>60</v>
      </c>
      <c r="BC70" s="21">
        <v>0.201599</v>
      </c>
      <c r="BD70">
        <f t="shared" si="10"/>
        <v>18.235185185185184</v>
      </c>
      <c r="BE70">
        <f t="shared" si="11"/>
        <v>3.6867715055555554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5.9566600000000003</v>
      </c>
      <c r="I71" s="21">
        <v>-1.28754E-2</v>
      </c>
      <c r="J71" s="21">
        <v>61</v>
      </c>
      <c r="K71" s="21">
        <v>1.49109</v>
      </c>
      <c r="L71">
        <f t="shared" si="0"/>
        <v>15.895555555555555</v>
      </c>
      <c r="M71">
        <f t="shared" si="1"/>
        <v>23.728408466666664</v>
      </c>
      <c r="N71" s="9"/>
      <c r="O71" s="21">
        <v>0.20721400000000001</v>
      </c>
      <c r="P71" s="21">
        <v>9.7758500000000002</v>
      </c>
      <c r="Q71" s="21">
        <v>-1.4727799999999999E-2</v>
      </c>
      <c r="R71" s="21">
        <v>61</v>
      </c>
      <c r="S71" s="21">
        <v>0.20669599999999999</v>
      </c>
      <c r="T71">
        <f t="shared" si="2"/>
        <v>18.182469135802467</v>
      </c>
      <c r="U71">
        <f t="shared" si="3"/>
        <v>3.7676621595061728</v>
      </c>
      <c r="X71" s="9"/>
      <c r="Y71" s="21">
        <v>1.4927699999999999</v>
      </c>
      <c r="Z71" s="21">
        <v>15.2799</v>
      </c>
      <c r="AA71" s="21">
        <v>-1.2731900000000001E-2</v>
      </c>
      <c r="AB71" s="21">
        <v>61</v>
      </c>
      <c r="AC71" s="21">
        <v>1.4917</v>
      </c>
      <c r="AD71">
        <f t="shared" si="4"/>
        <v>15.718395061728396</v>
      </c>
      <c r="AE71">
        <f t="shared" si="5"/>
        <v>23.463948596296298</v>
      </c>
      <c r="AF71" s="9"/>
      <c r="AG71" s="21">
        <v>0.20721400000000001</v>
      </c>
      <c r="AH71" s="21">
        <v>19.0991</v>
      </c>
      <c r="AI71" s="21">
        <v>-1.4715600000000001E-2</v>
      </c>
      <c r="AJ71" s="21">
        <v>61</v>
      </c>
      <c r="AK71" s="21">
        <v>0.20669599999999999</v>
      </c>
      <c r="AL71">
        <f t="shared" si="6"/>
        <v>18.167407407407406</v>
      </c>
      <c r="AM71">
        <f t="shared" si="7"/>
        <v>3.7645411585185187</v>
      </c>
      <c r="AP71" s="9"/>
      <c r="AQ71" s="21">
        <v>1.4927699999999999</v>
      </c>
      <c r="AR71" s="21">
        <v>24.592099999999999</v>
      </c>
      <c r="AS71" s="21">
        <v>-1.26678E-2</v>
      </c>
      <c r="AT71" s="21">
        <v>61</v>
      </c>
      <c r="AU71" s="21">
        <v>1.49261</v>
      </c>
      <c r="AV71">
        <f t="shared" si="8"/>
        <v>15.639259259259259</v>
      </c>
      <c r="AW71">
        <f t="shared" si="9"/>
        <v>23.345817044444441</v>
      </c>
      <c r="AX71" s="9"/>
      <c r="AY71" s="21">
        <v>0.20721400000000001</v>
      </c>
      <c r="AZ71" s="21">
        <v>28.4114</v>
      </c>
      <c r="BA71" s="21">
        <v>-1.47522E-2</v>
      </c>
      <c r="BB71" s="21">
        <v>61</v>
      </c>
      <c r="BC71" s="21">
        <v>0.20666499999999999</v>
      </c>
      <c r="BD71">
        <f t="shared" si="10"/>
        <v>18.212592592592593</v>
      </c>
      <c r="BE71">
        <f t="shared" si="11"/>
        <v>3.7739041614814814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5.9667300000000001</v>
      </c>
      <c r="I72" s="21">
        <v>-1.2912E-2</v>
      </c>
      <c r="J72" s="21">
        <v>62</v>
      </c>
      <c r="K72" s="21">
        <v>1.48712</v>
      </c>
      <c r="L72">
        <f t="shared" si="0"/>
        <v>15.940740740740738</v>
      </c>
      <c r="M72">
        <f t="shared" si="1"/>
        <v>23.715518222222219</v>
      </c>
      <c r="N72" s="9"/>
      <c r="O72" s="21">
        <v>0.21224999999999999</v>
      </c>
      <c r="P72" s="21">
        <v>9.7859200000000008</v>
      </c>
      <c r="Q72" s="21">
        <v>-1.47186E-2</v>
      </c>
      <c r="R72" s="21">
        <v>62</v>
      </c>
      <c r="S72" s="21">
        <v>0.2117</v>
      </c>
      <c r="T72">
        <f t="shared" si="2"/>
        <v>18.171111111111109</v>
      </c>
      <c r="U72">
        <f t="shared" si="3"/>
        <v>3.856818333333333</v>
      </c>
      <c r="X72" s="9"/>
      <c r="Y72" s="21">
        <v>1.48773</v>
      </c>
      <c r="Z72" s="21">
        <v>15.289899999999999</v>
      </c>
      <c r="AA72" s="21">
        <v>-1.27686E-2</v>
      </c>
      <c r="AB72" s="21">
        <v>62</v>
      </c>
      <c r="AC72" s="21">
        <v>1.48712</v>
      </c>
      <c r="AD72">
        <f t="shared" si="4"/>
        <v>15.763703703703703</v>
      </c>
      <c r="AE72">
        <f t="shared" si="5"/>
        <v>23.452134911111109</v>
      </c>
      <c r="AF72" s="9"/>
      <c r="AG72" s="21">
        <v>0.21224999999999999</v>
      </c>
      <c r="AH72" s="21">
        <v>19.109100000000002</v>
      </c>
      <c r="AI72" s="21">
        <v>-1.47125E-2</v>
      </c>
      <c r="AJ72" s="21">
        <v>62</v>
      </c>
      <c r="AK72" s="21">
        <v>0.211731</v>
      </c>
      <c r="AL72">
        <f t="shared" si="6"/>
        <v>18.163580246913579</v>
      </c>
      <c r="AM72">
        <f t="shared" si="7"/>
        <v>3.8552199074074069</v>
      </c>
      <c r="AP72" s="9"/>
      <c r="AQ72" s="21">
        <v>1.48773</v>
      </c>
      <c r="AR72" s="21">
        <v>24.6022</v>
      </c>
      <c r="AS72" s="21">
        <v>-1.26953E-2</v>
      </c>
      <c r="AT72" s="21">
        <v>62</v>
      </c>
      <c r="AU72" s="21">
        <v>1.48712</v>
      </c>
      <c r="AV72">
        <f t="shared" si="8"/>
        <v>15.67320987654321</v>
      </c>
      <c r="AW72">
        <f t="shared" si="9"/>
        <v>23.31750452962963</v>
      </c>
      <c r="AX72" s="9"/>
      <c r="AY72" s="21">
        <v>0.21224999999999999</v>
      </c>
      <c r="AZ72" s="21">
        <v>28.421399999999998</v>
      </c>
      <c r="BA72" s="21">
        <v>-1.4733899999999999E-2</v>
      </c>
      <c r="BB72" s="21">
        <v>62</v>
      </c>
      <c r="BC72" s="21">
        <v>0.211761</v>
      </c>
      <c r="BD72">
        <f t="shared" si="10"/>
        <v>18.189999999999998</v>
      </c>
      <c r="BE72">
        <f t="shared" si="11"/>
        <v>3.8608274999999992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5.9767999999999999</v>
      </c>
      <c r="I73" s="21">
        <v>-1.29395E-2</v>
      </c>
      <c r="J73" s="21">
        <v>63</v>
      </c>
      <c r="K73" s="21">
        <v>1.48254</v>
      </c>
      <c r="L73">
        <f t="shared" si="0"/>
        <v>15.974691358024689</v>
      </c>
      <c r="M73">
        <f t="shared" si="1"/>
        <v>23.685674876543207</v>
      </c>
      <c r="N73" s="9"/>
      <c r="O73" s="21">
        <v>0.21728500000000001</v>
      </c>
      <c r="P73" s="21">
        <v>9.7959899999999998</v>
      </c>
      <c r="Q73" s="21">
        <v>-1.47125E-2</v>
      </c>
      <c r="R73" s="21">
        <v>63</v>
      </c>
      <c r="S73" s="21">
        <v>0.21667500000000001</v>
      </c>
      <c r="T73">
        <f t="shared" si="2"/>
        <v>18.163580246913579</v>
      </c>
      <c r="U73">
        <f t="shared" si="3"/>
        <v>3.9466735339506172</v>
      </c>
      <c r="X73" s="9"/>
      <c r="Y73" s="21">
        <v>1.4826999999999999</v>
      </c>
      <c r="Z73" s="21">
        <v>15.3</v>
      </c>
      <c r="AA73" s="21">
        <v>-1.2811299999999999E-2</v>
      </c>
      <c r="AB73" s="21">
        <v>63</v>
      </c>
      <c r="AC73" s="21">
        <v>1.48163</v>
      </c>
      <c r="AD73">
        <f t="shared" si="4"/>
        <v>15.816419753086418</v>
      </c>
      <c r="AE73">
        <f t="shared" si="5"/>
        <v>23.45100556790123</v>
      </c>
      <c r="AF73" s="9"/>
      <c r="AG73" s="21">
        <v>0.21728500000000001</v>
      </c>
      <c r="AH73" s="21">
        <v>19.119199999999999</v>
      </c>
      <c r="AI73" s="21">
        <v>-1.47095E-2</v>
      </c>
      <c r="AJ73" s="21">
        <v>63</v>
      </c>
      <c r="AK73" s="21">
        <v>0.21673600000000001</v>
      </c>
      <c r="AL73">
        <f t="shared" si="6"/>
        <v>18.159876543209876</v>
      </c>
      <c r="AM73">
        <f t="shared" si="7"/>
        <v>3.9458687746913581</v>
      </c>
      <c r="AP73" s="9"/>
      <c r="AQ73" s="21">
        <v>1.4826999999999999</v>
      </c>
      <c r="AR73" s="21">
        <v>24.612200000000001</v>
      </c>
      <c r="AS73" s="21">
        <v>-1.27411E-2</v>
      </c>
      <c r="AT73" s="21">
        <v>63</v>
      </c>
      <c r="AU73" s="21">
        <v>1.48224</v>
      </c>
      <c r="AV73">
        <f t="shared" si="8"/>
        <v>15.729753086419752</v>
      </c>
      <c r="AW73">
        <f t="shared" si="9"/>
        <v>23.322504901234566</v>
      </c>
      <c r="AX73" s="9"/>
      <c r="AY73" s="21">
        <v>0.21728500000000001</v>
      </c>
      <c r="AZ73" s="21">
        <v>28.4315</v>
      </c>
      <c r="BA73" s="21">
        <v>-1.47308E-2</v>
      </c>
      <c r="BB73" s="21">
        <v>63</v>
      </c>
      <c r="BC73" s="21">
        <v>0.21673600000000001</v>
      </c>
      <c r="BD73">
        <f t="shared" si="10"/>
        <v>18.186172839506174</v>
      </c>
      <c r="BE73">
        <f t="shared" si="11"/>
        <v>3.9515825654320991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5.9868699999999997</v>
      </c>
      <c r="I74" s="21">
        <v>-1.2976100000000001E-2</v>
      </c>
      <c r="J74" s="21">
        <v>64</v>
      </c>
      <c r="K74" s="21">
        <v>1.47644</v>
      </c>
      <c r="L74">
        <f t="shared" si="0"/>
        <v>16.019876543209875</v>
      </c>
      <c r="M74">
        <f t="shared" si="1"/>
        <v>23.671930772839502</v>
      </c>
      <c r="N74" s="9"/>
      <c r="O74" s="21">
        <v>0.22232099999999999</v>
      </c>
      <c r="P74" s="21">
        <v>9.8060600000000004</v>
      </c>
      <c r="Q74" s="21">
        <v>-1.47064E-2</v>
      </c>
      <c r="R74" s="21">
        <v>64</v>
      </c>
      <c r="S74" s="21">
        <v>0.221802</v>
      </c>
      <c r="T74">
        <f t="shared" si="2"/>
        <v>18.156049382716049</v>
      </c>
      <c r="U74">
        <f t="shared" si="3"/>
        <v>4.0364710548148146</v>
      </c>
      <c r="X74" s="9"/>
      <c r="Y74" s="21">
        <v>1.47766</v>
      </c>
      <c r="Z74" s="21">
        <v>15.3101</v>
      </c>
      <c r="AA74" s="21">
        <v>-1.2854000000000001E-2</v>
      </c>
      <c r="AB74" s="21">
        <v>64</v>
      </c>
      <c r="AC74" s="21">
        <v>1.47675</v>
      </c>
      <c r="AD74">
        <f t="shared" si="4"/>
        <v>15.869135802469136</v>
      </c>
      <c r="AE74">
        <f t="shared" si="5"/>
        <v>23.449187209876545</v>
      </c>
      <c r="AF74" s="9"/>
      <c r="AG74" s="21">
        <v>0.22232099999999999</v>
      </c>
      <c r="AH74" s="21">
        <v>19.129300000000001</v>
      </c>
      <c r="AI74" s="21">
        <v>-1.47095E-2</v>
      </c>
      <c r="AJ74" s="21">
        <v>64</v>
      </c>
      <c r="AK74" s="21">
        <v>0.221771</v>
      </c>
      <c r="AL74">
        <f t="shared" si="6"/>
        <v>18.159876543209876</v>
      </c>
      <c r="AM74">
        <f t="shared" si="7"/>
        <v>4.0373219129629625</v>
      </c>
      <c r="AP74" s="9"/>
      <c r="AQ74" s="21">
        <v>1.47766</v>
      </c>
      <c r="AR74" s="21">
        <v>24.622299999999999</v>
      </c>
      <c r="AS74" s="21">
        <v>-1.2796E-2</v>
      </c>
      <c r="AT74" s="21">
        <v>64</v>
      </c>
      <c r="AU74" s="21">
        <v>1.47675</v>
      </c>
      <c r="AV74">
        <f t="shared" si="8"/>
        <v>15.79753086419753</v>
      </c>
      <c r="AW74">
        <f t="shared" si="9"/>
        <v>23.343379456790121</v>
      </c>
      <c r="AX74" s="9"/>
      <c r="AY74" s="21">
        <v>0.22232099999999999</v>
      </c>
      <c r="AZ74" s="21">
        <v>28.441600000000001</v>
      </c>
      <c r="BA74" s="21">
        <v>-1.4727799999999999E-2</v>
      </c>
      <c r="BB74" s="21">
        <v>64</v>
      </c>
      <c r="BC74" s="21">
        <v>0.22174099999999999</v>
      </c>
      <c r="BD74">
        <f t="shared" si="10"/>
        <v>18.182469135802467</v>
      </c>
      <c r="BE74">
        <f t="shared" si="11"/>
        <v>4.0423447207407399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5.9969400000000004</v>
      </c>
      <c r="I75" s="21">
        <v>-1.3021899999999999E-2</v>
      </c>
      <c r="J75" s="21">
        <v>65</v>
      </c>
      <c r="K75" s="21">
        <v>1.4712499999999999</v>
      </c>
      <c r="L75">
        <f t="shared" si="0"/>
        <v>16.076419753086416</v>
      </c>
      <c r="M75">
        <f t="shared" si="1"/>
        <v>23.674618020987651</v>
      </c>
      <c r="N75" s="9"/>
      <c r="O75" s="21">
        <v>0.227356</v>
      </c>
      <c r="P75" s="21">
        <v>9.8161299999999994</v>
      </c>
      <c r="Q75" s="21">
        <v>-1.47064E-2</v>
      </c>
      <c r="R75" s="21">
        <v>65</v>
      </c>
      <c r="S75" s="21">
        <v>0.22683700000000001</v>
      </c>
      <c r="T75">
        <f t="shared" si="2"/>
        <v>18.156049382716049</v>
      </c>
      <c r="U75">
        <f t="shared" si="3"/>
        <v>4.1278867634567904</v>
      </c>
      <c r="X75" s="9"/>
      <c r="Y75" s="21">
        <v>1.4726300000000001</v>
      </c>
      <c r="Z75" s="21">
        <v>15.3202</v>
      </c>
      <c r="AA75" s="21">
        <v>-1.2902800000000001E-2</v>
      </c>
      <c r="AB75" s="21">
        <v>65</v>
      </c>
      <c r="AC75" s="21">
        <v>1.4718599999999999</v>
      </c>
      <c r="AD75">
        <f t="shared" si="4"/>
        <v>15.929382716049382</v>
      </c>
      <c r="AE75">
        <f t="shared" si="5"/>
        <v>23.458086869135801</v>
      </c>
      <c r="AF75" s="9"/>
      <c r="AG75" s="21">
        <v>0.227356</v>
      </c>
      <c r="AH75" s="21">
        <v>19.139299999999999</v>
      </c>
      <c r="AI75" s="21">
        <v>-1.47034E-2</v>
      </c>
      <c r="AJ75" s="21">
        <v>65</v>
      </c>
      <c r="AK75" s="21">
        <v>0.22677600000000001</v>
      </c>
      <c r="AL75">
        <f t="shared" si="6"/>
        <v>18.152345679012342</v>
      </c>
      <c r="AM75">
        <f t="shared" si="7"/>
        <v>4.1270447041975302</v>
      </c>
      <c r="AP75" s="9"/>
      <c r="AQ75" s="21">
        <v>1.4726300000000001</v>
      </c>
      <c r="AR75" s="21">
        <v>24.632400000000001</v>
      </c>
      <c r="AS75" s="21">
        <v>-1.2851E-2</v>
      </c>
      <c r="AT75" s="21">
        <v>65</v>
      </c>
      <c r="AU75" s="21">
        <v>1.47156</v>
      </c>
      <c r="AV75">
        <f t="shared" si="8"/>
        <v>15.865432098765432</v>
      </c>
      <c r="AW75">
        <f t="shared" si="9"/>
        <v>23.363911271604938</v>
      </c>
      <c r="AX75" s="9"/>
      <c r="AY75" s="21">
        <v>0.227356</v>
      </c>
      <c r="AZ75" s="21">
        <v>28.451599999999999</v>
      </c>
      <c r="BA75" s="21">
        <v>-1.4715600000000001E-2</v>
      </c>
      <c r="BB75" s="21">
        <v>65</v>
      </c>
      <c r="BC75" s="21">
        <v>0.22680700000000001</v>
      </c>
      <c r="BD75">
        <f t="shared" si="10"/>
        <v>18.167407407407406</v>
      </c>
      <c r="BE75">
        <f t="shared" si="11"/>
        <v>4.1304690785185185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6.0070100000000002</v>
      </c>
      <c r="I76" s="21">
        <v>-1.30554E-2</v>
      </c>
      <c r="J76" s="21">
        <v>66</v>
      </c>
      <c r="K76" s="21">
        <v>1.4666699999999999</v>
      </c>
      <c r="L76">
        <f t="shared" ref="L76:L139" si="12">-I76/$F$2*1000</f>
        <v>16.117777777777775</v>
      </c>
      <c r="M76">
        <f t="shared" ref="M76:M139" si="13">L76*G76</f>
        <v>23.654289488888885</v>
      </c>
      <c r="N76" s="9"/>
      <c r="O76" s="21">
        <v>0.23239099999999999</v>
      </c>
      <c r="P76" s="21">
        <v>9.8262</v>
      </c>
      <c r="Q76" s="21">
        <v>-1.47095E-2</v>
      </c>
      <c r="R76" s="21">
        <v>66</v>
      </c>
      <c r="S76" s="21">
        <v>0.23178099999999999</v>
      </c>
      <c r="T76">
        <f t="shared" ref="T76:T139" si="14">-Q76/$F$2*1000</f>
        <v>18.159876543209876</v>
      </c>
      <c r="U76">
        <f t="shared" ref="U76:U139" si="15">T76*O76</f>
        <v>4.2201918697530862</v>
      </c>
      <c r="X76" s="9"/>
      <c r="Y76" s="21">
        <v>1.46759</v>
      </c>
      <c r="Z76" s="21">
        <v>15.3302</v>
      </c>
      <c r="AA76" s="21">
        <v>-1.2942499999999999E-2</v>
      </c>
      <c r="AB76" s="21">
        <v>66</v>
      </c>
      <c r="AC76" s="21">
        <v>1.46698</v>
      </c>
      <c r="AD76">
        <f t="shared" ref="AD76:AD139" si="16">-AA76/$F$2*1000</f>
        <v>15.978395061728392</v>
      </c>
      <c r="AE76">
        <f t="shared" ref="AE76:AE139" si="17">AD76*Y76</f>
        <v>23.449732808641969</v>
      </c>
      <c r="AF76" s="9"/>
      <c r="AG76" s="21">
        <v>0.23239099999999999</v>
      </c>
      <c r="AH76" s="21">
        <v>19.1494</v>
      </c>
      <c r="AI76" s="21">
        <v>-1.47034E-2</v>
      </c>
      <c r="AJ76" s="21">
        <v>66</v>
      </c>
      <c r="AK76" s="21">
        <v>0.231903</v>
      </c>
      <c r="AL76">
        <f t="shared" ref="AL76:AL139" si="18">-AI76/$F$2*1000</f>
        <v>18.152345679012342</v>
      </c>
      <c r="AM76">
        <f t="shared" ref="AM76:AM139" si="19">AL76*AG76</f>
        <v>4.2184417646913568</v>
      </c>
      <c r="AP76" s="9"/>
      <c r="AQ76" s="21">
        <v>1.46759</v>
      </c>
      <c r="AR76" s="21">
        <v>24.642499999999998</v>
      </c>
      <c r="AS76" s="21">
        <v>-1.2887600000000001E-2</v>
      </c>
      <c r="AT76" s="21">
        <v>66</v>
      </c>
      <c r="AU76" s="21">
        <v>1.46698</v>
      </c>
      <c r="AV76">
        <f t="shared" ref="AV76:AV139" si="20">-AS76/$F$2*1000</f>
        <v>15.910617283950618</v>
      </c>
      <c r="AW76">
        <f t="shared" ref="AW76:AW139" si="21">AV76*AQ76</f>
        <v>23.350262819753087</v>
      </c>
      <c r="AX76" s="9"/>
      <c r="AY76" s="21">
        <v>0.23239099999999999</v>
      </c>
      <c r="AZ76" s="21">
        <v>28.4617</v>
      </c>
      <c r="BA76" s="21">
        <v>-1.47034E-2</v>
      </c>
      <c r="BB76" s="21">
        <v>66</v>
      </c>
      <c r="BC76" s="21">
        <v>0.23172000000000001</v>
      </c>
      <c r="BD76">
        <f t="shared" ref="BD76:BD139" si="22">-BA76/$F$2*1000</f>
        <v>18.152345679012342</v>
      </c>
      <c r="BE76">
        <f t="shared" ref="BE76:BE139" si="23">BD76*AY76</f>
        <v>4.2184417646913568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6.01708</v>
      </c>
      <c r="I77" s="21">
        <v>-1.30981E-2</v>
      </c>
      <c r="J77" s="21">
        <v>67</v>
      </c>
      <c r="K77" s="21">
        <v>1.4617899999999999</v>
      </c>
      <c r="L77">
        <f t="shared" si="12"/>
        <v>16.170493827160495</v>
      </c>
      <c r="M77">
        <f t="shared" si="13"/>
        <v>23.650155746913583</v>
      </c>
      <c r="N77" s="9"/>
      <c r="O77" s="21">
        <v>0.237427</v>
      </c>
      <c r="P77" s="21">
        <v>9.8362800000000004</v>
      </c>
      <c r="Q77" s="21">
        <v>-1.47125E-2</v>
      </c>
      <c r="R77" s="21">
        <v>67</v>
      </c>
      <c r="S77" s="21">
        <v>0.236877</v>
      </c>
      <c r="T77">
        <f t="shared" si="14"/>
        <v>18.163580246913579</v>
      </c>
      <c r="U77">
        <f t="shared" si="15"/>
        <v>4.3125243672839506</v>
      </c>
      <c r="X77" s="9"/>
      <c r="Y77" s="21">
        <v>1.46255</v>
      </c>
      <c r="Z77" s="21">
        <v>15.340299999999999</v>
      </c>
      <c r="AA77" s="21">
        <v>-1.2970000000000001E-2</v>
      </c>
      <c r="AB77" s="21">
        <v>67</v>
      </c>
      <c r="AC77" s="21">
        <v>1.4617899999999999</v>
      </c>
      <c r="AD77">
        <f t="shared" si="16"/>
        <v>16.012345679012348</v>
      </c>
      <c r="AE77">
        <f t="shared" si="17"/>
        <v>23.418856172839511</v>
      </c>
      <c r="AF77" s="9"/>
      <c r="AG77" s="21">
        <v>0.237427</v>
      </c>
      <c r="AH77" s="21">
        <v>19.159500000000001</v>
      </c>
      <c r="AI77" s="21">
        <v>-1.47186E-2</v>
      </c>
      <c r="AJ77" s="21">
        <v>67</v>
      </c>
      <c r="AK77" s="21">
        <v>0.236877</v>
      </c>
      <c r="AL77">
        <f t="shared" si="18"/>
        <v>18.171111111111109</v>
      </c>
      <c r="AM77">
        <f t="shared" si="19"/>
        <v>4.3143123977777771</v>
      </c>
      <c r="AP77" s="9"/>
      <c r="AQ77" s="21">
        <v>1.46255</v>
      </c>
      <c r="AR77" s="21">
        <v>24.6525</v>
      </c>
      <c r="AS77" s="21">
        <v>-1.29333E-2</v>
      </c>
      <c r="AT77" s="21">
        <v>67</v>
      </c>
      <c r="AU77" s="21">
        <v>1.4623999999999999</v>
      </c>
      <c r="AV77">
        <f t="shared" si="20"/>
        <v>15.967037037037036</v>
      </c>
      <c r="AW77">
        <f t="shared" si="21"/>
        <v>23.352590018518516</v>
      </c>
      <c r="AX77" s="9"/>
      <c r="AY77" s="21">
        <v>0.237427</v>
      </c>
      <c r="AZ77" s="21">
        <v>28.471800000000002</v>
      </c>
      <c r="BA77" s="21">
        <v>-1.4700299999999999E-2</v>
      </c>
      <c r="BB77" s="21">
        <v>67</v>
      </c>
      <c r="BC77" s="21">
        <v>0.23690800000000001</v>
      </c>
      <c r="BD77">
        <f t="shared" si="22"/>
        <v>18.148518518518514</v>
      </c>
      <c r="BE77">
        <f t="shared" si="23"/>
        <v>4.308948306296295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6.0271499999999998</v>
      </c>
      <c r="I78" s="21">
        <v>-1.31287E-2</v>
      </c>
      <c r="J78" s="21">
        <v>68</v>
      </c>
      <c r="K78" s="21">
        <v>1.4569099999999999</v>
      </c>
      <c r="L78">
        <f t="shared" si="12"/>
        <v>16.208271604938268</v>
      </c>
      <c r="M78">
        <f t="shared" si="13"/>
        <v>23.623880029629625</v>
      </c>
      <c r="N78" s="9"/>
      <c r="O78" s="21">
        <v>0.24246200000000001</v>
      </c>
      <c r="P78" s="21">
        <v>9.8463499999999993</v>
      </c>
      <c r="Q78" s="21">
        <v>-1.47034E-2</v>
      </c>
      <c r="R78" s="21">
        <v>68</v>
      </c>
      <c r="S78" s="21">
        <v>0.24191299999999999</v>
      </c>
      <c r="T78">
        <f t="shared" si="14"/>
        <v>18.152345679012342</v>
      </c>
      <c r="U78">
        <f t="shared" si="15"/>
        <v>4.4012540380246907</v>
      </c>
      <c r="X78" s="9"/>
      <c r="Y78" s="21">
        <v>1.4575199999999999</v>
      </c>
      <c r="Z78" s="21">
        <v>15.3504</v>
      </c>
      <c r="AA78" s="21">
        <v>-1.30005E-2</v>
      </c>
      <c r="AB78" s="21">
        <v>68</v>
      </c>
      <c r="AC78" s="21">
        <v>1.4562999999999999</v>
      </c>
      <c r="AD78">
        <f t="shared" si="16"/>
        <v>16.049999999999997</v>
      </c>
      <c r="AE78">
        <f t="shared" si="17"/>
        <v>23.393195999999996</v>
      </c>
      <c r="AF78" s="9"/>
      <c r="AG78" s="21">
        <v>0.24246200000000001</v>
      </c>
      <c r="AH78" s="21">
        <v>19.169599999999999</v>
      </c>
      <c r="AI78" s="21">
        <v>-1.47247E-2</v>
      </c>
      <c r="AJ78" s="21">
        <v>68</v>
      </c>
      <c r="AK78" s="21">
        <v>0.24185200000000001</v>
      </c>
      <c r="AL78">
        <f t="shared" si="18"/>
        <v>18.178641975308643</v>
      </c>
      <c r="AM78">
        <f t="shared" si="19"/>
        <v>4.4076298906172848</v>
      </c>
      <c r="AP78" s="9"/>
      <c r="AQ78" s="21">
        <v>1.4575199999999999</v>
      </c>
      <c r="AR78" s="21">
        <v>24.662600000000001</v>
      </c>
      <c r="AS78" s="21">
        <v>-1.29791E-2</v>
      </c>
      <c r="AT78" s="21">
        <v>68</v>
      </c>
      <c r="AU78" s="21">
        <v>1.4572099999999999</v>
      </c>
      <c r="AV78">
        <f t="shared" si="20"/>
        <v>16.023580246913578</v>
      </c>
      <c r="AW78">
        <f t="shared" si="21"/>
        <v>23.354688681481477</v>
      </c>
      <c r="AX78" s="9"/>
      <c r="AY78" s="21">
        <v>0.24246200000000001</v>
      </c>
      <c r="AZ78" s="21">
        <v>28.4819</v>
      </c>
      <c r="BA78" s="21">
        <v>-1.47125E-2</v>
      </c>
      <c r="BB78" s="21">
        <v>68</v>
      </c>
      <c r="BC78" s="21">
        <v>0.24194299999999999</v>
      </c>
      <c r="BD78">
        <f t="shared" si="22"/>
        <v>18.163580246913579</v>
      </c>
      <c r="BE78">
        <f t="shared" si="23"/>
        <v>4.4039779938271604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6.0372199999999996</v>
      </c>
      <c r="I79" s="21">
        <v>-1.31561E-2</v>
      </c>
      <c r="J79" s="21">
        <v>69</v>
      </c>
      <c r="K79" s="21">
        <v>1.4511099999999999</v>
      </c>
      <c r="L79">
        <f t="shared" si="12"/>
        <v>16.2420987654321</v>
      </c>
      <c r="M79">
        <f t="shared" si="13"/>
        <v>23.591323614814819</v>
      </c>
      <c r="N79" s="9"/>
      <c r="O79" s="21">
        <v>0.247498</v>
      </c>
      <c r="P79" s="21">
        <v>9.85642</v>
      </c>
      <c r="Q79" s="21">
        <v>-1.47125E-2</v>
      </c>
      <c r="R79" s="21">
        <v>69</v>
      </c>
      <c r="S79" s="21">
        <v>0.246918</v>
      </c>
      <c r="T79">
        <f t="shared" si="14"/>
        <v>18.163580246913579</v>
      </c>
      <c r="U79">
        <f t="shared" si="15"/>
        <v>4.4954497839506171</v>
      </c>
      <c r="X79" s="9"/>
      <c r="Y79" s="21">
        <v>1.45248</v>
      </c>
      <c r="Z79" s="21">
        <v>15.3604</v>
      </c>
      <c r="AA79" s="21">
        <v>-1.3018800000000001E-2</v>
      </c>
      <c r="AB79" s="21">
        <v>69</v>
      </c>
      <c r="AC79" s="21">
        <v>1.4517199999999999</v>
      </c>
      <c r="AD79">
        <f t="shared" si="16"/>
        <v>16.072592592592592</v>
      </c>
      <c r="AE79">
        <f t="shared" si="17"/>
        <v>23.345119288888888</v>
      </c>
      <c r="AF79" s="9"/>
      <c r="AG79" s="21">
        <v>0.247498</v>
      </c>
      <c r="AH79" s="21">
        <v>19.179600000000001</v>
      </c>
      <c r="AI79" s="21">
        <v>-1.47308E-2</v>
      </c>
      <c r="AJ79" s="21">
        <v>69</v>
      </c>
      <c r="AK79" s="21">
        <v>0.246979</v>
      </c>
      <c r="AL79">
        <f t="shared" si="18"/>
        <v>18.186172839506174</v>
      </c>
      <c r="AM79">
        <f t="shared" si="19"/>
        <v>4.5010414054320993</v>
      </c>
      <c r="AP79" s="9"/>
      <c r="AQ79" s="21">
        <v>1.45248</v>
      </c>
      <c r="AR79" s="21">
        <v>24.672699999999999</v>
      </c>
      <c r="AS79" s="21">
        <v>-1.30157E-2</v>
      </c>
      <c r="AT79" s="21">
        <v>69</v>
      </c>
      <c r="AU79" s="21">
        <v>1.4520299999999999</v>
      </c>
      <c r="AV79">
        <f t="shared" si="20"/>
        <v>16.068765432098765</v>
      </c>
      <c r="AW79">
        <f t="shared" si="21"/>
        <v>23.339560414814812</v>
      </c>
      <c r="AX79" s="9"/>
      <c r="AY79" s="21">
        <v>0.247498</v>
      </c>
      <c r="AZ79" s="21">
        <v>28.491900000000001</v>
      </c>
      <c r="BA79" s="21">
        <v>-1.47308E-2</v>
      </c>
      <c r="BB79" s="21">
        <v>69</v>
      </c>
      <c r="BC79" s="21">
        <v>0.246979</v>
      </c>
      <c r="BD79">
        <f t="shared" si="22"/>
        <v>18.186172839506174</v>
      </c>
      <c r="BE79">
        <f t="shared" si="23"/>
        <v>4.5010414054320993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6.0472999999999999</v>
      </c>
      <c r="I80" s="21">
        <v>-1.31836E-2</v>
      </c>
      <c r="J80" s="21">
        <v>70</v>
      </c>
      <c r="K80" s="21">
        <v>1.4465300000000001</v>
      </c>
      <c r="L80">
        <f t="shared" si="12"/>
        <v>16.276049382716046</v>
      </c>
      <c r="M80">
        <f t="shared" si="13"/>
        <v>23.558767679012337</v>
      </c>
      <c r="N80" s="9"/>
      <c r="O80" s="21">
        <v>0.25253300000000001</v>
      </c>
      <c r="P80" s="21">
        <v>9.8664900000000006</v>
      </c>
      <c r="Q80" s="21">
        <v>-1.4721700000000001E-2</v>
      </c>
      <c r="R80" s="21">
        <v>70</v>
      </c>
      <c r="S80" s="21">
        <v>0.25198399999999999</v>
      </c>
      <c r="T80">
        <f t="shared" si="14"/>
        <v>18.174938271604937</v>
      </c>
      <c r="U80">
        <f t="shared" si="15"/>
        <v>4.5897716865432097</v>
      </c>
      <c r="X80" s="9"/>
      <c r="Y80" s="21">
        <v>1.4474499999999999</v>
      </c>
      <c r="Z80" s="21">
        <v>15.3705</v>
      </c>
      <c r="AA80" s="21">
        <v>-1.30524E-2</v>
      </c>
      <c r="AB80" s="21">
        <v>70</v>
      </c>
      <c r="AC80" s="21">
        <v>1.4462299999999999</v>
      </c>
      <c r="AD80">
        <f t="shared" si="16"/>
        <v>16.114074074074072</v>
      </c>
      <c r="AE80">
        <f t="shared" si="17"/>
        <v>23.324316518518515</v>
      </c>
      <c r="AF80" s="9"/>
      <c r="AG80" s="21">
        <v>0.25253300000000001</v>
      </c>
      <c r="AH80" s="21">
        <v>19.189699999999998</v>
      </c>
      <c r="AI80" s="21">
        <v>-1.4733899999999999E-2</v>
      </c>
      <c r="AJ80" s="21">
        <v>70</v>
      </c>
      <c r="AK80" s="21">
        <v>0.251892</v>
      </c>
      <c r="AL80">
        <f t="shared" si="18"/>
        <v>18.189999999999998</v>
      </c>
      <c r="AM80">
        <f t="shared" si="19"/>
        <v>4.5935752699999997</v>
      </c>
      <c r="AP80" s="9"/>
      <c r="AQ80" s="21">
        <v>1.4474499999999999</v>
      </c>
      <c r="AR80" s="21">
        <v>24.682700000000001</v>
      </c>
      <c r="AS80" s="21">
        <v>-1.30463E-2</v>
      </c>
      <c r="AT80" s="21">
        <v>70</v>
      </c>
      <c r="AU80" s="21">
        <v>1.4468399999999999</v>
      </c>
      <c r="AV80">
        <f t="shared" si="20"/>
        <v>16.106543209876545</v>
      </c>
      <c r="AW80">
        <f t="shared" si="21"/>
        <v>23.313415969135804</v>
      </c>
      <c r="AX80" s="9"/>
      <c r="AY80" s="21">
        <v>0.25253300000000001</v>
      </c>
      <c r="AZ80" s="21">
        <v>28.501999999999999</v>
      </c>
      <c r="BA80" s="21">
        <v>-1.47308E-2</v>
      </c>
      <c r="BB80" s="21">
        <v>70</v>
      </c>
      <c r="BC80" s="21">
        <v>0.251892</v>
      </c>
      <c r="BD80">
        <f t="shared" si="22"/>
        <v>18.186172839506174</v>
      </c>
      <c r="BE80">
        <f t="shared" si="23"/>
        <v>4.5926087856790128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6.0573699999999997</v>
      </c>
      <c r="I81" s="21">
        <v>-1.31927E-2</v>
      </c>
      <c r="J81" s="21">
        <v>71</v>
      </c>
      <c r="K81" s="21">
        <v>1.4419599999999999</v>
      </c>
      <c r="L81">
        <f t="shared" si="12"/>
        <v>16.287283950617283</v>
      </c>
      <c r="M81">
        <f t="shared" si="13"/>
        <v>23.492941243209874</v>
      </c>
      <c r="N81" s="9"/>
      <c r="O81" s="21">
        <v>0.25756800000000002</v>
      </c>
      <c r="P81" s="21">
        <v>9.8765599999999996</v>
      </c>
      <c r="Q81" s="21">
        <v>-1.47186E-2</v>
      </c>
      <c r="R81" s="21">
        <v>71</v>
      </c>
      <c r="S81" s="21">
        <v>0.257019</v>
      </c>
      <c r="T81">
        <f t="shared" si="14"/>
        <v>18.171111111111109</v>
      </c>
      <c r="U81">
        <f t="shared" si="15"/>
        <v>4.6802967466666665</v>
      </c>
      <c r="X81" s="9"/>
      <c r="Y81" s="21">
        <v>1.44241</v>
      </c>
      <c r="Z81" s="21">
        <v>15.380599999999999</v>
      </c>
      <c r="AA81" s="21">
        <v>-1.3091999999999999E-2</v>
      </c>
      <c r="AB81" s="21">
        <v>71</v>
      </c>
      <c r="AC81" s="21">
        <v>1.4416500000000001</v>
      </c>
      <c r="AD81">
        <f t="shared" si="16"/>
        <v>16.162962962962961</v>
      </c>
      <c r="AE81">
        <f t="shared" si="17"/>
        <v>23.313619407407405</v>
      </c>
      <c r="AF81" s="9"/>
      <c r="AG81" s="21">
        <v>0.25756800000000002</v>
      </c>
      <c r="AH81" s="21">
        <v>19.1998</v>
      </c>
      <c r="AI81" s="21">
        <v>-1.474E-2</v>
      </c>
      <c r="AJ81" s="21">
        <v>71</v>
      </c>
      <c r="AK81" s="21">
        <v>0.25698900000000002</v>
      </c>
      <c r="AL81">
        <f t="shared" si="18"/>
        <v>18.197530864197528</v>
      </c>
      <c r="AM81">
        <f t="shared" si="19"/>
        <v>4.6871016296296295</v>
      </c>
      <c r="AP81" s="9"/>
      <c r="AQ81" s="21">
        <v>1.44241</v>
      </c>
      <c r="AR81" s="21">
        <v>24.692799999999998</v>
      </c>
      <c r="AS81" s="21">
        <v>-1.3079800000000001E-2</v>
      </c>
      <c r="AT81" s="21">
        <v>71</v>
      </c>
      <c r="AU81" s="21">
        <v>1.4416500000000001</v>
      </c>
      <c r="AV81">
        <f t="shared" si="20"/>
        <v>16.147901234567904</v>
      </c>
      <c r="AW81">
        <f t="shared" si="21"/>
        <v>23.29189421975309</v>
      </c>
      <c r="AX81" s="9"/>
      <c r="AY81" s="21">
        <v>0.25756800000000002</v>
      </c>
      <c r="AZ81" s="21">
        <v>28.5121</v>
      </c>
      <c r="BA81" s="21">
        <v>-1.4727799999999999E-2</v>
      </c>
      <c r="BB81" s="21">
        <v>71</v>
      </c>
      <c r="BC81" s="21">
        <v>0.25698900000000002</v>
      </c>
      <c r="BD81">
        <f t="shared" si="22"/>
        <v>18.182469135802467</v>
      </c>
      <c r="BE81">
        <f t="shared" si="23"/>
        <v>4.6832222103703707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6.0674400000000004</v>
      </c>
      <c r="I82" s="21">
        <v>-1.31989E-2</v>
      </c>
      <c r="J82" s="21">
        <v>72</v>
      </c>
      <c r="K82" s="21">
        <v>1.4367700000000001</v>
      </c>
      <c r="L82">
        <f t="shared" si="12"/>
        <v>16.294938271604938</v>
      </c>
      <c r="M82">
        <f t="shared" si="13"/>
        <v>23.422018372839506</v>
      </c>
      <c r="N82" s="9"/>
      <c r="O82" s="21">
        <v>0.262604</v>
      </c>
      <c r="P82" s="21">
        <v>9.8866300000000003</v>
      </c>
      <c r="Q82" s="21">
        <v>-1.47064E-2</v>
      </c>
      <c r="R82" s="21">
        <v>72</v>
      </c>
      <c r="S82" s="21">
        <v>0.26187100000000002</v>
      </c>
      <c r="T82">
        <f t="shared" si="14"/>
        <v>18.156049382716049</v>
      </c>
      <c r="U82">
        <f t="shared" si="15"/>
        <v>4.7678511920987656</v>
      </c>
      <c r="X82" s="9"/>
      <c r="Y82" s="21">
        <v>1.4373800000000001</v>
      </c>
      <c r="Z82" s="21">
        <v>15.390700000000001</v>
      </c>
      <c r="AA82" s="21">
        <v>-1.31317E-2</v>
      </c>
      <c r="AB82" s="21">
        <v>72</v>
      </c>
      <c r="AC82" s="21">
        <v>1.4364600000000001</v>
      </c>
      <c r="AD82">
        <f t="shared" si="16"/>
        <v>16.211975308641971</v>
      </c>
      <c r="AE82">
        <f t="shared" si="17"/>
        <v>23.302769069135799</v>
      </c>
      <c r="AF82" s="9"/>
      <c r="AG82" s="21">
        <v>0.262604</v>
      </c>
      <c r="AH82" s="21">
        <v>19.209800000000001</v>
      </c>
      <c r="AI82" s="21">
        <v>-1.4736900000000001E-2</v>
      </c>
      <c r="AJ82" s="21">
        <v>72</v>
      </c>
      <c r="AK82" s="21">
        <v>0.261963</v>
      </c>
      <c r="AL82">
        <f t="shared" si="18"/>
        <v>18.193703703703704</v>
      </c>
      <c r="AM82">
        <f t="shared" si="19"/>
        <v>4.777739367407408</v>
      </c>
      <c r="AP82" s="9"/>
      <c r="AQ82" s="21">
        <v>1.4373800000000001</v>
      </c>
      <c r="AR82" s="21">
        <v>24.7029</v>
      </c>
      <c r="AS82" s="21">
        <v>-1.3107300000000001E-2</v>
      </c>
      <c r="AT82" s="21">
        <v>72</v>
      </c>
      <c r="AU82" s="21">
        <v>1.4370700000000001</v>
      </c>
      <c r="AV82">
        <f t="shared" si="20"/>
        <v>16.181851851851849</v>
      </c>
      <c r="AW82">
        <f t="shared" si="21"/>
        <v>23.259470214814812</v>
      </c>
      <c r="AX82" s="9"/>
      <c r="AY82" s="21">
        <v>0.262604</v>
      </c>
      <c r="AZ82" s="21">
        <v>28.522099999999998</v>
      </c>
      <c r="BA82" s="21">
        <v>-1.47247E-2</v>
      </c>
      <c r="BB82" s="21">
        <v>72</v>
      </c>
      <c r="BC82" s="21">
        <v>0.26202399999999998</v>
      </c>
      <c r="BD82">
        <f t="shared" si="22"/>
        <v>18.178641975308643</v>
      </c>
      <c r="BE82">
        <f t="shared" si="23"/>
        <v>4.7737840972839507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6.0775100000000002</v>
      </c>
      <c r="I83" s="21">
        <v>-1.3214099999999999E-2</v>
      </c>
      <c r="J83" s="21">
        <v>73</v>
      </c>
      <c r="K83" s="21">
        <v>1.4321900000000001</v>
      </c>
      <c r="L83">
        <f t="shared" si="12"/>
        <v>16.313703703703702</v>
      </c>
      <c r="M83">
        <f t="shared" si="13"/>
        <v>23.36677036296296</v>
      </c>
      <c r="N83" s="9"/>
      <c r="O83" s="21">
        <v>0.26763900000000002</v>
      </c>
      <c r="P83" s="21">
        <v>9.8966999999999992</v>
      </c>
      <c r="Q83" s="21">
        <v>-1.4700299999999999E-2</v>
      </c>
      <c r="R83" s="21">
        <v>73</v>
      </c>
      <c r="S83" s="21">
        <v>0.26702900000000002</v>
      </c>
      <c r="T83">
        <f t="shared" si="14"/>
        <v>18.148518518518514</v>
      </c>
      <c r="U83">
        <f t="shared" si="15"/>
        <v>4.857251347777777</v>
      </c>
      <c r="X83" s="9"/>
      <c r="Y83" s="21">
        <v>1.4323399999999999</v>
      </c>
      <c r="Z83" s="21">
        <v>15.400700000000001</v>
      </c>
      <c r="AA83" s="21">
        <v>-1.3162200000000001E-2</v>
      </c>
      <c r="AB83" s="21">
        <v>73</v>
      </c>
      <c r="AC83" s="21">
        <v>1.43188</v>
      </c>
      <c r="AD83">
        <f t="shared" si="16"/>
        <v>16.249629629629627</v>
      </c>
      <c r="AE83">
        <f t="shared" si="17"/>
        <v>23.274994503703699</v>
      </c>
      <c r="AF83" s="9"/>
      <c r="AG83" s="21">
        <v>0.26763900000000002</v>
      </c>
      <c r="AH83" s="21">
        <v>19.219899999999999</v>
      </c>
      <c r="AI83" s="21">
        <v>-1.47308E-2</v>
      </c>
      <c r="AJ83" s="21">
        <v>73</v>
      </c>
      <c r="AK83" s="21">
        <v>0.26712000000000002</v>
      </c>
      <c r="AL83">
        <f t="shared" si="18"/>
        <v>18.186172839506174</v>
      </c>
      <c r="AM83">
        <f t="shared" si="19"/>
        <v>4.8673291125925928</v>
      </c>
      <c r="AP83" s="9"/>
      <c r="AQ83" s="21">
        <v>1.4323399999999999</v>
      </c>
      <c r="AR83" s="21">
        <v>24.713000000000001</v>
      </c>
      <c r="AS83" s="21">
        <v>-1.31409E-2</v>
      </c>
      <c r="AT83" s="21">
        <v>73</v>
      </c>
      <c r="AU83" s="21">
        <v>1.43188</v>
      </c>
      <c r="AV83">
        <f t="shared" si="20"/>
        <v>16.223333333333333</v>
      </c>
      <c r="AW83">
        <f t="shared" si="21"/>
        <v>23.237329266666666</v>
      </c>
      <c r="AX83" s="9"/>
      <c r="AY83" s="21">
        <v>0.26763900000000002</v>
      </c>
      <c r="AZ83" s="21">
        <v>28.5322</v>
      </c>
      <c r="BA83" s="21">
        <v>-1.4721700000000001E-2</v>
      </c>
      <c r="BB83" s="21">
        <v>73</v>
      </c>
      <c r="BC83" s="21">
        <v>0.26693699999999998</v>
      </c>
      <c r="BD83">
        <f t="shared" si="22"/>
        <v>18.174938271604937</v>
      </c>
      <c r="BE83">
        <f t="shared" si="23"/>
        <v>4.864322304074074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6.08758</v>
      </c>
      <c r="I84" s="21">
        <v>-1.32385E-2</v>
      </c>
      <c r="J84" s="21">
        <v>74</v>
      </c>
      <c r="K84" s="21">
        <v>1.42639</v>
      </c>
      <c r="L84">
        <f t="shared" si="12"/>
        <v>16.343827160493824</v>
      </c>
      <c r="M84">
        <f t="shared" si="13"/>
        <v>23.327707944444441</v>
      </c>
      <c r="N84" s="9"/>
      <c r="O84" s="21">
        <v>0.272675</v>
      </c>
      <c r="P84" s="21">
        <v>9.9067699999999999</v>
      </c>
      <c r="Q84" s="21">
        <v>-1.4700299999999999E-2</v>
      </c>
      <c r="R84" s="21">
        <v>74</v>
      </c>
      <c r="S84" s="21">
        <v>0.27212500000000001</v>
      </c>
      <c r="T84">
        <f t="shared" si="14"/>
        <v>18.148518518518514</v>
      </c>
      <c r="U84">
        <f t="shared" si="15"/>
        <v>4.9486472870370362</v>
      </c>
      <c r="X84" s="9"/>
      <c r="Y84" s="21">
        <v>1.4273100000000001</v>
      </c>
      <c r="Z84" s="21">
        <v>15.4108</v>
      </c>
      <c r="AA84" s="21">
        <v>-1.31897E-2</v>
      </c>
      <c r="AB84" s="21">
        <v>74</v>
      </c>
      <c r="AC84" s="21">
        <v>1.42639</v>
      </c>
      <c r="AD84">
        <f t="shared" si="16"/>
        <v>16.28358024691358</v>
      </c>
      <c r="AE84">
        <f t="shared" si="17"/>
        <v>23.241716922222224</v>
      </c>
      <c r="AF84" s="9"/>
      <c r="AG84" s="21">
        <v>0.272675</v>
      </c>
      <c r="AH84" s="21">
        <v>19.23</v>
      </c>
      <c r="AI84" s="21">
        <v>-1.47186E-2</v>
      </c>
      <c r="AJ84" s="21">
        <v>74</v>
      </c>
      <c r="AK84" s="21">
        <v>0.27212500000000001</v>
      </c>
      <c r="AL84">
        <f t="shared" si="18"/>
        <v>18.171111111111109</v>
      </c>
      <c r="AM84">
        <f t="shared" si="19"/>
        <v>4.9548077222222222</v>
      </c>
      <c r="AP84" s="9"/>
      <c r="AQ84" s="21">
        <v>1.4273100000000001</v>
      </c>
      <c r="AR84" s="21">
        <v>24.722999999999999</v>
      </c>
      <c r="AS84" s="21">
        <v>-1.3168300000000001E-2</v>
      </c>
      <c r="AT84" s="21">
        <v>74</v>
      </c>
      <c r="AU84" s="21">
        <v>1.4267000000000001</v>
      </c>
      <c r="AV84">
        <f t="shared" si="20"/>
        <v>16.257160493827158</v>
      </c>
      <c r="AW84">
        <f t="shared" si="21"/>
        <v>23.204007744444443</v>
      </c>
      <c r="AX84" s="9"/>
      <c r="AY84" s="21">
        <v>0.272675</v>
      </c>
      <c r="AZ84" s="21">
        <v>28.542300000000001</v>
      </c>
      <c r="BA84" s="21">
        <v>-1.47095E-2</v>
      </c>
      <c r="BB84" s="21">
        <v>74</v>
      </c>
      <c r="BC84" s="21">
        <v>0.27212500000000001</v>
      </c>
      <c r="BD84">
        <f t="shared" si="22"/>
        <v>18.159876543209876</v>
      </c>
      <c r="BE84">
        <f t="shared" si="23"/>
        <v>4.9517443364197531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6.0976499999999998</v>
      </c>
      <c r="I85" s="21">
        <v>-1.3269E-2</v>
      </c>
      <c r="J85" s="21">
        <v>75</v>
      </c>
      <c r="K85" s="21">
        <v>1.4215100000000001</v>
      </c>
      <c r="L85">
        <f t="shared" si="12"/>
        <v>16.38148148148148</v>
      </c>
      <c r="M85">
        <f t="shared" si="13"/>
        <v>23.298889666666664</v>
      </c>
      <c r="N85" s="9"/>
      <c r="O85" s="21">
        <v>0.27771000000000001</v>
      </c>
      <c r="P85" s="21">
        <v>9.9168400000000005</v>
      </c>
      <c r="Q85" s="21">
        <v>-1.4700299999999999E-2</v>
      </c>
      <c r="R85" s="21">
        <v>75</v>
      </c>
      <c r="S85" s="21">
        <v>0.27716099999999999</v>
      </c>
      <c r="T85">
        <f t="shared" si="14"/>
        <v>18.148518518518514</v>
      </c>
      <c r="U85">
        <f t="shared" si="15"/>
        <v>5.0400250777777771</v>
      </c>
      <c r="X85" s="9"/>
      <c r="Y85" s="21">
        <v>1.4222699999999999</v>
      </c>
      <c r="Z85" s="21">
        <v>15.4209</v>
      </c>
      <c r="AA85" s="21">
        <v>-1.32202E-2</v>
      </c>
      <c r="AB85" s="21">
        <v>75</v>
      </c>
      <c r="AC85" s="21">
        <v>1.4212</v>
      </c>
      <c r="AD85">
        <f t="shared" si="16"/>
        <v>16.321234567901232</v>
      </c>
      <c r="AE85">
        <f t="shared" si="17"/>
        <v>23.213202288888883</v>
      </c>
      <c r="AF85" s="9"/>
      <c r="AG85" s="21">
        <v>0.27771000000000001</v>
      </c>
      <c r="AH85" s="21">
        <v>19.240100000000002</v>
      </c>
      <c r="AI85" s="21">
        <v>-1.47095E-2</v>
      </c>
      <c r="AJ85" s="21">
        <v>75</v>
      </c>
      <c r="AK85" s="21">
        <v>0.27706900000000001</v>
      </c>
      <c r="AL85">
        <f t="shared" si="18"/>
        <v>18.159876543209876</v>
      </c>
      <c r="AM85">
        <f t="shared" si="19"/>
        <v>5.0431793148148145</v>
      </c>
      <c r="AP85" s="9"/>
      <c r="AQ85" s="21">
        <v>1.4222699999999999</v>
      </c>
      <c r="AR85" s="21">
        <v>24.7331</v>
      </c>
      <c r="AS85" s="21">
        <v>-1.3195800000000001E-2</v>
      </c>
      <c r="AT85" s="21">
        <v>75</v>
      </c>
      <c r="AU85" s="21">
        <v>1.42059</v>
      </c>
      <c r="AV85">
        <f t="shared" si="20"/>
        <v>16.29111111111111</v>
      </c>
      <c r="AW85">
        <f t="shared" si="21"/>
        <v>23.170358599999997</v>
      </c>
      <c r="AX85" s="9"/>
      <c r="AY85" s="21">
        <v>0.27771000000000001</v>
      </c>
      <c r="AZ85" s="21">
        <v>28.552399999999999</v>
      </c>
      <c r="BA85" s="21">
        <v>-1.4715600000000001E-2</v>
      </c>
      <c r="BB85" s="21">
        <v>75</v>
      </c>
      <c r="BC85" s="21">
        <v>0.27722200000000002</v>
      </c>
      <c r="BD85">
        <f t="shared" si="22"/>
        <v>18.167407407407406</v>
      </c>
      <c r="BE85">
        <f t="shared" si="23"/>
        <v>5.0452707111111108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6.1077199999999996</v>
      </c>
      <c r="I86" s="21">
        <v>-1.3296499999999999E-2</v>
      </c>
      <c r="J86" s="21">
        <v>76</v>
      </c>
      <c r="K86" s="21">
        <v>1.4166300000000001</v>
      </c>
      <c r="L86">
        <f t="shared" si="12"/>
        <v>16.415432098765429</v>
      </c>
      <c r="M86">
        <f t="shared" si="13"/>
        <v>23.264606987654318</v>
      </c>
      <c r="N86" s="9"/>
      <c r="O86" s="21">
        <v>0.28274500000000002</v>
      </c>
      <c r="P86" s="21">
        <v>9.9269099999999995</v>
      </c>
      <c r="Q86" s="21">
        <v>-1.47095E-2</v>
      </c>
      <c r="R86" s="21">
        <v>76</v>
      </c>
      <c r="S86" s="21">
        <v>0.28216599999999997</v>
      </c>
      <c r="T86">
        <f t="shared" si="14"/>
        <v>18.159876543209876</v>
      </c>
      <c r="U86">
        <f t="shared" si="15"/>
        <v>5.1346142932098768</v>
      </c>
      <c r="X86" s="9"/>
      <c r="Y86" s="21">
        <v>1.4172400000000001</v>
      </c>
      <c r="Z86" s="21">
        <v>15.430899999999999</v>
      </c>
      <c r="AA86" s="21">
        <v>-1.3247699999999999E-2</v>
      </c>
      <c r="AB86" s="21">
        <v>76</v>
      </c>
      <c r="AC86" s="21">
        <v>1.41693</v>
      </c>
      <c r="AD86">
        <f t="shared" si="16"/>
        <v>16.355185185185185</v>
      </c>
      <c r="AE86">
        <f t="shared" si="17"/>
        <v>23.179222651851852</v>
      </c>
      <c r="AF86" s="9"/>
      <c r="AG86" s="21">
        <v>0.28274500000000002</v>
      </c>
      <c r="AH86" s="21">
        <v>19.2501</v>
      </c>
      <c r="AI86" s="21">
        <v>-1.47125E-2</v>
      </c>
      <c r="AJ86" s="21">
        <v>76</v>
      </c>
      <c r="AK86" s="21">
        <v>0.28225699999999998</v>
      </c>
      <c r="AL86">
        <f t="shared" si="18"/>
        <v>18.163580246913579</v>
      </c>
      <c r="AM86">
        <f t="shared" si="19"/>
        <v>5.1356614969135803</v>
      </c>
      <c r="AP86" s="9"/>
      <c r="AQ86" s="21">
        <v>1.4172400000000001</v>
      </c>
      <c r="AR86" s="21">
        <v>24.743200000000002</v>
      </c>
      <c r="AS86" s="21">
        <v>-1.32172E-2</v>
      </c>
      <c r="AT86" s="21">
        <v>76</v>
      </c>
      <c r="AU86" s="21">
        <v>1.4166300000000001</v>
      </c>
      <c r="AV86">
        <f t="shared" si="20"/>
        <v>16.317530864197529</v>
      </c>
      <c r="AW86">
        <f t="shared" si="21"/>
        <v>23.125857441975306</v>
      </c>
      <c r="AX86" s="9"/>
      <c r="AY86" s="21">
        <v>0.28274500000000002</v>
      </c>
      <c r="AZ86" s="21">
        <v>28.5624</v>
      </c>
      <c r="BA86" s="21">
        <v>-1.4721700000000001E-2</v>
      </c>
      <c r="BB86" s="21">
        <v>76</v>
      </c>
      <c r="BC86" s="21">
        <v>0.28213500000000002</v>
      </c>
      <c r="BD86">
        <f t="shared" si="22"/>
        <v>18.174938271604937</v>
      </c>
      <c r="BE86">
        <f t="shared" si="23"/>
        <v>5.1388729216049382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6.1177900000000003</v>
      </c>
      <c r="I87" s="21">
        <v>-1.3327E-2</v>
      </c>
      <c r="J87" s="21">
        <v>77</v>
      </c>
      <c r="K87" s="21">
        <v>1.41144</v>
      </c>
      <c r="L87">
        <f t="shared" si="12"/>
        <v>16.453086419753085</v>
      </c>
      <c r="M87">
        <f t="shared" si="13"/>
        <v>23.235048641975304</v>
      </c>
      <c r="N87" s="9"/>
      <c r="O87" s="21">
        <v>0.28778100000000001</v>
      </c>
      <c r="P87" s="21">
        <v>9.9369899999999998</v>
      </c>
      <c r="Q87" s="21">
        <v>-1.47034E-2</v>
      </c>
      <c r="R87" s="21">
        <v>77</v>
      </c>
      <c r="S87" s="21">
        <v>0.28726200000000002</v>
      </c>
      <c r="T87">
        <f t="shared" si="14"/>
        <v>18.152345679012342</v>
      </c>
      <c r="U87">
        <f t="shared" si="15"/>
        <v>5.2239001918518513</v>
      </c>
      <c r="X87" s="9"/>
      <c r="Y87" s="21">
        <v>1.4121999999999999</v>
      </c>
      <c r="Z87" s="21">
        <v>15.441000000000001</v>
      </c>
      <c r="AA87" s="21">
        <v>-1.3266E-2</v>
      </c>
      <c r="AB87" s="21">
        <v>77</v>
      </c>
      <c r="AC87" s="21">
        <v>1.41144</v>
      </c>
      <c r="AD87">
        <f t="shared" si="16"/>
        <v>16.377777777777776</v>
      </c>
      <c r="AE87">
        <f t="shared" si="17"/>
        <v>23.128697777777774</v>
      </c>
      <c r="AF87" s="9"/>
      <c r="AG87" s="21">
        <v>0.28778100000000001</v>
      </c>
      <c r="AH87" s="21">
        <v>19.260200000000001</v>
      </c>
      <c r="AI87" s="21">
        <v>-1.47095E-2</v>
      </c>
      <c r="AJ87" s="21">
        <v>77</v>
      </c>
      <c r="AK87" s="21">
        <v>0.28720099999999998</v>
      </c>
      <c r="AL87">
        <f t="shared" si="18"/>
        <v>18.159876543209876</v>
      </c>
      <c r="AM87">
        <f t="shared" si="19"/>
        <v>5.2260674314814812</v>
      </c>
      <c r="AP87" s="9"/>
      <c r="AQ87" s="21">
        <v>1.4121999999999999</v>
      </c>
      <c r="AR87" s="21">
        <v>24.7532</v>
      </c>
      <c r="AS87" s="21">
        <v>-1.32446E-2</v>
      </c>
      <c r="AT87" s="21">
        <v>77</v>
      </c>
      <c r="AU87" s="21">
        <v>1.41113</v>
      </c>
      <c r="AV87">
        <f t="shared" si="20"/>
        <v>16.351358024691358</v>
      </c>
      <c r="AW87">
        <f t="shared" si="21"/>
        <v>23.091387802469132</v>
      </c>
      <c r="AX87" s="9"/>
      <c r="AY87" s="21">
        <v>0.28778100000000001</v>
      </c>
      <c r="AZ87" s="21">
        <v>28.572500000000002</v>
      </c>
      <c r="BA87" s="21">
        <v>-1.47308E-2</v>
      </c>
      <c r="BB87" s="21">
        <v>77</v>
      </c>
      <c r="BC87" s="21">
        <v>0.28714000000000001</v>
      </c>
      <c r="BD87">
        <f t="shared" si="22"/>
        <v>18.186172839506174</v>
      </c>
      <c r="BE87">
        <f t="shared" si="23"/>
        <v>5.233635005925926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6.1278600000000001</v>
      </c>
      <c r="I88" s="21">
        <v>-1.33606E-2</v>
      </c>
      <c r="J88" s="21">
        <v>78</v>
      </c>
      <c r="K88" s="21">
        <v>1.40594</v>
      </c>
      <c r="L88">
        <f t="shared" si="12"/>
        <v>16.494567901234568</v>
      </c>
      <c r="M88">
        <f t="shared" si="13"/>
        <v>23.210661113580247</v>
      </c>
      <c r="N88" s="9"/>
      <c r="O88" s="21">
        <v>0.29281600000000002</v>
      </c>
      <c r="P88" s="21">
        <v>9.9470600000000005</v>
      </c>
      <c r="Q88" s="21">
        <v>-1.46973E-2</v>
      </c>
      <c r="R88" s="21">
        <v>78</v>
      </c>
      <c r="S88" s="21">
        <v>0.29220600000000002</v>
      </c>
      <c r="T88">
        <f t="shared" si="14"/>
        <v>18.144814814814815</v>
      </c>
      <c r="U88">
        <f t="shared" si="15"/>
        <v>5.3130920948148148</v>
      </c>
      <c r="X88" s="9"/>
      <c r="Y88" s="21">
        <v>1.40717</v>
      </c>
      <c r="Z88" s="21">
        <v>15.4511</v>
      </c>
      <c r="AA88" s="21">
        <v>-1.32874E-2</v>
      </c>
      <c r="AB88" s="21">
        <v>78</v>
      </c>
      <c r="AC88" s="21">
        <v>1.40625</v>
      </c>
      <c r="AD88">
        <f t="shared" si="16"/>
        <v>16.404197530864195</v>
      </c>
      <c r="AE88">
        <f t="shared" si="17"/>
        <v>23.083494639506171</v>
      </c>
      <c r="AF88" s="9"/>
      <c r="AG88" s="21">
        <v>0.29281600000000002</v>
      </c>
      <c r="AH88" s="21">
        <v>19.270299999999999</v>
      </c>
      <c r="AI88" s="21">
        <v>-1.47064E-2</v>
      </c>
      <c r="AJ88" s="21">
        <v>78</v>
      </c>
      <c r="AK88" s="21">
        <v>0.292236</v>
      </c>
      <c r="AL88">
        <f t="shared" si="18"/>
        <v>18.156049382716049</v>
      </c>
      <c r="AM88">
        <f t="shared" si="19"/>
        <v>5.3163817560493829</v>
      </c>
      <c r="AP88" s="9"/>
      <c r="AQ88" s="21">
        <v>1.40717</v>
      </c>
      <c r="AR88" s="21">
        <v>24.763300000000001</v>
      </c>
      <c r="AS88" s="21">
        <v>-1.32782E-2</v>
      </c>
      <c r="AT88" s="21">
        <v>78</v>
      </c>
      <c r="AU88" s="21">
        <v>1.40656</v>
      </c>
      <c r="AV88">
        <f t="shared" si="20"/>
        <v>16.392839506172837</v>
      </c>
      <c r="AW88">
        <f t="shared" si="21"/>
        <v>23.067511967901233</v>
      </c>
      <c r="AX88" s="9"/>
      <c r="AY88" s="21">
        <v>0.29281600000000002</v>
      </c>
      <c r="AZ88" s="21">
        <v>28.582599999999999</v>
      </c>
      <c r="BA88" s="21">
        <v>-1.474E-2</v>
      </c>
      <c r="BB88" s="21">
        <v>78</v>
      </c>
      <c r="BC88" s="21">
        <v>0.29220600000000002</v>
      </c>
      <c r="BD88">
        <f t="shared" si="22"/>
        <v>18.197530864197528</v>
      </c>
      <c r="BE88">
        <f t="shared" si="23"/>
        <v>5.328528197530864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6.1379299999999999</v>
      </c>
      <c r="I89" s="21">
        <v>-1.33881E-2</v>
      </c>
      <c r="J89" s="21">
        <v>79</v>
      </c>
      <c r="K89" s="21">
        <v>1.40167</v>
      </c>
      <c r="L89">
        <f t="shared" si="12"/>
        <v>16.528518518518517</v>
      </c>
      <c r="M89">
        <f t="shared" si="13"/>
        <v>23.175131670370369</v>
      </c>
      <c r="N89" s="9"/>
      <c r="O89" s="21">
        <v>0.29785200000000001</v>
      </c>
      <c r="P89" s="21">
        <v>9.9571299999999994</v>
      </c>
      <c r="Q89" s="21">
        <v>-1.46912E-2</v>
      </c>
      <c r="R89" s="21">
        <v>79</v>
      </c>
      <c r="S89" s="21">
        <v>0.29727199999999998</v>
      </c>
      <c r="T89">
        <f t="shared" si="14"/>
        <v>18.137283950617284</v>
      </c>
      <c r="U89">
        <f t="shared" si="15"/>
        <v>5.4022262992592598</v>
      </c>
      <c r="X89" s="9"/>
      <c r="Y89" s="21">
        <v>1.4021300000000001</v>
      </c>
      <c r="Z89" s="21">
        <v>15.4611</v>
      </c>
      <c r="AA89" s="21">
        <v>-1.33087E-2</v>
      </c>
      <c r="AB89" s="21">
        <v>79</v>
      </c>
      <c r="AC89" s="21">
        <v>1.40167</v>
      </c>
      <c r="AD89">
        <f t="shared" si="16"/>
        <v>16.430493827160493</v>
      </c>
      <c r="AE89">
        <f t="shared" si="17"/>
        <v>23.037688309876543</v>
      </c>
      <c r="AF89" s="9"/>
      <c r="AG89" s="21">
        <v>0.29785200000000001</v>
      </c>
      <c r="AH89" s="21">
        <v>19.2803</v>
      </c>
      <c r="AI89" s="21">
        <v>-1.46973E-2</v>
      </c>
      <c r="AJ89" s="21">
        <v>79</v>
      </c>
      <c r="AK89" s="21">
        <v>0.29718</v>
      </c>
      <c r="AL89">
        <f t="shared" si="18"/>
        <v>18.144814814814815</v>
      </c>
      <c r="AM89">
        <f t="shared" si="19"/>
        <v>5.4044693822222225</v>
      </c>
      <c r="AP89" s="9"/>
      <c r="AQ89" s="21">
        <v>1.4021300000000001</v>
      </c>
      <c r="AR89" s="21">
        <v>24.773399999999999</v>
      </c>
      <c r="AS89" s="21">
        <v>-1.3302599999999999E-2</v>
      </c>
      <c r="AT89" s="21">
        <v>79</v>
      </c>
      <c r="AU89" s="21">
        <v>1.40106</v>
      </c>
      <c r="AV89">
        <f t="shared" si="20"/>
        <v>16.422962962962963</v>
      </c>
      <c r="AW89">
        <f t="shared" si="21"/>
        <v>23.027129059259259</v>
      </c>
      <c r="AX89" s="9"/>
      <c r="AY89" s="21">
        <v>0.29785200000000001</v>
      </c>
      <c r="AZ89" s="21">
        <v>28.592600000000001</v>
      </c>
      <c r="BA89" s="21">
        <v>-1.4749099999999999E-2</v>
      </c>
      <c r="BB89" s="21">
        <v>79</v>
      </c>
      <c r="BC89" s="21">
        <v>0.29733300000000001</v>
      </c>
      <c r="BD89">
        <f t="shared" si="22"/>
        <v>18.208765432098765</v>
      </c>
      <c r="BE89">
        <f t="shared" si="23"/>
        <v>5.4235172014814816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6.1480100000000002</v>
      </c>
      <c r="I90" s="21">
        <v>-1.34094E-2</v>
      </c>
      <c r="J90" s="21">
        <v>80</v>
      </c>
      <c r="K90" s="21">
        <v>1.39679</v>
      </c>
      <c r="L90">
        <f t="shared" si="12"/>
        <v>16.554814814814815</v>
      </c>
      <c r="M90">
        <f t="shared" si="13"/>
        <v>23.12856622962963</v>
      </c>
      <c r="N90" s="9"/>
      <c r="O90" s="21">
        <v>0.30288700000000002</v>
      </c>
      <c r="P90" s="21">
        <v>9.9672000000000001</v>
      </c>
      <c r="Q90" s="21">
        <v>-1.4688100000000001E-2</v>
      </c>
      <c r="R90" s="21">
        <v>80</v>
      </c>
      <c r="S90" s="21">
        <v>0.30239899999999997</v>
      </c>
      <c r="T90">
        <f t="shared" si="14"/>
        <v>18.133456790123457</v>
      </c>
      <c r="U90">
        <f t="shared" si="15"/>
        <v>5.4923883267901239</v>
      </c>
      <c r="X90" s="9"/>
      <c r="Y90" s="21">
        <v>1.3970899999999999</v>
      </c>
      <c r="Z90" s="21">
        <v>15.4712</v>
      </c>
      <c r="AA90" s="21">
        <v>-1.3333100000000001E-2</v>
      </c>
      <c r="AB90" s="21">
        <v>80</v>
      </c>
      <c r="AC90" s="21">
        <v>1.39679</v>
      </c>
      <c r="AD90">
        <f t="shared" si="16"/>
        <v>16.460617283950615</v>
      </c>
      <c r="AE90">
        <f t="shared" si="17"/>
        <v>22.996963801234564</v>
      </c>
      <c r="AF90" s="9"/>
      <c r="AG90" s="21">
        <v>0.30288700000000002</v>
      </c>
      <c r="AH90" s="21">
        <v>19.290400000000002</v>
      </c>
      <c r="AI90" s="21">
        <v>-1.4688100000000001E-2</v>
      </c>
      <c r="AJ90" s="21">
        <v>80</v>
      </c>
      <c r="AK90" s="21">
        <v>0.30239899999999997</v>
      </c>
      <c r="AL90">
        <f t="shared" si="18"/>
        <v>18.133456790123457</v>
      </c>
      <c r="AM90">
        <f t="shared" si="19"/>
        <v>5.4923883267901239</v>
      </c>
      <c r="AP90" s="9"/>
      <c r="AQ90" s="21">
        <v>1.3970899999999999</v>
      </c>
      <c r="AR90" s="21">
        <v>24.7834</v>
      </c>
      <c r="AS90" s="21">
        <v>-1.33209E-2</v>
      </c>
      <c r="AT90" s="21">
        <v>80</v>
      </c>
      <c r="AU90" s="21">
        <v>1.3958699999999999</v>
      </c>
      <c r="AV90">
        <f t="shared" si="20"/>
        <v>16.445555555555554</v>
      </c>
      <c r="AW90">
        <f t="shared" si="21"/>
        <v>22.975921211111107</v>
      </c>
      <c r="AX90" s="9"/>
      <c r="AY90" s="21">
        <v>0.30288700000000002</v>
      </c>
      <c r="AZ90" s="21">
        <v>28.602699999999999</v>
      </c>
      <c r="BA90" s="21">
        <v>-1.47522E-2</v>
      </c>
      <c r="BB90" s="21">
        <v>80</v>
      </c>
      <c r="BC90" s="21">
        <v>0.30230699999999999</v>
      </c>
      <c r="BD90">
        <f t="shared" si="22"/>
        <v>18.212592592592593</v>
      </c>
      <c r="BE90">
        <f t="shared" si="23"/>
        <v>5.5163575325925933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6.15808</v>
      </c>
      <c r="I91" s="21">
        <v>-1.34308E-2</v>
      </c>
      <c r="J91" s="21">
        <v>81</v>
      </c>
      <c r="K91" s="21">
        <v>1.3913</v>
      </c>
      <c r="L91">
        <f t="shared" si="12"/>
        <v>16.581234567901234</v>
      </c>
      <c r="M91">
        <f t="shared" si="13"/>
        <v>23.082073392592594</v>
      </c>
      <c r="N91" s="9"/>
      <c r="O91" s="21">
        <v>0.30792199999999997</v>
      </c>
      <c r="P91" s="21">
        <v>9.9772700000000007</v>
      </c>
      <c r="Q91" s="21">
        <v>-1.4694199999999999E-2</v>
      </c>
      <c r="R91" s="21">
        <v>81</v>
      </c>
      <c r="S91" s="21">
        <v>0.30743399999999999</v>
      </c>
      <c r="T91">
        <f t="shared" si="14"/>
        <v>18.140987654320988</v>
      </c>
      <c r="U91">
        <f t="shared" si="15"/>
        <v>5.5860092004938267</v>
      </c>
      <c r="X91" s="9"/>
      <c r="Y91" s="21">
        <v>1.3920600000000001</v>
      </c>
      <c r="Z91" s="21">
        <v>15.481299999999999</v>
      </c>
      <c r="AA91" s="21">
        <v>-1.33484E-2</v>
      </c>
      <c r="AB91" s="21">
        <v>81</v>
      </c>
      <c r="AC91" s="21">
        <v>1.3909899999999999</v>
      </c>
      <c r="AD91">
        <f t="shared" si="16"/>
        <v>16.479506172839503</v>
      </c>
      <c r="AE91">
        <f t="shared" si="17"/>
        <v>22.94046136296296</v>
      </c>
      <c r="AF91" s="9"/>
      <c r="AG91" s="21">
        <v>0.30792199999999997</v>
      </c>
      <c r="AH91" s="21">
        <v>19.3005</v>
      </c>
      <c r="AI91" s="21">
        <v>-1.4682000000000001E-2</v>
      </c>
      <c r="AJ91" s="21">
        <v>81</v>
      </c>
      <c r="AK91" s="21">
        <v>0.30721999999999999</v>
      </c>
      <c r="AL91">
        <f t="shared" si="18"/>
        <v>18.125925925925923</v>
      </c>
      <c r="AM91">
        <f t="shared" si="19"/>
        <v>5.5813713629629618</v>
      </c>
      <c r="AP91" s="9"/>
      <c r="AQ91" s="21">
        <v>1.3920600000000001</v>
      </c>
      <c r="AR91" s="21">
        <v>24.793500000000002</v>
      </c>
      <c r="AS91" s="21">
        <v>-1.33545E-2</v>
      </c>
      <c r="AT91" s="21">
        <v>81</v>
      </c>
      <c r="AU91" s="21">
        <v>1.3915999999999999</v>
      </c>
      <c r="AV91">
        <f t="shared" si="20"/>
        <v>16.487037037037037</v>
      </c>
      <c r="AW91">
        <f t="shared" si="21"/>
        <v>22.950944777777778</v>
      </c>
      <c r="AX91" s="9"/>
      <c r="AY91" s="21">
        <v>0.30792199999999997</v>
      </c>
      <c r="AZ91" s="21">
        <v>28.6128</v>
      </c>
      <c r="BA91" s="21">
        <v>-1.4749099999999999E-2</v>
      </c>
      <c r="BB91" s="21">
        <v>81</v>
      </c>
      <c r="BC91" s="21">
        <v>0.30737300000000001</v>
      </c>
      <c r="BD91">
        <f t="shared" si="22"/>
        <v>18.208765432098765</v>
      </c>
      <c r="BE91">
        <f t="shared" si="23"/>
        <v>5.6068794693827151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6.1681499999999998</v>
      </c>
      <c r="I92" s="21">
        <v>-1.3443E-2</v>
      </c>
      <c r="J92" s="21">
        <v>82</v>
      </c>
      <c r="K92" s="21">
        <v>1.3864099999999999</v>
      </c>
      <c r="L92">
        <f t="shared" si="12"/>
        <v>16.596296296296295</v>
      </c>
      <c r="M92">
        <f t="shared" si="13"/>
        <v>23.019394888888886</v>
      </c>
      <c r="N92" s="9"/>
      <c r="O92" s="21">
        <v>0.31295800000000001</v>
      </c>
      <c r="P92" s="21">
        <v>9.9873399999999997</v>
      </c>
      <c r="Q92" s="21">
        <v>-1.4694199999999999E-2</v>
      </c>
      <c r="R92" s="21">
        <v>82</v>
      </c>
      <c r="S92" s="21">
        <v>0.31240800000000002</v>
      </c>
      <c r="T92">
        <f t="shared" si="14"/>
        <v>18.140987654320988</v>
      </c>
      <c r="U92">
        <f t="shared" si="15"/>
        <v>5.6773672143209879</v>
      </c>
      <c r="X92" s="9"/>
      <c r="Y92" s="21">
        <v>1.3870199999999999</v>
      </c>
      <c r="Z92" s="21">
        <v>15.491400000000001</v>
      </c>
      <c r="AA92" s="21">
        <v>-1.3372800000000001E-2</v>
      </c>
      <c r="AB92" s="21">
        <v>82</v>
      </c>
      <c r="AC92" s="21">
        <v>1.38611</v>
      </c>
      <c r="AD92">
        <f t="shared" si="16"/>
        <v>16.509629629629632</v>
      </c>
      <c r="AE92">
        <f t="shared" si="17"/>
        <v>22.899186488888891</v>
      </c>
      <c r="AF92" s="9"/>
      <c r="AG92" s="21">
        <v>0.31295800000000001</v>
      </c>
      <c r="AH92" s="21">
        <v>19.310600000000001</v>
      </c>
      <c r="AI92" s="21">
        <v>-1.46912E-2</v>
      </c>
      <c r="AJ92" s="21">
        <v>82</v>
      </c>
      <c r="AK92" s="21">
        <v>0.31228600000000001</v>
      </c>
      <c r="AL92">
        <f t="shared" si="18"/>
        <v>18.137283950617284</v>
      </c>
      <c r="AM92">
        <f t="shared" si="19"/>
        <v>5.6762081106172841</v>
      </c>
      <c r="AP92" s="9"/>
      <c r="AQ92" s="21">
        <v>1.3870199999999999</v>
      </c>
      <c r="AR92" s="21">
        <v>24.803599999999999</v>
      </c>
      <c r="AS92" s="21">
        <v>-1.3369799999999999E-2</v>
      </c>
      <c r="AT92" s="21">
        <v>82</v>
      </c>
      <c r="AU92" s="21">
        <v>1.3857999999999999</v>
      </c>
      <c r="AV92">
        <f t="shared" si="20"/>
        <v>16.505925925925922</v>
      </c>
      <c r="AW92">
        <f t="shared" si="21"/>
        <v>22.894049377777772</v>
      </c>
      <c r="AX92" s="9"/>
      <c r="AY92" s="21">
        <v>0.31295800000000001</v>
      </c>
      <c r="AZ92" s="21">
        <v>28.622900000000001</v>
      </c>
      <c r="BA92" s="21">
        <v>-1.47308E-2</v>
      </c>
      <c r="BB92" s="21">
        <v>82</v>
      </c>
      <c r="BC92" s="21">
        <v>0.31237799999999999</v>
      </c>
      <c r="BD92">
        <f t="shared" si="22"/>
        <v>18.186172839506174</v>
      </c>
      <c r="BE92">
        <f t="shared" si="23"/>
        <v>5.6915082795061736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6.1782199999999996</v>
      </c>
      <c r="I93" s="21">
        <v>-1.3461300000000001E-2</v>
      </c>
      <c r="J93" s="21">
        <v>83</v>
      </c>
      <c r="K93" s="21">
        <v>1.3809199999999999</v>
      </c>
      <c r="L93">
        <f t="shared" si="12"/>
        <v>16.618888888888886</v>
      </c>
      <c r="M93">
        <f t="shared" si="13"/>
        <v>22.967138255555554</v>
      </c>
      <c r="N93" s="9"/>
      <c r="O93" s="21">
        <v>0.31799300000000003</v>
      </c>
      <c r="P93" s="21">
        <v>9.9974100000000004</v>
      </c>
      <c r="Q93" s="21">
        <v>-1.4700299999999999E-2</v>
      </c>
      <c r="R93" s="21">
        <v>83</v>
      </c>
      <c r="S93" s="21">
        <v>0.31738300000000003</v>
      </c>
      <c r="T93">
        <f t="shared" si="14"/>
        <v>18.148518518518514</v>
      </c>
      <c r="U93">
        <f t="shared" si="15"/>
        <v>5.7711018492592583</v>
      </c>
      <c r="X93" s="9"/>
      <c r="Y93" s="21">
        <v>1.3819900000000001</v>
      </c>
      <c r="Z93" s="21">
        <v>15.5014</v>
      </c>
      <c r="AA93" s="21">
        <v>-1.33972E-2</v>
      </c>
      <c r="AB93" s="21">
        <v>83</v>
      </c>
      <c r="AC93" s="21">
        <v>1.3815299999999999</v>
      </c>
      <c r="AD93">
        <f t="shared" si="16"/>
        <v>16.539753086419751</v>
      </c>
      <c r="AE93">
        <f t="shared" si="17"/>
        <v>22.857773367901231</v>
      </c>
      <c r="AF93" s="9"/>
      <c r="AG93" s="21">
        <v>0.31799300000000003</v>
      </c>
      <c r="AH93" s="21">
        <v>19.320599999999999</v>
      </c>
      <c r="AI93" s="21">
        <v>-1.46973E-2</v>
      </c>
      <c r="AJ93" s="21">
        <v>83</v>
      </c>
      <c r="AK93" s="21">
        <v>0.317413</v>
      </c>
      <c r="AL93">
        <f t="shared" si="18"/>
        <v>18.144814814814815</v>
      </c>
      <c r="AM93">
        <f t="shared" si="19"/>
        <v>5.769924097407408</v>
      </c>
      <c r="AP93" s="9"/>
      <c r="AQ93" s="21">
        <v>1.3819900000000001</v>
      </c>
      <c r="AR93" s="21">
        <v>24.813700000000001</v>
      </c>
      <c r="AS93" s="21">
        <v>-1.33667E-2</v>
      </c>
      <c r="AT93" s="21">
        <v>83</v>
      </c>
      <c r="AU93" s="21">
        <v>1.38123</v>
      </c>
      <c r="AV93">
        <f t="shared" si="20"/>
        <v>16.502098765432098</v>
      </c>
      <c r="AW93">
        <f t="shared" si="21"/>
        <v>22.805735472839505</v>
      </c>
      <c r="AX93" s="9"/>
      <c r="AY93" s="21">
        <v>0.31799300000000003</v>
      </c>
      <c r="AZ93" s="21">
        <v>28.632899999999999</v>
      </c>
      <c r="BA93" s="21">
        <v>-1.47186E-2</v>
      </c>
      <c r="BB93" s="21">
        <v>83</v>
      </c>
      <c r="BC93" s="21">
        <v>0.31726100000000002</v>
      </c>
      <c r="BD93">
        <f t="shared" si="22"/>
        <v>18.171111111111109</v>
      </c>
      <c r="BE93">
        <f t="shared" si="23"/>
        <v>5.7782861355555557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6.1882900000000003</v>
      </c>
      <c r="I94" s="21">
        <v>-1.34918E-2</v>
      </c>
      <c r="J94" s="21">
        <v>84</v>
      </c>
      <c r="K94" s="21">
        <v>1.3757299999999999</v>
      </c>
      <c r="L94">
        <f t="shared" si="12"/>
        <v>16.656543209876542</v>
      </c>
      <c r="M94">
        <f t="shared" si="13"/>
        <v>22.935227172839504</v>
      </c>
      <c r="N94" s="9"/>
      <c r="O94" s="21">
        <v>0.32302900000000001</v>
      </c>
      <c r="P94" s="21">
        <v>10.0075</v>
      </c>
      <c r="Q94" s="21">
        <v>-1.4700299999999999E-2</v>
      </c>
      <c r="R94" s="21">
        <v>84</v>
      </c>
      <c r="S94" s="21">
        <v>0.32247900000000002</v>
      </c>
      <c r="T94">
        <f t="shared" si="14"/>
        <v>18.148518518518514</v>
      </c>
      <c r="U94">
        <f t="shared" si="15"/>
        <v>5.8624977885185174</v>
      </c>
      <c r="X94" s="9"/>
      <c r="Y94" s="21">
        <v>1.3769499999999999</v>
      </c>
      <c r="Z94" s="21">
        <v>15.5115</v>
      </c>
      <c r="AA94" s="21">
        <v>-1.3418599999999999E-2</v>
      </c>
      <c r="AB94" s="21">
        <v>84</v>
      </c>
      <c r="AC94" s="21">
        <v>1.3763399999999999</v>
      </c>
      <c r="AD94">
        <f t="shared" si="16"/>
        <v>16.566172839506169</v>
      </c>
      <c r="AE94">
        <f t="shared" si="17"/>
        <v>22.81079169135802</v>
      </c>
      <c r="AF94" s="9"/>
      <c r="AG94" s="21">
        <v>0.32302900000000001</v>
      </c>
      <c r="AH94" s="21">
        <v>19.3307</v>
      </c>
      <c r="AI94" s="21">
        <v>-1.46973E-2</v>
      </c>
      <c r="AJ94" s="21">
        <v>84</v>
      </c>
      <c r="AK94" s="21">
        <v>0.32238800000000001</v>
      </c>
      <c r="AL94">
        <f t="shared" si="18"/>
        <v>18.144814814814815</v>
      </c>
      <c r="AM94">
        <f t="shared" si="19"/>
        <v>5.8613013848148148</v>
      </c>
      <c r="AP94" s="9"/>
      <c r="AQ94" s="21">
        <v>1.3769499999999999</v>
      </c>
      <c r="AR94" s="21">
        <v>24.823699999999999</v>
      </c>
      <c r="AS94" s="21">
        <v>-1.3378900000000001E-2</v>
      </c>
      <c r="AT94" s="21">
        <v>84</v>
      </c>
      <c r="AU94" s="21">
        <v>1.3757299999999999</v>
      </c>
      <c r="AV94">
        <f t="shared" si="20"/>
        <v>16.517160493827159</v>
      </c>
      <c r="AW94">
        <f t="shared" si="21"/>
        <v>22.743304141975305</v>
      </c>
      <c r="AX94" s="9"/>
      <c r="AY94" s="21">
        <v>0.32302900000000001</v>
      </c>
      <c r="AZ94" s="21">
        <v>28.643000000000001</v>
      </c>
      <c r="BA94" s="21">
        <v>-1.47125E-2</v>
      </c>
      <c r="BB94" s="21">
        <v>84</v>
      </c>
      <c r="BC94" s="21">
        <v>0.32241799999999998</v>
      </c>
      <c r="BD94">
        <f t="shared" si="22"/>
        <v>18.163580246913579</v>
      </c>
      <c r="BE94">
        <f t="shared" si="23"/>
        <v>5.8673631635802463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6.1983600000000001</v>
      </c>
      <c r="I95" s="21">
        <v>-1.3516200000000001E-2</v>
      </c>
      <c r="J95" s="21">
        <v>85</v>
      </c>
      <c r="K95" s="21">
        <v>1.3708499999999999</v>
      </c>
      <c r="L95">
        <f t="shared" si="12"/>
        <v>16.686666666666664</v>
      </c>
      <c r="M95">
        <f t="shared" si="13"/>
        <v>22.89277173333333</v>
      </c>
      <c r="N95" s="9"/>
      <c r="O95" s="21">
        <v>0.32806400000000002</v>
      </c>
      <c r="P95" s="21">
        <v>10.0176</v>
      </c>
      <c r="Q95" s="21">
        <v>-1.46973E-2</v>
      </c>
      <c r="R95" s="21">
        <v>85</v>
      </c>
      <c r="S95" s="21">
        <v>0.32760600000000001</v>
      </c>
      <c r="T95">
        <f t="shared" si="14"/>
        <v>18.144814814814815</v>
      </c>
      <c r="U95">
        <f t="shared" si="15"/>
        <v>5.9526605274074083</v>
      </c>
      <c r="X95" s="9"/>
      <c r="Y95" s="21">
        <v>1.37192</v>
      </c>
      <c r="Z95" s="21">
        <v>15.521599999999999</v>
      </c>
      <c r="AA95" s="21">
        <v>-1.3439899999999999E-2</v>
      </c>
      <c r="AB95" s="21">
        <v>85</v>
      </c>
      <c r="AC95" s="21">
        <v>1.3711500000000001</v>
      </c>
      <c r="AD95">
        <f t="shared" si="16"/>
        <v>16.592469135802467</v>
      </c>
      <c r="AE95">
        <f t="shared" si="17"/>
        <v>22.763540256790122</v>
      </c>
      <c r="AF95" s="9"/>
      <c r="AG95" s="21">
        <v>0.32806400000000002</v>
      </c>
      <c r="AH95" s="21">
        <v>19.340800000000002</v>
      </c>
      <c r="AI95" s="21">
        <v>-1.4694199999999999E-2</v>
      </c>
      <c r="AJ95" s="21">
        <v>85</v>
      </c>
      <c r="AK95" s="21">
        <v>0.32736199999999999</v>
      </c>
      <c r="AL95">
        <f t="shared" si="18"/>
        <v>18.140987654320988</v>
      </c>
      <c r="AM95">
        <f t="shared" si="19"/>
        <v>5.9514049738271613</v>
      </c>
      <c r="AP95" s="9"/>
      <c r="AQ95" s="21">
        <v>1.37192</v>
      </c>
      <c r="AR95" s="21">
        <v>24.8338</v>
      </c>
      <c r="AS95" s="21">
        <v>-1.3406400000000001E-2</v>
      </c>
      <c r="AT95" s="21">
        <v>85</v>
      </c>
      <c r="AU95" s="21">
        <v>1.3717699999999999</v>
      </c>
      <c r="AV95">
        <f t="shared" si="20"/>
        <v>16.551111111111108</v>
      </c>
      <c r="AW95">
        <f t="shared" si="21"/>
        <v>22.706800355555551</v>
      </c>
      <c r="AX95" s="9"/>
      <c r="AY95" s="21">
        <v>0.32806400000000002</v>
      </c>
      <c r="AZ95" s="21">
        <v>28.653099999999998</v>
      </c>
      <c r="BA95" s="21">
        <v>-1.47034E-2</v>
      </c>
      <c r="BB95" s="21">
        <v>85</v>
      </c>
      <c r="BC95" s="21">
        <v>0.32742300000000002</v>
      </c>
      <c r="BD95">
        <f t="shared" si="22"/>
        <v>18.152345679012342</v>
      </c>
      <c r="BE95">
        <f t="shared" si="23"/>
        <v>5.9551311328395053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6.2084299999999999</v>
      </c>
      <c r="I96" s="21">
        <v>-1.3543700000000001E-2</v>
      </c>
      <c r="J96" s="21">
        <v>86</v>
      </c>
      <c r="K96" s="21">
        <v>1.3662700000000001</v>
      </c>
      <c r="L96">
        <f t="shared" si="12"/>
        <v>16.720617283950617</v>
      </c>
      <c r="M96">
        <f t="shared" si="13"/>
        <v>22.855077353086422</v>
      </c>
      <c r="N96" s="9"/>
      <c r="O96" s="21">
        <v>0.33309899999999998</v>
      </c>
      <c r="P96" s="21">
        <v>10.0276</v>
      </c>
      <c r="Q96" s="21">
        <v>-1.46973E-2</v>
      </c>
      <c r="R96" s="21">
        <v>86</v>
      </c>
      <c r="S96" s="21">
        <v>0.33248899999999998</v>
      </c>
      <c r="T96">
        <f t="shared" si="14"/>
        <v>18.144814814814815</v>
      </c>
      <c r="U96">
        <f t="shared" si="15"/>
        <v>6.04401967</v>
      </c>
      <c r="X96" s="9"/>
      <c r="Y96" s="21">
        <v>1.3668800000000001</v>
      </c>
      <c r="Z96" s="21">
        <v>15.531599999999999</v>
      </c>
      <c r="AA96" s="21">
        <v>-1.34552E-2</v>
      </c>
      <c r="AB96" s="21">
        <v>86</v>
      </c>
      <c r="AC96" s="21">
        <v>1.3659699999999999</v>
      </c>
      <c r="AD96">
        <f t="shared" si="16"/>
        <v>16.611358024691356</v>
      </c>
      <c r="AE96">
        <f t="shared" si="17"/>
        <v>22.705733056790123</v>
      </c>
      <c r="AF96" s="9"/>
      <c r="AG96" s="21">
        <v>0.33309899999999998</v>
      </c>
      <c r="AH96" s="21">
        <v>19.3508</v>
      </c>
      <c r="AI96" s="21">
        <v>-1.46851E-2</v>
      </c>
      <c r="AJ96" s="21">
        <v>86</v>
      </c>
      <c r="AK96" s="21">
        <v>0.33261099999999999</v>
      </c>
      <c r="AL96">
        <f t="shared" si="18"/>
        <v>18.12975308641975</v>
      </c>
      <c r="AM96">
        <f t="shared" si="19"/>
        <v>6.0390026233333325</v>
      </c>
      <c r="AP96" s="9"/>
      <c r="AQ96" s="21">
        <v>1.3668800000000001</v>
      </c>
      <c r="AR96" s="21">
        <v>24.843900000000001</v>
      </c>
      <c r="AS96" s="21">
        <v>-1.34369E-2</v>
      </c>
      <c r="AT96" s="21">
        <v>86</v>
      </c>
      <c r="AU96" s="21">
        <v>1.3662700000000001</v>
      </c>
      <c r="AV96">
        <f t="shared" si="20"/>
        <v>16.588765432098764</v>
      </c>
      <c r="AW96">
        <f t="shared" si="21"/>
        <v>22.674851693827161</v>
      </c>
      <c r="AX96" s="9"/>
      <c r="AY96" s="21">
        <v>0.33309899999999998</v>
      </c>
      <c r="AZ96" s="21">
        <v>28.6631</v>
      </c>
      <c r="BA96" s="21">
        <v>-1.47064E-2</v>
      </c>
      <c r="BB96" s="21">
        <v>86</v>
      </c>
      <c r="BC96" s="21">
        <v>0.332428</v>
      </c>
      <c r="BD96">
        <f t="shared" si="22"/>
        <v>18.156049382716049</v>
      </c>
      <c r="BE96">
        <f t="shared" si="23"/>
        <v>6.047761893333333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6.2184999999999997</v>
      </c>
      <c r="I97" s="21">
        <v>-1.35651E-2</v>
      </c>
      <c r="J97" s="21">
        <v>87</v>
      </c>
      <c r="K97" s="21">
        <v>1.3610800000000001</v>
      </c>
      <c r="L97">
        <f t="shared" si="12"/>
        <v>16.747037037037035</v>
      </c>
      <c r="M97">
        <f t="shared" si="13"/>
        <v>22.806952388888888</v>
      </c>
      <c r="N97" s="9"/>
      <c r="O97" s="21">
        <v>0.33813500000000002</v>
      </c>
      <c r="P97" s="21">
        <v>10.037699999999999</v>
      </c>
      <c r="Q97" s="21">
        <v>-1.46973E-2</v>
      </c>
      <c r="R97" s="21">
        <v>87</v>
      </c>
      <c r="S97" s="21">
        <v>0.33755499999999999</v>
      </c>
      <c r="T97">
        <f t="shared" si="14"/>
        <v>18.144814814814815</v>
      </c>
      <c r="U97">
        <f t="shared" si="15"/>
        <v>6.1353969574074076</v>
      </c>
      <c r="X97" s="9"/>
      <c r="Y97" s="21">
        <v>1.36185</v>
      </c>
      <c r="Z97" s="21">
        <v>15.541700000000001</v>
      </c>
      <c r="AA97" s="21">
        <v>-1.34766E-2</v>
      </c>
      <c r="AB97" s="21">
        <v>87</v>
      </c>
      <c r="AC97" s="21">
        <v>1.3610800000000001</v>
      </c>
      <c r="AD97">
        <f t="shared" si="16"/>
        <v>16.637777777777774</v>
      </c>
      <c r="AE97">
        <f t="shared" si="17"/>
        <v>22.658157666666661</v>
      </c>
      <c r="AF97" s="9"/>
      <c r="AG97" s="21">
        <v>0.33813500000000002</v>
      </c>
      <c r="AH97" s="21">
        <v>19.360900000000001</v>
      </c>
      <c r="AI97" s="21">
        <v>-1.46759E-2</v>
      </c>
      <c r="AJ97" s="21">
        <v>87</v>
      </c>
      <c r="AK97" s="21">
        <v>0.33758500000000002</v>
      </c>
      <c r="AL97">
        <f t="shared" si="18"/>
        <v>18.118395061728396</v>
      </c>
      <c r="AM97">
        <f t="shared" si="19"/>
        <v>6.1264635141975319</v>
      </c>
      <c r="AP97" s="9"/>
      <c r="AQ97" s="21">
        <v>1.36185</v>
      </c>
      <c r="AR97" s="21">
        <v>24.853899999999999</v>
      </c>
      <c r="AS97" s="21">
        <v>-1.3473499999999999E-2</v>
      </c>
      <c r="AT97" s="21">
        <v>87</v>
      </c>
      <c r="AU97" s="21">
        <v>1.3607800000000001</v>
      </c>
      <c r="AV97">
        <f t="shared" si="20"/>
        <v>16.633950617283947</v>
      </c>
      <c r="AW97">
        <f t="shared" si="21"/>
        <v>22.652945648148144</v>
      </c>
      <c r="AX97" s="9"/>
      <c r="AY97" s="21">
        <v>0.33813500000000002</v>
      </c>
      <c r="AZ97" s="21">
        <v>28.673200000000001</v>
      </c>
      <c r="BA97" s="21">
        <v>-1.4715600000000001E-2</v>
      </c>
      <c r="BB97" s="21">
        <v>87</v>
      </c>
      <c r="BC97" s="21">
        <v>0.33749400000000002</v>
      </c>
      <c r="BD97">
        <f t="shared" si="22"/>
        <v>18.167407407407406</v>
      </c>
      <c r="BE97">
        <f t="shared" si="23"/>
        <v>6.1430363037037035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6.2285700000000004</v>
      </c>
      <c r="I98" s="21">
        <v>-1.35803E-2</v>
      </c>
      <c r="J98" s="21">
        <v>88</v>
      </c>
      <c r="K98" s="21">
        <v>1.3562000000000001</v>
      </c>
      <c r="L98">
        <f t="shared" si="12"/>
        <v>16.765802469135803</v>
      </c>
      <c r="M98">
        <f t="shared" si="13"/>
        <v>22.748008448148148</v>
      </c>
      <c r="N98" s="9"/>
      <c r="O98" s="21">
        <v>0.34316999999999998</v>
      </c>
      <c r="P98" s="21">
        <v>10.047800000000001</v>
      </c>
      <c r="Q98" s="21">
        <v>-1.46973E-2</v>
      </c>
      <c r="R98" s="21">
        <v>88</v>
      </c>
      <c r="S98" s="21">
        <v>0.34255999999999998</v>
      </c>
      <c r="T98">
        <f t="shared" si="14"/>
        <v>18.144814814814815</v>
      </c>
      <c r="U98">
        <f t="shared" si="15"/>
        <v>6.2267560999999993</v>
      </c>
      <c r="X98" s="9"/>
      <c r="Y98" s="21">
        <v>1.3568100000000001</v>
      </c>
      <c r="Z98" s="21">
        <v>15.5518</v>
      </c>
      <c r="AA98" s="21">
        <v>-1.34979E-2</v>
      </c>
      <c r="AB98" s="21">
        <v>88</v>
      </c>
      <c r="AC98" s="21">
        <v>1.3565100000000001</v>
      </c>
      <c r="AD98">
        <f t="shared" si="16"/>
        <v>16.664074074074072</v>
      </c>
      <c r="AE98">
        <f t="shared" si="17"/>
        <v>22.609982344444443</v>
      </c>
      <c r="AF98" s="9"/>
      <c r="AG98" s="21">
        <v>0.34316999999999998</v>
      </c>
      <c r="AH98" s="21">
        <v>19.370999999999999</v>
      </c>
      <c r="AI98" s="21">
        <v>-1.4672899999999999E-2</v>
      </c>
      <c r="AJ98" s="21">
        <v>88</v>
      </c>
      <c r="AK98" s="21">
        <v>0.34259000000000001</v>
      </c>
      <c r="AL98">
        <f t="shared" si="18"/>
        <v>18.11469135802469</v>
      </c>
      <c r="AM98">
        <f t="shared" si="19"/>
        <v>6.2164186333333324</v>
      </c>
      <c r="AP98" s="9"/>
      <c r="AQ98" s="21">
        <v>1.3568100000000001</v>
      </c>
      <c r="AR98" s="21">
        <v>24.864000000000001</v>
      </c>
      <c r="AS98" s="21">
        <v>-1.3501000000000001E-2</v>
      </c>
      <c r="AT98" s="21">
        <v>88</v>
      </c>
      <c r="AU98" s="21">
        <v>1.3559000000000001</v>
      </c>
      <c r="AV98">
        <f t="shared" si="20"/>
        <v>16.667901234567903</v>
      </c>
      <c r="AW98">
        <f t="shared" si="21"/>
        <v>22.615175074074077</v>
      </c>
      <c r="AX98" s="9"/>
      <c r="AY98" s="21">
        <v>0.34316999999999998</v>
      </c>
      <c r="AZ98" s="21">
        <v>28.683299999999999</v>
      </c>
      <c r="BA98" s="21">
        <v>-1.4733899999999999E-2</v>
      </c>
      <c r="BB98" s="21">
        <v>88</v>
      </c>
      <c r="BC98" s="21">
        <v>0.34268199999999999</v>
      </c>
      <c r="BD98">
        <f t="shared" si="22"/>
        <v>18.189999999999998</v>
      </c>
      <c r="BE98">
        <f t="shared" si="23"/>
        <v>6.2422622999999984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6.2386400000000002</v>
      </c>
      <c r="I99" s="21">
        <v>-1.35803E-2</v>
      </c>
      <c r="J99" s="21">
        <v>89</v>
      </c>
      <c r="K99" s="21">
        <v>1.3513200000000001</v>
      </c>
      <c r="L99">
        <f t="shared" si="12"/>
        <v>16.765802469135803</v>
      </c>
      <c r="M99">
        <f t="shared" si="13"/>
        <v>22.663676461728397</v>
      </c>
      <c r="N99" s="9"/>
      <c r="O99" s="21">
        <v>0.34820600000000002</v>
      </c>
      <c r="P99" s="21">
        <v>10.0578</v>
      </c>
      <c r="Q99" s="21">
        <v>-1.47034E-2</v>
      </c>
      <c r="R99" s="21">
        <v>89</v>
      </c>
      <c r="S99" s="21">
        <v>0.34756500000000001</v>
      </c>
      <c r="T99">
        <f t="shared" si="14"/>
        <v>18.152345679012342</v>
      </c>
      <c r="U99">
        <f t="shared" si="15"/>
        <v>6.3207556795061715</v>
      </c>
      <c r="X99" s="9"/>
      <c r="Y99" s="21">
        <v>1.35178</v>
      </c>
      <c r="Z99" s="21">
        <v>15.5619</v>
      </c>
      <c r="AA99" s="21">
        <v>-1.35315E-2</v>
      </c>
      <c r="AB99" s="21">
        <v>89</v>
      </c>
      <c r="AC99" s="21">
        <v>1.3507100000000001</v>
      </c>
      <c r="AD99">
        <f t="shared" si="16"/>
        <v>16.705555555555552</v>
      </c>
      <c r="AE99">
        <f t="shared" si="17"/>
        <v>22.582235888888885</v>
      </c>
      <c r="AF99" s="9"/>
      <c r="AG99" s="21">
        <v>0.34820600000000002</v>
      </c>
      <c r="AH99" s="21">
        <v>19.381</v>
      </c>
      <c r="AI99" s="21">
        <v>-1.46637E-2</v>
      </c>
      <c r="AJ99" s="21">
        <v>89</v>
      </c>
      <c r="AK99" s="21">
        <v>0.34759499999999999</v>
      </c>
      <c r="AL99">
        <f t="shared" si="18"/>
        <v>18.103333333333332</v>
      </c>
      <c r="AM99">
        <f t="shared" si="19"/>
        <v>6.3036892866666667</v>
      </c>
      <c r="AP99" s="9"/>
      <c r="AQ99" s="21">
        <v>1.35178</v>
      </c>
      <c r="AR99" s="21">
        <v>24.874099999999999</v>
      </c>
      <c r="AS99" s="21">
        <v>-1.35315E-2</v>
      </c>
      <c r="AT99" s="21">
        <v>89</v>
      </c>
      <c r="AU99" s="21">
        <v>1.35101</v>
      </c>
      <c r="AV99">
        <f t="shared" si="20"/>
        <v>16.705555555555552</v>
      </c>
      <c r="AW99">
        <f t="shared" si="21"/>
        <v>22.582235888888885</v>
      </c>
      <c r="AX99" s="9"/>
      <c r="AY99" s="21">
        <v>0.34820600000000002</v>
      </c>
      <c r="AZ99" s="21">
        <v>28.6934</v>
      </c>
      <c r="BA99" s="21">
        <v>-1.47461E-2</v>
      </c>
      <c r="BB99" s="21">
        <v>89</v>
      </c>
      <c r="BC99" s="21">
        <v>0.34747299999999998</v>
      </c>
      <c r="BD99">
        <f t="shared" si="22"/>
        <v>18.205061728395062</v>
      </c>
      <c r="BE99">
        <f t="shared" si="23"/>
        <v>6.3391117241975312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6.2487199999999996</v>
      </c>
      <c r="I100" s="21">
        <v>-1.35864E-2</v>
      </c>
      <c r="J100" s="21">
        <v>90</v>
      </c>
      <c r="K100" s="21">
        <v>1.3458300000000001</v>
      </c>
      <c r="L100">
        <f t="shared" si="12"/>
        <v>16.77333333333333</v>
      </c>
      <c r="M100">
        <f t="shared" si="13"/>
        <v>22.589318933333331</v>
      </c>
      <c r="N100" s="9"/>
      <c r="O100" s="21">
        <v>0.35324100000000003</v>
      </c>
      <c r="P100" s="21">
        <v>10.0679</v>
      </c>
      <c r="Q100" s="21">
        <v>-1.4700299999999999E-2</v>
      </c>
      <c r="R100" s="21">
        <v>90</v>
      </c>
      <c r="S100" s="21">
        <v>0.35269200000000001</v>
      </c>
      <c r="T100">
        <f t="shared" si="14"/>
        <v>18.148518518518514</v>
      </c>
      <c r="U100">
        <f t="shared" si="15"/>
        <v>6.4108008299999995</v>
      </c>
      <c r="X100" s="9"/>
      <c r="Y100" s="21">
        <v>1.34674</v>
      </c>
      <c r="Z100" s="21">
        <v>15.571899999999999</v>
      </c>
      <c r="AA100" s="21">
        <v>-1.3561999999999999E-2</v>
      </c>
      <c r="AB100" s="21">
        <v>90</v>
      </c>
      <c r="AC100" s="21">
        <v>1.34613</v>
      </c>
      <c r="AD100">
        <f t="shared" si="16"/>
        <v>16.743209876543208</v>
      </c>
      <c r="AE100">
        <f t="shared" si="17"/>
        <v>22.548750469135801</v>
      </c>
      <c r="AF100" s="9"/>
      <c r="AG100" s="21">
        <v>0.35324100000000003</v>
      </c>
      <c r="AH100" s="21">
        <v>19.391100000000002</v>
      </c>
      <c r="AI100" s="21">
        <v>-1.4672899999999999E-2</v>
      </c>
      <c r="AJ100" s="21">
        <v>90</v>
      </c>
      <c r="AK100" s="21">
        <v>0.352661</v>
      </c>
      <c r="AL100">
        <f t="shared" si="18"/>
        <v>18.11469135802469</v>
      </c>
      <c r="AM100">
        <f t="shared" si="19"/>
        <v>6.3988516899999999</v>
      </c>
      <c r="AP100" s="9"/>
      <c r="AQ100" s="21">
        <v>1.34674</v>
      </c>
      <c r="AR100" s="21">
        <v>24.8842</v>
      </c>
      <c r="AS100" s="21">
        <v>-1.3549800000000001E-2</v>
      </c>
      <c r="AT100" s="21">
        <v>90</v>
      </c>
      <c r="AU100" s="21">
        <v>1.34552</v>
      </c>
      <c r="AV100">
        <f t="shared" si="20"/>
        <v>16.728148148148147</v>
      </c>
      <c r="AW100">
        <f t="shared" si="21"/>
        <v>22.528466237037037</v>
      </c>
      <c r="AX100" s="9"/>
      <c r="AY100" s="21">
        <v>0.35324100000000003</v>
      </c>
      <c r="AZ100" s="21">
        <v>28.703399999999998</v>
      </c>
      <c r="BA100" s="21">
        <v>-1.47461E-2</v>
      </c>
      <c r="BB100" s="21">
        <v>90</v>
      </c>
      <c r="BC100" s="21">
        <v>0.35269200000000001</v>
      </c>
      <c r="BD100">
        <f t="shared" si="22"/>
        <v>18.205061728395062</v>
      </c>
      <c r="BE100">
        <f t="shared" si="23"/>
        <v>6.4307742100000009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6.2587900000000003</v>
      </c>
      <c r="I101" s="21">
        <v>-1.36017E-2</v>
      </c>
      <c r="J101" s="21">
        <v>91</v>
      </c>
      <c r="K101" s="21">
        <v>1.3406400000000001</v>
      </c>
      <c r="L101">
        <f t="shared" si="12"/>
        <v>16.792222222222222</v>
      </c>
      <c r="M101">
        <f t="shared" si="13"/>
        <v>22.530292477777778</v>
      </c>
      <c r="N101" s="9"/>
      <c r="O101" s="21">
        <v>0.35827599999999998</v>
      </c>
      <c r="P101" s="21">
        <v>10.077999999999999</v>
      </c>
      <c r="Q101" s="21">
        <v>-1.46973E-2</v>
      </c>
      <c r="R101" s="21">
        <v>91</v>
      </c>
      <c r="S101" s="21">
        <v>0.35772700000000002</v>
      </c>
      <c r="T101">
        <f t="shared" si="14"/>
        <v>18.144814814814815</v>
      </c>
      <c r="U101">
        <f t="shared" si="15"/>
        <v>6.5008516725925922</v>
      </c>
      <c r="X101" s="9"/>
      <c r="Y101" s="21">
        <v>1.34171</v>
      </c>
      <c r="Z101" s="21">
        <v>15.582000000000001</v>
      </c>
      <c r="AA101" s="21">
        <v>-1.35864E-2</v>
      </c>
      <c r="AB101" s="21">
        <v>91</v>
      </c>
      <c r="AC101" s="21">
        <v>1.34094</v>
      </c>
      <c r="AD101">
        <f t="shared" si="16"/>
        <v>16.77333333333333</v>
      </c>
      <c r="AE101">
        <f t="shared" si="17"/>
        <v>22.504949066666661</v>
      </c>
      <c r="AF101" s="9"/>
      <c r="AG101" s="21">
        <v>0.35827599999999998</v>
      </c>
      <c r="AH101" s="21">
        <v>19.401199999999999</v>
      </c>
      <c r="AI101" s="21">
        <v>-1.46759E-2</v>
      </c>
      <c r="AJ101" s="21">
        <v>91</v>
      </c>
      <c r="AK101" s="21">
        <v>0.35769699999999999</v>
      </c>
      <c r="AL101">
        <f t="shared" si="18"/>
        <v>18.118395061728396</v>
      </c>
      <c r="AM101">
        <f t="shared" si="19"/>
        <v>6.4913861091358029</v>
      </c>
      <c r="AP101" s="9"/>
      <c r="AQ101" s="21">
        <v>1.34171</v>
      </c>
      <c r="AR101" s="21">
        <v>24.894200000000001</v>
      </c>
      <c r="AS101" s="21">
        <v>-1.3561999999999999E-2</v>
      </c>
      <c r="AT101" s="21">
        <v>91</v>
      </c>
      <c r="AU101" s="21">
        <v>1.3412500000000001</v>
      </c>
      <c r="AV101">
        <f t="shared" si="20"/>
        <v>16.743209876543208</v>
      </c>
      <c r="AW101">
        <f t="shared" si="21"/>
        <v>22.464532123456788</v>
      </c>
      <c r="AX101" s="9"/>
      <c r="AY101" s="21">
        <v>0.35827599999999998</v>
      </c>
      <c r="AZ101" s="21">
        <v>28.7135</v>
      </c>
      <c r="BA101" s="21">
        <v>-1.4733899999999999E-2</v>
      </c>
      <c r="BB101" s="21">
        <v>91</v>
      </c>
      <c r="BC101" s="21">
        <v>0.35766599999999998</v>
      </c>
      <c r="BD101">
        <f t="shared" si="22"/>
        <v>18.189999999999998</v>
      </c>
      <c r="BE101">
        <f t="shared" si="23"/>
        <v>6.5170404399999988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6.2688600000000001</v>
      </c>
      <c r="I102" s="21">
        <v>-1.3610799999999999E-2</v>
      </c>
      <c r="J102" s="21">
        <v>92</v>
      </c>
      <c r="K102" s="21">
        <v>1.33575</v>
      </c>
      <c r="L102">
        <f t="shared" si="12"/>
        <v>16.803456790123455</v>
      </c>
      <c r="M102">
        <f t="shared" si="13"/>
        <v>22.460676587654319</v>
      </c>
      <c r="N102" s="9"/>
      <c r="O102" s="21">
        <v>0.36331200000000002</v>
      </c>
      <c r="P102" s="21">
        <v>10.088100000000001</v>
      </c>
      <c r="Q102" s="21">
        <v>-1.4688100000000001E-2</v>
      </c>
      <c r="R102" s="21">
        <v>92</v>
      </c>
      <c r="S102" s="21">
        <v>0.36276199999999997</v>
      </c>
      <c r="T102">
        <f t="shared" si="14"/>
        <v>18.133456790123457</v>
      </c>
      <c r="U102">
        <f t="shared" si="15"/>
        <v>6.5881024533333337</v>
      </c>
      <c r="X102" s="9"/>
      <c r="Y102" s="21">
        <v>1.33667</v>
      </c>
      <c r="Z102" s="21">
        <v>15.5921</v>
      </c>
      <c r="AA102" s="21">
        <v>-1.36078E-2</v>
      </c>
      <c r="AB102" s="21">
        <v>92</v>
      </c>
      <c r="AC102" s="21">
        <v>1.33606</v>
      </c>
      <c r="AD102">
        <f t="shared" si="16"/>
        <v>16.799753086419752</v>
      </c>
      <c r="AE102">
        <f t="shared" si="17"/>
        <v>22.45572595802469</v>
      </c>
      <c r="AF102" s="9"/>
      <c r="AG102" s="21">
        <v>0.36331200000000002</v>
      </c>
      <c r="AH102" s="21">
        <v>19.411300000000001</v>
      </c>
      <c r="AI102" s="21">
        <v>-1.46759E-2</v>
      </c>
      <c r="AJ102" s="21">
        <v>92</v>
      </c>
      <c r="AK102" s="21">
        <v>0.362732</v>
      </c>
      <c r="AL102">
        <f t="shared" si="18"/>
        <v>18.118395061728396</v>
      </c>
      <c r="AM102">
        <f t="shared" si="19"/>
        <v>6.5826303466666678</v>
      </c>
      <c r="AP102" s="9"/>
      <c r="AQ102" s="21">
        <v>1.33667</v>
      </c>
      <c r="AR102" s="21">
        <v>24.904299999999999</v>
      </c>
      <c r="AS102" s="21">
        <v>-1.35681E-2</v>
      </c>
      <c r="AT102" s="21">
        <v>92</v>
      </c>
      <c r="AU102" s="21">
        <v>1.33575</v>
      </c>
      <c r="AV102">
        <f t="shared" si="20"/>
        <v>16.750740740740738</v>
      </c>
      <c r="AW102">
        <f t="shared" si="21"/>
        <v>22.390212625925923</v>
      </c>
      <c r="AX102" s="9"/>
      <c r="AY102" s="21">
        <v>0.36331200000000002</v>
      </c>
      <c r="AZ102" s="21">
        <v>28.723600000000001</v>
      </c>
      <c r="BA102" s="21">
        <v>-1.4715600000000001E-2</v>
      </c>
      <c r="BB102" s="21">
        <v>92</v>
      </c>
      <c r="BC102" s="21">
        <v>0.362732</v>
      </c>
      <c r="BD102">
        <f t="shared" si="22"/>
        <v>18.167407407407406</v>
      </c>
      <c r="BE102">
        <f t="shared" si="23"/>
        <v>6.6004371199999996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6.2789299999999999</v>
      </c>
      <c r="I103" s="21">
        <v>-1.3629199999999999E-2</v>
      </c>
      <c r="J103" s="21">
        <v>93</v>
      </c>
      <c r="K103" s="21">
        <v>1.33057</v>
      </c>
      <c r="L103">
        <f t="shared" si="12"/>
        <v>16.826172839506171</v>
      </c>
      <c r="M103">
        <f t="shared" si="13"/>
        <v>22.406236538271603</v>
      </c>
      <c r="N103" s="9"/>
      <c r="O103" s="21">
        <v>0.36834699999999998</v>
      </c>
      <c r="P103" s="21">
        <v>10.098100000000001</v>
      </c>
      <c r="Q103" s="21">
        <v>-1.46759E-2</v>
      </c>
      <c r="R103" s="21">
        <v>93</v>
      </c>
      <c r="S103" s="21">
        <v>0.36776700000000001</v>
      </c>
      <c r="T103">
        <f t="shared" si="14"/>
        <v>18.118395061728396</v>
      </c>
      <c r="U103">
        <f t="shared" si="15"/>
        <v>6.6738564658024693</v>
      </c>
      <c r="X103" s="9"/>
      <c r="Y103" s="21">
        <v>1.3316300000000001</v>
      </c>
      <c r="Z103" s="21">
        <v>15.6021</v>
      </c>
      <c r="AA103" s="21">
        <v>-1.362E-2</v>
      </c>
      <c r="AB103" s="21">
        <v>93</v>
      </c>
      <c r="AC103" s="21">
        <v>1.33087</v>
      </c>
      <c r="AD103">
        <f t="shared" si="16"/>
        <v>16.814814814814813</v>
      </c>
      <c r="AE103">
        <f t="shared" si="17"/>
        <v>22.39111185185185</v>
      </c>
      <c r="AF103" s="9"/>
      <c r="AG103" s="21">
        <v>0.36834699999999998</v>
      </c>
      <c r="AH103" s="21">
        <v>19.421299999999999</v>
      </c>
      <c r="AI103" s="21">
        <v>-1.46698E-2</v>
      </c>
      <c r="AJ103" s="21">
        <v>93</v>
      </c>
      <c r="AK103" s="21">
        <v>0.36776700000000001</v>
      </c>
      <c r="AL103">
        <f t="shared" si="18"/>
        <v>18.110864197530866</v>
      </c>
      <c r="AM103">
        <f t="shared" si="19"/>
        <v>6.6710824945679015</v>
      </c>
      <c r="AP103" s="9"/>
      <c r="AQ103" s="21">
        <v>1.3316300000000001</v>
      </c>
      <c r="AR103" s="21">
        <v>24.914400000000001</v>
      </c>
      <c r="AS103" s="21">
        <v>-1.35742E-2</v>
      </c>
      <c r="AT103" s="21">
        <v>93</v>
      </c>
      <c r="AU103" s="21">
        <v>1.33118</v>
      </c>
      <c r="AV103">
        <f t="shared" si="20"/>
        <v>16.758271604938273</v>
      </c>
      <c r="AW103">
        <f t="shared" si="21"/>
        <v>22.315817217283954</v>
      </c>
      <c r="AX103" s="9"/>
      <c r="AY103" s="21">
        <v>0.36834699999999998</v>
      </c>
      <c r="AZ103" s="21">
        <v>28.733599999999999</v>
      </c>
      <c r="BA103" s="21">
        <v>-1.47064E-2</v>
      </c>
      <c r="BB103" s="21">
        <v>93</v>
      </c>
      <c r="BC103" s="21">
        <v>0.36776700000000001</v>
      </c>
      <c r="BD103">
        <f t="shared" si="22"/>
        <v>18.156049382716049</v>
      </c>
      <c r="BE103">
        <f t="shared" si="23"/>
        <v>6.6877263219753083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6.2889999999999997</v>
      </c>
      <c r="I104" s="21">
        <v>-1.36475E-2</v>
      </c>
      <c r="J104" s="21">
        <v>94</v>
      </c>
      <c r="K104" s="21">
        <v>1.32568</v>
      </c>
      <c r="L104">
        <f t="shared" si="12"/>
        <v>16.848765432098766</v>
      </c>
      <c r="M104">
        <f t="shared" si="13"/>
        <v>22.351572222222224</v>
      </c>
      <c r="N104" s="9"/>
      <c r="O104" s="21">
        <v>0.37338300000000002</v>
      </c>
      <c r="P104" s="21">
        <v>10.1082</v>
      </c>
      <c r="Q104" s="21">
        <v>-1.46759E-2</v>
      </c>
      <c r="R104" s="21">
        <v>94</v>
      </c>
      <c r="S104" s="21">
        <v>0.37283300000000003</v>
      </c>
      <c r="T104">
        <f t="shared" si="14"/>
        <v>18.118395061728396</v>
      </c>
      <c r="U104">
        <f t="shared" si="15"/>
        <v>6.7651007033333341</v>
      </c>
      <c r="X104" s="9"/>
      <c r="Y104" s="21">
        <v>1.3266</v>
      </c>
      <c r="Z104" s="21">
        <v>15.6122</v>
      </c>
      <c r="AA104" s="21">
        <v>-1.3638300000000001E-2</v>
      </c>
      <c r="AB104" s="21">
        <v>94</v>
      </c>
      <c r="AC104" s="21">
        <v>1.32507</v>
      </c>
      <c r="AD104">
        <f t="shared" si="16"/>
        <v>16.837407407407408</v>
      </c>
      <c r="AE104">
        <f t="shared" si="17"/>
        <v>22.336504666666666</v>
      </c>
      <c r="AF104" s="9"/>
      <c r="AG104" s="21">
        <v>0.37338300000000002</v>
      </c>
      <c r="AH104" s="21">
        <v>19.4314</v>
      </c>
      <c r="AI104" s="21">
        <v>-1.4660599999999999E-2</v>
      </c>
      <c r="AJ104" s="21">
        <v>94</v>
      </c>
      <c r="AK104" s="21">
        <v>0.37286399999999997</v>
      </c>
      <c r="AL104">
        <f t="shared" si="18"/>
        <v>18.099506172839504</v>
      </c>
      <c r="AM104">
        <f t="shared" si="19"/>
        <v>6.7580479133333329</v>
      </c>
      <c r="AP104" s="9"/>
      <c r="AQ104" s="21">
        <v>1.3266</v>
      </c>
      <c r="AR104" s="21">
        <v>24.924399999999999</v>
      </c>
      <c r="AS104" s="21">
        <v>-1.35925E-2</v>
      </c>
      <c r="AT104" s="21">
        <v>94</v>
      </c>
      <c r="AU104" s="21">
        <v>1.32599</v>
      </c>
      <c r="AV104">
        <f t="shared" si="20"/>
        <v>16.780864197530864</v>
      </c>
      <c r="AW104">
        <f t="shared" si="21"/>
        <v>22.261494444444445</v>
      </c>
      <c r="AX104" s="9"/>
      <c r="AY104" s="21">
        <v>0.37338300000000002</v>
      </c>
      <c r="AZ104" s="21">
        <v>28.7437</v>
      </c>
      <c r="BA104" s="21">
        <v>-1.47095E-2</v>
      </c>
      <c r="BB104" s="21">
        <v>94</v>
      </c>
      <c r="BC104" s="21">
        <v>0.37277199999999999</v>
      </c>
      <c r="BD104">
        <f t="shared" si="22"/>
        <v>18.159876543209876</v>
      </c>
      <c r="BE104">
        <f t="shared" si="23"/>
        <v>6.7805891833333334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6.2990700000000004</v>
      </c>
      <c r="I105" s="21">
        <v>-1.3665800000000001E-2</v>
      </c>
      <c r="J105" s="21">
        <v>95</v>
      </c>
      <c r="K105" s="21">
        <v>1.3205</v>
      </c>
      <c r="L105">
        <f t="shared" si="12"/>
        <v>16.871358024691357</v>
      </c>
      <c r="M105">
        <f t="shared" si="13"/>
        <v>22.296511911111111</v>
      </c>
      <c r="N105" s="9"/>
      <c r="O105" s="21">
        <v>0.37841799999999998</v>
      </c>
      <c r="P105" s="21">
        <v>10.1183</v>
      </c>
      <c r="Q105" s="21">
        <v>-1.46759E-2</v>
      </c>
      <c r="R105" s="21">
        <v>95</v>
      </c>
      <c r="S105" s="21">
        <v>0.37780799999999998</v>
      </c>
      <c r="T105">
        <f t="shared" si="14"/>
        <v>18.118395061728396</v>
      </c>
      <c r="U105">
        <f t="shared" si="15"/>
        <v>6.8563268224691356</v>
      </c>
      <c r="X105" s="9"/>
      <c r="Y105" s="21">
        <v>1.3215600000000001</v>
      </c>
      <c r="Z105" s="21">
        <v>15.622299999999999</v>
      </c>
      <c r="AA105" s="21">
        <v>-1.36627E-2</v>
      </c>
      <c r="AB105" s="21">
        <v>95</v>
      </c>
      <c r="AC105" s="21">
        <v>1.3205</v>
      </c>
      <c r="AD105">
        <f t="shared" si="16"/>
        <v>16.86753086419753</v>
      </c>
      <c r="AE105">
        <f t="shared" si="17"/>
        <v>22.291454088888887</v>
      </c>
      <c r="AF105" s="9"/>
      <c r="AG105" s="21">
        <v>0.37841799999999998</v>
      </c>
      <c r="AH105" s="21">
        <v>19.441500000000001</v>
      </c>
      <c r="AI105" s="21">
        <v>-1.46515E-2</v>
      </c>
      <c r="AJ105" s="21">
        <v>95</v>
      </c>
      <c r="AK105" s="21">
        <v>0.37777699999999997</v>
      </c>
      <c r="AL105">
        <f t="shared" si="18"/>
        <v>18.088271604938271</v>
      </c>
      <c r="AM105">
        <f t="shared" si="19"/>
        <v>6.8449275641975298</v>
      </c>
      <c r="AP105" s="9"/>
      <c r="AQ105" s="21">
        <v>1.3215600000000001</v>
      </c>
      <c r="AR105" s="21">
        <v>24.9345</v>
      </c>
      <c r="AS105" s="21">
        <v>-1.3604700000000001E-2</v>
      </c>
      <c r="AT105" s="21">
        <v>95</v>
      </c>
      <c r="AU105" s="21">
        <v>1.3205</v>
      </c>
      <c r="AV105">
        <f t="shared" si="20"/>
        <v>16.795925925925925</v>
      </c>
      <c r="AW105">
        <f t="shared" si="21"/>
        <v>22.196823866666666</v>
      </c>
      <c r="AX105" s="9"/>
      <c r="AY105" s="21">
        <v>0.37841799999999998</v>
      </c>
      <c r="AZ105" s="21">
        <v>28.753799999999998</v>
      </c>
      <c r="BA105" s="21">
        <v>-1.47125E-2</v>
      </c>
      <c r="BB105" s="21">
        <v>95</v>
      </c>
      <c r="BC105" s="21">
        <v>0.377747</v>
      </c>
      <c r="BD105">
        <f t="shared" si="22"/>
        <v>18.163580246913579</v>
      </c>
      <c r="BE105">
        <f t="shared" si="23"/>
        <v>6.8734257098765426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6.3091400000000002</v>
      </c>
      <c r="I106" s="21">
        <v>-1.36902E-2</v>
      </c>
      <c r="J106" s="21">
        <v>96</v>
      </c>
      <c r="K106" s="21">
        <v>1.3162199999999999</v>
      </c>
      <c r="L106">
        <f t="shared" si="12"/>
        <v>16.901481481481479</v>
      </c>
      <c r="M106">
        <f t="shared" si="13"/>
        <v>22.251307414814811</v>
      </c>
      <c r="N106" s="9"/>
      <c r="O106" s="21">
        <v>0.38345299999999999</v>
      </c>
      <c r="P106" s="21">
        <v>10.128299999999999</v>
      </c>
      <c r="Q106" s="21">
        <v>-1.4678999999999999E-2</v>
      </c>
      <c r="R106" s="21">
        <v>96</v>
      </c>
      <c r="S106" s="21">
        <v>0.38284299999999999</v>
      </c>
      <c r="T106">
        <f t="shared" si="14"/>
        <v>18.12222222222222</v>
      </c>
      <c r="U106">
        <f t="shared" si="15"/>
        <v>6.9490204777777764</v>
      </c>
      <c r="X106" s="9"/>
      <c r="Y106" s="21">
        <v>1.31653</v>
      </c>
      <c r="Z106" s="21">
        <v>15.632400000000001</v>
      </c>
      <c r="AA106" s="21">
        <v>-1.3681E-2</v>
      </c>
      <c r="AB106" s="21">
        <v>96</v>
      </c>
      <c r="AC106" s="21">
        <v>1.3162199999999999</v>
      </c>
      <c r="AD106">
        <f t="shared" si="16"/>
        <v>16.890123456790121</v>
      </c>
      <c r="AE106">
        <f t="shared" si="17"/>
        <v>22.236354234567898</v>
      </c>
      <c r="AF106" s="9"/>
      <c r="AG106" s="21">
        <v>0.38345299999999999</v>
      </c>
      <c r="AH106" s="21">
        <v>19.451499999999999</v>
      </c>
      <c r="AI106" s="21">
        <v>-1.46576E-2</v>
      </c>
      <c r="AJ106" s="21">
        <v>96</v>
      </c>
      <c r="AK106" s="21">
        <v>0.38281300000000001</v>
      </c>
      <c r="AL106">
        <f t="shared" si="18"/>
        <v>18.095802469135801</v>
      </c>
      <c r="AM106">
        <f t="shared" si="19"/>
        <v>6.9388897441975299</v>
      </c>
      <c r="AP106" s="9"/>
      <c r="AQ106" s="21">
        <v>1.31653</v>
      </c>
      <c r="AR106" s="21">
        <v>24.944600000000001</v>
      </c>
      <c r="AS106" s="21">
        <v>-1.362E-2</v>
      </c>
      <c r="AT106" s="21">
        <v>96</v>
      </c>
      <c r="AU106" s="21">
        <v>1.3156099999999999</v>
      </c>
      <c r="AV106">
        <f t="shared" si="20"/>
        <v>16.814814814814813</v>
      </c>
      <c r="AW106">
        <f t="shared" si="21"/>
        <v>22.137208148148147</v>
      </c>
      <c r="AX106" s="9"/>
      <c r="AY106" s="21">
        <v>0.38345299999999999</v>
      </c>
      <c r="AZ106" s="21">
        <v>28.7639</v>
      </c>
      <c r="BA106" s="21">
        <v>-1.47125E-2</v>
      </c>
      <c r="BB106" s="21">
        <v>96</v>
      </c>
      <c r="BC106" s="21">
        <v>0.38284299999999999</v>
      </c>
      <c r="BD106">
        <f t="shared" si="22"/>
        <v>18.163580246913579</v>
      </c>
      <c r="BE106">
        <f t="shared" si="23"/>
        <v>6.9648793364197523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6.31921</v>
      </c>
      <c r="I107" s="21">
        <v>-1.37085E-2</v>
      </c>
      <c r="J107" s="21">
        <v>97</v>
      </c>
      <c r="K107" s="21">
        <v>1.31073</v>
      </c>
      <c r="L107">
        <f t="shared" si="12"/>
        <v>16.924074074074074</v>
      </c>
      <c r="M107">
        <f t="shared" si="13"/>
        <v>22.195753907407408</v>
      </c>
      <c r="N107" s="9"/>
      <c r="O107" s="21">
        <v>0.38848899999999997</v>
      </c>
      <c r="P107" s="21">
        <v>10.138400000000001</v>
      </c>
      <c r="Q107" s="21">
        <v>-1.4688100000000001E-2</v>
      </c>
      <c r="R107" s="21">
        <v>97</v>
      </c>
      <c r="S107" s="21">
        <v>0.38775599999999999</v>
      </c>
      <c r="T107">
        <f t="shared" si="14"/>
        <v>18.133456790123457</v>
      </c>
      <c r="U107">
        <f t="shared" si="15"/>
        <v>7.0446484949382713</v>
      </c>
      <c r="X107" s="9"/>
      <c r="Y107" s="21">
        <v>1.31149</v>
      </c>
      <c r="Z107" s="21">
        <v>15.6424</v>
      </c>
      <c r="AA107" s="21">
        <v>-1.3699299999999999E-2</v>
      </c>
      <c r="AB107" s="21">
        <v>97</v>
      </c>
      <c r="AC107" s="21">
        <v>1.31073</v>
      </c>
      <c r="AD107">
        <f t="shared" si="16"/>
        <v>16.912716049382716</v>
      </c>
      <c r="AE107">
        <f t="shared" si="17"/>
        <v>22.18085797160494</v>
      </c>
      <c r="AF107" s="9"/>
      <c r="AG107" s="21">
        <v>0.38848899999999997</v>
      </c>
      <c r="AH107" s="21">
        <v>19.461600000000001</v>
      </c>
      <c r="AI107" s="21">
        <v>-1.46515E-2</v>
      </c>
      <c r="AJ107" s="21">
        <v>97</v>
      </c>
      <c r="AK107" s="21">
        <v>0.38796999999999998</v>
      </c>
      <c r="AL107">
        <f t="shared" si="18"/>
        <v>18.088271604938271</v>
      </c>
      <c r="AM107">
        <f t="shared" si="19"/>
        <v>7.0270945475308633</v>
      </c>
      <c r="AP107" s="9"/>
      <c r="AQ107" s="21">
        <v>1.31149</v>
      </c>
      <c r="AR107" s="21">
        <v>24.954699999999999</v>
      </c>
      <c r="AS107" s="21">
        <v>-1.36261E-2</v>
      </c>
      <c r="AT107" s="21">
        <v>97</v>
      </c>
      <c r="AU107" s="21">
        <v>1.31073</v>
      </c>
      <c r="AV107">
        <f t="shared" si="20"/>
        <v>16.822345679012344</v>
      </c>
      <c r="AW107">
        <f t="shared" si="21"/>
        <v>22.062338134567899</v>
      </c>
      <c r="AX107" s="9"/>
      <c r="AY107" s="21">
        <v>0.38848899999999997</v>
      </c>
      <c r="AZ107" s="21">
        <v>28.773900000000001</v>
      </c>
      <c r="BA107" s="21">
        <v>-1.47064E-2</v>
      </c>
      <c r="BB107" s="21">
        <v>97</v>
      </c>
      <c r="BC107" s="21">
        <v>0.387909</v>
      </c>
      <c r="BD107">
        <f t="shared" si="22"/>
        <v>18.156049382716049</v>
      </c>
      <c r="BE107">
        <f t="shared" si="23"/>
        <v>7.0534254686419748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6.3292799999999998</v>
      </c>
      <c r="I108" s="21">
        <v>-1.3726800000000001E-2</v>
      </c>
      <c r="J108" s="21">
        <v>98</v>
      </c>
      <c r="K108" s="21">
        <v>1.30585</v>
      </c>
      <c r="L108">
        <f t="shared" si="12"/>
        <v>16.946666666666665</v>
      </c>
      <c r="M108">
        <f t="shared" si="13"/>
        <v>22.140142133333331</v>
      </c>
      <c r="N108" s="9"/>
      <c r="O108" s="21">
        <v>0.39352399999999998</v>
      </c>
      <c r="P108" s="21">
        <v>10.1485</v>
      </c>
      <c r="Q108" s="21">
        <v>-1.4688100000000001E-2</v>
      </c>
      <c r="R108" s="21">
        <v>98</v>
      </c>
      <c r="S108" s="21">
        <v>0.39300499999999999</v>
      </c>
      <c r="T108">
        <f t="shared" si="14"/>
        <v>18.133456790123457</v>
      </c>
      <c r="U108">
        <f t="shared" si="15"/>
        <v>7.1359504498765434</v>
      </c>
      <c r="X108" s="9"/>
      <c r="Y108" s="21">
        <v>1.30646</v>
      </c>
      <c r="Z108" s="21">
        <v>15.6525</v>
      </c>
      <c r="AA108" s="21">
        <v>-1.37024E-2</v>
      </c>
      <c r="AB108" s="21">
        <v>98</v>
      </c>
      <c r="AC108" s="21">
        <v>1.3055399999999999</v>
      </c>
      <c r="AD108">
        <f t="shared" si="16"/>
        <v>16.916543209876544</v>
      </c>
      <c r="AE108">
        <f t="shared" si="17"/>
        <v>22.100787041975309</v>
      </c>
      <c r="AF108" s="9"/>
      <c r="AG108" s="21">
        <v>0.39352399999999998</v>
      </c>
      <c r="AH108" s="21">
        <v>19.471699999999998</v>
      </c>
      <c r="AI108" s="21">
        <v>-1.46362E-2</v>
      </c>
      <c r="AJ108" s="21">
        <v>98</v>
      </c>
      <c r="AK108" s="21">
        <v>0.39294400000000002</v>
      </c>
      <c r="AL108">
        <f t="shared" si="18"/>
        <v>18.069382716049383</v>
      </c>
      <c r="AM108">
        <f t="shared" si="19"/>
        <v>7.1107357639506166</v>
      </c>
      <c r="AP108" s="9"/>
      <c r="AQ108" s="21">
        <v>1.30646</v>
      </c>
      <c r="AR108" s="21">
        <v>24.964700000000001</v>
      </c>
      <c r="AS108" s="21">
        <v>-1.36475E-2</v>
      </c>
      <c r="AT108" s="21">
        <v>98</v>
      </c>
      <c r="AU108" s="21">
        <v>1.30585</v>
      </c>
      <c r="AV108">
        <f t="shared" si="20"/>
        <v>16.848765432098766</v>
      </c>
      <c r="AW108">
        <f t="shared" si="21"/>
        <v>22.012238086419753</v>
      </c>
      <c r="AX108" s="9"/>
      <c r="AY108" s="21">
        <v>0.39352399999999998</v>
      </c>
      <c r="AZ108" s="21">
        <v>28.783999999999999</v>
      </c>
      <c r="BA108" s="21">
        <v>-1.47034E-2</v>
      </c>
      <c r="BB108" s="21">
        <v>98</v>
      </c>
      <c r="BC108" s="21">
        <v>0.39294400000000002</v>
      </c>
      <c r="BD108">
        <f t="shared" si="22"/>
        <v>18.152345679012342</v>
      </c>
      <c r="BE108">
        <f t="shared" si="23"/>
        <v>7.143383680987653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6.3393499999999996</v>
      </c>
      <c r="I109" s="21">
        <v>-1.37512E-2</v>
      </c>
      <c r="J109" s="21">
        <v>99</v>
      </c>
      <c r="K109" s="21">
        <v>1.3006599999999999</v>
      </c>
      <c r="L109">
        <f t="shared" si="12"/>
        <v>16.976790123456787</v>
      </c>
      <c r="M109">
        <f t="shared" si="13"/>
        <v>22.093934202469132</v>
      </c>
      <c r="N109" s="9"/>
      <c r="O109" s="21">
        <v>0.39856000000000003</v>
      </c>
      <c r="P109" s="21">
        <v>10.1585</v>
      </c>
      <c r="Q109" s="21">
        <v>-1.4688100000000001E-2</v>
      </c>
      <c r="R109" s="21">
        <v>99</v>
      </c>
      <c r="S109" s="21">
        <v>0.39785799999999999</v>
      </c>
      <c r="T109">
        <f t="shared" si="14"/>
        <v>18.133456790123457</v>
      </c>
      <c r="U109">
        <f t="shared" si="15"/>
        <v>7.2272705382716058</v>
      </c>
      <c r="X109" s="9"/>
      <c r="Y109" s="21">
        <v>1.30142</v>
      </c>
      <c r="Z109" s="21">
        <v>15.662599999999999</v>
      </c>
      <c r="AA109" s="21">
        <v>-1.37054E-2</v>
      </c>
      <c r="AB109" s="21">
        <v>99</v>
      </c>
      <c r="AC109" s="21">
        <v>1.3006599999999999</v>
      </c>
      <c r="AD109">
        <f t="shared" si="16"/>
        <v>16.920246913580247</v>
      </c>
      <c r="AE109">
        <f t="shared" si="17"/>
        <v>22.020347738271607</v>
      </c>
      <c r="AF109" s="9"/>
      <c r="AG109" s="21">
        <v>0.39856000000000003</v>
      </c>
      <c r="AH109" s="21">
        <v>19.4818</v>
      </c>
      <c r="AI109" s="21">
        <v>-1.4621E-2</v>
      </c>
      <c r="AJ109" s="21">
        <v>99</v>
      </c>
      <c r="AK109" s="21">
        <v>0.397949</v>
      </c>
      <c r="AL109">
        <f t="shared" si="18"/>
        <v>18.050617283950618</v>
      </c>
      <c r="AM109">
        <f t="shared" si="19"/>
        <v>7.1942540246913591</v>
      </c>
      <c r="AP109" s="9"/>
      <c r="AQ109" s="21">
        <v>1.30142</v>
      </c>
      <c r="AR109" s="21">
        <v>24.974799999999998</v>
      </c>
      <c r="AS109" s="21">
        <v>-1.3665800000000001E-2</v>
      </c>
      <c r="AT109" s="21">
        <v>99</v>
      </c>
      <c r="AU109" s="21">
        <v>1.3006599999999999</v>
      </c>
      <c r="AV109">
        <f t="shared" si="20"/>
        <v>16.871358024691357</v>
      </c>
      <c r="AW109">
        <f t="shared" si="21"/>
        <v>21.956722760493825</v>
      </c>
      <c r="AX109" s="9"/>
      <c r="AY109" s="21">
        <v>0.39856000000000003</v>
      </c>
      <c r="AZ109" s="21">
        <v>28.7941</v>
      </c>
      <c r="BA109" s="21">
        <v>-1.4700299999999999E-2</v>
      </c>
      <c r="BB109" s="21">
        <v>99</v>
      </c>
      <c r="BC109" s="21">
        <v>0.397949</v>
      </c>
      <c r="BD109">
        <f t="shared" si="22"/>
        <v>18.148518518518514</v>
      </c>
      <c r="BE109">
        <f t="shared" si="23"/>
        <v>7.2332735407407398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6.3494299999999999</v>
      </c>
      <c r="I110" s="21">
        <v>-1.37634E-2</v>
      </c>
      <c r="J110" s="21">
        <v>100</v>
      </c>
      <c r="K110" s="21">
        <v>1.2951699999999999</v>
      </c>
      <c r="L110">
        <f t="shared" si="12"/>
        <v>16.991851851851852</v>
      </c>
      <c r="M110">
        <f t="shared" si="13"/>
        <v>22.028066822222222</v>
      </c>
      <c r="N110" s="9"/>
      <c r="O110" s="21">
        <v>0.40359499999999998</v>
      </c>
      <c r="P110" s="21">
        <v>10.1686</v>
      </c>
      <c r="Q110" s="21">
        <v>-1.46851E-2</v>
      </c>
      <c r="R110" s="21">
        <v>100</v>
      </c>
      <c r="S110" s="21">
        <v>0.40301500000000001</v>
      </c>
      <c r="T110">
        <f t="shared" si="14"/>
        <v>18.12975308641975</v>
      </c>
      <c r="U110">
        <f t="shared" si="15"/>
        <v>7.3170776969135787</v>
      </c>
      <c r="X110" s="9"/>
      <c r="Y110" s="21">
        <v>1.2963899999999999</v>
      </c>
      <c r="Z110" s="21">
        <v>15.672599999999999</v>
      </c>
      <c r="AA110" s="21">
        <v>-1.37146E-2</v>
      </c>
      <c r="AB110" s="21">
        <v>100</v>
      </c>
      <c r="AC110" s="21">
        <v>1.2954699999999999</v>
      </c>
      <c r="AD110">
        <f t="shared" si="16"/>
        <v>16.931604938271605</v>
      </c>
      <c r="AE110">
        <f t="shared" si="17"/>
        <v>21.949963325925925</v>
      </c>
      <c r="AF110" s="9"/>
      <c r="AG110" s="21">
        <v>0.40359499999999998</v>
      </c>
      <c r="AH110" s="21">
        <v>19.491800000000001</v>
      </c>
      <c r="AI110" s="21">
        <v>-1.46088E-2</v>
      </c>
      <c r="AJ110" s="21">
        <v>100</v>
      </c>
      <c r="AK110" s="21">
        <v>0.40301500000000001</v>
      </c>
      <c r="AL110">
        <f t="shared" si="18"/>
        <v>18.035555555555554</v>
      </c>
      <c r="AM110">
        <f t="shared" si="19"/>
        <v>7.2790600444444431</v>
      </c>
      <c r="AP110" s="9"/>
      <c r="AQ110" s="21">
        <v>1.2963899999999999</v>
      </c>
      <c r="AR110" s="21">
        <v>24.9849</v>
      </c>
      <c r="AS110" s="21">
        <v>-1.3684099999999999E-2</v>
      </c>
      <c r="AT110" s="21">
        <v>100</v>
      </c>
      <c r="AU110" s="21">
        <v>1.2951699999999999</v>
      </c>
      <c r="AV110">
        <f t="shared" si="20"/>
        <v>16.893950617283949</v>
      </c>
      <c r="AW110">
        <f t="shared" si="21"/>
        <v>21.901148640740736</v>
      </c>
      <c r="AX110" s="9"/>
      <c r="AY110" s="21">
        <v>0.40359499999999998</v>
      </c>
      <c r="AZ110" s="21">
        <v>28.804099999999998</v>
      </c>
      <c r="BA110" s="21">
        <v>-1.46912E-2</v>
      </c>
      <c r="BB110" s="21">
        <v>100</v>
      </c>
      <c r="BC110" s="21">
        <v>0.40304600000000002</v>
      </c>
      <c r="BD110">
        <f t="shared" si="22"/>
        <v>18.137283950617284</v>
      </c>
      <c r="BE110">
        <f t="shared" si="23"/>
        <v>7.3201171160493823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6.3594999999999997</v>
      </c>
      <c r="I111" s="21">
        <v>-1.3772599999999999E-2</v>
      </c>
      <c r="J111" s="21">
        <v>101</v>
      </c>
      <c r="K111" s="21">
        <v>1.2905899999999999</v>
      </c>
      <c r="L111">
        <f t="shared" si="12"/>
        <v>17.00320987654321</v>
      </c>
      <c r="M111">
        <f t="shared" si="13"/>
        <v>21.957095074074072</v>
      </c>
      <c r="N111" s="9"/>
      <c r="O111" s="21">
        <v>0.40862999999999999</v>
      </c>
      <c r="P111" s="21">
        <v>10.178699999999999</v>
      </c>
      <c r="Q111" s="21">
        <v>-1.4678999999999999E-2</v>
      </c>
      <c r="R111" s="21">
        <v>101</v>
      </c>
      <c r="S111" s="21">
        <v>0.40799000000000002</v>
      </c>
      <c r="T111">
        <f t="shared" si="14"/>
        <v>18.12222222222222</v>
      </c>
      <c r="U111">
        <f t="shared" si="15"/>
        <v>7.4052836666666657</v>
      </c>
      <c r="X111" s="9"/>
      <c r="Y111" s="21">
        <v>1.29135</v>
      </c>
      <c r="Z111" s="21">
        <v>15.682700000000001</v>
      </c>
      <c r="AA111" s="21">
        <v>-1.3738999999999999E-2</v>
      </c>
      <c r="AB111" s="21">
        <v>101</v>
      </c>
      <c r="AC111" s="21">
        <v>1.2911999999999999</v>
      </c>
      <c r="AD111">
        <f t="shared" si="16"/>
        <v>16.961728395061726</v>
      </c>
      <c r="AE111">
        <f t="shared" si="17"/>
        <v>21.903527962962961</v>
      </c>
      <c r="AF111" s="9"/>
      <c r="AG111" s="21">
        <v>0.40862999999999999</v>
      </c>
      <c r="AH111" s="21">
        <v>19.501899999999999</v>
      </c>
      <c r="AI111" s="21">
        <v>-1.4605699999999999E-2</v>
      </c>
      <c r="AJ111" s="21">
        <v>101</v>
      </c>
      <c r="AK111" s="21">
        <v>0.40799000000000002</v>
      </c>
      <c r="AL111">
        <f t="shared" si="18"/>
        <v>18.031728395061727</v>
      </c>
      <c r="AM111">
        <f t="shared" si="19"/>
        <v>7.3683051740740728</v>
      </c>
      <c r="AP111" s="9"/>
      <c r="AQ111" s="21">
        <v>1.29135</v>
      </c>
      <c r="AR111" s="21">
        <v>24.994900000000001</v>
      </c>
      <c r="AS111" s="21">
        <v>-1.37085E-2</v>
      </c>
      <c r="AT111" s="21">
        <v>101</v>
      </c>
      <c r="AU111" s="21">
        <v>1.2905899999999999</v>
      </c>
      <c r="AV111">
        <f t="shared" si="20"/>
        <v>16.924074074074074</v>
      </c>
      <c r="AW111">
        <f t="shared" si="21"/>
        <v>21.854903055555557</v>
      </c>
      <c r="AX111" s="9"/>
      <c r="AY111" s="21">
        <v>0.40862999999999999</v>
      </c>
      <c r="AZ111" s="21">
        <v>28.8142</v>
      </c>
      <c r="BA111" s="21">
        <v>-1.46851E-2</v>
      </c>
      <c r="BB111" s="21">
        <v>101</v>
      </c>
      <c r="BC111" s="21">
        <v>0.408051</v>
      </c>
      <c r="BD111">
        <f t="shared" si="22"/>
        <v>18.12975308641975</v>
      </c>
      <c r="BE111">
        <f t="shared" si="23"/>
        <v>7.4083610037037024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6.3695700000000004</v>
      </c>
      <c r="I112" s="21">
        <v>-1.37787E-2</v>
      </c>
      <c r="J112" s="21">
        <v>102</v>
      </c>
      <c r="K112" s="21">
        <v>1.2854000000000001</v>
      </c>
      <c r="L112">
        <f t="shared" si="12"/>
        <v>17.01074074074074</v>
      </c>
      <c r="M112">
        <f t="shared" si="13"/>
        <v>21.881256029629625</v>
      </c>
      <c r="N112" s="9"/>
      <c r="O112" s="21">
        <v>0.41366599999999998</v>
      </c>
      <c r="P112" s="21">
        <v>10.188800000000001</v>
      </c>
      <c r="Q112" s="21">
        <v>-1.4682000000000001E-2</v>
      </c>
      <c r="R112" s="21">
        <v>102</v>
      </c>
      <c r="S112" s="21">
        <v>0.41305500000000001</v>
      </c>
      <c r="T112">
        <f t="shared" si="14"/>
        <v>18.125925925925923</v>
      </c>
      <c r="U112">
        <f t="shared" si="15"/>
        <v>7.4980792740740725</v>
      </c>
      <c r="X112" s="9"/>
      <c r="Y112" s="21">
        <v>1.2863199999999999</v>
      </c>
      <c r="Z112" s="21">
        <v>15.6928</v>
      </c>
      <c r="AA112" s="21">
        <v>-1.3754300000000001E-2</v>
      </c>
      <c r="AB112" s="21">
        <v>102</v>
      </c>
      <c r="AC112" s="21">
        <v>1.2850999999999999</v>
      </c>
      <c r="AD112">
        <f t="shared" si="16"/>
        <v>16.980617283950615</v>
      </c>
      <c r="AE112">
        <f t="shared" si="17"/>
        <v>21.842507624691354</v>
      </c>
      <c r="AF112" s="9"/>
      <c r="AG112" s="21">
        <v>0.41366599999999998</v>
      </c>
      <c r="AH112" s="21">
        <v>19.512</v>
      </c>
      <c r="AI112" s="21">
        <v>-1.4599600000000001E-2</v>
      </c>
      <c r="AJ112" s="21">
        <v>102</v>
      </c>
      <c r="AK112" s="21">
        <v>0.41305500000000001</v>
      </c>
      <c r="AL112">
        <f t="shared" si="18"/>
        <v>18.0241975308642</v>
      </c>
      <c r="AM112">
        <f t="shared" si="19"/>
        <v>7.4559976958024698</v>
      </c>
      <c r="AP112" s="9"/>
      <c r="AQ112" s="21">
        <v>1.2863199999999999</v>
      </c>
      <c r="AR112" s="21">
        <v>25.004999999999999</v>
      </c>
      <c r="AS112" s="21">
        <v>-1.37299E-2</v>
      </c>
      <c r="AT112" s="21">
        <v>102</v>
      </c>
      <c r="AU112" s="21">
        <v>1.2860100000000001</v>
      </c>
      <c r="AV112">
        <f t="shared" si="20"/>
        <v>16.950493827160493</v>
      </c>
      <c r="AW112">
        <f t="shared" si="21"/>
        <v>21.803759219753083</v>
      </c>
      <c r="AX112" s="9"/>
      <c r="AY112" s="21">
        <v>0.41366599999999998</v>
      </c>
      <c r="AZ112" s="21">
        <v>28.824300000000001</v>
      </c>
      <c r="BA112" s="21">
        <v>-1.4678999999999999E-2</v>
      </c>
      <c r="BB112" s="21">
        <v>102</v>
      </c>
      <c r="BC112" s="21">
        <v>0.41299400000000003</v>
      </c>
      <c r="BD112">
        <f t="shared" si="22"/>
        <v>18.12222222222222</v>
      </c>
      <c r="BE112">
        <f t="shared" si="23"/>
        <v>7.4965471777777761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6.3796400000000002</v>
      </c>
      <c r="I113" s="21">
        <v>-1.37909E-2</v>
      </c>
      <c r="J113" s="21">
        <v>103</v>
      </c>
      <c r="K113" s="21">
        <v>1.2802100000000001</v>
      </c>
      <c r="L113">
        <f t="shared" si="12"/>
        <v>17.025802469135801</v>
      </c>
      <c r="M113">
        <f t="shared" si="13"/>
        <v>21.81482018765432</v>
      </c>
      <c r="N113" s="9"/>
      <c r="O113" s="21">
        <v>0.41870099999999999</v>
      </c>
      <c r="P113" s="21">
        <v>10.1988</v>
      </c>
      <c r="Q113" s="21">
        <v>-1.46759E-2</v>
      </c>
      <c r="R113" s="21">
        <v>103</v>
      </c>
      <c r="S113" s="21">
        <v>0.41803000000000001</v>
      </c>
      <c r="T113">
        <f t="shared" si="14"/>
        <v>18.118395061728396</v>
      </c>
      <c r="U113">
        <f t="shared" si="15"/>
        <v>7.5861901307407411</v>
      </c>
      <c r="X113" s="9"/>
      <c r="Y113" s="21">
        <v>1.28128</v>
      </c>
      <c r="Z113" s="21">
        <v>15.7029</v>
      </c>
      <c r="AA113" s="21">
        <v>-1.37695E-2</v>
      </c>
      <c r="AB113" s="21">
        <v>103</v>
      </c>
      <c r="AC113" s="21">
        <v>1.2808200000000001</v>
      </c>
      <c r="AD113">
        <f t="shared" si="16"/>
        <v>16.999382716049382</v>
      </c>
      <c r="AE113">
        <f t="shared" si="17"/>
        <v>21.780969086419752</v>
      </c>
      <c r="AF113" s="9"/>
      <c r="AG113" s="21">
        <v>0.41870099999999999</v>
      </c>
      <c r="AH113" s="21">
        <v>19.521999999999998</v>
      </c>
      <c r="AI113" s="21">
        <v>-1.46088E-2</v>
      </c>
      <c r="AJ113" s="21">
        <v>103</v>
      </c>
      <c r="AK113" s="21">
        <v>0.41812100000000002</v>
      </c>
      <c r="AL113">
        <f t="shared" si="18"/>
        <v>18.035555555555554</v>
      </c>
      <c r="AM113">
        <f t="shared" si="19"/>
        <v>7.5515051466666661</v>
      </c>
      <c r="AP113" s="9"/>
      <c r="AQ113" s="21">
        <v>1.28128</v>
      </c>
      <c r="AR113" s="21">
        <v>25.0151</v>
      </c>
      <c r="AS113" s="21">
        <v>-1.37512E-2</v>
      </c>
      <c r="AT113" s="21">
        <v>103</v>
      </c>
      <c r="AU113" s="21">
        <v>1.2808200000000001</v>
      </c>
      <c r="AV113">
        <f t="shared" si="20"/>
        <v>16.976790123456787</v>
      </c>
      <c r="AW113">
        <f t="shared" si="21"/>
        <v>21.752021649382712</v>
      </c>
      <c r="AX113" s="9"/>
      <c r="AY113" s="21">
        <v>0.41870099999999999</v>
      </c>
      <c r="AZ113" s="21">
        <v>28.834299999999999</v>
      </c>
      <c r="BA113" s="21">
        <v>-1.46759E-2</v>
      </c>
      <c r="BB113" s="21">
        <v>103</v>
      </c>
      <c r="BC113" s="21">
        <v>0.41815200000000002</v>
      </c>
      <c r="BD113">
        <f t="shared" si="22"/>
        <v>18.118395061728396</v>
      </c>
      <c r="BE113">
        <f t="shared" si="23"/>
        <v>7.5861901307407411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6.38971</v>
      </c>
      <c r="I114" s="21">
        <v>-1.3781699999999999E-2</v>
      </c>
      <c r="J114" s="21">
        <v>104</v>
      </c>
      <c r="K114" s="21">
        <v>1.27502</v>
      </c>
      <c r="L114">
        <f t="shared" si="12"/>
        <v>17.014444444444443</v>
      </c>
      <c r="M114">
        <f t="shared" si="13"/>
        <v>21.714684722222223</v>
      </c>
      <c r="N114" s="9"/>
      <c r="O114" s="21">
        <v>0.42373699999999997</v>
      </c>
      <c r="P114" s="21">
        <v>10.2089</v>
      </c>
      <c r="Q114" s="21">
        <v>-1.46698E-2</v>
      </c>
      <c r="R114" s="21">
        <v>104</v>
      </c>
      <c r="S114" s="21">
        <v>0.42303499999999999</v>
      </c>
      <c r="T114">
        <f t="shared" si="14"/>
        <v>18.110864197530866</v>
      </c>
      <c r="U114">
        <f t="shared" si="15"/>
        <v>7.6742432624691359</v>
      </c>
      <c r="X114" s="9"/>
      <c r="Y114" s="21">
        <v>1.2762500000000001</v>
      </c>
      <c r="Z114" s="21">
        <v>15.712899999999999</v>
      </c>
      <c r="AA114" s="21">
        <v>-1.3775600000000001E-2</v>
      </c>
      <c r="AB114" s="21">
        <v>104</v>
      </c>
      <c r="AC114" s="21">
        <v>1.2753300000000001</v>
      </c>
      <c r="AD114">
        <f t="shared" si="16"/>
        <v>17.006913580246916</v>
      </c>
      <c r="AE114">
        <f t="shared" si="17"/>
        <v>21.705073456790128</v>
      </c>
      <c r="AF114" s="9"/>
      <c r="AG114" s="21">
        <v>0.42373699999999997</v>
      </c>
      <c r="AH114" s="21">
        <v>19.5321</v>
      </c>
      <c r="AI114" s="21">
        <v>-1.46149E-2</v>
      </c>
      <c r="AJ114" s="21">
        <v>104</v>
      </c>
      <c r="AK114" s="21">
        <v>0.42324800000000001</v>
      </c>
      <c r="AL114">
        <f t="shared" si="18"/>
        <v>18.043086419753088</v>
      </c>
      <c r="AM114">
        <f t="shared" si="19"/>
        <v>7.6455233102469142</v>
      </c>
      <c r="AP114" s="9"/>
      <c r="AQ114" s="21">
        <v>1.2762500000000001</v>
      </c>
      <c r="AR114" s="21">
        <v>25.025200000000002</v>
      </c>
      <c r="AS114" s="21">
        <v>-1.37634E-2</v>
      </c>
      <c r="AT114" s="21">
        <v>104</v>
      </c>
      <c r="AU114" s="21">
        <v>1.2753300000000001</v>
      </c>
      <c r="AV114">
        <f t="shared" si="20"/>
        <v>16.991851851851852</v>
      </c>
      <c r="AW114">
        <f t="shared" si="21"/>
        <v>21.685850925925926</v>
      </c>
      <c r="AX114" s="9"/>
      <c r="AY114" s="21">
        <v>0.42373699999999997</v>
      </c>
      <c r="AZ114" s="21">
        <v>28.8444</v>
      </c>
      <c r="BA114" s="21">
        <v>-1.46698E-2</v>
      </c>
      <c r="BB114" s="21">
        <v>104</v>
      </c>
      <c r="BC114" s="21">
        <v>0.423126</v>
      </c>
      <c r="BD114">
        <f t="shared" si="22"/>
        <v>18.110864197530866</v>
      </c>
      <c r="BE114">
        <f t="shared" si="23"/>
        <v>7.6742432624691359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6.3997799999999998</v>
      </c>
      <c r="I115" s="21">
        <v>-1.37848E-2</v>
      </c>
      <c r="J115" s="21">
        <v>105</v>
      </c>
      <c r="K115" s="21">
        <v>1.27014</v>
      </c>
      <c r="L115">
        <f t="shared" si="12"/>
        <v>17.018271604938271</v>
      </c>
      <c r="M115">
        <f t="shared" si="13"/>
        <v>21.633797046913578</v>
      </c>
      <c r="N115" s="9"/>
      <c r="O115" s="21">
        <v>0.42877199999999999</v>
      </c>
      <c r="P115" s="21">
        <v>10.218999999999999</v>
      </c>
      <c r="Q115" s="21">
        <v>-1.46698E-2</v>
      </c>
      <c r="R115" s="21">
        <v>105</v>
      </c>
      <c r="S115" s="21">
        <v>0.42810100000000001</v>
      </c>
      <c r="T115">
        <f t="shared" si="14"/>
        <v>18.110864197530866</v>
      </c>
      <c r="U115">
        <f t="shared" si="15"/>
        <v>7.7654314637037043</v>
      </c>
      <c r="X115" s="9"/>
      <c r="Y115" s="21">
        <v>1.27121</v>
      </c>
      <c r="Z115" s="21">
        <v>15.723000000000001</v>
      </c>
      <c r="AA115" s="21">
        <v>-1.3772599999999999E-2</v>
      </c>
      <c r="AB115" s="21">
        <v>105</v>
      </c>
      <c r="AC115" s="21">
        <v>1.27075</v>
      </c>
      <c r="AD115">
        <f t="shared" si="16"/>
        <v>17.00320987654321</v>
      </c>
      <c r="AE115">
        <f t="shared" si="17"/>
        <v>21.614650427160491</v>
      </c>
      <c r="AF115" s="9"/>
      <c r="AG115" s="21">
        <v>0.42877199999999999</v>
      </c>
      <c r="AH115" s="21">
        <v>19.542200000000001</v>
      </c>
      <c r="AI115" s="21">
        <v>-1.46088E-2</v>
      </c>
      <c r="AJ115" s="21">
        <v>105</v>
      </c>
      <c r="AK115" s="21">
        <v>0.42816199999999999</v>
      </c>
      <c r="AL115">
        <f t="shared" si="18"/>
        <v>18.035555555555554</v>
      </c>
      <c r="AM115">
        <f t="shared" si="19"/>
        <v>7.7331412266666657</v>
      </c>
      <c r="AP115" s="9"/>
      <c r="AQ115" s="21">
        <v>1.27121</v>
      </c>
      <c r="AR115" s="21">
        <v>25.0352</v>
      </c>
      <c r="AS115" s="21">
        <v>-1.3766499999999999E-2</v>
      </c>
      <c r="AT115" s="21">
        <v>105</v>
      </c>
      <c r="AU115" s="21">
        <v>1.2704500000000001</v>
      </c>
      <c r="AV115">
        <f t="shared" si="20"/>
        <v>16.995679012345676</v>
      </c>
      <c r="AW115">
        <f t="shared" si="21"/>
        <v>21.605077117283944</v>
      </c>
      <c r="AX115" s="9"/>
      <c r="AY115" s="21">
        <v>0.42877199999999999</v>
      </c>
      <c r="AZ115" s="21">
        <v>28.854500000000002</v>
      </c>
      <c r="BA115" s="21">
        <v>-1.4654500000000001E-2</v>
      </c>
      <c r="BB115" s="21">
        <v>105</v>
      </c>
      <c r="BC115" s="21">
        <v>0.42810100000000001</v>
      </c>
      <c r="BD115">
        <f t="shared" si="22"/>
        <v>18.091975308641977</v>
      </c>
      <c r="BE115">
        <f t="shared" si="23"/>
        <v>7.7573324370370376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6.4098499999999996</v>
      </c>
      <c r="I116" s="21">
        <v>-1.3797E-2</v>
      </c>
      <c r="J116" s="21">
        <v>106</v>
      </c>
      <c r="K116" s="21">
        <v>1.2652600000000001</v>
      </c>
      <c r="L116">
        <f t="shared" si="12"/>
        <v>17.033333333333331</v>
      </c>
      <c r="M116">
        <f t="shared" si="13"/>
        <v>21.567095666666663</v>
      </c>
      <c r="N116" s="9"/>
      <c r="O116" s="21">
        <v>0.433807</v>
      </c>
      <c r="P116" s="21">
        <v>10.228999999999999</v>
      </c>
      <c r="Q116" s="21">
        <v>-1.46637E-2</v>
      </c>
      <c r="R116" s="21">
        <v>106</v>
      </c>
      <c r="S116" s="21">
        <v>0.433228</v>
      </c>
      <c r="T116">
        <f t="shared" si="14"/>
        <v>18.103333333333332</v>
      </c>
      <c r="U116">
        <f t="shared" si="15"/>
        <v>7.8533527233333329</v>
      </c>
      <c r="X116" s="9"/>
      <c r="Y116" s="21">
        <v>1.26617</v>
      </c>
      <c r="Z116" s="21">
        <v>15.7331</v>
      </c>
      <c r="AA116" s="21">
        <v>-1.3781699999999999E-2</v>
      </c>
      <c r="AB116" s="21">
        <v>106</v>
      </c>
      <c r="AC116" s="21">
        <v>1.26556</v>
      </c>
      <c r="AD116">
        <f t="shared" si="16"/>
        <v>17.014444444444443</v>
      </c>
      <c r="AE116">
        <f t="shared" si="17"/>
        <v>21.54317912222222</v>
      </c>
      <c r="AF116" s="9"/>
      <c r="AG116" s="21">
        <v>0.433807</v>
      </c>
      <c r="AH116" s="21">
        <v>19.552299999999999</v>
      </c>
      <c r="AI116" s="21">
        <v>-1.46179E-2</v>
      </c>
      <c r="AJ116" s="21">
        <v>106</v>
      </c>
      <c r="AK116" s="21">
        <v>0.43325799999999998</v>
      </c>
      <c r="AL116">
        <f t="shared" si="18"/>
        <v>18.046790123456791</v>
      </c>
      <c r="AM116">
        <f t="shared" si="19"/>
        <v>7.8288238830864199</v>
      </c>
      <c r="AP116" s="9"/>
      <c r="AQ116" s="21">
        <v>1.26617</v>
      </c>
      <c r="AR116" s="21">
        <v>25.045300000000001</v>
      </c>
      <c r="AS116" s="21">
        <v>-1.3775600000000001E-2</v>
      </c>
      <c r="AT116" s="21">
        <v>106</v>
      </c>
      <c r="AU116" s="21">
        <v>1.2658700000000001</v>
      </c>
      <c r="AV116">
        <f t="shared" si="20"/>
        <v>17.006913580246916</v>
      </c>
      <c r="AW116">
        <f t="shared" si="21"/>
        <v>21.533643767901239</v>
      </c>
      <c r="AX116" s="9"/>
      <c r="AY116" s="21">
        <v>0.433807</v>
      </c>
      <c r="AZ116" s="21">
        <v>28.864599999999999</v>
      </c>
      <c r="BA116" s="21">
        <v>-1.46576E-2</v>
      </c>
      <c r="BB116" s="21">
        <v>106</v>
      </c>
      <c r="BC116" s="21">
        <v>0.43328899999999998</v>
      </c>
      <c r="BD116">
        <f t="shared" si="22"/>
        <v>18.095802469135801</v>
      </c>
      <c r="BE116">
        <f t="shared" si="23"/>
        <v>7.8500857817283949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6.4199200000000003</v>
      </c>
      <c r="I117" s="21">
        <v>-1.38123E-2</v>
      </c>
      <c r="J117" s="21">
        <v>107</v>
      </c>
      <c r="K117" s="21">
        <v>1.2609900000000001</v>
      </c>
      <c r="L117">
        <f t="shared" si="12"/>
        <v>17.052222222222223</v>
      </c>
      <c r="M117">
        <f t="shared" si="13"/>
        <v>21.505239533333334</v>
      </c>
      <c r="N117" s="9"/>
      <c r="O117" s="21">
        <v>0.43884299999999998</v>
      </c>
      <c r="P117" s="21">
        <v>10.239100000000001</v>
      </c>
      <c r="Q117" s="21">
        <v>-1.46667E-2</v>
      </c>
      <c r="R117" s="21">
        <v>107</v>
      </c>
      <c r="S117" s="21">
        <v>0.43823200000000001</v>
      </c>
      <c r="T117">
        <f t="shared" si="14"/>
        <v>18.107037037037035</v>
      </c>
      <c r="U117">
        <f t="shared" si="15"/>
        <v>7.9461464544444436</v>
      </c>
      <c r="X117" s="9"/>
      <c r="Y117" s="21">
        <v>1.2611399999999999</v>
      </c>
      <c r="Z117" s="21">
        <v>15.7431</v>
      </c>
      <c r="AA117" s="21">
        <v>-1.37909E-2</v>
      </c>
      <c r="AB117" s="21">
        <v>107</v>
      </c>
      <c r="AC117" s="21">
        <v>1.26068</v>
      </c>
      <c r="AD117">
        <f t="shared" si="16"/>
        <v>17.025802469135801</v>
      </c>
      <c r="AE117">
        <f t="shared" si="17"/>
        <v>21.471920525925924</v>
      </c>
      <c r="AF117" s="9"/>
      <c r="AG117" s="21">
        <v>0.43884299999999998</v>
      </c>
      <c r="AH117" s="21">
        <v>19.5623</v>
      </c>
      <c r="AI117" s="21">
        <v>-1.4627100000000001E-2</v>
      </c>
      <c r="AJ117" s="21">
        <v>107</v>
      </c>
      <c r="AK117" s="21">
        <v>0.43829299999999999</v>
      </c>
      <c r="AL117">
        <f t="shared" si="18"/>
        <v>18.058148148148145</v>
      </c>
      <c r="AM117">
        <f t="shared" si="19"/>
        <v>7.9246919077777767</v>
      </c>
      <c r="AP117" s="9"/>
      <c r="AQ117" s="21">
        <v>1.2611399999999999</v>
      </c>
      <c r="AR117" s="21">
        <v>25.055399999999999</v>
      </c>
      <c r="AS117" s="21">
        <v>-1.3781699999999999E-2</v>
      </c>
      <c r="AT117" s="21">
        <v>107</v>
      </c>
      <c r="AU117" s="21">
        <v>1.26007</v>
      </c>
      <c r="AV117">
        <f t="shared" si="20"/>
        <v>17.014444444444443</v>
      </c>
      <c r="AW117">
        <f t="shared" si="21"/>
        <v>21.457596466666665</v>
      </c>
      <c r="AX117" s="9"/>
      <c r="AY117" s="21">
        <v>0.43884299999999998</v>
      </c>
      <c r="AZ117" s="21">
        <v>28.874600000000001</v>
      </c>
      <c r="BA117" s="21">
        <v>-1.46637E-2</v>
      </c>
      <c r="BB117" s="21">
        <v>107</v>
      </c>
      <c r="BC117" s="21">
        <v>0.438141</v>
      </c>
      <c r="BD117">
        <f t="shared" si="22"/>
        <v>18.103333333333332</v>
      </c>
      <c r="BE117">
        <f t="shared" si="23"/>
        <v>7.9445211099999993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6.4299900000000001</v>
      </c>
      <c r="I118" s="21">
        <v>-1.38397E-2</v>
      </c>
      <c r="J118" s="21">
        <v>108</v>
      </c>
      <c r="K118" s="21">
        <v>1.25549</v>
      </c>
      <c r="L118">
        <f t="shared" si="12"/>
        <v>17.086049382716048</v>
      </c>
      <c r="M118">
        <f t="shared" si="13"/>
        <v>21.461786629629628</v>
      </c>
      <c r="N118" s="9"/>
      <c r="O118" s="21">
        <v>0.44387799999999999</v>
      </c>
      <c r="P118" s="21">
        <v>10.2492</v>
      </c>
      <c r="Q118" s="21">
        <v>-1.46698E-2</v>
      </c>
      <c r="R118" s="21">
        <v>108</v>
      </c>
      <c r="S118" s="21">
        <v>0.44339000000000001</v>
      </c>
      <c r="T118">
        <f t="shared" si="14"/>
        <v>18.110864197530866</v>
      </c>
      <c r="U118">
        <f t="shared" si="15"/>
        <v>8.0390141782716054</v>
      </c>
      <c r="X118" s="9"/>
      <c r="Y118" s="21">
        <v>1.2561</v>
      </c>
      <c r="Z118" s="21">
        <v>15.7532</v>
      </c>
      <c r="AA118" s="21">
        <v>-1.3806199999999999E-2</v>
      </c>
      <c r="AB118" s="21">
        <v>108</v>
      </c>
      <c r="AC118" s="21">
        <v>1.25488</v>
      </c>
      <c r="AD118">
        <f t="shared" si="16"/>
        <v>17.044691358024689</v>
      </c>
      <c r="AE118">
        <f t="shared" si="17"/>
        <v>21.409836814814813</v>
      </c>
      <c r="AF118" s="9"/>
      <c r="AG118" s="21">
        <v>0.44387799999999999</v>
      </c>
      <c r="AH118" s="21">
        <v>19.572399999999998</v>
      </c>
      <c r="AI118" s="21">
        <v>-1.4639299999999999E-2</v>
      </c>
      <c r="AJ118" s="21">
        <v>108</v>
      </c>
      <c r="AK118" s="21">
        <v>0.44332899999999997</v>
      </c>
      <c r="AL118">
        <f t="shared" si="18"/>
        <v>18.07320987654321</v>
      </c>
      <c r="AM118">
        <f t="shared" si="19"/>
        <v>8.0223002535802461</v>
      </c>
      <c r="AP118" s="9"/>
      <c r="AQ118" s="21">
        <v>1.2561</v>
      </c>
      <c r="AR118" s="21">
        <v>25.0654</v>
      </c>
      <c r="AS118" s="21">
        <v>-1.3797E-2</v>
      </c>
      <c r="AT118" s="21">
        <v>108</v>
      </c>
      <c r="AU118" s="21">
        <v>1.25488</v>
      </c>
      <c r="AV118">
        <f t="shared" si="20"/>
        <v>17.033333333333331</v>
      </c>
      <c r="AW118">
        <f t="shared" si="21"/>
        <v>21.395569999999996</v>
      </c>
      <c r="AX118" s="9"/>
      <c r="AY118" s="21">
        <v>0.44387799999999999</v>
      </c>
      <c r="AZ118" s="21">
        <v>28.884699999999999</v>
      </c>
      <c r="BA118" s="21">
        <v>-1.46667E-2</v>
      </c>
      <c r="BB118" s="21">
        <v>108</v>
      </c>
      <c r="BC118" s="21">
        <v>0.44329800000000003</v>
      </c>
      <c r="BD118">
        <f t="shared" si="22"/>
        <v>18.107037037037035</v>
      </c>
      <c r="BE118">
        <f t="shared" si="23"/>
        <v>8.0373153859259254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6.4400599999999999</v>
      </c>
      <c r="I119" s="21">
        <v>-1.3854999999999999E-2</v>
      </c>
      <c r="J119" s="21">
        <v>109</v>
      </c>
      <c r="K119" s="21">
        <v>1.25</v>
      </c>
      <c r="L119">
        <f t="shared" si="12"/>
        <v>17.104938271604937</v>
      </c>
      <c r="M119">
        <f t="shared" si="13"/>
        <v>21.399475123456785</v>
      </c>
      <c r="N119" s="9"/>
      <c r="O119" s="21">
        <v>0.44891399999999998</v>
      </c>
      <c r="P119" s="21">
        <v>10.2593</v>
      </c>
      <c r="Q119" s="21">
        <v>-1.46667E-2</v>
      </c>
      <c r="R119" s="21">
        <v>109</v>
      </c>
      <c r="S119" s="21">
        <v>0.44836399999999998</v>
      </c>
      <c r="T119">
        <f t="shared" si="14"/>
        <v>18.107037037037035</v>
      </c>
      <c r="U119">
        <f t="shared" si="15"/>
        <v>8.1285024244444433</v>
      </c>
      <c r="X119" s="9"/>
      <c r="Y119" s="21">
        <v>1.2510699999999999</v>
      </c>
      <c r="Z119" s="21">
        <v>15.763299999999999</v>
      </c>
      <c r="AA119" s="21">
        <v>-1.38184E-2</v>
      </c>
      <c r="AB119" s="21">
        <v>109</v>
      </c>
      <c r="AC119" s="21">
        <v>1.24969</v>
      </c>
      <c r="AD119">
        <f t="shared" si="16"/>
        <v>17.05975308641975</v>
      </c>
      <c r="AE119">
        <f t="shared" si="17"/>
        <v>21.342945293827157</v>
      </c>
      <c r="AF119" s="9"/>
      <c r="AG119" s="21">
        <v>0.44891399999999998</v>
      </c>
      <c r="AH119" s="21">
        <v>19.5825</v>
      </c>
      <c r="AI119" s="21">
        <v>-1.46515E-2</v>
      </c>
      <c r="AJ119" s="21">
        <v>109</v>
      </c>
      <c r="AK119" s="21">
        <v>0.44830300000000001</v>
      </c>
      <c r="AL119">
        <f t="shared" si="18"/>
        <v>18.088271604938271</v>
      </c>
      <c r="AM119">
        <f t="shared" si="19"/>
        <v>8.1200783592592582</v>
      </c>
      <c r="AP119" s="9"/>
      <c r="AQ119" s="21">
        <v>1.2510699999999999</v>
      </c>
      <c r="AR119" s="21">
        <v>25.075500000000002</v>
      </c>
      <c r="AS119" s="21">
        <v>-1.3815300000000001E-2</v>
      </c>
      <c r="AT119" s="21">
        <v>109</v>
      </c>
      <c r="AU119" s="21">
        <v>1.25031</v>
      </c>
      <c r="AV119">
        <f t="shared" si="20"/>
        <v>17.055925925925926</v>
      </c>
      <c r="AW119">
        <f t="shared" si="21"/>
        <v>21.338157248148146</v>
      </c>
      <c r="AX119" s="9"/>
      <c r="AY119" s="21">
        <v>0.44891399999999998</v>
      </c>
      <c r="AZ119" s="21">
        <v>28.8948</v>
      </c>
      <c r="BA119" s="21">
        <v>-1.46637E-2</v>
      </c>
      <c r="BB119" s="21">
        <v>109</v>
      </c>
      <c r="BC119" s="21">
        <v>0.44833400000000001</v>
      </c>
      <c r="BD119">
        <f t="shared" si="22"/>
        <v>18.103333333333332</v>
      </c>
      <c r="BE119">
        <f t="shared" si="23"/>
        <v>8.1268397799999992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6.4501400000000002</v>
      </c>
      <c r="I120" s="21">
        <v>-1.3876299999999999E-2</v>
      </c>
      <c r="J120" s="21">
        <v>110</v>
      </c>
      <c r="K120" s="21">
        <v>1.24512</v>
      </c>
      <c r="L120">
        <f t="shared" si="12"/>
        <v>17.131234567901231</v>
      </c>
      <c r="M120">
        <f t="shared" si="13"/>
        <v>21.346032208641969</v>
      </c>
      <c r="N120" s="9"/>
      <c r="O120" s="21">
        <v>0.45394899999999999</v>
      </c>
      <c r="P120" s="21">
        <v>10.269299999999999</v>
      </c>
      <c r="Q120" s="21">
        <v>-1.4660599999999999E-2</v>
      </c>
      <c r="R120" s="21">
        <v>110</v>
      </c>
      <c r="S120" s="21">
        <v>0.45333899999999999</v>
      </c>
      <c r="T120">
        <f t="shared" si="14"/>
        <v>18.099506172839504</v>
      </c>
      <c r="U120">
        <f t="shared" si="15"/>
        <v>8.2162527276543198</v>
      </c>
      <c r="X120" s="9"/>
      <c r="Y120" s="21">
        <v>1.24603</v>
      </c>
      <c r="Z120" s="21">
        <v>15.773300000000001</v>
      </c>
      <c r="AA120" s="21">
        <v>-1.38336E-2</v>
      </c>
      <c r="AB120" s="21">
        <v>110</v>
      </c>
      <c r="AC120" s="21">
        <v>1.24512</v>
      </c>
      <c r="AD120">
        <f t="shared" si="16"/>
        <v>17.078518518518518</v>
      </c>
      <c r="AE120">
        <f t="shared" si="17"/>
        <v>21.280346429629628</v>
      </c>
      <c r="AF120" s="9"/>
      <c r="AG120" s="21">
        <v>0.45394899999999999</v>
      </c>
      <c r="AH120" s="21">
        <v>19.592500000000001</v>
      </c>
      <c r="AI120" s="21">
        <v>-1.4645399999999999E-2</v>
      </c>
      <c r="AJ120" s="21">
        <v>110</v>
      </c>
      <c r="AK120" s="21">
        <v>0.45333899999999999</v>
      </c>
      <c r="AL120">
        <f t="shared" si="18"/>
        <v>18.080740740740737</v>
      </c>
      <c r="AM120">
        <f t="shared" si="19"/>
        <v>8.2077341785185158</v>
      </c>
      <c r="AP120" s="9"/>
      <c r="AQ120" s="21">
        <v>1.24603</v>
      </c>
      <c r="AR120" s="21">
        <v>25.085599999999999</v>
      </c>
      <c r="AS120" s="21">
        <v>-1.38306E-2</v>
      </c>
      <c r="AT120" s="21">
        <v>110</v>
      </c>
      <c r="AU120" s="21">
        <v>1.24481</v>
      </c>
      <c r="AV120">
        <f t="shared" si="20"/>
        <v>17.074814814814815</v>
      </c>
      <c r="AW120">
        <f t="shared" si="21"/>
        <v>21.275731503703703</v>
      </c>
      <c r="AX120" s="9"/>
      <c r="AY120" s="21">
        <v>0.45394899999999999</v>
      </c>
      <c r="AZ120" s="21">
        <v>28.904800000000002</v>
      </c>
      <c r="BA120" s="21">
        <v>-1.46576E-2</v>
      </c>
      <c r="BB120" s="21">
        <v>110</v>
      </c>
      <c r="BC120" s="21">
        <v>0.45336900000000002</v>
      </c>
      <c r="BD120">
        <f t="shared" si="22"/>
        <v>18.095802469135801</v>
      </c>
      <c r="BE120">
        <f t="shared" si="23"/>
        <v>8.2145714350617283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6.46021</v>
      </c>
      <c r="I121" s="21">
        <v>-1.3897700000000001E-2</v>
      </c>
      <c r="J121" s="21">
        <v>111</v>
      </c>
      <c r="K121" s="21">
        <v>1.2402299999999999</v>
      </c>
      <c r="L121">
        <f t="shared" si="12"/>
        <v>17.157654320987653</v>
      </c>
      <c r="M121">
        <f t="shared" si="13"/>
        <v>21.292649012345681</v>
      </c>
      <c r="N121" s="9"/>
      <c r="O121" s="21">
        <v>0.458984</v>
      </c>
      <c r="P121" s="21">
        <v>10.279400000000001</v>
      </c>
      <c r="Q121" s="21">
        <v>-1.4660599999999999E-2</v>
      </c>
      <c r="R121" s="21">
        <v>111</v>
      </c>
      <c r="S121" s="21">
        <v>0.45843499999999998</v>
      </c>
      <c r="T121">
        <f t="shared" si="14"/>
        <v>18.099506172839504</v>
      </c>
      <c r="U121">
        <f t="shared" si="15"/>
        <v>8.3073837412345668</v>
      </c>
      <c r="X121" s="9"/>
      <c r="Y121" s="21">
        <v>1.2410000000000001</v>
      </c>
      <c r="Z121" s="21">
        <v>15.7834</v>
      </c>
      <c r="AA121" s="21">
        <v>-1.3848900000000001E-2</v>
      </c>
      <c r="AB121" s="21">
        <v>111</v>
      </c>
      <c r="AC121" s="21">
        <v>1.2402299999999999</v>
      </c>
      <c r="AD121">
        <f t="shared" si="16"/>
        <v>17.09740740740741</v>
      </c>
      <c r="AE121">
        <f t="shared" si="17"/>
        <v>21.217882592592598</v>
      </c>
      <c r="AF121" s="9"/>
      <c r="AG121" s="21">
        <v>0.458984</v>
      </c>
      <c r="AH121" s="21">
        <v>19.602599999999999</v>
      </c>
      <c r="AI121" s="21">
        <v>-1.46362E-2</v>
      </c>
      <c r="AJ121" s="21">
        <v>111</v>
      </c>
      <c r="AK121" s="21">
        <v>0.45855699999999999</v>
      </c>
      <c r="AL121">
        <f t="shared" si="18"/>
        <v>18.069382716049383</v>
      </c>
      <c r="AM121">
        <f t="shared" si="19"/>
        <v>8.2935575565432096</v>
      </c>
      <c r="AP121" s="9"/>
      <c r="AQ121" s="21">
        <v>1.2410000000000001</v>
      </c>
      <c r="AR121" s="21">
        <v>25.095600000000001</v>
      </c>
      <c r="AS121" s="21">
        <v>-1.3848900000000001E-2</v>
      </c>
      <c r="AT121" s="21">
        <v>111</v>
      </c>
      <c r="AU121" s="21">
        <v>1.2402299999999999</v>
      </c>
      <c r="AV121">
        <f t="shared" si="20"/>
        <v>17.09740740740741</v>
      </c>
      <c r="AW121">
        <f t="shared" si="21"/>
        <v>21.217882592592598</v>
      </c>
      <c r="AX121" s="9"/>
      <c r="AY121" s="21">
        <v>0.458984</v>
      </c>
      <c r="AZ121" s="21">
        <v>28.914899999999999</v>
      </c>
      <c r="BA121" s="21">
        <v>-1.46423E-2</v>
      </c>
      <c r="BB121" s="21">
        <v>111</v>
      </c>
      <c r="BC121" s="21">
        <v>0.45831300000000003</v>
      </c>
      <c r="BD121">
        <f t="shared" si="22"/>
        <v>18.076913580246913</v>
      </c>
      <c r="BE121">
        <f t="shared" si="23"/>
        <v>8.2970141027160498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6.4702799999999998</v>
      </c>
      <c r="I122" s="21">
        <v>-1.3913E-2</v>
      </c>
      <c r="J122" s="21">
        <v>112</v>
      </c>
      <c r="K122" s="21">
        <v>1.23505</v>
      </c>
      <c r="L122">
        <f t="shared" si="12"/>
        <v>17.176543209876542</v>
      </c>
      <c r="M122">
        <f t="shared" si="13"/>
        <v>21.22952034567901</v>
      </c>
      <c r="N122" s="9"/>
      <c r="O122" s="21">
        <v>0.46401999999999999</v>
      </c>
      <c r="P122" s="21">
        <v>10.2895</v>
      </c>
      <c r="Q122" s="21">
        <v>-1.46576E-2</v>
      </c>
      <c r="R122" s="21">
        <v>112</v>
      </c>
      <c r="S122" s="21">
        <v>0.46344000000000002</v>
      </c>
      <c r="T122">
        <f t="shared" si="14"/>
        <v>18.095802469135801</v>
      </c>
      <c r="U122">
        <f t="shared" si="15"/>
        <v>8.3968142617283945</v>
      </c>
      <c r="X122" s="9"/>
      <c r="Y122" s="21">
        <v>1.2359599999999999</v>
      </c>
      <c r="Z122" s="21">
        <v>15.7935</v>
      </c>
      <c r="AA122" s="21">
        <v>-1.38672E-2</v>
      </c>
      <c r="AB122" s="21">
        <v>112</v>
      </c>
      <c r="AC122" s="21">
        <v>1.2353499999999999</v>
      </c>
      <c r="AD122">
        <f t="shared" si="16"/>
        <v>17.12</v>
      </c>
      <c r="AE122">
        <f t="shared" si="17"/>
        <v>21.1596352</v>
      </c>
      <c r="AF122" s="9"/>
      <c r="AG122" s="21">
        <v>0.46401999999999999</v>
      </c>
      <c r="AH122" s="21">
        <v>19.6127</v>
      </c>
      <c r="AI122" s="21">
        <v>-1.4639299999999999E-2</v>
      </c>
      <c r="AJ122" s="21">
        <v>112</v>
      </c>
      <c r="AK122" s="21">
        <v>0.46334799999999998</v>
      </c>
      <c r="AL122">
        <f t="shared" si="18"/>
        <v>18.07320987654321</v>
      </c>
      <c r="AM122">
        <f t="shared" si="19"/>
        <v>8.3863308469135802</v>
      </c>
      <c r="AP122" s="9"/>
      <c r="AQ122" s="21">
        <v>1.2359599999999999</v>
      </c>
      <c r="AR122" s="21">
        <v>25.105699999999999</v>
      </c>
      <c r="AS122" s="21">
        <v>-1.38519E-2</v>
      </c>
      <c r="AT122" s="21">
        <v>112</v>
      </c>
      <c r="AU122" s="21">
        <v>1.2353499999999999</v>
      </c>
      <c r="AV122">
        <f t="shared" si="20"/>
        <v>17.101111111111113</v>
      </c>
      <c r="AW122">
        <f t="shared" si="21"/>
        <v>21.136289288888889</v>
      </c>
      <c r="AX122" s="9"/>
      <c r="AY122" s="21">
        <v>0.46401999999999999</v>
      </c>
      <c r="AZ122" s="21">
        <v>28.925000000000001</v>
      </c>
      <c r="BA122" s="21">
        <v>-1.4633200000000001E-2</v>
      </c>
      <c r="BB122" s="21">
        <v>112</v>
      </c>
      <c r="BC122" s="21">
        <v>0.46331800000000001</v>
      </c>
      <c r="BD122">
        <f t="shared" si="22"/>
        <v>18.065679012345679</v>
      </c>
      <c r="BE122">
        <f t="shared" si="23"/>
        <v>8.3828363753086421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6.4803499999999996</v>
      </c>
      <c r="I123" s="21">
        <v>-1.39191E-2</v>
      </c>
      <c r="J123" s="21">
        <v>113</v>
      </c>
      <c r="K123" s="21">
        <v>1.2301599999999999</v>
      </c>
      <c r="L123">
        <f t="shared" si="12"/>
        <v>17.184074074074076</v>
      </c>
      <c r="M123">
        <f t="shared" si="13"/>
        <v>21.152392300000002</v>
      </c>
      <c r="N123" s="9"/>
      <c r="O123" s="21">
        <v>0.469055</v>
      </c>
      <c r="P123" s="21">
        <v>10.2995</v>
      </c>
      <c r="Q123" s="21">
        <v>-1.4660599999999999E-2</v>
      </c>
      <c r="R123" s="21">
        <v>113</v>
      </c>
      <c r="S123" s="21">
        <v>0.468445</v>
      </c>
      <c r="T123">
        <f t="shared" si="14"/>
        <v>18.099506172839504</v>
      </c>
      <c r="U123">
        <f t="shared" si="15"/>
        <v>8.4896638679012337</v>
      </c>
      <c r="X123" s="9"/>
      <c r="Y123" s="21">
        <v>1.2309300000000001</v>
      </c>
      <c r="Z123" s="21">
        <v>15.803599999999999</v>
      </c>
      <c r="AA123" s="21">
        <v>-1.38855E-2</v>
      </c>
      <c r="AB123" s="21">
        <v>113</v>
      </c>
      <c r="AC123" s="21">
        <v>1.22986</v>
      </c>
      <c r="AD123">
        <f t="shared" si="16"/>
        <v>17.142592592592592</v>
      </c>
      <c r="AE123">
        <f t="shared" si="17"/>
        <v>21.101331500000001</v>
      </c>
      <c r="AF123" s="9"/>
      <c r="AG123" s="21">
        <v>0.469055</v>
      </c>
      <c r="AH123" s="21">
        <v>19.622800000000002</v>
      </c>
      <c r="AI123" s="21">
        <v>-1.46301E-2</v>
      </c>
      <c r="AJ123" s="21">
        <v>113</v>
      </c>
      <c r="AK123" s="21">
        <v>0.46850599999999998</v>
      </c>
      <c r="AL123">
        <f t="shared" si="18"/>
        <v>18.061851851851848</v>
      </c>
      <c r="AM123">
        <f t="shared" si="19"/>
        <v>8.4720019203703689</v>
      </c>
      <c r="AP123" s="9"/>
      <c r="AQ123" s="21">
        <v>1.2309300000000001</v>
      </c>
      <c r="AR123" s="21">
        <v>25.1158</v>
      </c>
      <c r="AS123" s="21">
        <v>-1.38733E-2</v>
      </c>
      <c r="AT123" s="21">
        <v>113</v>
      </c>
      <c r="AU123" s="21">
        <v>1.2301599999999999</v>
      </c>
      <c r="AV123">
        <f t="shared" si="20"/>
        <v>17.127530864197528</v>
      </c>
      <c r="AW123">
        <f t="shared" si="21"/>
        <v>21.082791566666664</v>
      </c>
      <c r="AX123" s="9"/>
      <c r="AY123" s="21">
        <v>0.469055</v>
      </c>
      <c r="AZ123" s="21">
        <v>28.935099999999998</v>
      </c>
      <c r="BA123" s="21">
        <v>-1.4621E-2</v>
      </c>
      <c r="BB123" s="21">
        <v>113</v>
      </c>
      <c r="BC123" s="21">
        <v>0.468414</v>
      </c>
      <c r="BD123">
        <f t="shared" si="22"/>
        <v>18.050617283950618</v>
      </c>
      <c r="BE123">
        <f t="shared" si="23"/>
        <v>8.4667322901234581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6.4904200000000003</v>
      </c>
      <c r="I124" s="21">
        <v>-1.39252E-2</v>
      </c>
      <c r="J124" s="21">
        <v>114</v>
      </c>
      <c r="K124" s="21">
        <v>1.22498</v>
      </c>
      <c r="L124">
        <f t="shared" si="12"/>
        <v>17.191604938271606</v>
      </c>
      <c r="M124">
        <f t="shared" si="13"/>
        <v>21.075016577777777</v>
      </c>
      <c r="N124" s="9"/>
      <c r="O124" s="21">
        <v>0.47409099999999998</v>
      </c>
      <c r="P124" s="21">
        <v>10.3096</v>
      </c>
      <c r="Q124" s="21">
        <v>-1.46667E-2</v>
      </c>
      <c r="R124" s="21">
        <v>114</v>
      </c>
      <c r="S124" s="21">
        <v>0.47341899999999998</v>
      </c>
      <c r="T124">
        <f t="shared" si="14"/>
        <v>18.107037037037035</v>
      </c>
      <c r="U124">
        <f t="shared" si="15"/>
        <v>8.5843832959259245</v>
      </c>
      <c r="X124" s="9"/>
      <c r="Y124" s="21">
        <v>1.2258899999999999</v>
      </c>
      <c r="Z124" s="21">
        <v>15.813599999999999</v>
      </c>
      <c r="AA124" s="21">
        <v>-1.3903799999999999E-2</v>
      </c>
      <c r="AB124" s="21">
        <v>114</v>
      </c>
      <c r="AC124" s="21">
        <v>1.2252799999999999</v>
      </c>
      <c r="AD124">
        <f t="shared" si="16"/>
        <v>17.165185185185184</v>
      </c>
      <c r="AE124">
        <f t="shared" si="17"/>
        <v>21.042628866666664</v>
      </c>
      <c r="AF124" s="9"/>
      <c r="AG124" s="21">
        <v>0.47409099999999998</v>
      </c>
      <c r="AH124" s="21">
        <v>19.6328</v>
      </c>
      <c r="AI124" s="21">
        <v>-1.46301E-2</v>
      </c>
      <c r="AJ124" s="21">
        <v>114</v>
      </c>
      <c r="AK124" s="21">
        <v>0.47348000000000001</v>
      </c>
      <c r="AL124">
        <f t="shared" si="18"/>
        <v>18.061851851851848</v>
      </c>
      <c r="AM124">
        <f t="shared" si="19"/>
        <v>8.562961406296294</v>
      </c>
      <c r="AP124" s="9"/>
      <c r="AQ124" s="21">
        <v>1.2258899999999999</v>
      </c>
      <c r="AR124" s="21">
        <v>25.125900000000001</v>
      </c>
      <c r="AS124" s="21">
        <v>-1.38916E-2</v>
      </c>
      <c r="AT124" s="21">
        <v>114</v>
      </c>
      <c r="AU124" s="21">
        <v>1.22559</v>
      </c>
      <c r="AV124">
        <f t="shared" si="20"/>
        <v>17.150123456790123</v>
      </c>
      <c r="AW124">
        <f t="shared" si="21"/>
        <v>21.024164844444442</v>
      </c>
      <c r="AX124" s="9"/>
      <c r="AY124" s="21">
        <v>0.47409099999999998</v>
      </c>
      <c r="AZ124" s="21">
        <v>28.9451</v>
      </c>
      <c r="BA124" s="21">
        <v>-1.46179E-2</v>
      </c>
      <c r="BB124" s="21">
        <v>114</v>
      </c>
      <c r="BC124" s="21">
        <v>0.473358</v>
      </c>
      <c r="BD124">
        <f t="shared" si="22"/>
        <v>18.046790123456791</v>
      </c>
      <c r="BE124">
        <f t="shared" si="23"/>
        <v>8.555820776419754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6.5004900000000001</v>
      </c>
      <c r="I125" s="21">
        <v>-1.39343E-2</v>
      </c>
      <c r="J125" s="21">
        <v>115</v>
      </c>
      <c r="K125" s="21">
        <v>1.2197899999999999</v>
      </c>
      <c r="L125">
        <f t="shared" si="12"/>
        <v>17.202839506172836</v>
      </c>
      <c r="M125">
        <f t="shared" si="13"/>
        <v>21.00225863950617</v>
      </c>
      <c r="N125" s="9"/>
      <c r="O125" s="21">
        <v>0.479126</v>
      </c>
      <c r="P125" s="21">
        <v>10.319699999999999</v>
      </c>
      <c r="Q125" s="21">
        <v>-1.46667E-2</v>
      </c>
      <c r="R125" s="21">
        <v>115</v>
      </c>
      <c r="S125" s="21">
        <v>0.47848499999999999</v>
      </c>
      <c r="T125">
        <f t="shared" si="14"/>
        <v>18.107037037037035</v>
      </c>
      <c r="U125">
        <f t="shared" si="15"/>
        <v>8.6755522274074064</v>
      </c>
      <c r="X125" s="9"/>
      <c r="Y125" s="21">
        <v>1.2208600000000001</v>
      </c>
      <c r="Z125" s="21">
        <v>15.823700000000001</v>
      </c>
      <c r="AA125" s="21">
        <v>-1.39282E-2</v>
      </c>
      <c r="AB125" s="21">
        <v>115</v>
      </c>
      <c r="AC125" s="21">
        <v>1.2194799999999999</v>
      </c>
      <c r="AD125">
        <f t="shared" si="16"/>
        <v>17.195308641975309</v>
      </c>
      <c r="AE125">
        <f t="shared" si="17"/>
        <v>20.993064508641975</v>
      </c>
      <c r="AF125" s="9"/>
      <c r="AG125" s="21">
        <v>0.479126</v>
      </c>
      <c r="AH125" s="21">
        <v>19.642900000000001</v>
      </c>
      <c r="AI125" s="21">
        <v>-1.46423E-2</v>
      </c>
      <c r="AJ125" s="21">
        <v>115</v>
      </c>
      <c r="AK125" s="21">
        <v>0.47854600000000003</v>
      </c>
      <c r="AL125">
        <f t="shared" si="18"/>
        <v>18.076913580246913</v>
      </c>
      <c r="AM125">
        <f t="shared" si="19"/>
        <v>8.6611192960493817</v>
      </c>
      <c r="AP125" s="9"/>
      <c r="AQ125" s="21">
        <v>1.2208600000000001</v>
      </c>
      <c r="AR125" s="21">
        <v>25.135899999999999</v>
      </c>
      <c r="AS125" s="21">
        <v>-1.3913E-2</v>
      </c>
      <c r="AT125" s="21">
        <v>115</v>
      </c>
      <c r="AU125" s="21">
        <v>1.2200899999999999</v>
      </c>
      <c r="AV125">
        <f t="shared" si="20"/>
        <v>17.176543209876542</v>
      </c>
      <c r="AW125">
        <f t="shared" si="21"/>
        <v>20.970154543209876</v>
      </c>
      <c r="AX125" s="9"/>
      <c r="AY125" s="21">
        <v>0.479126</v>
      </c>
      <c r="AZ125" s="21">
        <v>28.955200000000001</v>
      </c>
      <c r="BA125" s="21">
        <v>-1.46301E-2</v>
      </c>
      <c r="BB125" s="21">
        <v>115</v>
      </c>
      <c r="BC125" s="21">
        <v>0.47848499999999999</v>
      </c>
      <c r="BD125">
        <f t="shared" si="22"/>
        <v>18.061851851851848</v>
      </c>
      <c r="BE125">
        <f t="shared" si="23"/>
        <v>8.6539028303703684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6.5105599999999999</v>
      </c>
      <c r="I126" s="21">
        <v>-1.3946500000000001E-2</v>
      </c>
      <c r="J126" s="21">
        <v>116</v>
      </c>
      <c r="K126" s="21">
        <v>1.2149000000000001</v>
      </c>
      <c r="L126">
        <f t="shared" si="12"/>
        <v>17.217901234567901</v>
      </c>
      <c r="M126">
        <f t="shared" si="13"/>
        <v>20.933868679012342</v>
      </c>
      <c r="N126" s="9"/>
      <c r="O126" s="21">
        <v>0.48416100000000001</v>
      </c>
      <c r="P126" s="21">
        <v>10.329800000000001</v>
      </c>
      <c r="Q126" s="21">
        <v>-1.4660599999999999E-2</v>
      </c>
      <c r="R126" s="21">
        <v>116</v>
      </c>
      <c r="S126" s="21">
        <v>0.48355100000000001</v>
      </c>
      <c r="T126">
        <f t="shared" si="14"/>
        <v>18.099506172839504</v>
      </c>
      <c r="U126">
        <f t="shared" si="15"/>
        <v>8.7630750081481477</v>
      </c>
      <c r="X126" s="9"/>
      <c r="Y126" s="21">
        <v>1.2158199999999999</v>
      </c>
      <c r="Z126" s="21">
        <v>15.8338</v>
      </c>
      <c r="AA126" s="21">
        <v>-1.3946500000000001E-2</v>
      </c>
      <c r="AB126" s="21">
        <v>116</v>
      </c>
      <c r="AC126" s="21">
        <v>1.2152099999999999</v>
      </c>
      <c r="AD126">
        <f t="shared" si="16"/>
        <v>17.217901234567901</v>
      </c>
      <c r="AE126">
        <f t="shared" si="17"/>
        <v>20.933868679012342</v>
      </c>
      <c r="AF126" s="9"/>
      <c r="AG126" s="21">
        <v>0.48416100000000001</v>
      </c>
      <c r="AH126" s="21">
        <v>19.652999999999999</v>
      </c>
      <c r="AI126" s="21">
        <v>-1.46301E-2</v>
      </c>
      <c r="AJ126" s="21">
        <v>116</v>
      </c>
      <c r="AK126" s="21">
        <v>0.48352099999999998</v>
      </c>
      <c r="AL126">
        <f t="shared" si="18"/>
        <v>18.061851851851848</v>
      </c>
      <c r="AM126">
        <f t="shared" si="19"/>
        <v>8.7448442544444429</v>
      </c>
      <c r="AP126" s="9"/>
      <c r="AQ126" s="21">
        <v>1.2158199999999999</v>
      </c>
      <c r="AR126" s="21">
        <v>25.146000000000001</v>
      </c>
      <c r="AS126" s="21">
        <v>-1.3937400000000001E-2</v>
      </c>
      <c r="AT126" s="21">
        <v>116</v>
      </c>
      <c r="AU126" s="21">
        <v>1.2145999999999999</v>
      </c>
      <c r="AV126">
        <f t="shared" si="20"/>
        <v>17.206666666666667</v>
      </c>
      <c r="AW126">
        <f t="shared" si="21"/>
        <v>20.920209466666666</v>
      </c>
      <c r="AX126" s="9"/>
      <c r="AY126" s="21">
        <v>0.48416100000000001</v>
      </c>
      <c r="AZ126" s="21">
        <v>28.965299999999999</v>
      </c>
      <c r="BA126" s="21">
        <v>-1.46362E-2</v>
      </c>
      <c r="BB126" s="21">
        <v>116</v>
      </c>
      <c r="BC126" s="21">
        <v>0.48352099999999998</v>
      </c>
      <c r="BD126">
        <f t="shared" si="22"/>
        <v>18.069382716049383</v>
      </c>
      <c r="BE126">
        <f t="shared" si="23"/>
        <v>8.7484904051851853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6.5206299999999997</v>
      </c>
      <c r="I127" s="21">
        <v>-1.3964799999999999E-2</v>
      </c>
      <c r="J127" s="21">
        <v>117</v>
      </c>
      <c r="K127" s="21">
        <v>1.2100200000000001</v>
      </c>
      <c r="L127">
        <f t="shared" si="12"/>
        <v>17.240493827160492</v>
      </c>
      <c r="M127">
        <f t="shared" si="13"/>
        <v>20.87444511604938</v>
      </c>
      <c r="N127" s="9"/>
      <c r="O127" s="21">
        <v>0.48919699999999999</v>
      </c>
      <c r="P127" s="21">
        <v>10.3398</v>
      </c>
      <c r="Q127" s="21">
        <v>-1.4645399999999999E-2</v>
      </c>
      <c r="R127" s="21">
        <v>117</v>
      </c>
      <c r="S127" s="21">
        <v>0.48855599999999999</v>
      </c>
      <c r="T127">
        <f t="shared" si="14"/>
        <v>18.080740740740737</v>
      </c>
      <c r="U127">
        <f t="shared" si="15"/>
        <v>8.845044128148146</v>
      </c>
      <c r="X127" s="9"/>
      <c r="Y127" s="21">
        <v>1.21078</v>
      </c>
      <c r="Z127" s="21">
        <v>15.8438</v>
      </c>
      <c r="AA127" s="21">
        <v>-1.3946500000000001E-2</v>
      </c>
      <c r="AB127" s="21">
        <v>117</v>
      </c>
      <c r="AC127" s="21">
        <v>1.2100200000000001</v>
      </c>
      <c r="AD127">
        <f t="shared" si="16"/>
        <v>17.217901234567901</v>
      </c>
      <c r="AE127">
        <f t="shared" si="17"/>
        <v>20.847090456790124</v>
      </c>
      <c r="AF127" s="9"/>
      <c r="AG127" s="21">
        <v>0.48919699999999999</v>
      </c>
      <c r="AH127" s="21">
        <v>19.663</v>
      </c>
      <c r="AI127" s="21">
        <v>-1.46149E-2</v>
      </c>
      <c r="AJ127" s="21">
        <v>117</v>
      </c>
      <c r="AK127" s="21">
        <v>0.48852499999999999</v>
      </c>
      <c r="AL127">
        <f t="shared" si="18"/>
        <v>18.043086419753088</v>
      </c>
      <c r="AM127">
        <f t="shared" si="19"/>
        <v>8.8266237472839517</v>
      </c>
      <c r="AP127" s="9"/>
      <c r="AQ127" s="21">
        <v>1.21078</v>
      </c>
      <c r="AR127" s="21">
        <v>25.156099999999999</v>
      </c>
      <c r="AS127" s="21">
        <v>-1.3958699999999999E-2</v>
      </c>
      <c r="AT127" s="21">
        <v>117</v>
      </c>
      <c r="AU127" s="21">
        <v>1.2100200000000001</v>
      </c>
      <c r="AV127">
        <f t="shared" si="20"/>
        <v>17.232962962962961</v>
      </c>
      <c r="AW127">
        <f t="shared" si="21"/>
        <v>20.865326896296295</v>
      </c>
      <c r="AX127" s="9"/>
      <c r="AY127" s="21">
        <v>0.48919699999999999</v>
      </c>
      <c r="AZ127" s="21">
        <v>28.975300000000001</v>
      </c>
      <c r="BA127" s="21">
        <v>-1.4648400000000001E-2</v>
      </c>
      <c r="BB127" s="21">
        <v>117</v>
      </c>
      <c r="BC127" s="21">
        <v>0.48858600000000002</v>
      </c>
      <c r="BD127">
        <f t="shared" si="22"/>
        <v>18.084444444444443</v>
      </c>
      <c r="BE127">
        <f t="shared" si="23"/>
        <v>8.8468559688888888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6.5307000000000004</v>
      </c>
      <c r="I128" s="21">
        <v>-1.3983199999999999E-2</v>
      </c>
      <c r="J128" s="21">
        <v>118</v>
      </c>
      <c r="K128" s="21">
        <v>1.2048300000000001</v>
      </c>
      <c r="L128">
        <f t="shared" si="12"/>
        <v>17.263209876543208</v>
      </c>
      <c r="M128">
        <f t="shared" si="13"/>
        <v>20.815115308641975</v>
      </c>
      <c r="N128" s="9"/>
      <c r="O128" s="21">
        <v>0.494232</v>
      </c>
      <c r="P128" s="21">
        <v>10.3499</v>
      </c>
      <c r="Q128" s="21">
        <v>-1.4639299999999999E-2</v>
      </c>
      <c r="R128" s="21">
        <v>118</v>
      </c>
      <c r="S128" s="21">
        <v>0.49368299999999998</v>
      </c>
      <c r="T128">
        <f t="shared" si="14"/>
        <v>18.07320987654321</v>
      </c>
      <c r="U128">
        <f t="shared" si="15"/>
        <v>8.9323586637037042</v>
      </c>
      <c r="X128" s="9"/>
      <c r="Y128" s="21">
        <v>1.2057500000000001</v>
      </c>
      <c r="Z128" s="21">
        <v>15.853899999999999</v>
      </c>
      <c r="AA128" s="21">
        <v>-1.39618E-2</v>
      </c>
      <c r="AB128" s="21">
        <v>118</v>
      </c>
      <c r="AC128" s="21">
        <v>1.2048300000000001</v>
      </c>
      <c r="AD128">
        <f t="shared" si="16"/>
        <v>17.236790123456789</v>
      </c>
      <c r="AE128">
        <f t="shared" si="17"/>
        <v>20.783259691358026</v>
      </c>
      <c r="AF128" s="9"/>
      <c r="AG128" s="21">
        <v>0.494232</v>
      </c>
      <c r="AH128" s="21">
        <v>19.673100000000002</v>
      </c>
      <c r="AI128" s="21">
        <v>-1.4605699999999999E-2</v>
      </c>
      <c r="AJ128" s="21">
        <v>118</v>
      </c>
      <c r="AK128" s="21">
        <v>0.49365199999999998</v>
      </c>
      <c r="AL128">
        <f t="shared" si="18"/>
        <v>18.031728395061727</v>
      </c>
      <c r="AM128">
        <f t="shared" si="19"/>
        <v>8.9118571881481472</v>
      </c>
      <c r="AP128" s="9"/>
      <c r="AQ128" s="21">
        <v>1.2057500000000001</v>
      </c>
      <c r="AR128" s="21">
        <v>25.1661</v>
      </c>
      <c r="AS128" s="21">
        <v>-1.39679E-2</v>
      </c>
      <c r="AT128" s="21">
        <v>118</v>
      </c>
      <c r="AU128" s="21">
        <v>1.2045300000000001</v>
      </c>
      <c r="AV128">
        <f t="shared" si="20"/>
        <v>17.244320987654319</v>
      </c>
      <c r="AW128">
        <f t="shared" si="21"/>
        <v>20.792340030864196</v>
      </c>
      <c r="AX128" s="9"/>
      <c r="AY128" s="21">
        <v>0.494232</v>
      </c>
      <c r="AZ128" s="21">
        <v>28.985399999999998</v>
      </c>
      <c r="BA128" s="21">
        <v>-1.46515E-2</v>
      </c>
      <c r="BB128" s="21">
        <v>118</v>
      </c>
      <c r="BC128" s="21">
        <v>0.49362200000000001</v>
      </c>
      <c r="BD128">
        <f t="shared" si="22"/>
        <v>18.088271604938271</v>
      </c>
      <c r="BE128">
        <f t="shared" si="23"/>
        <v>8.939802651851851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6.5407700000000002</v>
      </c>
      <c r="I129" s="21">
        <v>-1.40015E-2</v>
      </c>
      <c r="J129" s="21">
        <v>119</v>
      </c>
      <c r="K129" s="21">
        <v>1.1990400000000001</v>
      </c>
      <c r="L129">
        <f t="shared" si="12"/>
        <v>17.285802469135803</v>
      </c>
      <c r="M129">
        <f t="shared" si="13"/>
        <v>20.755235882716047</v>
      </c>
      <c r="N129" s="9"/>
      <c r="O129" s="21">
        <v>0.49926799999999999</v>
      </c>
      <c r="P129" s="21">
        <v>10.36</v>
      </c>
      <c r="Q129" s="21">
        <v>-1.46301E-2</v>
      </c>
      <c r="R129" s="21">
        <v>119</v>
      </c>
      <c r="S129" s="21">
        <v>0.498749</v>
      </c>
      <c r="T129">
        <f t="shared" si="14"/>
        <v>18.061851851851848</v>
      </c>
      <c r="U129">
        <f t="shared" si="15"/>
        <v>9.0177046503703693</v>
      </c>
      <c r="X129" s="9"/>
      <c r="Y129" s="21">
        <v>1.2007099999999999</v>
      </c>
      <c r="Z129" s="21">
        <v>15.864000000000001</v>
      </c>
      <c r="AA129" s="21">
        <v>-1.39618E-2</v>
      </c>
      <c r="AB129" s="21">
        <v>119</v>
      </c>
      <c r="AC129" s="21">
        <v>1.1999500000000001</v>
      </c>
      <c r="AD129">
        <f t="shared" si="16"/>
        <v>17.236790123456789</v>
      </c>
      <c r="AE129">
        <f t="shared" si="17"/>
        <v>20.6963862691358</v>
      </c>
      <c r="AF129" s="9"/>
      <c r="AG129" s="21">
        <v>0.49926799999999999</v>
      </c>
      <c r="AH129" s="21">
        <v>19.683199999999999</v>
      </c>
      <c r="AI129" s="21">
        <v>-1.4611799999999999E-2</v>
      </c>
      <c r="AJ129" s="21">
        <v>119</v>
      </c>
      <c r="AK129" s="21">
        <v>0.49862699999999999</v>
      </c>
      <c r="AL129">
        <f t="shared" si="18"/>
        <v>18.039259259259257</v>
      </c>
      <c r="AM129">
        <f t="shared" si="19"/>
        <v>9.0064248918518501</v>
      </c>
      <c r="AP129" s="9"/>
      <c r="AQ129" s="21">
        <v>1.2007099999999999</v>
      </c>
      <c r="AR129" s="21">
        <v>25.176200000000001</v>
      </c>
      <c r="AS129" s="21">
        <v>-1.39709E-2</v>
      </c>
      <c r="AT129" s="21">
        <v>119</v>
      </c>
      <c r="AU129" s="21">
        <v>1.2002600000000001</v>
      </c>
      <c r="AV129">
        <f t="shared" si="20"/>
        <v>17.248024691358022</v>
      </c>
      <c r="AW129">
        <f t="shared" si="21"/>
        <v>20.70987572716049</v>
      </c>
      <c r="AX129" s="9"/>
      <c r="AY129" s="21">
        <v>0.49926799999999999</v>
      </c>
      <c r="AZ129" s="21">
        <v>28.9955</v>
      </c>
      <c r="BA129" s="21">
        <v>-1.46515E-2</v>
      </c>
      <c r="BB129" s="21">
        <v>119</v>
      </c>
      <c r="BC129" s="21">
        <v>0.49868800000000002</v>
      </c>
      <c r="BD129">
        <f t="shared" si="22"/>
        <v>18.088271604938271</v>
      </c>
      <c r="BE129">
        <f t="shared" si="23"/>
        <v>9.0308951876543198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6.5508499999999996</v>
      </c>
      <c r="I130" s="21">
        <v>-1.40167E-2</v>
      </c>
      <c r="J130" s="21">
        <v>120</v>
      </c>
      <c r="K130" s="21">
        <v>1.1944600000000001</v>
      </c>
      <c r="L130">
        <f t="shared" si="12"/>
        <v>17.304567901234567</v>
      </c>
      <c r="M130">
        <f t="shared" si="13"/>
        <v>20.690725748148147</v>
      </c>
      <c r="N130" s="9"/>
      <c r="O130" s="21">
        <v>0.50430299999999995</v>
      </c>
      <c r="P130" s="21">
        <v>10.37</v>
      </c>
      <c r="Q130" s="21">
        <v>-1.4627100000000001E-2</v>
      </c>
      <c r="R130" s="21">
        <v>120</v>
      </c>
      <c r="S130" s="21">
        <v>0.50366200000000005</v>
      </c>
      <c r="T130">
        <f t="shared" si="14"/>
        <v>18.058148148148145</v>
      </c>
      <c r="U130">
        <f t="shared" si="15"/>
        <v>9.1067782855555528</v>
      </c>
      <c r="X130" s="9"/>
      <c r="Y130" s="21">
        <v>1.1956800000000001</v>
      </c>
      <c r="Z130" s="21">
        <v>15.8741</v>
      </c>
      <c r="AA130" s="21">
        <v>-1.39557E-2</v>
      </c>
      <c r="AB130" s="21">
        <v>120</v>
      </c>
      <c r="AC130" s="21">
        <v>1.1950700000000001</v>
      </c>
      <c r="AD130">
        <f t="shared" si="16"/>
        <v>17.229259259259258</v>
      </c>
      <c r="AE130">
        <f t="shared" si="17"/>
        <v>20.60068071111111</v>
      </c>
      <c r="AF130" s="9"/>
      <c r="AG130" s="21">
        <v>0.50430299999999995</v>
      </c>
      <c r="AH130" s="21">
        <v>19.693300000000001</v>
      </c>
      <c r="AI130" s="21">
        <v>-1.4599600000000001E-2</v>
      </c>
      <c r="AJ130" s="21">
        <v>120</v>
      </c>
      <c r="AK130" s="21">
        <v>0.50366200000000005</v>
      </c>
      <c r="AL130">
        <f t="shared" si="18"/>
        <v>18.0241975308642</v>
      </c>
      <c r="AM130">
        <f t="shared" si="19"/>
        <v>9.0896568874074077</v>
      </c>
      <c r="AP130" s="9"/>
      <c r="AQ130" s="21">
        <v>1.1956800000000001</v>
      </c>
      <c r="AR130" s="21">
        <v>25.186299999999999</v>
      </c>
      <c r="AS130" s="21">
        <v>-1.3974E-2</v>
      </c>
      <c r="AT130" s="21">
        <v>120</v>
      </c>
      <c r="AU130" s="21">
        <v>1.19476</v>
      </c>
      <c r="AV130">
        <f t="shared" si="20"/>
        <v>17.251851851851853</v>
      </c>
      <c r="AW130">
        <f t="shared" si="21"/>
        <v>20.627694222222225</v>
      </c>
      <c r="AX130" s="9"/>
      <c r="AY130" s="21">
        <v>0.50430299999999995</v>
      </c>
      <c r="AZ130" s="21">
        <v>29.005600000000001</v>
      </c>
      <c r="BA130" s="21">
        <v>-1.46515E-2</v>
      </c>
      <c r="BB130" s="21">
        <v>120</v>
      </c>
      <c r="BC130" s="21">
        <v>0.50363199999999997</v>
      </c>
      <c r="BD130">
        <f t="shared" si="22"/>
        <v>18.088271604938271</v>
      </c>
      <c r="BE130">
        <f t="shared" si="23"/>
        <v>9.1219696351851844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6.5609200000000003</v>
      </c>
      <c r="I131" s="21">
        <v>-1.4031999999999999E-2</v>
      </c>
      <c r="J131" s="21">
        <v>121</v>
      </c>
      <c r="K131" s="21">
        <v>1.18988</v>
      </c>
      <c r="L131">
        <f t="shared" si="12"/>
        <v>17.323456790123455</v>
      </c>
      <c r="M131">
        <f t="shared" si="13"/>
        <v>20.62600059259259</v>
      </c>
      <c r="N131" s="9"/>
      <c r="O131" s="21">
        <v>0.50933799999999996</v>
      </c>
      <c r="P131" s="21">
        <v>10.380100000000001</v>
      </c>
      <c r="Q131" s="21">
        <v>-1.4621E-2</v>
      </c>
      <c r="R131" s="21">
        <v>121</v>
      </c>
      <c r="S131" s="21">
        <v>0.50869799999999998</v>
      </c>
      <c r="T131">
        <f t="shared" si="14"/>
        <v>18.050617283950618</v>
      </c>
      <c r="U131">
        <f t="shared" si="15"/>
        <v>9.1938653061728388</v>
      </c>
      <c r="X131" s="9"/>
      <c r="Y131" s="21">
        <v>1.1906399999999999</v>
      </c>
      <c r="Z131" s="21">
        <v>15.8841</v>
      </c>
      <c r="AA131" s="21">
        <v>-1.39618E-2</v>
      </c>
      <c r="AB131" s="21">
        <v>121</v>
      </c>
      <c r="AC131" s="21">
        <v>1.19049</v>
      </c>
      <c r="AD131">
        <f t="shared" si="16"/>
        <v>17.236790123456789</v>
      </c>
      <c r="AE131">
        <f t="shared" si="17"/>
        <v>20.522811792592591</v>
      </c>
      <c r="AF131" s="9"/>
      <c r="AG131" s="21">
        <v>0.50933799999999996</v>
      </c>
      <c r="AH131" s="21">
        <v>19.703299999999999</v>
      </c>
      <c r="AI131" s="21">
        <v>-1.4593500000000001E-2</v>
      </c>
      <c r="AJ131" s="21">
        <v>121</v>
      </c>
      <c r="AK131" s="21">
        <v>0.50866699999999998</v>
      </c>
      <c r="AL131">
        <f t="shared" si="18"/>
        <v>18.016666666666666</v>
      </c>
      <c r="AM131">
        <f t="shared" si="19"/>
        <v>9.1765729666666651</v>
      </c>
      <c r="AP131" s="9"/>
      <c r="AQ131" s="21">
        <v>1.1906399999999999</v>
      </c>
      <c r="AR131" s="21">
        <v>25.196400000000001</v>
      </c>
      <c r="AS131" s="21">
        <v>-1.3983199999999999E-2</v>
      </c>
      <c r="AT131" s="21">
        <v>121</v>
      </c>
      <c r="AU131" s="21">
        <v>1.1895800000000001</v>
      </c>
      <c r="AV131">
        <f t="shared" si="20"/>
        <v>17.263209876543208</v>
      </c>
      <c r="AW131">
        <f t="shared" si="21"/>
        <v>20.554268207407404</v>
      </c>
      <c r="AX131" s="9"/>
      <c r="AY131" s="21">
        <v>0.50933799999999996</v>
      </c>
      <c r="AZ131" s="21">
        <v>29.015599999999999</v>
      </c>
      <c r="BA131" s="21">
        <v>-1.46423E-2</v>
      </c>
      <c r="BB131" s="21">
        <v>121</v>
      </c>
      <c r="BC131" s="21">
        <v>0.508606</v>
      </c>
      <c r="BD131">
        <f t="shared" si="22"/>
        <v>18.076913580246913</v>
      </c>
      <c r="BE131">
        <f t="shared" si="23"/>
        <v>9.207259009135802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6.5709900000000001</v>
      </c>
      <c r="I132" s="21">
        <v>-1.40381E-2</v>
      </c>
      <c r="J132" s="21">
        <v>122</v>
      </c>
      <c r="K132" s="21">
        <v>1.18469</v>
      </c>
      <c r="L132">
        <f t="shared" si="12"/>
        <v>17.330987654320985</v>
      </c>
      <c r="M132">
        <f t="shared" si="13"/>
        <v>20.547792272839505</v>
      </c>
      <c r="N132" s="9"/>
      <c r="O132" s="21">
        <v>0.514374</v>
      </c>
      <c r="P132" s="21">
        <v>10.3902</v>
      </c>
      <c r="Q132" s="21">
        <v>-1.4621E-2</v>
      </c>
      <c r="R132" s="21">
        <v>122</v>
      </c>
      <c r="S132" s="21">
        <v>0.513733</v>
      </c>
      <c r="T132">
        <f t="shared" si="14"/>
        <v>18.050617283950618</v>
      </c>
      <c r="U132">
        <f t="shared" si="15"/>
        <v>9.2847682148148145</v>
      </c>
      <c r="X132" s="9"/>
      <c r="Y132" s="21">
        <v>1.1856100000000001</v>
      </c>
      <c r="Z132" s="21">
        <v>15.8942</v>
      </c>
      <c r="AA132" s="21">
        <v>-1.3964799999999999E-2</v>
      </c>
      <c r="AB132" s="21">
        <v>122</v>
      </c>
      <c r="AC132" s="21">
        <v>1.18469</v>
      </c>
      <c r="AD132">
        <f t="shared" si="16"/>
        <v>17.240493827160492</v>
      </c>
      <c r="AE132">
        <f t="shared" si="17"/>
        <v>20.440501886419753</v>
      </c>
      <c r="AF132" s="9"/>
      <c r="AG132" s="21">
        <v>0.514374</v>
      </c>
      <c r="AH132" s="21">
        <v>19.7134</v>
      </c>
      <c r="AI132" s="21">
        <v>-1.45813E-2</v>
      </c>
      <c r="AJ132" s="21">
        <v>122</v>
      </c>
      <c r="AK132" s="21">
        <v>0.51376299999999997</v>
      </c>
      <c r="AL132">
        <f t="shared" si="18"/>
        <v>18.001604938271605</v>
      </c>
      <c r="AM132">
        <f t="shared" si="19"/>
        <v>9.2595575385185178</v>
      </c>
      <c r="AP132" s="9"/>
      <c r="AQ132" s="21">
        <v>1.1856100000000001</v>
      </c>
      <c r="AR132" s="21">
        <v>25.206399999999999</v>
      </c>
      <c r="AS132" s="21">
        <v>-1.3998399999999999E-2</v>
      </c>
      <c r="AT132" s="21">
        <v>122</v>
      </c>
      <c r="AU132" s="21">
        <v>1.18469</v>
      </c>
      <c r="AV132">
        <f t="shared" si="20"/>
        <v>17.281975308641975</v>
      </c>
      <c r="AW132">
        <f t="shared" si="21"/>
        <v>20.489682745679012</v>
      </c>
      <c r="AX132" s="9"/>
      <c r="AY132" s="21">
        <v>0.514374</v>
      </c>
      <c r="AZ132" s="21">
        <v>29.025700000000001</v>
      </c>
      <c r="BA132" s="21">
        <v>-1.4633200000000001E-2</v>
      </c>
      <c r="BB132" s="21">
        <v>122</v>
      </c>
      <c r="BC132" s="21">
        <v>0.51376299999999997</v>
      </c>
      <c r="BD132">
        <f t="shared" si="22"/>
        <v>18.065679012345679</v>
      </c>
      <c r="BE132">
        <f t="shared" si="23"/>
        <v>9.2925155762962959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6.5810599999999999</v>
      </c>
      <c r="I133" s="21">
        <v>-1.4041100000000001E-2</v>
      </c>
      <c r="J133" s="21">
        <v>123</v>
      </c>
      <c r="K133" s="21">
        <v>1.17981</v>
      </c>
      <c r="L133">
        <f t="shared" si="12"/>
        <v>17.334691358024692</v>
      </c>
      <c r="M133">
        <f t="shared" si="13"/>
        <v>20.46481657654321</v>
      </c>
      <c r="N133" s="9"/>
      <c r="O133" s="21">
        <v>0.51940900000000001</v>
      </c>
      <c r="P133" s="21">
        <v>10.4003</v>
      </c>
      <c r="Q133" s="21">
        <v>-1.4621E-2</v>
      </c>
      <c r="R133" s="21">
        <v>123</v>
      </c>
      <c r="S133" s="21">
        <v>0.51873800000000003</v>
      </c>
      <c r="T133">
        <f t="shared" si="14"/>
        <v>18.050617283950618</v>
      </c>
      <c r="U133">
        <f t="shared" si="15"/>
        <v>9.3756530728395067</v>
      </c>
      <c r="X133" s="9"/>
      <c r="Y133" s="21">
        <v>1.1805699999999999</v>
      </c>
      <c r="Z133" s="21">
        <v>15.904299999999999</v>
      </c>
      <c r="AA133" s="21">
        <v>-1.39709E-2</v>
      </c>
      <c r="AB133" s="21">
        <v>123</v>
      </c>
      <c r="AC133" s="21">
        <v>1.18011</v>
      </c>
      <c r="AD133">
        <f t="shared" si="16"/>
        <v>17.248024691358022</v>
      </c>
      <c r="AE133">
        <f t="shared" si="17"/>
        <v>20.36250050987654</v>
      </c>
      <c r="AF133" s="9"/>
      <c r="AG133" s="21">
        <v>0.51940900000000001</v>
      </c>
      <c r="AH133" s="21">
        <v>19.723500000000001</v>
      </c>
      <c r="AI133" s="21">
        <v>-1.45813E-2</v>
      </c>
      <c r="AJ133" s="21">
        <v>123</v>
      </c>
      <c r="AK133" s="21">
        <v>0.51870700000000003</v>
      </c>
      <c r="AL133">
        <f t="shared" si="18"/>
        <v>18.001604938271605</v>
      </c>
      <c r="AM133">
        <f t="shared" si="19"/>
        <v>9.3501956193827169</v>
      </c>
      <c r="AP133" s="9"/>
      <c r="AQ133" s="21">
        <v>1.1805699999999999</v>
      </c>
      <c r="AR133" s="21">
        <v>25.2165</v>
      </c>
      <c r="AS133" s="21">
        <v>-1.40076E-2</v>
      </c>
      <c r="AT133" s="21">
        <v>123</v>
      </c>
      <c r="AU133" s="21">
        <v>1.1795</v>
      </c>
      <c r="AV133">
        <f t="shared" si="20"/>
        <v>17.293333333333333</v>
      </c>
      <c r="AW133">
        <f t="shared" si="21"/>
        <v>20.415990533333332</v>
      </c>
      <c r="AX133" s="9"/>
      <c r="AY133" s="21">
        <v>0.51940900000000001</v>
      </c>
      <c r="AZ133" s="21">
        <v>29.035799999999998</v>
      </c>
      <c r="BA133" s="21">
        <v>-1.4621E-2</v>
      </c>
      <c r="BB133" s="21">
        <v>123</v>
      </c>
      <c r="BC133" s="21">
        <v>0.51867700000000005</v>
      </c>
      <c r="BD133">
        <f t="shared" si="22"/>
        <v>18.050617283950618</v>
      </c>
      <c r="BE133">
        <f t="shared" si="23"/>
        <v>9.3756530728395067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6.5911299999999997</v>
      </c>
      <c r="I134" s="21">
        <v>-1.40442E-2</v>
      </c>
      <c r="J134" s="21">
        <v>124</v>
      </c>
      <c r="K134" s="21">
        <v>1.17462</v>
      </c>
      <c r="L134">
        <f t="shared" si="12"/>
        <v>17.338518518518516</v>
      </c>
      <c r="M134">
        <f t="shared" si="13"/>
        <v>20.382122059259256</v>
      </c>
      <c r="N134" s="9"/>
      <c r="O134" s="21">
        <v>0.52444500000000005</v>
      </c>
      <c r="P134" s="21">
        <v>10.410299999999999</v>
      </c>
      <c r="Q134" s="21">
        <v>-1.46149E-2</v>
      </c>
      <c r="R134" s="21">
        <v>124</v>
      </c>
      <c r="S134" s="21">
        <v>0.52374299999999996</v>
      </c>
      <c r="T134">
        <f t="shared" si="14"/>
        <v>18.043086419753088</v>
      </c>
      <c r="U134">
        <f t="shared" si="15"/>
        <v>9.4626064574074089</v>
      </c>
      <c r="X134" s="9"/>
      <c r="Y134" s="21">
        <v>1.17554</v>
      </c>
      <c r="Z134" s="21">
        <v>15.914300000000001</v>
      </c>
      <c r="AA134" s="21">
        <v>-1.3977099999999999E-2</v>
      </c>
      <c r="AB134" s="21">
        <v>124</v>
      </c>
      <c r="AC134" s="21">
        <v>1.17432</v>
      </c>
      <c r="AD134">
        <f t="shared" si="16"/>
        <v>17.255679012345677</v>
      </c>
      <c r="AE134">
        <f t="shared" si="17"/>
        <v>20.284740906172839</v>
      </c>
      <c r="AF134" s="9"/>
      <c r="AG134" s="21">
        <v>0.52444500000000005</v>
      </c>
      <c r="AH134" s="21">
        <v>19.733499999999999</v>
      </c>
      <c r="AI134" s="21">
        <v>-1.45813E-2</v>
      </c>
      <c r="AJ134" s="21">
        <v>124</v>
      </c>
      <c r="AK134" s="21">
        <v>0.52383400000000002</v>
      </c>
      <c r="AL134">
        <f t="shared" si="18"/>
        <v>18.001604938271605</v>
      </c>
      <c r="AM134">
        <f t="shared" si="19"/>
        <v>9.4408517018518534</v>
      </c>
      <c r="AP134" s="9"/>
      <c r="AQ134" s="21">
        <v>1.17554</v>
      </c>
      <c r="AR134" s="21">
        <v>25.226600000000001</v>
      </c>
      <c r="AS134" s="21">
        <v>-1.40228E-2</v>
      </c>
      <c r="AT134" s="21">
        <v>124</v>
      </c>
      <c r="AU134" s="21">
        <v>1.17462</v>
      </c>
      <c r="AV134">
        <f t="shared" si="20"/>
        <v>17.312098765432097</v>
      </c>
      <c r="AW134">
        <f t="shared" si="21"/>
        <v>20.351064582716049</v>
      </c>
      <c r="AX134" s="9"/>
      <c r="AY134" s="21">
        <v>0.52444500000000005</v>
      </c>
      <c r="AZ134" s="21">
        <v>29.0458</v>
      </c>
      <c r="BA134" s="21">
        <v>-1.46088E-2</v>
      </c>
      <c r="BB134" s="21">
        <v>124</v>
      </c>
      <c r="BC134" s="21">
        <v>0.52365099999999998</v>
      </c>
      <c r="BD134">
        <f t="shared" si="22"/>
        <v>18.035555555555554</v>
      </c>
      <c r="BE134">
        <f t="shared" si="23"/>
        <v>9.4586569333333337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6.6012000000000004</v>
      </c>
      <c r="I135" s="21">
        <v>-1.40442E-2</v>
      </c>
      <c r="J135" s="21">
        <v>125</v>
      </c>
      <c r="K135" s="21">
        <v>1.16974</v>
      </c>
      <c r="L135">
        <f t="shared" si="12"/>
        <v>17.338518518518516</v>
      </c>
      <c r="M135">
        <f t="shared" si="13"/>
        <v>20.294735925925924</v>
      </c>
      <c r="N135" s="9"/>
      <c r="O135" s="21">
        <v>0.52947999999999995</v>
      </c>
      <c r="P135" s="21">
        <v>10.420400000000001</v>
      </c>
      <c r="Q135" s="21">
        <v>-1.46179E-2</v>
      </c>
      <c r="R135" s="21">
        <v>125</v>
      </c>
      <c r="S135" s="21">
        <v>0.52880899999999997</v>
      </c>
      <c r="T135">
        <f t="shared" si="14"/>
        <v>18.046790123456791</v>
      </c>
      <c r="U135">
        <f t="shared" si="15"/>
        <v>9.5554144345679006</v>
      </c>
      <c r="X135" s="9"/>
      <c r="Y135" s="21">
        <v>1.1705000000000001</v>
      </c>
      <c r="Z135" s="21">
        <v>15.9244</v>
      </c>
      <c r="AA135" s="21">
        <v>-1.3980100000000001E-2</v>
      </c>
      <c r="AB135" s="21">
        <v>125</v>
      </c>
      <c r="AC135" s="21">
        <v>1.16882</v>
      </c>
      <c r="AD135">
        <f t="shared" si="16"/>
        <v>17.259382716049384</v>
      </c>
      <c r="AE135">
        <f t="shared" si="17"/>
        <v>20.202107469135804</v>
      </c>
      <c r="AF135" s="9"/>
      <c r="AG135" s="21">
        <v>0.52947999999999995</v>
      </c>
      <c r="AH135" s="21">
        <v>19.743600000000001</v>
      </c>
      <c r="AI135" s="21">
        <v>-1.4566000000000001E-2</v>
      </c>
      <c r="AJ135" s="21">
        <v>125</v>
      </c>
      <c r="AK135" s="21">
        <v>0.52871699999999999</v>
      </c>
      <c r="AL135">
        <f t="shared" si="18"/>
        <v>17.982716049382717</v>
      </c>
      <c r="AM135">
        <f t="shared" si="19"/>
        <v>9.5214884938271602</v>
      </c>
      <c r="AP135" s="9"/>
      <c r="AQ135" s="21">
        <v>1.1705000000000001</v>
      </c>
      <c r="AR135" s="21">
        <v>25.236599999999999</v>
      </c>
      <c r="AS135" s="21">
        <v>-1.4035000000000001E-2</v>
      </c>
      <c r="AT135" s="21">
        <v>125</v>
      </c>
      <c r="AU135" s="21">
        <v>1.17004</v>
      </c>
      <c r="AV135">
        <f t="shared" si="20"/>
        <v>17.327160493827162</v>
      </c>
      <c r="AW135">
        <f t="shared" si="21"/>
        <v>20.281441358024693</v>
      </c>
      <c r="AX135" s="9"/>
      <c r="AY135" s="21">
        <v>0.52947999999999995</v>
      </c>
      <c r="AZ135" s="21">
        <v>29.055900000000001</v>
      </c>
      <c r="BA135" s="21">
        <v>-1.4611799999999999E-2</v>
      </c>
      <c r="BB135" s="21">
        <v>125</v>
      </c>
      <c r="BC135" s="21">
        <v>0.52880899999999997</v>
      </c>
      <c r="BD135">
        <f t="shared" si="22"/>
        <v>18.039259259259257</v>
      </c>
      <c r="BE135">
        <f t="shared" si="23"/>
        <v>9.5514269925925905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6.6112700000000002</v>
      </c>
      <c r="I136" s="21">
        <v>-1.40503E-2</v>
      </c>
      <c r="J136" s="21">
        <v>126</v>
      </c>
      <c r="K136" s="21">
        <v>1.16455</v>
      </c>
      <c r="L136">
        <f t="shared" si="12"/>
        <v>17.34604938271605</v>
      </c>
      <c r="M136">
        <f t="shared" si="13"/>
        <v>20.216300174074075</v>
      </c>
      <c r="N136" s="9"/>
      <c r="O136" s="21">
        <v>0.53451499999999996</v>
      </c>
      <c r="P136" s="21">
        <v>10.4305</v>
      </c>
      <c r="Q136" s="21">
        <v>-1.46088E-2</v>
      </c>
      <c r="R136" s="21">
        <v>126</v>
      </c>
      <c r="S136" s="21">
        <v>0.53387499999999999</v>
      </c>
      <c r="T136">
        <f t="shared" si="14"/>
        <v>18.035555555555554</v>
      </c>
      <c r="U136">
        <f t="shared" si="15"/>
        <v>9.6402749777777768</v>
      </c>
      <c r="X136" s="9"/>
      <c r="Y136" s="21">
        <v>1.16547</v>
      </c>
      <c r="Z136" s="21">
        <v>15.9345</v>
      </c>
      <c r="AA136" s="21">
        <v>-1.39954E-2</v>
      </c>
      <c r="AB136" s="21">
        <v>126</v>
      </c>
      <c r="AC136" s="21">
        <v>1.16455</v>
      </c>
      <c r="AD136">
        <f t="shared" si="16"/>
        <v>17.278271604938272</v>
      </c>
      <c r="AE136">
        <f t="shared" si="17"/>
        <v>20.137307207407407</v>
      </c>
      <c r="AF136" s="9"/>
      <c r="AG136" s="21">
        <v>0.53451499999999996</v>
      </c>
      <c r="AH136" s="21">
        <v>19.753699999999998</v>
      </c>
      <c r="AI136" s="21">
        <v>-1.45477E-2</v>
      </c>
      <c r="AJ136" s="21">
        <v>126</v>
      </c>
      <c r="AK136" s="21">
        <v>0.53384399999999999</v>
      </c>
      <c r="AL136">
        <f t="shared" si="18"/>
        <v>17.960123456790122</v>
      </c>
      <c r="AM136">
        <f t="shared" si="19"/>
        <v>9.5999553895061709</v>
      </c>
      <c r="AP136" s="9"/>
      <c r="AQ136" s="21">
        <v>1.16547</v>
      </c>
      <c r="AR136" s="21">
        <v>25.246700000000001</v>
      </c>
      <c r="AS136" s="21">
        <v>-1.40442E-2</v>
      </c>
      <c r="AT136" s="21">
        <v>126</v>
      </c>
      <c r="AU136" s="21">
        <v>1.16425</v>
      </c>
      <c r="AV136">
        <f t="shared" si="20"/>
        <v>17.338518518518516</v>
      </c>
      <c r="AW136">
        <f t="shared" si="21"/>
        <v>20.207523177777773</v>
      </c>
      <c r="AX136" s="9"/>
      <c r="AY136" s="21">
        <v>0.53451499999999996</v>
      </c>
      <c r="AZ136" s="21">
        <v>29.065999999999999</v>
      </c>
      <c r="BA136" s="21">
        <v>-1.46027E-2</v>
      </c>
      <c r="BB136" s="21">
        <v>126</v>
      </c>
      <c r="BC136" s="21">
        <v>0.53387499999999999</v>
      </c>
      <c r="BD136">
        <f t="shared" si="22"/>
        <v>18.028024691358024</v>
      </c>
      <c r="BE136">
        <f t="shared" si="23"/>
        <v>9.6362496179012336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6.62134</v>
      </c>
      <c r="I137" s="21">
        <v>-1.4053299999999999E-2</v>
      </c>
      <c r="J137" s="21">
        <v>127</v>
      </c>
      <c r="K137" s="21">
        <v>1.15906</v>
      </c>
      <c r="L137">
        <f t="shared" si="12"/>
        <v>17.349753086419753</v>
      </c>
      <c r="M137">
        <f t="shared" si="13"/>
        <v>20.133173974074076</v>
      </c>
      <c r="N137" s="9"/>
      <c r="O137" s="21">
        <v>0.539551</v>
      </c>
      <c r="P137" s="21">
        <v>10.4405</v>
      </c>
      <c r="Q137" s="21">
        <v>-1.46027E-2</v>
      </c>
      <c r="R137" s="21">
        <v>127</v>
      </c>
      <c r="S137" s="21">
        <v>0.53897099999999998</v>
      </c>
      <c r="T137">
        <f t="shared" si="14"/>
        <v>18.028024691358024</v>
      </c>
      <c r="U137">
        <f t="shared" si="15"/>
        <v>9.7270387502469138</v>
      </c>
      <c r="X137" s="9"/>
      <c r="Y137" s="21">
        <v>1.1604300000000001</v>
      </c>
      <c r="Z137" s="21">
        <v>15.944599999999999</v>
      </c>
      <c r="AA137" s="21">
        <v>-1.40137E-2</v>
      </c>
      <c r="AB137" s="21">
        <v>127</v>
      </c>
      <c r="AC137" s="21">
        <v>1.15967</v>
      </c>
      <c r="AD137">
        <f t="shared" si="16"/>
        <v>17.300864197530863</v>
      </c>
      <c r="AE137">
        <f t="shared" si="17"/>
        <v>20.076441840740742</v>
      </c>
      <c r="AF137" s="9"/>
      <c r="AG137" s="21">
        <v>0.539551</v>
      </c>
      <c r="AH137" s="21">
        <v>19.7637</v>
      </c>
      <c r="AI137" s="21">
        <v>-1.45386E-2</v>
      </c>
      <c r="AJ137" s="21">
        <v>127</v>
      </c>
      <c r="AK137" s="21">
        <v>0.53884900000000002</v>
      </c>
      <c r="AL137">
        <f t="shared" si="18"/>
        <v>17.948888888888888</v>
      </c>
      <c r="AM137">
        <f t="shared" si="19"/>
        <v>9.6843409488888881</v>
      </c>
      <c r="AP137" s="9"/>
      <c r="AQ137" s="21">
        <v>1.1604300000000001</v>
      </c>
      <c r="AR137" s="21">
        <v>25.256799999999998</v>
      </c>
      <c r="AS137" s="21">
        <v>-1.4047199999999999E-2</v>
      </c>
      <c r="AT137" s="21">
        <v>127</v>
      </c>
      <c r="AU137" s="21">
        <v>1.15967</v>
      </c>
      <c r="AV137">
        <f t="shared" si="20"/>
        <v>17.342222222222222</v>
      </c>
      <c r="AW137">
        <f t="shared" si="21"/>
        <v>20.124434933333333</v>
      </c>
      <c r="AX137" s="9"/>
      <c r="AY137" s="21">
        <v>0.539551</v>
      </c>
      <c r="AZ137" s="21">
        <v>29.0761</v>
      </c>
      <c r="BA137" s="21">
        <v>-1.4590499999999999E-2</v>
      </c>
      <c r="BB137" s="21">
        <v>127</v>
      </c>
      <c r="BC137" s="21">
        <v>0.53881800000000002</v>
      </c>
      <c r="BD137">
        <f t="shared" si="22"/>
        <v>18.012962962962959</v>
      </c>
      <c r="BE137">
        <f t="shared" si="23"/>
        <v>9.7189121796296281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6.6314099999999998</v>
      </c>
      <c r="I138" s="21">
        <v>-1.40625E-2</v>
      </c>
      <c r="J138" s="21">
        <v>128</v>
      </c>
      <c r="K138" s="21">
        <v>1.15387</v>
      </c>
      <c r="L138">
        <f t="shared" si="12"/>
        <v>17.361111111111111</v>
      </c>
      <c r="M138">
        <f t="shared" si="13"/>
        <v>20.059027777777779</v>
      </c>
      <c r="N138" s="9"/>
      <c r="O138" s="21">
        <v>0.54458600000000001</v>
      </c>
      <c r="P138" s="21">
        <v>10.4506</v>
      </c>
      <c r="Q138" s="21">
        <v>-1.45966E-2</v>
      </c>
      <c r="R138" s="21">
        <v>128</v>
      </c>
      <c r="S138" s="21">
        <v>0.54397600000000002</v>
      </c>
      <c r="T138">
        <f t="shared" si="14"/>
        <v>18.020493827160493</v>
      </c>
      <c r="U138">
        <f t="shared" si="15"/>
        <v>9.8137086513580254</v>
      </c>
      <c r="X138" s="9"/>
      <c r="Y138" s="21">
        <v>1.1554</v>
      </c>
      <c r="Z138" s="21">
        <v>15.954599999999999</v>
      </c>
      <c r="AA138" s="21">
        <v>-1.40381E-2</v>
      </c>
      <c r="AB138" s="21">
        <v>128</v>
      </c>
      <c r="AC138" s="21">
        <v>1.15448</v>
      </c>
      <c r="AD138">
        <f t="shared" si="16"/>
        <v>17.330987654320985</v>
      </c>
      <c r="AE138">
        <f t="shared" si="17"/>
        <v>20.024223135802465</v>
      </c>
      <c r="AF138" s="9"/>
      <c r="AG138" s="21">
        <v>0.54458600000000001</v>
      </c>
      <c r="AH138" s="21">
        <v>19.773800000000001</v>
      </c>
      <c r="AI138" s="21">
        <v>-1.45416E-2</v>
      </c>
      <c r="AJ138" s="21">
        <v>128</v>
      </c>
      <c r="AK138" s="21">
        <v>0.54403699999999999</v>
      </c>
      <c r="AL138">
        <f t="shared" si="18"/>
        <v>17.952592592592595</v>
      </c>
      <c r="AM138">
        <f t="shared" si="19"/>
        <v>9.776730589629631</v>
      </c>
      <c r="AP138" s="9"/>
      <c r="AQ138" s="21">
        <v>1.1554</v>
      </c>
      <c r="AR138" s="21">
        <v>25.2669</v>
      </c>
      <c r="AS138" s="21">
        <v>-1.40564E-2</v>
      </c>
      <c r="AT138" s="21">
        <v>128</v>
      </c>
      <c r="AU138" s="21">
        <v>1.15479</v>
      </c>
      <c r="AV138">
        <f t="shared" si="20"/>
        <v>17.35358024691358</v>
      </c>
      <c r="AW138">
        <f t="shared" si="21"/>
        <v>20.05032661728395</v>
      </c>
      <c r="AX138" s="9"/>
      <c r="AY138" s="21">
        <v>0.54458600000000001</v>
      </c>
      <c r="AZ138" s="21">
        <v>29.086099999999998</v>
      </c>
      <c r="BA138" s="21">
        <v>-1.45966E-2</v>
      </c>
      <c r="BB138" s="21">
        <v>128</v>
      </c>
      <c r="BC138" s="21">
        <v>0.54394500000000001</v>
      </c>
      <c r="BD138">
        <f t="shared" si="22"/>
        <v>18.020493827160493</v>
      </c>
      <c r="BE138">
        <f t="shared" si="23"/>
        <v>9.8137086513580254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6.6414799999999996</v>
      </c>
      <c r="I139" s="21">
        <v>-1.4074700000000001E-2</v>
      </c>
      <c r="J139" s="21">
        <v>129</v>
      </c>
      <c r="K139" s="21">
        <v>1.1492899999999999</v>
      </c>
      <c r="L139">
        <f t="shared" si="12"/>
        <v>17.376172839506172</v>
      </c>
      <c r="M139">
        <f t="shared" si="13"/>
        <v>19.988854187654322</v>
      </c>
      <c r="N139" s="9"/>
      <c r="O139" s="21">
        <v>0.54962200000000005</v>
      </c>
      <c r="P139" s="21">
        <v>10.460699999999999</v>
      </c>
      <c r="Q139" s="21">
        <v>-1.4599600000000001E-2</v>
      </c>
      <c r="R139" s="21">
        <v>129</v>
      </c>
      <c r="S139" s="21">
        <v>0.54901100000000003</v>
      </c>
      <c r="T139">
        <f t="shared" si="14"/>
        <v>18.0241975308642</v>
      </c>
      <c r="U139">
        <f t="shared" si="15"/>
        <v>9.9064954953086435</v>
      </c>
      <c r="X139" s="9"/>
      <c r="Y139" s="21">
        <v>1.15036</v>
      </c>
      <c r="Z139" s="21">
        <v>15.964700000000001</v>
      </c>
      <c r="AA139" s="21">
        <v>-1.40503E-2</v>
      </c>
      <c r="AB139" s="21">
        <v>129</v>
      </c>
      <c r="AC139" s="21">
        <v>1.1492899999999999</v>
      </c>
      <c r="AD139">
        <f t="shared" si="16"/>
        <v>17.34604938271605</v>
      </c>
      <c r="AE139">
        <f t="shared" si="17"/>
        <v>19.954201367901234</v>
      </c>
      <c r="AF139" s="9"/>
      <c r="AG139" s="21">
        <v>0.54962200000000005</v>
      </c>
      <c r="AH139" s="21">
        <v>19.783899999999999</v>
      </c>
      <c r="AI139" s="21">
        <v>-1.45386E-2</v>
      </c>
      <c r="AJ139" s="21">
        <v>129</v>
      </c>
      <c r="AK139" s="21">
        <v>0.54898100000000005</v>
      </c>
      <c r="AL139">
        <f t="shared" si="18"/>
        <v>17.948888888888888</v>
      </c>
      <c r="AM139">
        <f t="shared" si="19"/>
        <v>9.8651042088888889</v>
      </c>
      <c r="AP139" s="9"/>
      <c r="AQ139" s="21">
        <v>1.15036</v>
      </c>
      <c r="AR139" s="21">
        <v>25.276900000000001</v>
      </c>
      <c r="AS139" s="21">
        <v>-1.40625E-2</v>
      </c>
      <c r="AT139" s="21">
        <v>129</v>
      </c>
      <c r="AU139" s="21">
        <v>1.1498999999999999</v>
      </c>
      <c r="AV139">
        <f t="shared" si="20"/>
        <v>17.361111111111111</v>
      </c>
      <c r="AW139">
        <f t="shared" si="21"/>
        <v>19.971527777777776</v>
      </c>
      <c r="AX139" s="9"/>
      <c r="AY139" s="21">
        <v>0.54962200000000005</v>
      </c>
      <c r="AZ139" s="21">
        <v>29.0962</v>
      </c>
      <c r="BA139" s="21">
        <v>-1.4599600000000001E-2</v>
      </c>
      <c r="BB139" s="21">
        <v>129</v>
      </c>
      <c r="BC139" s="21">
        <v>0.54895000000000005</v>
      </c>
      <c r="BD139">
        <f t="shared" si="22"/>
        <v>18.0241975308642</v>
      </c>
      <c r="BE139">
        <f t="shared" si="23"/>
        <v>9.9064954953086435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6.6515599999999999</v>
      </c>
      <c r="I140" s="21">
        <v>-1.409E-2</v>
      </c>
      <c r="J140" s="21">
        <v>130</v>
      </c>
      <c r="K140" s="21">
        <v>1.1440999999999999</v>
      </c>
      <c r="L140">
        <f t="shared" ref="L140:L203" si="24">-I140/$F$2*1000</f>
        <v>17.39506172839506</v>
      </c>
      <c r="M140">
        <f t="shared" ref="M140:M203" si="25">L140*G140</f>
        <v>19.92291209876543</v>
      </c>
      <c r="N140" s="9"/>
      <c r="O140" s="21">
        <v>0.55465699999999996</v>
      </c>
      <c r="P140" s="21">
        <v>10.470700000000001</v>
      </c>
      <c r="Q140" s="21">
        <v>-1.4605699999999999E-2</v>
      </c>
      <c r="R140" s="21">
        <v>130</v>
      </c>
      <c r="S140" s="21">
        <v>0.553925</v>
      </c>
      <c r="T140">
        <f t="shared" ref="T140:T203" si="26">-Q140/$F$2*1000</f>
        <v>18.031728395061727</v>
      </c>
      <c r="U140">
        <f t="shared" ref="U140:U203" si="27">T140*O140</f>
        <v>10.001424376419751</v>
      </c>
      <c r="X140" s="9"/>
      <c r="Y140" s="21">
        <v>1.1453199999999999</v>
      </c>
      <c r="Z140" s="21">
        <v>15.9748</v>
      </c>
      <c r="AA140" s="21">
        <v>-1.4053299999999999E-2</v>
      </c>
      <c r="AB140" s="21">
        <v>130</v>
      </c>
      <c r="AC140" s="21">
        <v>1.1447099999999999</v>
      </c>
      <c r="AD140">
        <f t="shared" ref="AD140:AD203" si="28">-AA140/$F$2*1000</f>
        <v>17.349753086419753</v>
      </c>
      <c r="AE140">
        <f t="shared" ref="AE140:AE203" si="29">AD140*Y140</f>
        <v>19.871019204938271</v>
      </c>
      <c r="AF140" s="9"/>
      <c r="AG140" s="21">
        <v>0.55465699999999996</v>
      </c>
      <c r="AH140" s="21">
        <v>19.794</v>
      </c>
      <c r="AI140" s="21">
        <v>-1.4550799999999999E-2</v>
      </c>
      <c r="AJ140" s="21">
        <v>130</v>
      </c>
      <c r="AK140" s="21">
        <v>0.553925</v>
      </c>
      <c r="AL140">
        <f t="shared" ref="AL140:AL203" si="30">-AI140/$F$2*1000</f>
        <v>17.963950617283949</v>
      </c>
      <c r="AM140">
        <f t="shared" ref="AM140:AM203" si="31">AL140*AG140</f>
        <v>9.9638309575308632</v>
      </c>
      <c r="AP140" s="9"/>
      <c r="AQ140" s="21">
        <v>1.1453199999999999</v>
      </c>
      <c r="AR140" s="21">
        <v>25.286999999999999</v>
      </c>
      <c r="AS140" s="21">
        <v>-1.4080799999999999E-2</v>
      </c>
      <c r="AT140" s="21">
        <v>130</v>
      </c>
      <c r="AU140" s="21">
        <v>1.1447099999999999</v>
      </c>
      <c r="AV140">
        <f t="shared" ref="AV140:AV203" si="32">-AS140/$F$2*1000</f>
        <v>17.383703703703702</v>
      </c>
      <c r="AW140">
        <f t="shared" ref="AW140:AW203" si="33">AV140*AQ140</f>
        <v>19.909903525925923</v>
      </c>
      <c r="AX140" s="9"/>
      <c r="AY140" s="21">
        <v>0.55465699999999996</v>
      </c>
      <c r="AZ140" s="21">
        <v>29.106300000000001</v>
      </c>
      <c r="BA140" s="21">
        <v>-1.46088E-2</v>
      </c>
      <c r="BB140" s="21">
        <v>130</v>
      </c>
      <c r="BC140" s="21">
        <v>0.55398599999999998</v>
      </c>
      <c r="BD140">
        <f t="shared" ref="BD140:BD203" si="34">-BA140/$F$2*1000</f>
        <v>18.035555555555554</v>
      </c>
      <c r="BE140">
        <f t="shared" ref="BE140:BE203" si="35">BD140*AY140</f>
        <v>10.003547137777776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6.6616299999999997</v>
      </c>
      <c r="I141" s="21">
        <v>-1.40961E-2</v>
      </c>
      <c r="J141" s="21">
        <v>131</v>
      </c>
      <c r="K141" s="21">
        <v>1.1389199999999999</v>
      </c>
      <c r="L141">
        <f t="shared" si="24"/>
        <v>17.40259259259259</v>
      </c>
      <c r="M141">
        <f t="shared" si="25"/>
        <v>19.844002307407404</v>
      </c>
      <c r="N141" s="9"/>
      <c r="O141" s="21">
        <v>0.55969199999999997</v>
      </c>
      <c r="P141" s="21">
        <v>10.4808</v>
      </c>
      <c r="Q141" s="21">
        <v>-1.4605699999999999E-2</v>
      </c>
      <c r="R141" s="21">
        <v>131</v>
      </c>
      <c r="S141" s="21">
        <v>0.55908199999999997</v>
      </c>
      <c r="T141">
        <f t="shared" si="26"/>
        <v>18.031728395061727</v>
      </c>
      <c r="U141">
        <f t="shared" si="27"/>
        <v>10.092214128888887</v>
      </c>
      <c r="X141" s="9"/>
      <c r="Y141" s="21">
        <v>1.14029</v>
      </c>
      <c r="Z141" s="21">
        <v>15.9848</v>
      </c>
      <c r="AA141" s="21">
        <v>-1.40564E-2</v>
      </c>
      <c r="AB141" s="21">
        <v>131</v>
      </c>
      <c r="AC141" s="21">
        <v>1.1395299999999999</v>
      </c>
      <c r="AD141">
        <f t="shared" si="28"/>
        <v>17.35358024691358</v>
      </c>
      <c r="AE141">
        <f t="shared" si="29"/>
        <v>19.788114019753088</v>
      </c>
      <c r="AF141" s="9"/>
      <c r="AG141" s="21">
        <v>0.55969199999999997</v>
      </c>
      <c r="AH141" s="21">
        <v>19.803999999999998</v>
      </c>
      <c r="AI141" s="21">
        <v>-1.45691E-2</v>
      </c>
      <c r="AJ141" s="21">
        <v>131</v>
      </c>
      <c r="AK141" s="21">
        <v>0.55908199999999997</v>
      </c>
      <c r="AL141">
        <f t="shared" si="30"/>
        <v>17.98654320987654</v>
      </c>
      <c r="AM141">
        <f t="shared" si="31"/>
        <v>10.066924342222221</v>
      </c>
      <c r="AP141" s="9"/>
      <c r="AQ141" s="21">
        <v>1.14029</v>
      </c>
      <c r="AR141" s="21">
        <v>25.2971</v>
      </c>
      <c r="AS141" s="21">
        <v>-1.409E-2</v>
      </c>
      <c r="AT141" s="21">
        <v>131</v>
      </c>
      <c r="AU141" s="21">
        <v>1.1392199999999999</v>
      </c>
      <c r="AV141">
        <f t="shared" si="32"/>
        <v>17.39506172839506</v>
      </c>
      <c r="AW141">
        <f t="shared" si="33"/>
        <v>19.835414938271605</v>
      </c>
      <c r="AX141" s="9"/>
      <c r="AY141" s="21">
        <v>0.55969199999999997</v>
      </c>
      <c r="AZ141" s="21">
        <v>29.116299999999999</v>
      </c>
      <c r="BA141" s="21">
        <v>-1.4605699999999999E-2</v>
      </c>
      <c r="BB141" s="21">
        <v>131</v>
      </c>
      <c r="BC141" s="21">
        <v>0.55902099999999999</v>
      </c>
      <c r="BD141">
        <f t="shared" si="34"/>
        <v>18.031728395061727</v>
      </c>
      <c r="BE141">
        <f t="shared" si="35"/>
        <v>10.092214128888887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6.6717000000000004</v>
      </c>
      <c r="I142" s="21">
        <v>-1.41174E-2</v>
      </c>
      <c r="J142" s="21">
        <v>132</v>
      </c>
      <c r="K142" s="21">
        <v>1.1343399999999999</v>
      </c>
      <c r="L142">
        <f t="shared" si="24"/>
        <v>17.428888888888888</v>
      </c>
      <c r="M142">
        <f t="shared" si="25"/>
        <v>19.786146111111112</v>
      </c>
      <c r="N142" s="9"/>
      <c r="O142" s="21">
        <v>0.56472800000000001</v>
      </c>
      <c r="P142" s="21">
        <v>10.4909</v>
      </c>
      <c r="Q142" s="21">
        <v>-1.4599600000000001E-2</v>
      </c>
      <c r="R142" s="21">
        <v>132</v>
      </c>
      <c r="S142" s="21">
        <v>0.56411699999999998</v>
      </c>
      <c r="T142">
        <f t="shared" si="26"/>
        <v>18.0241975308642</v>
      </c>
      <c r="U142">
        <f t="shared" si="27"/>
        <v>10.178769023209878</v>
      </c>
      <c r="X142" s="9"/>
      <c r="Y142" s="21">
        <v>1.1352500000000001</v>
      </c>
      <c r="Z142" s="21">
        <v>15.994899999999999</v>
      </c>
      <c r="AA142" s="21">
        <v>-1.4065599999999999E-2</v>
      </c>
      <c r="AB142" s="21">
        <v>132</v>
      </c>
      <c r="AC142" s="21">
        <v>1.1346400000000001</v>
      </c>
      <c r="AD142">
        <f t="shared" si="28"/>
        <v>17.364938271604938</v>
      </c>
      <c r="AE142">
        <f t="shared" si="29"/>
        <v>19.713546172839507</v>
      </c>
      <c r="AF142" s="9"/>
      <c r="AG142" s="21">
        <v>0.56472800000000001</v>
      </c>
      <c r="AH142" s="21">
        <v>19.8141</v>
      </c>
      <c r="AI142" s="21">
        <v>-1.4572099999999999E-2</v>
      </c>
      <c r="AJ142" s="21">
        <v>132</v>
      </c>
      <c r="AK142" s="21">
        <v>0.56411699999999998</v>
      </c>
      <c r="AL142">
        <f t="shared" si="30"/>
        <v>17.990246913580243</v>
      </c>
      <c r="AM142">
        <f t="shared" si="31"/>
        <v>10.159596159012343</v>
      </c>
      <c r="AP142" s="9"/>
      <c r="AQ142" s="21">
        <v>1.1352500000000001</v>
      </c>
      <c r="AR142" s="21">
        <v>25.307099999999998</v>
      </c>
      <c r="AS142" s="21">
        <v>-1.41022E-2</v>
      </c>
      <c r="AT142" s="21">
        <v>132</v>
      </c>
      <c r="AU142" s="21">
        <v>1.1346400000000001</v>
      </c>
      <c r="AV142">
        <f t="shared" si="32"/>
        <v>17.410123456790124</v>
      </c>
      <c r="AW142">
        <f t="shared" si="33"/>
        <v>19.76484265432099</v>
      </c>
      <c r="AX142" s="9"/>
      <c r="AY142" s="21">
        <v>0.56472800000000001</v>
      </c>
      <c r="AZ142" s="21">
        <v>29.1264</v>
      </c>
      <c r="BA142" s="21">
        <v>-1.4599600000000001E-2</v>
      </c>
      <c r="BB142" s="21">
        <v>132</v>
      </c>
      <c r="BC142" s="21">
        <v>0.56408700000000001</v>
      </c>
      <c r="BD142">
        <f t="shared" si="34"/>
        <v>18.0241975308642</v>
      </c>
      <c r="BE142">
        <f t="shared" si="35"/>
        <v>10.178769023209878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6.6817700000000002</v>
      </c>
      <c r="I143" s="21">
        <v>-1.41327E-2</v>
      </c>
      <c r="J143" s="21">
        <v>133</v>
      </c>
      <c r="K143" s="21">
        <v>1.1294599999999999</v>
      </c>
      <c r="L143">
        <f t="shared" si="24"/>
        <v>17.447777777777777</v>
      </c>
      <c r="M143">
        <f t="shared" si="25"/>
        <v>19.7198274</v>
      </c>
      <c r="N143" s="9"/>
      <c r="O143" s="21">
        <v>0.56976300000000002</v>
      </c>
      <c r="P143" s="21">
        <v>10.500999999999999</v>
      </c>
      <c r="Q143" s="21">
        <v>-1.4599600000000001E-2</v>
      </c>
      <c r="R143" s="21">
        <v>133</v>
      </c>
      <c r="S143" s="21">
        <v>0.56912200000000002</v>
      </c>
      <c r="T143">
        <f t="shared" si="26"/>
        <v>18.0241975308642</v>
      </c>
      <c r="U143">
        <f t="shared" si="27"/>
        <v>10.269520857777779</v>
      </c>
      <c r="X143" s="9"/>
      <c r="Y143" s="21">
        <v>1.13022</v>
      </c>
      <c r="Z143" s="21">
        <v>16.004999999999999</v>
      </c>
      <c r="AA143" s="21">
        <v>-1.4086899999999999E-2</v>
      </c>
      <c r="AB143" s="21">
        <v>133</v>
      </c>
      <c r="AC143" s="21">
        <v>1.1294599999999999</v>
      </c>
      <c r="AD143">
        <f t="shared" si="28"/>
        <v>17.391234567901233</v>
      </c>
      <c r="AE143">
        <f t="shared" si="29"/>
        <v>19.655921133333329</v>
      </c>
      <c r="AF143" s="9"/>
      <c r="AG143" s="21">
        <v>0.56976300000000002</v>
      </c>
      <c r="AH143" s="21">
        <v>19.824200000000001</v>
      </c>
      <c r="AI143" s="21">
        <v>-1.4566000000000001E-2</v>
      </c>
      <c r="AJ143" s="21">
        <v>133</v>
      </c>
      <c r="AK143" s="21">
        <v>0.56912200000000002</v>
      </c>
      <c r="AL143">
        <f t="shared" si="30"/>
        <v>17.982716049382717</v>
      </c>
      <c r="AM143">
        <f t="shared" si="31"/>
        <v>10.245886244444446</v>
      </c>
      <c r="AP143" s="9"/>
      <c r="AQ143" s="21">
        <v>1.13022</v>
      </c>
      <c r="AR143" s="21">
        <v>25.3172</v>
      </c>
      <c r="AS143" s="21">
        <v>-1.41113E-2</v>
      </c>
      <c r="AT143" s="21">
        <v>133</v>
      </c>
      <c r="AU143" s="21">
        <v>1.1291500000000001</v>
      </c>
      <c r="AV143">
        <f t="shared" si="32"/>
        <v>17.421358024691358</v>
      </c>
      <c r="AW143">
        <f t="shared" si="33"/>
        <v>19.689967266666667</v>
      </c>
      <c r="AX143" s="9"/>
      <c r="AY143" s="21">
        <v>0.56976300000000002</v>
      </c>
      <c r="AZ143" s="21">
        <v>29.136500000000002</v>
      </c>
      <c r="BA143" s="21">
        <v>-1.4593500000000001E-2</v>
      </c>
      <c r="BB143" s="21">
        <v>133</v>
      </c>
      <c r="BC143" s="21">
        <v>0.56915300000000002</v>
      </c>
      <c r="BD143">
        <f t="shared" si="34"/>
        <v>18.016666666666666</v>
      </c>
      <c r="BE143">
        <f t="shared" si="35"/>
        <v>10.26523005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6.69184</v>
      </c>
      <c r="I144" s="21">
        <v>-1.41449E-2</v>
      </c>
      <c r="J144" s="21">
        <v>134</v>
      </c>
      <c r="K144" s="21">
        <v>1.1242700000000001</v>
      </c>
      <c r="L144">
        <f t="shared" si="24"/>
        <v>17.462839506172838</v>
      </c>
      <c r="M144">
        <f t="shared" si="25"/>
        <v>19.648837755555554</v>
      </c>
      <c r="N144" s="9"/>
      <c r="O144" s="21">
        <v>0.57479899999999995</v>
      </c>
      <c r="P144" s="21">
        <v>10.510999999999999</v>
      </c>
      <c r="Q144" s="21">
        <v>-1.45966E-2</v>
      </c>
      <c r="R144" s="21">
        <v>134</v>
      </c>
      <c r="S144" s="21">
        <v>0.57403599999999999</v>
      </c>
      <c r="T144">
        <f t="shared" si="26"/>
        <v>18.020493827160493</v>
      </c>
      <c r="U144">
        <f t="shared" si="27"/>
        <v>10.358161831358023</v>
      </c>
      <c r="X144" s="9"/>
      <c r="Y144" s="21">
        <v>1.1251800000000001</v>
      </c>
      <c r="Z144" s="21">
        <v>16.0151</v>
      </c>
      <c r="AA144" s="21">
        <v>-1.4114399999999999E-2</v>
      </c>
      <c r="AB144" s="21">
        <v>134</v>
      </c>
      <c r="AC144" s="21">
        <v>1.1242700000000001</v>
      </c>
      <c r="AD144">
        <f t="shared" si="28"/>
        <v>17.425185185185182</v>
      </c>
      <c r="AE144">
        <f t="shared" si="29"/>
        <v>19.606469866666664</v>
      </c>
      <c r="AF144" s="9"/>
      <c r="AG144" s="21">
        <v>0.57479899999999995</v>
      </c>
      <c r="AH144" s="21">
        <v>19.834199999999999</v>
      </c>
      <c r="AI144" s="21">
        <v>-1.4559900000000001E-2</v>
      </c>
      <c r="AJ144" s="21">
        <v>134</v>
      </c>
      <c r="AK144" s="21">
        <v>0.57400499999999999</v>
      </c>
      <c r="AL144">
        <f t="shared" si="30"/>
        <v>17.975185185185186</v>
      </c>
      <c r="AM144">
        <f t="shared" si="31"/>
        <v>10.332118469259258</v>
      </c>
      <c r="AP144" s="9"/>
      <c r="AQ144" s="21">
        <v>1.1251800000000001</v>
      </c>
      <c r="AR144" s="21">
        <v>25.327300000000001</v>
      </c>
      <c r="AS144" s="21">
        <v>-1.4120499999999999E-2</v>
      </c>
      <c r="AT144" s="21">
        <v>134</v>
      </c>
      <c r="AU144" s="21">
        <v>1.1239600000000001</v>
      </c>
      <c r="AV144">
        <f t="shared" si="32"/>
        <v>17.432716049382716</v>
      </c>
      <c r="AW144">
        <f t="shared" si="33"/>
        <v>19.614943444444446</v>
      </c>
      <c r="AX144" s="9"/>
      <c r="AY144" s="21">
        <v>0.57479899999999995</v>
      </c>
      <c r="AZ144" s="21">
        <v>29.1465</v>
      </c>
      <c r="BA144" s="21">
        <v>-1.45966E-2</v>
      </c>
      <c r="BB144" s="21">
        <v>134</v>
      </c>
      <c r="BC144" s="21">
        <v>0.57424900000000001</v>
      </c>
      <c r="BD144">
        <f t="shared" si="34"/>
        <v>18.020493827160493</v>
      </c>
      <c r="BE144">
        <f t="shared" si="35"/>
        <v>10.358161831358023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6.7019099999999998</v>
      </c>
      <c r="I145" s="21">
        <v>-1.41602E-2</v>
      </c>
      <c r="J145" s="21">
        <v>135</v>
      </c>
      <c r="K145" s="21">
        <v>1.11938</v>
      </c>
      <c r="L145">
        <f t="shared" si="24"/>
        <v>17.481728395061729</v>
      </c>
      <c r="M145">
        <f t="shared" si="25"/>
        <v>19.582158061728396</v>
      </c>
      <c r="N145" s="9"/>
      <c r="O145" s="21">
        <v>0.57983399999999996</v>
      </c>
      <c r="P145" s="21">
        <v>10.521100000000001</v>
      </c>
      <c r="Q145" s="21">
        <v>-1.4584400000000001E-2</v>
      </c>
      <c r="R145" s="21">
        <v>135</v>
      </c>
      <c r="S145" s="21">
        <v>0.57922399999999996</v>
      </c>
      <c r="T145">
        <f t="shared" si="26"/>
        <v>18.005432098765432</v>
      </c>
      <c r="U145">
        <f t="shared" si="27"/>
        <v>10.440161715555554</v>
      </c>
      <c r="X145" s="9"/>
      <c r="Y145" s="21">
        <v>1.12015</v>
      </c>
      <c r="Z145" s="21">
        <v>16.025099999999998</v>
      </c>
      <c r="AA145" s="21">
        <v>-1.41266E-2</v>
      </c>
      <c r="AB145" s="21">
        <v>135</v>
      </c>
      <c r="AC145" s="21">
        <v>1.1196900000000001</v>
      </c>
      <c r="AD145">
        <f t="shared" si="28"/>
        <v>17.440246913580246</v>
      </c>
      <c r="AE145">
        <f t="shared" si="29"/>
        <v>19.535692580246913</v>
      </c>
      <c r="AF145" s="9"/>
      <c r="AG145" s="21">
        <v>0.57983399999999996</v>
      </c>
      <c r="AH145" s="21">
        <v>19.8443</v>
      </c>
      <c r="AI145" s="21">
        <v>-1.4550799999999999E-2</v>
      </c>
      <c r="AJ145" s="21">
        <v>135</v>
      </c>
      <c r="AK145" s="21">
        <v>0.57901000000000002</v>
      </c>
      <c r="AL145">
        <f t="shared" si="30"/>
        <v>17.963950617283949</v>
      </c>
      <c r="AM145">
        <f t="shared" si="31"/>
        <v>10.416109342222221</v>
      </c>
      <c r="AP145" s="9"/>
      <c r="AQ145" s="21">
        <v>1.12015</v>
      </c>
      <c r="AR145" s="21">
        <v>25.337399999999999</v>
      </c>
      <c r="AS145" s="21">
        <v>-1.4129600000000001E-2</v>
      </c>
      <c r="AT145" s="21">
        <v>135</v>
      </c>
      <c r="AU145" s="21">
        <v>1.11938</v>
      </c>
      <c r="AV145">
        <f t="shared" si="32"/>
        <v>17.443950617283949</v>
      </c>
      <c r="AW145">
        <f t="shared" si="33"/>
        <v>19.539841283950615</v>
      </c>
      <c r="AX145" s="9"/>
      <c r="AY145" s="21">
        <v>0.57983399999999996</v>
      </c>
      <c r="AZ145" s="21">
        <v>29.156600000000001</v>
      </c>
      <c r="BA145" s="21">
        <v>-1.45966E-2</v>
      </c>
      <c r="BB145" s="21">
        <v>135</v>
      </c>
      <c r="BC145" s="21">
        <v>0.57916299999999998</v>
      </c>
      <c r="BD145">
        <f t="shared" si="34"/>
        <v>18.020493827160493</v>
      </c>
      <c r="BE145">
        <f t="shared" si="35"/>
        <v>10.448895017777776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6.7119799999999996</v>
      </c>
      <c r="I146" s="21">
        <v>-1.41785E-2</v>
      </c>
      <c r="J146" s="21">
        <v>136</v>
      </c>
      <c r="K146" s="21">
        <v>1.1142000000000001</v>
      </c>
      <c r="L146">
        <f t="shared" si="24"/>
        <v>17.504320987654321</v>
      </c>
      <c r="M146">
        <f t="shared" si="25"/>
        <v>19.519243376543212</v>
      </c>
      <c r="N146" s="9"/>
      <c r="O146" s="21">
        <v>0.58486899999999997</v>
      </c>
      <c r="P146" s="21">
        <v>10.5312</v>
      </c>
      <c r="Q146" s="21">
        <v>-1.45813E-2</v>
      </c>
      <c r="R146" s="21">
        <v>136</v>
      </c>
      <c r="S146" s="21">
        <v>0.584229</v>
      </c>
      <c r="T146">
        <f t="shared" si="26"/>
        <v>18.001604938271605</v>
      </c>
      <c r="U146">
        <f t="shared" si="27"/>
        <v>10.528580678641974</v>
      </c>
      <c r="X146" s="9"/>
      <c r="Y146" s="21">
        <v>1.11511</v>
      </c>
      <c r="Z146" s="21">
        <v>16.0352</v>
      </c>
      <c r="AA146" s="21">
        <v>-1.41174E-2</v>
      </c>
      <c r="AB146" s="21">
        <v>136</v>
      </c>
      <c r="AC146" s="21">
        <v>1.11389</v>
      </c>
      <c r="AD146">
        <f t="shared" si="28"/>
        <v>17.428888888888888</v>
      </c>
      <c r="AE146">
        <f t="shared" si="29"/>
        <v>19.43512828888889</v>
      </c>
      <c r="AF146" s="9"/>
      <c r="AG146" s="21">
        <v>0.58486899999999997</v>
      </c>
      <c r="AH146" s="21">
        <v>19.854399999999998</v>
      </c>
      <c r="AI146" s="21">
        <v>-1.4550799999999999E-2</v>
      </c>
      <c r="AJ146" s="21">
        <v>136</v>
      </c>
      <c r="AK146" s="21">
        <v>0.58413700000000002</v>
      </c>
      <c r="AL146">
        <f t="shared" si="30"/>
        <v>17.963950617283949</v>
      </c>
      <c r="AM146">
        <f t="shared" si="31"/>
        <v>10.506557833580246</v>
      </c>
      <c r="AP146" s="9"/>
      <c r="AQ146" s="21">
        <v>1.11511</v>
      </c>
      <c r="AR146" s="21">
        <v>25.3474</v>
      </c>
      <c r="AS146" s="21">
        <v>-1.41266E-2</v>
      </c>
      <c r="AT146" s="21">
        <v>136</v>
      </c>
      <c r="AU146" s="21">
        <v>1.1145</v>
      </c>
      <c r="AV146">
        <f t="shared" si="32"/>
        <v>17.440246913580246</v>
      </c>
      <c r="AW146">
        <f t="shared" si="33"/>
        <v>19.44779373580247</v>
      </c>
      <c r="AX146" s="9"/>
      <c r="AY146" s="21">
        <v>0.58486899999999997</v>
      </c>
      <c r="AZ146" s="21">
        <v>29.166699999999999</v>
      </c>
      <c r="BA146" s="21">
        <v>-1.45966E-2</v>
      </c>
      <c r="BB146" s="21">
        <v>136</v>
      </c>
      <c r="BC146" s="21">
        <v>0.584229</v>
      </c>
      <c r="BD146">
        <f t="shared" si="34"/>
        <v>18.020493827160493</v>
      </c>
      <c r="BE146">
        <f t="shared" si="35"/>
        <v>10.53962820419753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6.7220500000000003</v>
      </c>
      <c r="I147" s="21">
        <v>-1.41876E-2</v>
      </c>
      <c r="J147" s="21">
        <v>137</v>
      </c>
      <c r="K147" s="21">
        <v>1.10931</v>
      </c>
      <c r="L147">
        <f t="shared" si="24"/>
        <v>17.515555555555554</v>
      </c>
      <c r="M147">
        <f t="shared" si="25"/>
        <v>19.44366791111111</v>
      </c>
      <c r="N147" s="9"/>
      <c r="O147" s="21">
        <v>0.58990500000000001</v>
      </c>
      <c r="P147" s="21">
        <v>10.5412</v>
      </c>
      <c r="Q147" s="21">
        <v>-1.45874E-2</v>
      </c>
      <c r="R147" s="21">
        <v>137</v>
      </c>
      <c r="S147" s="21">
        <v>0.58926400000000001</v>
      </c>
      <c r="T147">
        <f t="shared" si="26"/>
        <v>18.009135802469135</v>
      </c>
      <c r="U147">
        <f t="shared" si="27"/>
        <v>10.623679255555555</v>
      </c>
      <c r="X147" s="9"/>
      <c r="Y147" s="21">
        <v>1.11008</v>
      </c>
      <c r="Z147" s="21">
        <v>16.045300000000001</v>
      </c>
      <c r="AA147" s="21">
        <v>-1.41113E-2</v>
      </c>
      <c r="AB147" s="21">
        <v>137</v>
      </c>
      <c r="AC147" s="21">
        <v>1.10931</v>
      </c>
      <c r="AD147">
        <f t="shared" si="28"/>
        <v>17.421358024691358</v>
      </c>
      <c r="AE147">
        <f t="shared" si="29"/>
        <v>19.339101116049381</v>
      </c>
      <c r="AF147" s="9"/>
      <c r="AG147" s="21">
        <v>0.58990500000000001</v>
      </c>
      <c r="AH147" s="21">
        <v>19.8645</v>
      </c>
      <c r="AI147" s="21">
        <v>-1.4544700000000001E-2</v>
      </c>
      <c r="AJ147" s="21">
        <v>137</v>
      </c>
      <c r="AK147" s="21">
        <v>0.58926400000000001</v>
      </c>
      <c r="AL147">
        <f t="shared" si="30"/>
        <v>17.956419753086422</v>
      </c>
      <c r="AM147">
        <f t="shared" si="31"/>
        <v>10.592581794444445</v>
      </c>
      <c r="AP147" s="9"/>
      <c r="AQ147" s="21">
        <v>1.11008</v>
      </c>
      <c r="AR147" s="21">
        <v>25.357500000000002</v>
      </c>
      <c r="AS147" s="21">
        <v>-1.4123500000000001E-2</v>
      </c>
      <c r="AT147" s="21">
        <v>137</v>
      </c>
      <c r="AU147" s="21">
        <v>1.1087</v>
      </c>
      <c r="AV147">
        <f t="shared" si="32"/>
        <v>17.436419753086419</v>
      </c>
      <c r="AW147">
        <f t="shared" si="33"/>
        <v>19.355820839506173</v>
      </c>
      <c r="AX147" s="9"/>
      <c r="AY147" s="21">
        <v>0.58990500000000001</v>
      </c>
      <c r="AZ147" s="21">
        <v>29.1768</v>
      </c>
      <c r="BA147" s="21">
        <v>-1.4593500000000001E-2</v>
      </c>
      <c r="BB147" s="21">
        <v>137</v>
      </c>
      <c r="BC147" s="21">
        <v>0.58926400000000001</v>
      </c>
      <c r="BD147">
        <f t="shared" si="34"/>
        <v>18.016666666666666</v>
      </c>
      <c r="BE147">
        <f t="shared" si="35"/>
        <v>10.62812175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6.7321200000000001</v>
      </c>
      <c r="I148" s="21">
        <v>-1.41815E-2</v>
      </c>
      <c r="J148" s="21">
        <v>138</v>
      </c>
      <c r="K148" s="21">
        <v>1.1035200000000001</v>
      </c>
      <c r="L148">
        <f t="shared" si="24"/>
        <v>17.508024691358024</v>
      </c>
      <c r="M148">
        <f t="shared" si="25"/>
        <v>19.347067604938271</v>
      </c>
      <c r="N148" s="9"/>
      <c r="O148" s="21">
        <v>0.59494000000000002</v>
      </c>
      <c r="P148" s="21">
        <v>10.551299999999999</v>
      </c>
      <c r="Q148" s="21">
        <v>-1.4578199999999999E-2</v>
      </c>
      <c r="R148" s="21">
        <v>138</v>
      </c>
      <c r="S148" s="21">
        <v>0.59423800000000004</v>
      </c>
      <c r="T148">
        <f t="shared" si="26"/>
        <v>17.997777777777777</v>
      </c>
      <c r="U148">
        <f t="shared" si="27"/>
        <v>10.707597911111112</v>
      </c>
      <c r="X148" s="9"/>
      <c r="Y148" s="21">
        <v>1.10504</v>
      </c>
      <c r="Z148" s="21">
        <v>16.055299999999999</v>
      </c>
      <c r="AA148" s="21">
        <v>-1.41052E-2</v>
      </c>
      <c r="AB148" s="21">
        <v>138</v>
      </c>
      <c r="AC148" s="21">
        <v>1.1041300000000001</v>
      </c>
      <c r="AD148">
        <f t="shared" si="28"/>
        <v>17.413827160493828</v>
      </c>
      <c r="AE148">
        <f t="shared" si="29"/>
        <v>19.242975565432101</v>
      </c>
      <c r="AF148" s="9"/>
      <c r="AG148" s="21">
        <v>0.59494000000000002</v>
      </c>
      <c r="AH148" s="21">
        <v>19.874500000000001</v>
      </c>
      <c r="AI148" s="21">
        <v>-1.45538E-2</v>
      </c>
      <c r="AJ148" s="21">
        <v>138</v>
      </c>
      <c r="AK148" s="21">
        <v>0.59423800000000004</v>
      </c>
      <c r="AL148">
        <f t="shared" si="30"/>
        <v>17.967654320987652</v>
      </c>
      <c r="AM148">
        <f t="shared" si="31"/>
        <v>10.689676261728394</v>
      </c>
      <c r="AP148" s="9"/>
      <c r="AQ148" s="21">
        <v>1.10504</v>
      </c>
      <c r="AR148" s="21">
        <v>25.367599999999999</v>
      </c>
      <c r="AS148" s="21">
        <v>-1.41327E-2</v>
      </c>
      <c r="AT148" s="21">
        <v>138</v>
      </c>
      <c r="AU148" s="21">
        <v>1.10443</v>
      </c>
      <c r="AV148">
        <f t="shared" si="32"/>
        <v>17.447777777777777</v>
      </c>
      <c r="AW148">
        <f t="shared" si="33"/>
        <v>19.280492355555555</v>
      </c>
      <c r="AX148" s="9"/>
      <c r="AY148" s="21">
        <v>0.59494000000000002</v>
      </c>
      <c r="AZ148" s="21">
        <v>29.186800000000002</v>
      </c>
      <c r="BA148" s="21">
        <v>-1.45874E-2</v>
      </c>
      <c r="BB148" s="21">
        <v>138</v>
      </c>
      <c r="BC148" s="21">
        <v>0.59423800000000004</v>
      </c>
      <c r="BD148">
        <f t="shared" si="34"/>
        <v>18.009135802469135</v>
      </c>
      <c r="BE148">
        <f t="shared" si="35"/>
        <v>10.714355254320989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6.7421899999999999</v>
      </c>
      <c r="I149" s="21">
        <v>-1.4175399999999999E-2</v>
      </c>
      <c r="J149" s="21">
        <v>139</v>
      </c>
      <c r="K149" s="21">
        <v>1.09894</v>
      </c>
      <c r="L149">
        <f t="shared" si="24"/>
        <v>17.500493827160494</v>
      </c>
      <c r="M149">
        <f t="shared" si="25"/>
        <v>19.250718214814814</v>
      </c>
      <c r="N149" s="9"/>
      <c r="O149" s="21">
        <v>0.59997599999999995</v>
      </c>
      <c r="P149" s="21">
        <v>10.561400000000001</v>
      </c>
      <c r="Q149" s="21">
        <v>-1.45813E-2</v>
      </c>
      <c r="R149" s="21">
        <v>139</v>
      </c>
      <c r="S149" s="21">
        <v>0.59936500000000004</v>
      </c>
      <c r="T149">
        <f t="shared" si="26"/>
        <v>18.001604938271605</v>
      </c>
      <c r="U149">
        <f t="shared" si="27"/>
        <v>10.800530924444443</v>
      </c>
      <c r="X149" s="9"/>
      <c r="Y149" s="21">
        <v>1.1000099999999999</v>
      </c>
      <c r="Z149" s="21">
        <v>16.0654</v>
      </c>
      <c r="AA149" s="21">
        <v>-1.41022E-2</v>
      </c>
      <c r="AB149" s="21">
        <v>139</v>
      </c>
      <c r="AC149" s="21">
        <v>1.09924</v>
      </c>
      <c r="AD149">
        <f t="shared" si="28"/>
        <v>17.410123456790124</v>
      </c>
      <c r="AE149">
        <f t="shared" si="29"/>
        <v>19.151309903703705</v>
      </c>
      <c r="AF149" s="9"/>
      <c r="AG149" s="21">
        <v>0.59997599999999995</v>
      </c>
      <c r="AH149" s="21">
        <v>19.884599999999999</v>
      </c>
      <c r="AI149" s="21">
        <v>-1.45477E-2</v>
      </c>
      <c r="AJ149" s="21">
        <v>139</v>
      </c>
      <c r="AK149" s="21">
        <v>0.59930399999999995</v>
      </c>
      <c r="AL149">
        <f t="shared" si="30"/>
        <v>17.960123456790122</v>
      </c>
      <c r="AM149">
        <f t="shared" si="31"/>
        <v>10.775643031111109</v>
      </c>
      <c r="AP149" s="9"/>
      <c r="AQ149" s="21">
        <v>1.1000099999999999</v>
      </c>
      <c r="AR149" s="21">
        <v>25.377600000000001</v>
      </c>
      <c r="AS149" s="21">
        <v>-1.4135699999999999E-2</v>
      </c>
      <c r="AT149" s="21">
        <v>139</v>
      </c>
      <c r="AU149" s="21">
        <v>1.09894</v>
      </c>
      <c r="AV149">
        <f t="shared" si="32"/>
        <v>17.45148148148148</v>
      </c>
      <c r="AW149">
        <f t="shared" si="33"/>
        <v>19.196804144444442</v>
      </c>
      <c r="AX149" s="9"/>
      <c r="AY149" s="21">
        <v>0.59997599999999995</v>
      </c>
      <c r="AZ149" s="21">
        <v>29.196899999999999</v>
      </c>
      <c r="BA149" s="21">
        <v>-1.45874E-2</v>
      </c>
      <c r="BB149" s="21">
        <v>139</v>
      </c>
      <c r="BC149" s="21">
        <v>0.59933499999999995</v>
      </c>
      <c r="BD149">
        <f t="shared" si="34"/>
        <v>18.009135802469135</v>
      </c>
      <c r="BE149">
        <f t="shared" si="35"/>
        <v>10.805049262222221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6.7522700000000002</v>
      </c>
      <c r="I150" s="21">
        <v>-1.4175399999999999E-2</v>
      </c>
      <c r="J150" s="21">
        <v>140</v>
      </c>
      <c r="K150" s="21">
        <v>1.09436</v>
      </c>
      <c r="L150">
        <f t="shared" si="24"/>
        <v>17.500493827160494</v>
      </c>
      <c r="M150">
        <f t="shared" si="25"/>
        <v>19.162515725925925</v>
      </c>
      <c r="N150" s="9"/>
      <c r="O150" s="21">
        <v>0.60501099999999997</v>
      </c>
      <c r="P150" s="21">
        <v>10.5715</v>
      </c>
      <c r="Q150" s="21">
        <v>-1.4590499999999999E-2</v>
      </c>
      <c r="R150" s="21">
        <v>140</v>
      </c>
      <c r="S150" s="21">
        <v>0.60433999999999999</v>
      </c>
      <c r="T150">
        <f t="shared" si="26"/>
        <v>18.012962962962959</v>
      </c>
      <c r="U150">
        <f t="shared" si="27"/>
        <v>10.898040735185182</v>
      </c>
      <c r="X150" s="9"/>
      <c r="Y150" s="21">
        <v>1.09497</v>
      </c>
      <c r="Z150" s="21">
        <v>16.075500000000002</v>
      </c>
      <c r="AA150" s="21">
        <v>-1.41174E-2</v>
      </c>
      <c r="AB150" s="21">
        <v>140</v>
      </c>
      <c r="AC150" s="21">
        <v>1.09436</v>
      </c>
      <c r="AD150">
        <f t="shared" si="28"/>
        <v>17.428888888888888</v>
      </c>
      <c r="AE150">
        <f t="shared" si="29"/>
        <v>19.084110466666665</v>
      </c>
      <c r="AF150" s="9"/>
      <c r="AG150" s="21">
        <v>0.60501099999999997</v>
      </c>
      <c r="AH150" s="21">
        <v>19.8947</v>
      </c>
      <c r="AI150" s="21">
        <v>-1.45538E-2</v>
      </c>
      <c r="AJ150" s="21">
        <v>140</v>
      </c>
      <c r="AK150" s="21">
        <v>0.60436999999999996</v>
      </c>
      <c r="AL150">
        <f t="shared" si="30"/>
        <v>17.967654320987652</v>
      </c>
      <c r="AM150">
        <f t="shared" si="31"/>
        <v>10.870628508395059</v>
      </c>
      <c r="AP150" s="9"/>
      <c r="AQ150" s="21">
        <v>1.09497</v>
      </c>
      <c r="AR150" s="21">
        <v>25.387699999999999</v>
      </c>
      <c r="AS150" s="21">
        <v>-1.41388E-2</v>
      </c>
      <c r="AT150" s="21">
        <v>140</v>
      </c>
      <c r="AU150" s="21">
        <v>1.09406</v>
      </c>
      <c r="AV150">
        <f t="shared" si="32"/>
        <v>17.455308641975307</v>
      </c>
      <c r="AW150">
        <f t="shared" si="33"/>
        <v>19.113039303703701</v>
      </c>
      <c r="AX150" s="9"/>
      <c r="AY150" s="21">
        <v>0.60501099999999997</v>
      </c>
      <c r="AZ150" s="21">
        <v>29.207000000000001</v>
      </c>
      <c r="BA150" s="21">
        <v>-1.4593500000000001E-2</v>
      </c>
      <c r="BB150" s="21">
        <v>140</v>
      </c>
      <c r="BC150" s="21">
        <v>0.60430899999999999</v>
      </c>
      <c r="BD150">
        <f t="shared" si="34"/>
        <v>18.016666666666666</v>
      </c>
      <c r="BE150">
        <f t="shared" si="35"/>
        <v>10.900281516666665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6.76234</v>
      </c>
      <c r="I151" s="21">
        <v>-1.41785E-2</v>
      </c>
      <c r="J151" s="21">
        <v>141</v>
      </c>
      <c r="K151" s="21">
        <v>1.08917</v>
      </c>
      <c r="L151">
        <f t="shared" si="24"/>
        <v>17.504320987654321</v>
      </c>
      <c r="M151">
        <f t="shared" si="25"/>
        <v>19.07865961728395</v>
      </c>
      <c r="N151" s="9"/>
      <c r="O151" s="21">
        <v>0.61004599999999998</v>
      </c>
      <c r="P151" s="21">
        <v>10.5815</v>
      </c>
      <c r="Q151" s="21">
        <v>-1.4593500000000001E-2</v>
      </c>
      <c r="R151" s="21">
        <v>141</v>
      </c>
      <c r="S151" s="21">
        <v>0.609406</v>
      </c>
      <c r="T151">
        <f t="shared" si="26"/>
        <v>18.016666666666666</v>
      </c>
      <c r="U151">
        <f t="shared" si="27"/>
        <v>10.990995433333332</v>
      </c>
      <c r="X151" s="9"/>
      <c r="Y151" s="21">
        <v>1.0899399999999999</v>
      </c>
      <c r="Z151" s="21">
        <v>16.085599999999999</v>
      </c>
      <c r="AA151" s="21">
        <v>-1.4123500000000001E-2</v>
      </c>
      <c r="AB151" s="21">
        <v>141</v>
      </c>
      <c r="AC151" s="21">
        <v>1.08917</v>
      </c>
      <c r="AD151">
        <f t="shared" si="28"/>
        <v>17.436419753086419</v>
      </c>
      <c r="AE151">
        <f t="shared" si="29"/>
        <v>19.004651345679008</v>
      </c>
      <c r="AF151" s="9"/>
      <c r="AG151" s="21">
        <v>0.61004599999999998</v>
      </c>
      <c r="AH151" s="21">
        <v>19.904699999999998</v>
      </c>
      <c r="AI151" s="21">
        <v>-1.4566000000000001E-2</v>
      </c>
      <c r="AJ151" s="21">
        <v>141</v>
      </c>
      <c r="AK151" s="21">
        <v>0.609375</v>
      </c>
      <c r="AL151">
        <f t="shared" si="30"/>
        <v>17.982716049382717</v>
      </c>
      <c r="AM151">
        <f t="shared" si="31"/>
        <v>10.970283995061727</v>
      </c>
      <c r="AP151" s="9"/>
      <c r="AQ151" s="21">
        <v>1.0899399999999999</v>
      </c>
      <c r="AR151" s="21">
        <v>25.3978</v>
      </c>
      <c r="AS151" s="21">
        <v>-1.41418E-2</v>
      </c>
      <c r="AT151" s="21">
        <v>141</v>
      </c>
      <c r="AU151" s="21">
        <v>1.08917</v>
      </c>
      <c r="AV151">
        <f t="shared" si="32"/>
        <v>17.45901234567901</v>
      </c>
      <c r="AW151">
        <f t="shared" si="33"/>
        <v>19.029275916049379</v>
      </c>
      <c r="AX151" s="9"/>
      <c r="AY151" s="21">
        <v>0.61004599999999998</v>
      </c>
      <c r="AZ151" s="21">
        <v>29.216999999999999</v>
      </c>
      <c r="BA151" s="21">
        <v>-1.4584400000000001E-2</v>
      </c>
      <c r="BB151" s="21">
        <v>141</v>
      </c>
      <c r="BC151" s="21">
        <v>0.609406</v>
      </c>
      <c r="BD151">
        <f t="shared" si="34"/>
        <v>18.005432098765432</v>
      </c>
      <c r="BE151">
        <f t="shared" si="35"/>
        <v>10.984141830123457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6.7724099999999998</v>
      </c>
      <c r="I152" s="21">
        <v>-1.41846E-2</v>
      </c>
      <c r="J152" s="21">
        <v>142</v>
      </c>
      <c r="K152" s="21">
        <v>1.08429</v>
      </c>
      <c r="L152">
        <f t="shared" si="24"/>
        <v>17.511851851851851</v>
      </c>
      <c r="M152">
        <f t="shared" si="25"/>
        <v>18.998608074074074</v>
      </c>
      <c r="N152" s="9"/>
      <c r="O152" s="21">
        <v>0.61508200000000002</v>
      </c>
      <c r="P152" s="21">
        <v>10.5916</v>
      </c>
      <c r="Q152" s="21">
        <v>-1.4590499999999999E-2</v>
      </c>
      <c r="R152" s="21">
        <v>142</v>
      </c>
      <c r="S152" s="21">
        <v>0.61447099999999999</v>
      </c>
      <c r="T152">
        <f t="shared" si="26"/>
        <v>18.012962962962959</v>
      </c>
      <c r="U152">
        <f t="shared" si="27"/>
        <v>11.079449285185182</v>
      </c>
      <c r="X152" s="9"/>
      <c r="Y152" s="21">
        <v>1.0849</v>
      </c>
      <c r="Z152" s="21">
        <v>16.095600000000001</v>
      </c>
      <c r="AA152" s="21">
        <v>-1.4129600000000001E-2</v>
      </c>
      <c r="AB152" s="21">
        <v>142</v>
      </c>
      <c r="AC152" s="21">
        <v>1.0839799999999999</v>
      </c>
      <c r="AD152">
        <f t="shared" si="28"/>
        <v>17.443950617283949</v>
      </c>
      <c r="AE152">
        <f t="shared" si="29"/>
        <v>18.924942024691358</v>
      </c>
      <c r="AF152" s="9"/>
      <c r="AG152" s="21">
        <v>0.61508200000000002</v>
      </c>
      <c r="AH152" s="21">
        <v>19.9148</v>
      </c>
      <c r="AI152" s="21">
        <v>-1.4572099999999999E-2</v>
      </c>
      <c r="AJ152" s="21">
        <v>142</v>
      </c>
      <c r="AK152" s="21">
        <v>0.61431899999999995</v>
      </c>
      <c r="AL152">
        <f t="shared" si="30"/>
        <v>17.990246913580243</v>
      </c>
      <c r="AM152">
        <f t="shared" si="31"/>
        <v>11.065477052098764</v>
      </c>
      <c r="AP152" s="9"/>
      <c r="AQ152" s="21">
        <v>1.0849</v>
      </c>
      <c r="AR152" s="21">
        <v>25.407800000000002</v>
      </c>
      <c r="AS152" s="21">
        <v>-1.41479E-2</v>
      </c>
      <c r="AT152" s="21">
        <v>142</v>
      </c>
      <c r="AU152" s="21">
        <v>1.0839799999999999</v>
      </c>
      <c r="AV152">
        <f t="shared" si="32"/>
        <v>17.466543209876541</v>
      </c>
      <c r="AW152">
        <f t="shared" si="33"/>
        <v>18.949452728395059</v>
      </c>
      <c r="AX152" s="9"/>
      <c r="AY152" s="21">
        <v>0.61508200000000002</v>
      </c>
      <c r="AZ152" s="21">
        <v>29.2271</v>
      </c>
      <c r="BA152" s="21">
        <v>-1.4584400000000001E-2</v>
      </c>
      <c r="BB152" s="21">
        <v>142</v>
      </c>
      <c r="BC152" s="21">
        <v>0.61438000000000004</v>
      </c>
      <c r="BD152">
        <f t="shared" si="34"/>
        <v>18.005432098765432</v>
      </c>
      <c r="BE152">
        <f t="shared" si="35"/>
        <v>11.07481718617284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6.7824799999999996</v>
      </c>
      <c r="I153" s="21">
        <v>-1.41998E-2</v>
      </c>
      <c r="J153" s="21">
        <v>143</v>
      </c>
      <c r="K153" s="21">
        <v>1.0790999999999999</v>
      </c>
      <c r="L153">
        <f t="shared" si="24"/>
        <v>17.530617283950615</v>
      </c>
      <c r="M153">
        <f t="shared" si="25"/>
        <v>18.930612380246913</v>
      </c>
      <c r="N153" s="9"/>
      <c r="O153" s="21">
        <v>0.62011700000000003</v>
      </c>
      <c r="P153" s="21">
        <v>10.601699999999999</v>
      </c>
      <c r="Q153" s="21">
        <v>-1.4578199999999999E-2</v>
      </c>
      <c r="R153" s="21">
        <v>143</v>
      </c>
      <c r="S153" s="21">
        <v>0.61944600000000005</v>
      </c>
      <c r="T153">
        <f t="shared" si="26"/>
        <v>17.997777777777777</v>
      </c>
      <c r="U153">
        <f t="shared" si="27"/>
        <v>11.160727962222223</v>
      </c>
      <c r="X153" s="9"/>
      <c r="Y153" s="21">
        <v>1.07986</v>
      </c>
      <c r="Z153" s="21">
        <v>16.105699999999999</v>
      </c>
      <c r="AA153" s="21">
        <v>-1.41327E-2</v>
      </c>
      <c r="AB153" s="21">
        <v>143</v>
      </c>
      <c r="AC153" s="21">
        <v>1.0788</v>
      </c>
      <c r="AD153">
        <f t="shared" si="28"/>
        <v>17.447777777777777</v>
      </c>
      <c r="AE153">
        <f t="shared" si="29"/>
        <v>18.841157311111111</v>
      </c>
      <c r="AF153" s="9"/>
      <c r="AG153" s="21">
        <v>0.62011700000000003</v>
      </c>
      <c r="AH153" s="21">
        <v>19.924900000000001</v>
      </c>
      <c r="AI153" s="21">
        <v>-1.45813E-2</v>
      </c>
      <c r="AJ153" s="21">
        <v>143</v>
      </c>
      <c r="AK153" s="21">
        <v>0.61944600000000005</v>
      </c>
      <c r="AL153">
        <f t="shared" si="30"/>
        <v>18.001604938271605</v>
      </c>
      <c r="AM153">
        <f t="shared" si="31"/>
        <v>11.163101249506173</v>
      </c>
      <c r="AP153" s="9"/>
      <c r="AQ153" s="21">
        <v>1.07986</v>
      </c>
      <c r="AR153" s="21">
        <v>25.417899999999999</v>
      </c>
      <c r="AS153" s="21">
        <v>-1.41418E-2</v>
      </c>
      <c r="AT153" s="21">
        <v>143</v>
      </c>
      <c r="AU153" s="21">
        <v>1.0788</v>
      </c>
      <c r="AV153">
        <f t="shared" si="32"/>
        <v>17.45901234567901</v>
      </c>
      <c r="AW153">
        <f t="shared" si="33"/>
        <v>18.853289071604937</v>
      </c>
      <c r="AX153" s="9"/>
      <c r="AY153" s="21">
        <v>0.62011700000000003</v>
      </c>
      <c r="AZ153" s="21">
        <v>29.237200000000001</v>
      </c>
      <c r="BA153" s="21">
        <v>-1.4578199999999999E-2</v>
      </c>
      <c r="BB153" s="21">
        <v>143</v>
      </c>
      <c r="BC153" s="21">
        <v>0.61938499999999996</v>
      </c>
      <c r="BD153">
        <f t="shared" si="34"/>
        <v>17.997777777777777</v>
      </c>
      <c r="BE153">
        <f t="shared" si="35"/>
        <v>11.160727962222223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6.7925500000000003</v>
      </c>
      <c r="I154" s="21">
        <v>-1.42059E-2</v>
      </c>
      <c r="J154" s="21">
        <v>144</v>
      </c>
      <c r="K154" s="21">
        <v>1.07422</v>
      </c>
      <c r="L154">
        <f t="shared" si="24"/>
        <v>17.538148148148146</v>
      </c>
      <c r="M154">
        <f t="shared" si="25"/>
        <v>18.85052777407407</v>
      </c>
      <c r="N154" s="9"/>
      <c r="O154" s="21">
        <v>0.62515299999999996</v>
      </c>
      <c r="P154" s="21">
        <v>10.611700000000001</v>
      </c>
      <c r="Q154" s="21">
        <v>-1.45691E-2</v>
      </c>
      <c r="R154" s="21">
        <v>144</v>
      </c>
      <c r="S154" s="21">
        <v>0.62432900000000002</v>
      </c>
      <c r="T154">
        <f t="shared" si="26"/>
        <v>17.98654320987654</v>
      </c>
      <c r="U154">
        <f t="shared" si="27"/>
        <v>11.244341447283949</v>
      </c>
      <c r="X154" s="9"/>
      <c r="Y154" s="21">
        <v>1.07483</v>
      </c>
      <c r="Z154" s="21">
        <v>16.1158</v>
      </c>
      <c r="AA154" s="21">
        <v>-1.41418E-2</v>
      </c>
      <c r="AB154" s="21">
        <v>144</v>
      </c>
      <c r="AC154" s="21">
        <v>1.07361</v>
      </c>
      <c r="AD154">
        <f t="shared" si="28"/>
        <v>17.45901234567901</v>
      </c>
      <c r="AE154">
        <f t="shared" si="29"/>
        <v>18.765470239506168</v>
      </c>
      <c r="AF154" s="9"/>
      <c r="AG154" s="21">
        <v>0.62515299999999996</v>
      </c>
      <c r="AH154" s="21">
        <v>19.934999999999999</v>
      </c>
      <c r="AI154" s="21">
        <v>-1.4593500000000001E-2</v>
      </c>
      <c r="AJ154" s="21">
        <v>144</v>
      </c>
      <c r="AK154" s="21">
        <v>0.62451199999999996</v>
      </c>
      <c r="AL154">
        <f t="shared" si="30"/>
        <v>18.016666666666666</v>
      </c>
      <c r="AM154">
        <f t="shared" si="31"/>
        <v>11.263173216666665</v>
      </c>
      <c r="AP154" s="9"/>
      <c r="AQ154" s="21">
        <v>1.07483</v>
      </c>
      <c r="AR154" s="21">
        <v>25.428000000000001</v>
      </c>
      <c r="AS154" s="21">
        <v>-1.41449E-2</v>
      </c>
      <c r="AT154" s="21">
        <v>144</v>
      </c>
      <c r="AU154" s="21">
        <v>1.0739099999999999</v>
      </c>
      <c r="AV154">
        <f t="shared" si="32"/>
        <v>17.462839506172838</v>
      </c>
      <c r="AW154">
        <f t="shared" si="33"/>
        <v>18.769583786419751</v>
      </c>
      <c r="AX154" s="9"/>
      <c r="AY154" s="21">
        <v>0.62515299999999996</v>
      </c>
      <c r="AZ154" s="21">
        <v>29.247299999999999</v>
      </c>
      <c r="BA154" s="21">
        <v>-1.45813E-2</v>
      </c>
      <c r="BB154" s="21">
        <v>144</v>
      </c>
      <c r="BC154" s="21">
        <v>0.62445099999999998</v>
      </c>
      <c r="BD154">
        <f t="shared" si="34"/>
        <v>18.001604938271605</v>
      </c>
      <c r="BE154">
        <f t="shared" si="35"/>
        <v>11.253757331975308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6.8026200000000001</v>
      </c>
      <c r="I155" s="21">
        <v>-1.42059E-2</v>
      </c>
      <c r="J155" s="21">
        <v>145</v>
      </c>
      <c r="K155" s="21">
        <v>1.06873</v>
      </c>
      <c r="L155">
        <f t="shared" si="24"/>
        <v>17.538148148148146</v>
      </c>
      <c r="M155">
        <f t="shared" si="25"/>
        <v>18.762135507407404</v>
      </c>
      <c r="N155" s="9"/>
      <c r="O155" s="21">
        <v>0.63018799999999997</v>
      </c>
      <c r="P155" s="21">
        <v>10.6218</v>
      </c>
      <c r="Q155" s="21">
        <v>-1.4559900000000001E-2</v>
      </c>
      <c r="R155" s="21">
        <v>145</v>
      </c>
      <c r="S155" s="21">
        <v>0.62954699999999997</v>
      </c>
      <c r="T155">
        <f t="shared" si="26"/>
        <v>17.975185185185186</v>
      </c>
      <c r="U155">
        <f t="shared" si="27"/>
        <v>11.327746001481481</v>
      </c>
      <c r="X155" s="9"/>
      <c r="Y155" s="21">
        <v>1.06979</v>
      </c>
      <c r="Z155" s="21">
        <v>16.125800000000002</v>
      </c>
      <c r="AA155" s="21">
        <v>-1.4151E-2</v>
      </c>
      <c r="AB155" s="21">
        <v>145</v>
      </c>
      <c r="AC155" s="21">
        <v>1.0690299999999999</v>
      </c>
      <c r="AD155">
        <f t="shared" si="28"/>
        <v>17.470370370370368</v>
      </c>
      <c r="AE155">
        <f t="shared" si="29"/>
        <v>18.689627518518517</v>
      </c>
      <c r="AF155" s="9"/>
      <c r="AG155" s="21">
        <v>0.63018799999999997</v>
      </c>
      <c r="AH155" s="21">
        <v>19.945</v>
      </c>
      <c r="AI155" s="21">
        <v>-1.4599600000000001E-2</v>
      </c>
      <c r="AJ155" s="21">
        <v>145</v>
      </c>
      <c r="AK155" s="21">
        <v>0.62957799999999997</v>
      </c>
      <c r="AL155">
        <f t="shared" si="30"/>
        <v>18.0241975308642</v>
      </c>
      <c r="AM155">
        <f t="shared" si="31"/>
        <v>11.358632993580247</v>
      </c>
      <c r="AP155" s="9"/>
      <c r="AQ155" s="21">
        <v>1.06979</v>
      </c>
      <c r="AR155" s="21">
        <v>25.438099999999999</v>
      </c>
      <c r="AS155" s="21">
        <v>-1.41418E-2</v>
      </c>
      <c r="AT155" s="21">
        <v>145</v>
      </c>
      <c r="AU155" s="21">
        <v>1.0690299999999999</v>
      </c>
      <c r="AV155">
        <f t="shared" si="32"/>
        <v>17.45901234567901</v>
      </c>
      <c r="AW155">
        <f t="shared" si="33"/>
        <v>18.677476817283949</v>
      </c>
      <c r="AX155" s="9"/>
      <c r="AY155" s="21">
        <v>0.63018799999999997</v>
      </c>
      <c r="AZ155" s="21">
        <v>29.257300000000001</v>
      </c>
      <c r="BA155" s="21">
        <v>-1.45691E-2</v>
      </c>
      <c r="BB155" s="21">
        <v>145</v>
      </c>
      <c r="BC155" s="21">
        <v>0.62963899999999995</v>
      </c>
      <c r="BD155">
        <f t="shared" si="34"/>
        <v>17.98654320987654</v>
      </c>
      <c r="BE155">
        <f t="shared" si="35"/>
        <v>11.334903692345677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6.8126899999999999</v>
      </c>
      <c r="I156" s="21">
        <v>-1.4202899999999999E-2</v>
      </c>
      <c r="J156" s="21">
        <v>146</v>
      </c>
      <c r="K156" s="21">
        <v>1.0644499999999999</v>
      </c>
      <c r="L156">
        <f t="shared" si="24"/>
        <v>17.534444444444443</v>
      </c>
      <c r="M156">
        <f t="shared" si="25"/>
        <v>18.669975066666662</v>
      </c>
      <c r="N156" s="9"/>
      <c r="O156" s="21">
        <v>0.63522299999999998</v>
      </c>
      <c r="P156" s="21">
        <v>10.6319</v>
      </c>
      <c r="Q156" s="21">
        <v>-1.4556899999999999E-2</v>
      </c>
      <c r="R156" s="21">
        <v>146</v>
      </c>
      <c r="S156" s="21">
        <v>0.63458300000000001</v>
      </c>
      <c r="T156">
        <f t="shared" si="26"/>
        <v>17.971481481481479</v>
      </c>
      <c r="U156">
        <f t="shared" si="27"/>
        <v>11.415898381111109</v>
      </c>
      <c r="X156" s="9"/>
      <c r="Y156" s="21">
        <v>1.0647599999999999</v>
      </c>
      <c r="Z156" s="21">
        <v>16.135899999999999</v>
      </c>
      <c r="AA156" s="21">
        <v>-1.4163200000000001E-2</v>
      </c>
      <c r="AB156" s="21">
        <v>146</v>
      </c>
      <c r="AC156" s="21">
        <v>1.0635399999999999</v>
      </c>
      <c r="AD156">
        <f t="shared" si="28"/>
        <v>17.485432098765433</v>
      </c>
      <c r="AE156">
        <f t="shared" si="29"/>
        <v>18.617788681481482</v>
      </c>
      <c r="AF156" s="9"/>
      <c r="AG156" s="21">
        <v>0.63522299999999998</v>
      </c>
      <c r="AH156" s="21">
        <v>19.955100000000002</v>
      </c>
      <c r="AI156" s="21">
        <v>-1.4593500000000001E-2</v>
      </c>
      <c r="AJ156" s="21">
        <v>146</v>
      </c>
      <c r="AK156" s="21">
        <v>0.63467399999999996</v>
      </c>
      <c r="AL156">
        <f t="shared" si="30"/>
        <v>18.016666666666666</v>
      </c>
      <c r="AM156">
        <f t="shared" si="31"/>
        <v>11.444601049999999</v>
      </c>
      <c r="AP156" s="9"/>
      <c r="AQ156" s="21">
        <v>1.0647599999999999</v>
      </c>
      <c r="AR156" s="21">
        <v>25.4481</v>
      </c>
      <c r="AS156" s="21">
        <v>-1.4151E-2</v>
      </c>
      <c r="AT156" s="21">
        <v>146</v>
      </c>
      <c r="AU156" s="21">
        <v>1.0635399999999999</v>
      </c>
      <c r="AV156">
        <f t="shared" si="32"/>
        <v>17.470370370370368</v>
      </c>
      <c r="AW156">
        <f t="shared" si="33"/>
        <v>18.601751555555552</v>
      </c>
      <c r="AX156" s="9"/>
      <c r="AY156" s="21">
        <v>0.63522299999999998</v>
      </c>
      <c r="AZ156" s="21">
        <v>29.267399999999999</v>
      </c>
      <c r="BA156" s="21">
        <v>-1.4563E-2</v>
      </c>
      <c r="BB156" s="21">
        <v>146</v>
      </c>
      <c r="BC156" s="21">
        <v>0.634552</v>
      </c>
      <c r="BD156">
        <f t="shared" si="34"/>
        <v>17.979012345679013</v>
      </c>
      <c r="BE156">
        <f t="shared" si="35"/>
        <v>11.420682159259259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6.8227599999999997</v>
      </c>
      <c r="I157" s="21">
        <v>-1.4208999999999999E-2</v>
      </c>
      <c r="J157" s="21">
        <v>147</v>
      </c>
      <c r="K157" s="21">
        <v>1.0586500000000001</v>
      </c>
      <c r="L157">
        <f t="shared" si="24"/>
        <v>17.541975308641973</v>
      </c>
      <c r="M157">
        <f t="shared" si="25"/>
        <v>18.589582074074073</v>
      </c>
      <c r="N157" s="9"/>
      <c r="O157" s="21">
        <v>0.64025900000000002</v>
      </c>
      <c r="P157" s="21">
        <v>10.641999999999999</v>
      </c>
      <c r="Q157" s="21">
        <v>-1.4559900000000001E-2</v>
      </c>
      <c r="R157" s="21">
        <v>147</v>
      </c>
      <c r="S157" s="21">
        <v>0.63961800000000002</v>
      </c>
      <c r="T157">
        <f t="shared" si="26"/>
        <v>17.975185185185186</v>
      </c>
      <c r="U157">
        <f t="shared" si="27"/>
        <v>11.508774091481483</v>
      </c>
      <c r="X157" s="9"/>
      <c r="Y157" s="21">
        <v>1.05972</v>
      </c>
      <c r="Z157" s="21">
        <v>16.146000000000001</v>
      </c>
      <c r="AA157" s="21">
        <v>-1.41724E-2</v>
      </c>
      <c r="AB157" s="21">
        <v>147</v>
      </c>
      <c r="AC157" s="21">
        <v>1.0586500000000001</v>
      </c>
      <c r="AD157">
        <f t="shared" si="28"/>
        <v>17.496790123456787</v>
      </c>
      <c r="AE157">
        <f t="shared" si="29"/>
        <v>18.541698429629626</v>
      </c>
      <c r="AF157" s="9"/>
      <c r="AG157" s="21">
        <v>0.64025900000000002</v>
      </c>
      <c r="AH157" s="21">
        <v>19.965199999999999</v>
      </c>
      <c r="AI157" s="21">
        <v>-1.4599600000000001E-2</v>
      </c>
      <c r="AJ157" s="21">
        <v>147</v>
      </c>
      <c r="AK157" s="21">
        <v>0.63961800000000002</v>
      </c>
      <c r="AL157">
        <f t="shared" si="30"/>
        <v>18.0241975308642</v>
      </c>
      <c r="AM157">
        <f t="shared" si="31"/>
        <v>11.540154686913581</v>
      </c>
      <c r="AP157" s="9"/>
      <c r="AQ157" s="21">
        <v>1.05972</v>
      </c>
      <c r="AR157" s="21">
        <v>25.458200000000001</v>
      </c>
      <c r="AS157" s="21">
        <v>-1.4163200000000001E-2</v>
      </c>
      <c r="AT157" s="21">
        <v>147</v>
      </c>
      <c r="AU157" s="21">
        <v>1.0589599999999999</v>
      </c>
      <c r="AV157">
        <f t="shared" si="32"/>
        <v>17.485432098765433</v>
      </c>
      <c r="AW157">
        <f t="shared" si="33"/>
        <v>18.529662103703703</v>
      </c>
      <c r="AX157" s="9"/>
      <c r="AY157" s="21">
        <v>0.64025900000000002</v>
      </c>
      <c r="AZ157" s="21">
        <v>29.2775</v>
      </c>
      <c r="BA157" s="21">
        <v>-1.4566000000000001E-2</v>
      </c>
      <c r="BB157" s="21">
        <v>147</v>
      </c>
      <c r="BC157" s="21">
        <v>0.63958700000000002</v>
      </c>
      <c r="BD157">
        <f t="shared" si="34"/>
        <v>17.982716049382717</v>
      </c>
      <c r="BE157">
        <f t="shared" si="35"/>
        <v>11.513595795061729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6.8328300000000004</v>
      </c>
      <c r="I158" s="21">
        <v>-1.4218099999999999E-2</v>
      </c>
      <c r="J158" s="21">
        <v>148</v>
      </c>
      <c r="K158" s="21">
        <v>1.0537700000000001</v>
      </c>
      <c r="L158">
        <f t="shared" si="24"/>
        <v>17.553209876543207</v>
      </c>
      <c r="M158">
        <f t="shared" si="25"/>
        <v>18.513194924691351</v>
      </c>
      <c r="N158" s="9"/>
      <c r="O158" s="21">
        <v>0.64529400000000003</v>
      </c>
      <c r="P158" s="21">
        <v>10.651999999999999</v>
      </c>
      <c r="Q158" s="21">
        <v>-1.4559900000000001E-2</v>
      </c>
      <c r="R158" s="21">
        <v>148</v>
      </c>
      <c r="S158" s="21">
        <v>0.64468400000000003</v>
      </c>
      <c r="T158">
        <f t="shared" si="26"/>
        <v>17.975185185185186</v>
      </c>
      <c r="U158">
        <f t="shared" si="27"/>
        <v>11.59927914888889</v>
      </c>
      <c r="X158" s="9"/>
      <c r="Y158" s="21">
        <v>1.0546899999999999</v>
      </c>
      <c r="Z158" s="21">
        <v>16.155999999999999</v>
      </c>
      <c r="AA158" s="21">
        <v>-1.41846E-2</v>
      </c>
      <c r="AB158" s="21">
        <v>148</v>
      </c>
      <c r="AC158" s="21">
        <v>1.0540799999999999</v>
      </c>
      <c r="AD158">
        <f t="shared" si="28"/>
        <v>17.511851851851851</v>
      </c>
      <c r="AE158">
        <f t="shared" si="29"/>
        <v>18.469575029629627</v>
      </c>
      <c r="AF158" s="9"/>
      <c r="AG158" s="21">
        <v>0.64529400000000003</v>
      </c>
      <c r="AH158" s="21">
        <v>19.975200000000001</v>
      </c>
      <c r="AI158" s="21">
        <v>-1.4605699999999999E-2</v>
      </c>
      <c r="AJ158" s="21">
        <v>148</v>
      </c>
      <c r="AK158" s="21">
        <v>0.64468400000000003</v>
      </c>
      <c r="AL158">
        <f t="shared" si="30"/>
        <v>18.031728395061727</v>
      </c>
      <c r="AM158">
        <f t="shared" si="31"/>
        <v>11.635766142962963</v>
      </c>
      <c r="AP158" s="9"/>
      <c r="AQ158" s="21">
        <v>1.0546899999999999</v>
      </c>
      <c r="AR158" s="21">
        <v>25.468299999999999</v>
      </c>
      <c r="AS158" s="21">
        <v>-1.4169299999999999E-2</v>
      </c>
      <c r="AT158" s="21">
        <v>148</v>
      </c>
      <c r="AU158" s="21">
        <v>1.0534699999999999</v>
      </c>
      <c r="AV158">
        <f t="shared" si="32"/>
        <v>17.492962962962959</v>
      </c>
      <c r="AW158">
        <f t="shared" si="33"/>
        <v>18.449653107407403</v>
      </c>
      <c r="AX158" s="9"/>
      <c r="AY158" s="21">
        <v>0.64529400000000003</v>
      </c>
      <c r="AZ158" s="21">
        <v>29.287500000000001</v>
      </c>
      <c r="BA158" s="21">
        <v>-1.4566000000000001E-2</v>
      </c>
      <c r="BB158" s="21">
        <v>148</v>
      </c>
      <c r="BC158" s="21">
        <v>0.64462299999999995</v>
      </c>
      <c r="BD158">
        <f t="shared" si="34"/>
        <v>17.982716049382717</v>
      </c>
      <c r="BE158">
        <f t="shared" si="35"/>
        <v>11.604138770370371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6.8429000000000002</v>
      </c>
      <c r="I159" s="21">
        <v>-1.4236499999999999E-2</v>
      </c>
      <c r="J159" s="21">
        <v>149</v>
      </c>
      <c r="K159" s="21">
        <v>1.0485800000000001</v>
      </c>
      <c r="L159">
        <f t="shared" si="24"/>
        <v>17.575925925925926</v>
      </c>
      <c r="M159">
        <f t="shared" si="25"/>
        <v>18.448570648148149</v>
      </c>
      <c r="N159" s="9"/>
      <c r="O159" s="21">
        <v>0.65032999999999996</v>
      </c>
      <c r="P159" s="21">
        <v>10.662100000000001</v>
      </c>
      <c r="Q159" s="21">
        <v>-1.4559900000000001E-2</v>
      </c>
      <c r="R159" s="21">
        <v>149</v>
      </c>
      <c r="S159" s="21">
        <v>0.64978000000000002</v>
      </c>
      <c r="T159">
        <f t="shared" si="26"/>
        <v>17.975185185185186</v>
      </c>
      <c r="U159">
        <f t="shared" si="27"/>
        <v>11.689802181481481</v>
      </c>
      <c r="X159" s="9"/>
      <c r="Y159" s="21">
        <v>1.04965</v>
      </c>
      <c r="Z159" s="21">
        <v>16.1661</v>
      </c>
      <c r="AA159" s="21">
        <v>-1.41937E-2</v>
      </c>
      <c r="AB159" s="21">
        <v>149</v>
      </c>
      <c r="AC159" s="21">
        <v>1.0488900000000001</v>
      </c>
      <c r="AD159">
        <f t="shared" si="28"/>
        <v>17.523086419753085</v>
      </c>
      <c r="AE159">
        <f t="shared" si="29"/>
        <v>18.393107660493826</v>
      </c>
      <c r="AF159" s="9"/>
      <c r="AG159" s="21">
        <v>0.65032999999999996</v>
      </c>
      <c r="AH159" s="21">
        <v>19.985299999999999</v>
      </c>
      <c r="AI159" s="21">
        <v>-1.45966E-2</v>
      </c>
      <c r="AJ159" s="21">
        <v>149</v>
      </c>
      <c r="AK159" s="21">
        <v>0.64981100000000003</v>
      </c>
      <c r="AL159">
        <f t="shared" si="30"/>
        <v>18.020493827160493</v>
      </c>
      <c r="AM159">
        <f t="shared" si="31"/>
        <v>11.719267750617282</v>
      </c>
      <c r="AP159" s="9"/>
      <c r="AQ159" s="21">
        <v>1.04965</v>
      </c>
      <c r="AR159" s="21">
        <v>25.478300000000001</v>
      </c>
      <c r="AS159" s="21">
        <v>-1.41815E-2</v>
      </c>
      <c r="AT159" s="21">
        <v>149</v>
      </c>
      <c r="AU159" s="21">
        <v>1.0485800000000001</v>
      </c>
      <c r="AV159">
        <f t="shared" si="32"/>
        <v>17.508024691358024</v>
      </c>
      <c r="AW159">
        <f t="shared" si="33"/>
        <v>18.377298117283949</v>
      </c>
      <c r="AX159" s="9"/>
      <c r="AY159" s="21">
        <v>0.65032999999999996</v>
      </c>
      <c r="AZ159" s="21">
        <v>29.297599999999999</v>
      </c>
      <c r="BA159" s="21">
        <v>-1.45691E-2</v>
      </c>
      <c r="BB159" s="21">
        <v>149</v>
      </c>
      <c r="BC159" s="21">
        <v>0.64975000000000005</v>
      </c>
      <c r="BD159">
        <f t="shared" si="34"/>
        <v>17.98654320987654</v>
      </c>
      <c r="BE159">
        <f t="shared" si="35"/>
        <v>11.69718864567901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6.8529799999999996</v>
      </c>
      <c r="I160" s="21">
        <v>-1.4245600000000001E-2</v>
      </c>
      <c r="J160" s="21">
        <v>150</v>
      </c>
      <c r="K160" s="21">
        <v>1.0434000000000001</v>
      </c>
      <c r="L160">
        <f t="shared" si="24"/>
        <v>17.58716049382716</v>
      </c>
      <c r="M160">
        <f t="shared" si="25"/>
        <v>18.371899595061731</v>
      </c>
      <c r="N160" s="9"/>
      <c r="O160" s="21">
        <v>0.65536499999999998</v>
      </c>
      <c r="P160" s="21">
        <v>10.6722</v>
      </c>
      <c r="Q160" s="21">
        <v>-1.4559900000000001E-2</v>
      </c>
      <c r="R160" s="21">
        <v>150</v>
      </c>
      <c r="S160" s="21">
        <v>0.65460200000000002</v>
      </c>
      <c r="T160">
        <f t="shared" si="26"/>
        <v>17.975185185185186</v>
      </c>
      <c r="U160">
        <f t="shared" si="27"/>
        <v>11.78030723888889</v>
      </c>
      <c r="X160" s="9"/>
      <c r="Y160" s="21">
        <v>1.0446200000000001</v>
      </c>
      <c r="Z160" s="21">
        <v>16.176200000000001</v>
      </c>
      <c r="AA160" s="21">
        <v>-1.41998E-2</v>
      </c>
      <c r="AB160" s="21">
        <v>150</v>
      </c>
      <c r="AC160" s="21">
        <v>1.0440100000000001</v>
      </c>
      <c r="AD160">
        <f t="shared" si="28"/>
        <v>17.530617283950615</v>
      </c>
      <c r="AE160">
        <f t="shared" si="29"/>
        <v>18.312833427160495</v>
      </c>
      <c r="AF160" s="9"/>
      <c r="AG160" s="21">
        <v>0.65536499999999998</v>
      </c>
      <c r="AH160" s="21">
        <v>19.9954</v>
      </c>
      <c r="AI160" s="21">
        <v>-1.45874E-2</v>
      </c>
      <c r="AJ160" s="21">
        <v>150</v>
      </c>
      <c r="AK160" s="21">
        <v>0.65466299999999999</v>
      </c>
      <c r="AL160">
        <f t="shared" si="30"/>
        <v>18.009135802469135</v>
      </c>
      <c r="AM160">
        <f t="shared" si="31"/>
        <v>11.802557285185184</v>
      </c>
      <c r="AP160" s="9"/>
      <c r="AQ160" s="21">
        <v>1.0446200000000001</v>
      </c>
      <c r="AR160" s="21">
        <v>25.488399999999999</v>
      </c>
      <c r="AS160" s="21">
        <v>-1.41937E-2</v>
      </c>
      <c r="AT160" s="21">
        <v>150</v>
      </c>
      <c r="AU160" s="21">
        <v>1.0440100000000001</v>
      </c>
      <c r="AV160">
        <f t="shared" si="32"/>
        <v>17.523086419753085</v>
      </c>
      <c r="AW160">
        <f t="shared" si="33"/>
        <v>18.304966535802471</v>
      </c>
      <c r="AX160" s="9"/>
      <c r="AY160" s="21">
        <v>0.65536499999999998</v>
      </c>
      <c r="AZ160" s="21">
        <v>29.307700000000001</v>
      </c>
      <c r="BA160" s="21">
        <v>-1.4563E-2</v>
      </c>
      <c r="BB160" s="21">
        <v>150</v>
      </c>
      <c r="BC160" s="21">
        <v>0.65475499999999998</v>
      </c>
      <c r="BD160">
        <f t="shared" si="34"/>
        <v>17.979012345679013</v>
      </c>
      <c r="BE160">
        <f t="shared" si="35"/>
        <v>11.782815425925927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6.8630500000000003</v>
      </c>
      <c r="I161" s="21">
        <v>-1.4242599999999999E-2</v>
      </c>
      <c r="J161" s="21">
        <v>151</v>
      </c>
      <c r="K161" s="21">
        <v>1.0382100000000001</v>
      </c>
      <c r="L161">
        <f t="shared" si="24"/>
        <v>17.583456790123453</v>
      </c>
      <c r="M161">
        <f t="shared" si="25"/>
        <v>18.279410009876539</v>
      </c>
      <c r="N161" s="9"/>
      <c r="O161" s="21">
        <v>0.66039999999999999</v>
      </c>
      <c r="P161" s="21">
        <v>10.6822</v>
      </c>
      <c r="Q161" s="21">
        <v>-1.4556899999999999E-2</v>
      </c>
      <c r="R161" s="21">
        <v>151</v>
      </c>
      <c r="S161" s="21">
        <v>0.65972900000000001</v>
      </c>
      <c r="T161">
        <f t="shared" si="26"/>
        <v>17.971481481481479</v>
      </c>
      <c r="U161">
        <f t="shared" si="27"/>
        <v>11.868366370370369</v>
      </c>
      <c r="X161" s="9"/>
      <c r="Y161" s="21">
        <v>1.0395799999999999</v>
      </c>
      <c r="Z161" s="21">
        <v>16.186299999999999</v>
      </c>
      <c r="AA161" s="21">
        <v>-1.42151E-2</v>
      </c>
      <c r="AB161" s="21">
        <v>151</v>
      </c>
      <c r="AC161" s="21">
        <v>1.03912</v>
      </c>
      <c r="AD161">
        <f t="shared" si="28"/>
        <v>17.549506172839507</v>
      </c>
      <c r="AE161">
        <f t="shared" si="29"/>
        <v>18.244115627160493</v>
      </c>
      <c r="AF161" s="9"/>
      <c r="AG161" s="21">
        <v>0.66039999999999999</v>
      </c>
      <c r="AH161" s="21">
        <v>20.005500000000001</v>
      </c>
      <c r="AI161" s="21">
        <v>-1.45874E-2</v>
      </c>
      <c r="AJ161" s="21">
        <v>151</v>
      </c>
      <c r="AK161" s="21">
        <v>0.65969800000000001</v>
      </c>
      <c r="AL161">
        <f t="shared" si="30"/>
        <v>18.009135802469135</v>
      </c>
      <c r="AM161">
        <f t="shared" si="31"/>
        <v>11.893233283950616</v>
      </c>
      <c r="AP161" s="9"/>
      <c r="AQ161" s="21">
        <v>1.0395799999999999</v>
      </c>
      <c r="AR161" s="21">
        <v>25.4985</v>
      </c>
      <c r="AS161" s="21">
        <v>-1.41998E-2</v>
      </c>
      <c r="AT161" s="21">
        <v>151</v>
      </c>
      <c r="AU161" s="21">
        <v>1.0382100000000001</v>
      </c>
      <c r="AV161">
        <f t="shared" si="32"/>
        <v>17.530617283950615</v>
      </c>
      <c r="AW161">
        <f t="shared" si="33"/>
        <v>18.22447911604938</v>
      </c>
      <c r="AX161" s="9"/>
      <c r="AY161" s="21">
        <v>0.66039999999999999</v>
      </c>
      <c r="AZ161" s="21">
        <v>29.317799999999998</v>
      </c>
      <c r="BA161" s="21">
        <v>-1.4559900000000001E-2</v>
      </c>
      <c r="BB161" s="21">
        <v>151</v>
      </c>
      <c r="BC161" s="21">
        <v>0.65976000000000001</v>
      </c>
      <c r="BD161">
        <f t="shared" si="34"/>
        <v>17.975185185185186</v>
      </c>
      <c r="BE161">
        <f t="shared" si="35"/>
        <v>11.870812296296297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6.8731200000000001</v>
      </c>
      <c r="I162" s="21">
        <v>-1.4245600000000001E-2</v>
      </c>
      <c r="J162" s="21">
        <v>152</v>
      </c>
      <c r="K162" s="21">
        <v>1.03363</v>
      </c>
      <c r="L162">
        <f t="shared" si="24"/>
        <v>17.58716049382716</v>
      </c>
      <c r="M162">
        <f t="shared" si="25"/>
        <v>18.194796888888888</v>
      </c>
      <c r="N162" s="9"/>
      <c r="O162" s="21">
        <v>0.66543600000000003</v>
      </c>
      <c r="P162" s="21">
        <v>10.692299999999999</v>
      </c>
      <c r="Q162" s="21">
        <v>-1.4550799999999999E-2</v>
      </c>
      <c r="R162" s="21">
        <v>152</v>
      </c>
      <c r="S162" s="21">
        <v>0.66470300000000004</v>
      </c>
      <c r="T162">
        <f t="shared" si="26"/>
        <v>17.963950617283949</v>
      </c>
      <c r="U162">
        <f t="shared" si="27"/>
        <v>11.953859442962962</v>
      </c>
      <c r="X162" s="9"/>
      <c r="Y162" s="21">
        <v>1.0345500000000001</v>
      </c>
      <c r="Z162" s="21">
        <v>16.196300000000001</v>
      </c>
      <c r="AA162" s="21">
        <v>-1.4224199999999999E-2</v>
      </c>
      <c r="AB162" s="21">
        <v>152</v>
      </c>
      <c r="AC162" s="21">
        <v>1.0333300000000001</v>
      </c>
      <c r="AD162">
        <f t="shared" si="28"/>
        <v>17.560740740740737</v>
      </c>
      <c r="AE162">
        <f t="shared" si="29"/>
        <v>18.167464333333331</v>
      </c>
      <c r="AF162" s="9"/>
      <c r="AG162" s="21">
        <v>0.66543600000000003</v>
      </c>
      <c r="AH162" s="21">
        <v>20.015499999999999</v>
      </c>
      <c r="AI162" s="21">
        <v>-1.45813E-2</v>
      </c>
      <c r="AJ162" s="21">
        <v>152</v>
      </c>
      <c r="AK162" s="21">
        <v>0.66476400000000002</v>
      </c>
      <c r="AL162">
        <f t="shared" si="30"/>
        <v>18.001604938271605</v>
      </c>
      <c r="AM162">
        <f t="shared" si="31"/>
        <v>11.978915983703704</v>
      </c>
      <c r="AP162" s="9"/>
      <c r="AQ162" s="21">
        <v>1.0345500000000001</v>
      </c>
      <c r="AR162" s="21">
        <v>25.508600000000001</v>
      </c>
      <c r="AS162" s="21">
        <v>-1.42151E-2</v>
      </c>
      <c r="AT162" s="21">
        <v>152</v>
      </c>
      <c r="AU162" s="21">
        <v>1.03363</v>
      </c>
      <c r="AV162">
        <f t="shared" si="32"/>
        <v>17.549506172839507</v>
      </c>
      <c r="AW162">
        <f t="shared" si="33"/>
        <v>18.155841611111114</v>
      </c>
      <c r="AX162" s="9"/>
      <c r="AY162" s="21">
        <v>0.66543600000000003</v>
      </c>
      <c r="AZ162" s="21">
        <v>29.3278</v>
      </c>
      <c r="BA162" s="21">
        <v>-1.45538E-2</v>
      </c>
      <c r="BB162" s="21">
        <v>152</v>
      </c>
      <c r="BC162" s="21">
        <v>0.66476400000000002</v>
      </c>
      <c r="BD162">
        <f t="shared" si="34"/>
        <v>17.967654320987652</v>
      </c>
      <c r="BE162">
        <f t="shared" si="35"/>
        <v>11.956324020740739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6.8831899999999999</v>
      </c>
      <c r="I163" s="21">
        <v>-1.4245600000000001E-2</v>
      </c>
      <c r="J163" s="21">
        <v>153</v>
      </c>
      <c r="K163" s="21">
        <v>1.02905</v>
      </c>
      <c r="L163">
        <f t="shared" si="24"/>
        <v>17.58716049382716</v>
      </c>
      <c r="M163">
        <f t="shared" si="25"/>
        <v>18.106157599999996</v>
      </c>
      <c r="N163" s="9"/>
      <c r="O163" s="21">
        <v>0.67047100000000004</v>
      </c>
      <c r="P163" s="21">
        <v>10.702400000000001</v>
      </c>
      <c r="Q163" s="21">
        <v>-1.4544700000000001E-2</v>
      </c>
      <c r="R163" s="21">
        <v>153</v>
      </c>
      <c r="S163" s="21">
        <v>0.66979999999999995</v>
      </c>
      <c r="T163">
        <f t="shared" si="26"/>
        <v>17.956419753086422</v>
      </c>
      <c r="U163">
        <f t="shared" si="27"/>
        <v>12.039258708271607</v>
      </c>
      <c r="X163" s="9"/>
      <c r="Y163" s="21">
        <v>1.0295099999999999</v>
      </c>
      <c r="Z163" s="21">
        <v>16.206399999999999</v>
      </c>
      <c r="AA163" s="21">
        <v>-1.42334E-2</v>
      </c>
      <c r="AB163" s="21">
        <v>153</v>
      </c>
      <c r="AC163" s="21">
        <v>1.02844</v>
      </c>
      <c r="AD163">
        <f t="shared" si="28"/>
        <v>17.572098765432099</v>
      </c>
      <c r="AE163">
        <f t="shared" si="29"/>
        <v>18.090651399999999</v>
      </c>
      <c r="AF163" s="9"/>
      <c r="AG163" s="21">
        <v>0.67047100000000004</v>
      </c>
      <c r="AH163" s="21">
        <v>20.025600000000001</v>
      </c>
      <c r="AI163" s="21">
        <v>-1.45874E-2</v>
      </c>
      <c r="AJ163" s="21">
        <v>153</v>
      </c>
      <c r="AK163" s="21">
        <v>0.66983000000000004</v>
      </c>
      <c r="AL163">
        <f t="shared" si="30"/>
        <v>18.009135802469135</v>
      </c>
      <c r="AM163">
        <f t="shared" si="31"/>
        <v>12.074603290617285</v>
      </c>
      <c r="AP163" s="9"/>
      <c r="AQ163" s="21">
        <v>1.0295099999999999</v>
      </c>
      <c r="AR163" s="21">
        <v>25.518599999999999</v>
      </c>
      <c r="AS163" s="21">
        <v>-1.4218099999999999E-2</v>
      </c>
      <c r="AT163" s="21">
        <v>153</v>
      </c>
      <c r="AU163" s="21">
        <v>1.0287500000000001</v>
      </c>
      <c r="AV163">
        <f t="shared" si="32"/>
        <v>17.553209876543207</v>
      </c>
      <c r="AW163">
        <f t="shared" si="33"/>
        <v>18.071205099999997</v>
      </c>
      <c r="AX163" s="9"/>
      <c r="AY163" s="21">
        <v>0.67047100000000004</v>
      </c>
      <c r="AZ163" s="21">
        <v>29.337900000000001</v>
      </c>
      <c r="BA163" s="21">
        <v>-1.45416E-2</v>
      </c>
      <c r="BB163" s="21">
        <v>153</v>
      </c>
      <c r="BC163" s="21">
        <v>0.66976899999999995</v>
      </c>
      <c r="BD163">
        <f t="shared" si="34"/>
        <v>17.952592592592595</v>
      </c>
      <c r="BE163">
        <f t="shared" si="35"/>
        <v>12.03669270814815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6.8932599999999997</v>
      </c>
      <c r="I164" s="21">
        <v>-1.4251700000000001E-2</v>
      </c>
      <c r="J164" s="21">
        <v>154</v>
      </c>
      <c r="K164" s="21">
        <v>1.02386</v>
      </c>
      <c r="L164">
        <f t="shared" si="24"/>
        <v>17.594691358024694</v>
      </c>
      <c r="M164">
        <f t="shared" si="25"/>
        <v>18.02540940246914</v>
      </c>
      <c r="N164" s="9"/>
      <c r="O164" s="21">
        <v>0.67550699999999997</v>
      </c>
      <c r="P164" s="21">
        <v>10.7125</v>
      </c>
      <c r="Q164" s="21">
        <v>-1.4550799999999999E-2</v>
      </c>
      <c r="R164" s="21">
        <v>154</v>
      </c>
      <c r="S164" s="21">
        <v>0.67480499999999999</v>
      </c>
      <c r="T164">
        <f t="shared" si="26"/>
        <v>17.963950617283949</v>
      </c>
      <c r="U164">
        <f t="shared" si="27"/>
        <v>12.134774389629628</v>
      </c>
      <c r="X164" s="9"/>
      <c r="Y164" s="21">
        <v>1.0244800000000001</v>
      </c>
      <c r="Z164" s="21">
        <v>16.2165</v>
      </c>
      <c r="AA164" s="21">
        <v>-1.4236499999999999E-2</v>
      </c>
      <c r="AB164" s="21">
        <v>154</v>
      </c>
      <c r="AC164" s="21">
        <v>1.02356</v>
      </c>
      <c r="AD164">
        <f t="shared" si="28"/>
        <v>17.575925925925926</v>
      </c>
      <c r="AE164">
        <f t="shared" si="29"/>
        <v>18.006184592592593</v>
      </c>
      <c r="AF164" s="9"/>
      <c r="AG164" s="21">
        <v>0.67550699999999997</v>
      </c>
      <c r="AH164" s="21">
        <v>20.035699999999999</v>
      </c>
      <c r="AI164" s="21">
        <v>-1.4590499999999999E-2</v>
      </c>
      <c r="AJ164" s="21">
        <v>154</v>
      </c>
      <c r="AK164" s="21">
        <v>0.67486599999999997</v>
      </c>
      <c r="AL164">
        <f t="shared" si="30"/>
        <v>18.012962962962959</v>
      </c>
      <c r="AM164">
        <f t="shared" si="31"/>
        <v>12.167882572222219</v>
      </c>
      <c r="AP164" s="9"/>
      <c r="AQ164" s="21">
        <v>1.0244800000000001</v>
      </c>
      <c r="AR164" s="21">
        <v>25.528700000000001</v>
      </c>
      <c r="AS164" s="21">
        <v>-1.42212E-2</v>
      </c>
      <c r="AT164" s="21">
        <v>154</v>
      </c>
      <c r="AU164" s="21">
        <v>1.02295</v>
      </c>
      <c r="AV164">
        <f t="shared" si="32"/>
        <v>17.557037037037034</v>
      </c>
      <c r="AW164">
        <f t="shared" si="33"/>
        <v>17.986833303703701</v>
      </c>
      <c r="AX164" s="9"/>
      <c r="AY164" s="21">
        <v>0.67550699999999997</v>
      </c>
      <c r="AZ164" s="21">
        <v>29.347999999999999</v>
      </c>
      <c r="BA164" s="21">
        <v>-1.45294E-2</v>
      </c>
      <c r="BB164" s="21">
        <v>154</v>
      </c>
      <c r="BC164" s="21">
        <v>0.67474400000000001</v>
      </c>
      <c r="BD164">
        <f t="shared" si="34"/>
        <v>17.93753086419753</v>
      </c>
      <c r="BE164">
        <f t="shared" si="35"/>
        <v>12.11692766148148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6.9033300000000004</v>
      </c>
      <c r="I165" s="21">
        <v>-1.4251700000000001E-2</v>
      </c>
      <c r="J165" s="21">
        <v>155</v>
      </c>
      <c r="K165" s="21">
        <v>1.01837</v>
      </c>
      <c r="L165">
        <f t="shared" si="24"/>
        <v>17.594691358024694</v>
      </c>
      <c r="M165">
        <f t="shared" si="25"/>
        <v>17.936732158024693</v>
      </c>
      <c r="N165" s="9"/>
      <c r="O165" s="21">
        <v>0.68054199999999998</v>
      </c>
      <c r="P165" s="21">
        <v>10.7225</v>
      </c>
      <c r="Q165" s="21">
        <v>-1.4544700000000001E-2</v>
      </c>
      <c r="R165" s="21">
        <v>155</v>
      </c>
      <c r="S165" s="21">
        <v>0.67984</v>
      </c>
      <c r="T165">
        <f t="shared" si="26"/>
        <v>17.956419753086422</v>
      </c>
      <c r="U165">
        <f t="shared" si="27"/>
        <v>12.220097811604939</v>
      </c>
      <c r="X165" s="9"/>
      <c r="Y165" s="21">
        <v>1.0194399999999999</v>
      </c>
      <c r="Z165" s="21">
        <v>16.226500000000001</v>
      </c>
      <c r="AA165" s="21">
        <v>-1.4242599999999999E-2</v>
      </c>
      <c r="AB165" s="21">
        <v>155</v>
      </c>
      <c r="AC165" s="21">
        <v>1.01837</v>
      </c>
      <c r="AD165">
        <f t="shared" si="28"/>
        <v>17.583456790123453</v>
      </c>
      <c r="AE165">
        <f t="shared" si="29"/>
        <v>17.925279190123451</v>
      </c>
      <c r="AF165" s="9"/>
      <c r="AG165" s="21">
        <v>0.68054199999999998</v>
      </c>
      <c r="AH165" s="21">
        <v>20.0457</v>
      </c>
      <c r="AI165" s="21">
        <v>-1.45874E-2</v>
      </c>
      <c r="AJ165" s="21">
        <v>155</v>
      </c>
      <c r="AK165" s="21">
        <v>0.679871</v>
      </c>
      <c r="AL165">
        <f t="shared" si="30"/>
        <v>18.009135802469135</v>
      </c>
      <c r="AM165">
        <f t="shared" si="31"/>
        <v>12.255973297283949</v>
      </c>
      <c r="AP165" s="9"/>
      <c r="AQ165" s="21">
        <v>1.0194399999999999</v>
      </c>
      <c r="AR165" s="21">
        <v>25.538799999999998</v>
      </c>
      <c r="AS165" s="21">
        <v>-1.4212000000000001E-2</v>
      </c>
      <c r="AT165" s="21">
        <v>155</v>
      </c>
      <c r="AU165" s="21">
        <v>1.01868</v>
      </c>
      <c r="AV165">
        <f t="shared" si="32"/>
        <v>17.54567901234568</v>
      </c>
      <c r="AW165">
        <f t="shared" si="33"/>
        <v>17.886767012345679</v>
      </c>
      <c r="AX165" s="9"/>
      <c r="AY165" s="21">
        <v>0.68054199999999998</v>
      </c>
      <c r="AZ165" s="21">
        <v>29.358000000000001</v>
      </c>
      <c r="BA165" s="21">
        <v>-1.45294E-2</v>
      </c>
      <c r="BB165" s="21">
        <v>155</v>
      </c>
      <c r="BC165" s="21">
        <v>0.679871</v>
      </c>
      <c r="BD165">
        <f t="shared" si="34"/>
        <v>17.93753086419753</v>
      </c>
      <c r="BE165">
        <f t="shared" si="35"/>
        <v>12.207243129382714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6.9134000000000002</v>
      </c>
      <c r="I166" s="21">
        <v>-1.42548E-2</v>
      </c>
      <c r="J166" s="21">
        <v>156</v>
      </c>
      <c r="K166" s="21">
        <v>1.01349</v>
      </c>
      <c r="L166">
        <f t="shared" si="24"/>
        <v>17.598518518518517</v>
      </c>
      <c r="M166">
        <f t="shared" si="25"/>
        <v>17.851937185185182</v>
      </c>
      <c r="N166" s="9"/>
      <c r="O166" s="21">
        <v>0.68557699999999999</v>
      </c>
      <c r="P166" s="21">
        <v>10.7326</v>
      </c>
      <c r="Q166" s="21">
        <v>-1.45355E-2</v>
      </c>
      <c r="R166" s="21">
        <v>156</v>
      </c>
      <c r="S166" s="21">
        <v>0.68484500000000004</v>
      </c>
      <c r="T166">
        <f t="shared" si="26"/>
        <v>17.945061728395061</v>
      </c>
      <c r="U166">
        <f t="shared" si="27"/>
        <v>12.3027215845679</v>
      </c>
      <c r="X166" s="9"/>
      <c r="Y166" s="21">
        <v>1.0144</v>
      </c>
      <c r="Z166" s="21">
        <v>16.236599999999999</v>
      </c>
      <c r="AA166" s="21">
        <v>-1.42487E-2</v>
      </c>
      <c r="AB166" s="21">
        <v>156</v>
      </c>
      <c r="AC166" s="21">
        <v>1.01379</v>
      </c>
      <c r="AD166">
        <f t="shared" si="28"/>
        <v>17.590987654320987</v>
      </c>
      <c r="AE166">
        <f t="shared" si="29"/>
        <v>17.844297876543209</v>
      </c>
      <c r="AF166" s="9"/>
      <c r="AG166" s="21">
        <v>0.68557699999999999</v>
      </c>
      <c r="AH166" s="21">
        <v>20.055800000000001</v>
      </c>
      <c r="AI166" s="21">
        <v>-1.45813E-2</v>
      </c>
      <c r="AJ166" s="21">
        <v>156</v>
      </c>
      <c r="AK166" s="21">
        <v>0.68496699999999999</v>
      </c>
      <c r="AL166">
        <f t="shared" si="30"/>
        <v>18.001604938271605</v>
      </c>
      <c r="AM166">
        <f t="shared" si="31"/>
        <v>12.341486308765433</v>
      </c>
      <c r="AP166" s="9"/>
      <c r="AQ166" s="21">
        <v>1.0144</v>
      </c>
      <c r="AR166" s="21">
        <v>25.5488</v>
      </c>
      <c r="AS166" s="21">
        <v>-1.42059E-2</v>
      </c>
      <c r="AT166" s="21">
        <v>156</v>
      </c>
      <c r="AU166" s="21">
        <v>1.01288</v>
      </c>
      <c r="AV166">
        <f t="shared" si="32"/>
        <v>17.538148148148146</v>
      </c>
      <c r="AW166">
        <f t="shared" si="33"/>
        <v>17.79069748148148</v>
      </c>
      <c r="AX166" s="9"/>
      <c r="AY166" s="21">
        <v>0.68557699999999999</v>
      </c>
      <c r="AZ166" s="21">
        <v>29.368099999999998</v>
      </c>
      <c r="BA166" s="21">
        <v>-1.45355E-2</v>
      </c>
      <c r="BB166" s="21">
        <v>156</v>
      </c>
      <c r="BC166" s="21">
        <v>0.68493700000000002</v>
      </c>
      <c r="BD166">
        <f t="shared" si="34"/>
        <v>17.945061728395061</v>
      </c>
      <c r="BE166">
        <f t="shared" si="35"/>
        <v>12.3027215845679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6.92347</v>
      </c>
      <c r="I167" s="21">
        <v>-1.42731E-2</v>
      </c>
      <c r="J167" s="21">
        <v>157</v>
      </c>
      <c r="K167" s="21">
        <v>1.008</v>
      </c>
      <c r="L167">
        <f t="shared" si="24"/>
        <v>17.621111111111112</v>
      </c>
      <c r="M167">
        <f t="shared" si="25"/>
        <v>17.786220922222224</v>
      </c>
      <c r="N167" s="9"/>
      <c r="O167" s="21">
        <v>0.69061300000000003</v>
      </c>
      <c r="P167" s="21">
        <v>10.742699999999999</v>
      </c>
      <c r="Q167" s="21">
        <v>-1.45325E-2</v>
      </c>
      <c r="R167" s="21">
        <v>157</v>
      </c>
      <c r="S167" s="21">
        <v>0.68991100000000005</v>
      </c>
      <c r="T167">
        <f t="shared" si="26"/>
        <v>17.941358024691358</v>
      </c>
      <c r="U167">
        <f t="shared" si="27"/>
        <v>12.390535089506173</v>
      </c>
      <c r="X167" s="9"/>
      <c r="Y167" s="21">
        <v>1.0093700000000001</v>
      </c>
      <c r="Z167" s="21">
        <v>16.246700000000001</v>
      </c>
      <c r="AA167" s="21">
        <v>-1.4257799999999999E-2</v>
      </c>
      <c r="AB167" s="21">
        <v>157</v>
      </c>
      <c r="AC167" s="21">
        <v>1.00861</v>
      </c>
      <c r="AD167">
        <f t="shared" si="28"/>
        <v>17.60222222222222</v>
      </c>
      <c r="AE167">
        <f t="shared" si="29"/>
        <v>17.767155044444443</v>
      </c>
      <c r="AF167" s="9"/>
      <c r="AG167" s="21">
        <v>0.69061300000000003</v>
      </c>
      <c r="AH167" s="21">
        <v>20.065899999999999</v>
      </c>
      <c r="AI167" s="21">
        <v>-1.4572099999999999E-2</v>
      </c>
      <c r="AJ167" s="21">
        <v>157</v>
      </c>
      <c r="AK167" s="21">
        <v>0.68984999999999996</v>
      </c>
      <c r="AL167">
        <f t="shared" si="30"/>
        <v>17.990246913580243</v>
      </c>
      <c r="AM167">
        <f t="shared" si="31"/>
        <v>12.424298391728394</v>
      </c>
      <c r="AP167" s="9"/>
      <c r="AQ167" s="21">
        <v>1.0093700000000001</v>
      </c>
      <c r="AR167" s="21">
        <v>25.558900000000001</v>
      </c>
      <c r="AS167" s="21">
        <v>-1.42059E-2</v>
      </c>
      <c r="AT167" s="21">
        <v>157</v>
      </c>
      <c r="AU167" s="21">
        <v>1.00769</v>
      </c>
      <c r="AV167">
        <f t="shared" si="32"/>
        <v>17.538148148148146</v>
      </c>
      <c r="AW167">
        <f t="shared" si="33"/>
        <v>17.702480596296297</v>
      </c>
      <c r="AX167" s="9"/>
      <c r="AY167" s="21">
        <v>0.69061300000000003</v>
      </c>
      <c r="AZ167" s="21">
        <v>29.3782</v>
      </c>
      <c r="BA167" s="21">
        <v>-1.45416E-2</v>
      </c>
      <c r="BB167" s="21">
        <v>157</v>
      </c>
      <c r="BC167" s="21">
        <v>0.690002</v>
      </c>
      <c r="BD167">
        <f t="shared" si="34"/>
        <v>17.952592592592595</v>
      </c>
      <c r="BE167">
        <f t="shared" si="35"/>
        <v>12.39829382814815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6.9335399999999998</v>
      </c>
      <c r="I168" s="21">
        <v>-1.4285300000000001E-2</v>
      </c>
      <c r="J168" s="21">
        <v>158</v>
      </c>
      <c r="K168" s="21">
        <v>1.00342</v>
      </c>
      <c r="L168">
        <f t="shared" si="24"/>
        <v>17.636172839506173</v>
      </c>
      <c r="M168">
        <f t="shared" si="25"/>
        <v>17.712537467901235</v>
      </c>
      <c r="N168" s="9"/>
      <c r="O168" s="21">
        <v>0.69564800000000004</v>
      </c>
      <c r="P168" s="21">
        <v>10.752700000000001</v>
      </c>
      <c r="Q168" s="21">
        <v>-1.45203E-2</v>
      </c>
      <c r="R168" s="21">
        <v>158</v>
      </c>
      <c r="S168" s="21">
        <v>0.69506800000000002</v>
      </c>
      <c r="T168">
        <f t="shared" si="26"/>
        <v>17.926296296296293</v>
      </c>
      <c r="U168">
        <f t="shared" si="27"/>
        <v>12.470392165925924</v>
      </c>
      <c r="X168" s="9"/>
      <c r="Y168" s="21">
        <v>1.0043299999999999</v>
      </c>
      <c r="Z168" s="21">
        <v>16.256799999999998</v>
      </c>
      <c r="AA168" s="21">
        <v>-1.42731E-2</v>
      </c>
      <c r="AB168" s="21">
        <v>158</v>
      </c>
      <c r="AC168" s="21">
        <v>1.00342</v>
      </c>
      <c r="AD168">
        <f t="shared" si="28"/>
        <v>17.621111111111112</v>
      </c>
      <c r="AE168">
        <f t="shared" si="29"/>
        <v>17.697410522222221</v>
      </c>
      <c r="AF168" s="9"/>
      <c r="AG168" s="21">
        <v>0.69564800000000004</v>
      </c>
      <c r="AH168" s="21">
        <v>20.075900000000001</v>
      </c>
      <c r="AI168" s="21">
        <v>-1.4563E-2</v>
      </c>
      <c r="AJ168" s="21">
        <v>158</v>
      </c>
      <c r="AK168" s="21">
        <v>0.69500700000000004</v>
      </c>
      <c r="AL168">
        <f t="shared" si="30"/>
        <v>17.979012345679013</v>
      </c>
      <c r="AM168">
        <f t="shared" si="31"/>
        <v>12.507063980246915</v>
      </c>
      <c r="AP168" s="9"/>
      <c r="AQ168" s="21">
        <v>1.0043299999999999</v>
      </c>
      <c r="AR168" s="21">
        <v>25.568999999999999</v>
      </c>
      <c r="AS168" s="21">
        <v>-1.42059E-2</v>
      </c>
      <c r="AT168" s="21">
        <v>158</v>
      </c>
      <c r="AU168" s="21">
        <v>1.00342</v>
      </c>
      <c r="AV168">
        <f t="shared" si="32"/>
        <v>17.538148148148146</v>
      </c>
      <c r="AW168">
        <f t="shared" si="33"/>
        <v>17.614088329629627</v>
      </c>
      <c r="AX168" s="9"/>
      <c r="AY168" s="21">
        <v>0.69564800000000004</v>
      </c>
      <c r="AZ168" s="21">
        <v>29.388300000000001</v>
      </c>
      <c r="BA168" s="21">
        <v>-1.45416E-2</v>
      </c>
      <c r="BB168" s="21">
        <v>158</v>
      </c>
      <c r="BC168" s="21">
        <v>0.69503800000000004</v>
      </c>
      <c r="BD168">
        <f t="shared" si="34"/>
        <v>17.952592592592595</v>
      </c>
      <c r="BE168">
        <f t="shared" si="35"/>
        <v>12.488685131851854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6.9436099999999996</v>
      </c>
      <c r="I169" s="21">
        <v>-1.4297499999999999E-2</v>
      </c>
      <c r="J169" s="21">
        <v>159</v>
      </c>
      <c r="K169" s="21">
        <v>0.99853499999999995</v>
      </c>
      <c r="L169">
        <f t="shared" si="24"/>
        <v>17.651234567901231</v>
      </c>
      <c r="M169">
        <f t="shared" si="25"/>
        <v>17.638843401234563</v>
      </c>
      <c r="N169" s="9"/>
      <c r="O169" s="21">
        <v>0.70068399999999997</v>
      </c>
      <c r="P169" s="21">
        <v>10.7628</v>
      </c>
      <c r="Q169" s="21">
        <v>-1.4511100000000001E-2</v>
      </c>
      <c r="R169" s="21">
        <v>159</v>
      </c>
      <c r="S169" s="21">
        <v>0.69995099999999999</v>
      </c>
      <c r="T169">
        <f t="shared" si="26"/>
        <v>17.914938271604939</v>
      </c>
      <c r="U169">
        <f t="shared" si="27"/>
        <v>12.552710607901234</v>
      </c>
      <c r="X169" s="9"/>
      <c r="Y169" s="21">
        <v>0.99929800000000002</v>
      </c>
      <c r="Z169" s="21">
        <v>16.2668</v>
      </c>
      <c r="AA169" s="21">
        <v>-1.4285300000000001E-2</v>
      </c>
      <c r="AB169" s="21">
        <v>159</v>
      </c>
      <c r="AC169" s="21">
        <v>0.99853499999999995</v>
      </c>
      <c r="AD169">
        <f t="shared" si="28"/>
        <v>17.636172839506173</v>
      </c>
      <c r="AE169">
        <f t="shared" si="29"/>
        <v>17.62379224617284</v>
      </c>
      <c r="AF169" s="9"/>
      <c r="AG169" s="21">
        <v>0.70068399999999997</v>
      </c>
      <c r="AH169" s="21">
        <v>20.085999999999999</v>
      </c>
      <c r="AI169" s="21">
        <v>-1.4556899999999999E-2</v>
      </c>
      <c r="AJ169" s="21">
        <v>159</v>
      </c>
      <c r="AK169" s="21">
        <v>0.70001199999999997</v>
      </c>
      <c r="AL169">
        <f t="shared" si="30"/>
        <v>17.971481481481479</v>
      </c>
      <c r="AM169">
        <f t="shared" si="31"/>
        <v>12.592329530370369</v>
      </c>
      <c r="AP169" s="9"/>
      <c r="AQ169" s="21">
        <v>0.99929800000000002</v>
      </c>
      <c r="AR169" s="21">
        <v>25.5791</v>
      </c>
      <c r="AS169" s="21">
        <v>-1.4224199999999999E-2</v>
      </c>
      <c r="AT169" s="21">
        <v>159</v>
      </c>
      <c r="AU169" s="21">
        <v>0.99853499999999995</v>
      </c>
      <c r="AV169">
        <f t="shared" si="32"/>
        <v>17.560740740740737</v>
      </c>
      <c r="AW169">
        <f t="shared" si="33"/>
        <v>17.548413100740738</v>
      </c>
      <c r="AX169" s="9"/>
      <c r="AY169" s="21">
        <v>0.70068399999999997</v>
      </c>
      <c r="AZ169" s="21">
        <v>29.398299999999999</v>
      </c>
      <c r="BA169" s="21">
        <v>-1.45294E-2</v>
      </c>
      <c r="BB169" s="21">
        <v>159</v>
      </c>
      <c r="BC169" s="21">
        <v>0.70001199999999997</v>
      </c>
      <c r="BD169">
        <f t="shared" si="34"/>
        <v>17.93753086419753</v>
      </c>
      <c r="BE169">
        <f t="shared" si="35"/>
        <v>12.568540876049381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6.9536899999999999</v>
      </c>
      <c r="I170" s="21">
        <v>-1.4312699999999999E-2</v>
      </c>
      <c r="J170" s="21">
        <v>160</v>
      </c>
      <c r="K170" s="21">
        <v>0.99334699999999998</v>
      </c>
      <c r="L170">
        <f t="shared" si="24"/>
        <v>17.669999999999998</v>
      </c>
      <c r="M170">
        <f t="shared" si="25"/>
        <v>17.568627209999999</v>
      </c>
      <c r="N170" s="9"/>
      <c r="O170" s="21">
        <v>0.70571899999999999</v>
      </c>
      <c r="P170" s="21">
        <v>10.7729</v>
      </c>
      <c r="Q170" s="21">
        <v>-1.44989E-2</v>
      </c>
      <c r="R170" s="21">
        <v>160</v>
      </c>
      <c r="S170" s="21">
        <v>0.70510899999999999</v>
      </c>
      <c r="T170">
        <f t="shared" si="26"/>
        <v>17.899876543209874</v>
      </c>
      <c r="U170">
        <f t="shared" si="27"/>
        <v>12.63228297419753</v>
      </c>
      <c r="X170" s="9"/>
      <c r="Y170" s="21">
        <v>0.99426300000000001</v>
      </c>
      <c r="Z170" s="21">
        <v>16.276900000000001</v>
      </c>
      <c r="AA170" s="21">
        <v>-1.42883E-2</v>
      </c>
      <c r="AB170" s="21">
        <v>160</v>
      </c>
      <c r="AC170" s="21">
        <v>0.99304199999999998</v>
      </c>
      <c r="AD170">
        <f t="shared" si="28"/>
        <v>17.639876543209876</v>
      </c>
      <c r="AE170">
        <f t="shared" si="29"/>
        <v>17.538676571481481</v>
      </c>
      <c r="AF170" s="9"/>
      <c r="AG170" s="21">
        <v>0.70571899999999999</v>
      </c>
      <c r="AH170" s="21">
        <v>20.0961</v>
      </c>
      <c r="AI170" s="21">
        <v>-1.45477E-2</v>
      </c>
      <c r="AJ170" s="21">
        <v>160</v>
      </c>
      <c r="AK170" s="21">
        <v>0.70507799999999998</v>
      </c>
      <c r="AL170">
        <f t="shared" si="30"/>
        <v>17.960123456790122</v>
      </c>
      <c r="AM170">
        <f t="shared" si="31"/>
        <v>12.674800365802467</v>
      </c>
      <c r="AP170" s="9"/>
      <c r="AQ170" s="21">
        <v>0.99426300000000001</v>
      </c>
      <c r="AR170" s="21">
        <v>25.589099999999998</v>
      </c>
      <c r="AS170" s="21">
        <v>-1.42395E-2</v>
      </c>
      <c r="AT170" s="21">
        <v>160</v>
      </c>
      <c r="AU170" s="21">
        <v>0.99334699999999998</v>
      </c>
      <c r="AV170">
        <f t="shared" si="32"/>
        <v>17.579629629629629</v>
      </c>
      <c r="AW170">
        <f t="shared" si="33"/>
        <v>17.478775294444443</v>
      </c>
      <c r="AX170" s="9"/>
      <c r="AY170" s="21">
        <v>0.70571899999999999</v>
      </c>
      <c r="AZ170" s="21">
        <v>29.4084</v>
      </c>
      <c r="BA170" s="21">
        <v>-1.45203E-2</v>
      </c>
      <c r="BB170" s="21">
        <v>160</v>
      </c>
      <c r="BC170" s="21">
        <v>0.70507799999999998</v>
      </c>
      <c r="BD170">
        <f t="shared" si="34"/>
        <v>17.926296296296293</v>
      </c>
      <c r="BE170">
        <f t="shared" si="35"/>
        <v>12.650927895925923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6.9637599999999997</v>
      </c>
      <c r="I171" s="21">
        <v>-1.43372E-2</v>
      </c>
      <c r="J171" s="21">
        <v>161</v>
      </c>
      <c r="K171" s="21">
        <v>0.98815900000000001</v>
      </c>
      <c r="L171">
        <f t="shared" si="24"/>
        <v>17.700246913580244</v>
      </c>
      <c r="M171">
        <f t="shared" si="25"/>
        <v>17.509562153580244</v>
      </c>
      <c r="N171" s="9"/>
      <c r="O171" s="21">
        <v>0.710754</v>
      </c>
      <c r="P171" s="21">
        <v>10.7829</v>
      </c>
      <c r="Q171" s="21">
        <v>-1.44958E-2</v>
      </c>
      <c r="R171" s="21">
        <v>161</v>
      </c>
      <c r="S171" s="21">
        <v>0.71020499999999998</v>
      </c>
      <c r="T171">
        <f t="shared" si="26"/>
        <v>17.896049382716047</v>
      </c>
      <c r="U171">
        <f t="shared" si="27"/>
        <v>12.719688682962961</v>
      </c>
      <c r="X171" s="9"/>
      <c r="Y171" s="21">
        <v>0.98922699999999997</v>
      </c>
      <c r="Z171" s="21">
        <v>16.286999999999999</v>
      </c>
      <c r="AA171" s="21">
        <v>-1.4297499999999999E-2</v>
      </c>
      <c r="AB171" s="21">
        <v>161</v>
      </c>
      <c r="AC171" s="21">
        <v>0.98815900000000001</v>
      </c>
      <c r="AD171">
        <f t="shared" si="28"/>
        <v>17.651234567901231</v>
      </c>
      <c r="AE171">
        <f t="shared" si="29"/>
        <v>17.461077817901231</v>
      </c>
      <c r="AF171" s="9"/>
      <c r="AG171" s="21">
        <v>0.710754</v>
      </c>
      <c r="AH171" s="21">
        <v>20.106200000000001</v>
      </c>
      <c r="AI171" s="21">
        <v>-1.45325E-2</v>
      </c>
      <c r="AJ171" s="21">
        <v>161</v>
      </c>
      <c r="AK171" s="21">
        <v>0.71011400000000002</v>
      </c>
      <c r="AL171">
        <f t="shared" si="30"/>
        <v>17.941358024691358</v>
      </c>
      <c r="AM171">
        <f t="shared" si="31"/>
        <v>12.751891981481482</v>
      </c>
      <c r="AP171" s="9"/>
      <c r="AQ171" s="21">
        <v>0.98922699999999997</v>
      </c>
      <c r="AR171" s="21">
        <v>25.5992</v>
      </c>
      <c r="AS171" s="21">
        <v>-1.4242599999999999E-2</v>
      </c>
      <c r="AT171" s="21">
        <v>161</v>
      </c>
      <c r="AU171" s="21">
        <v>0.98846400000000001</v>
      </c>
      <c r="AV171">
        <f t="shared" si="32"/>
        <v>17.583456790123453</v>
      </c>
      <c r="AW171">
        <f t="shared" si="33"/>
        <v>17.394030210123454</v>
      </c>
      <c r="AX171" s="9"/>
      <c r="AY171" s="21">
        <v>0.710754</v>
      </c>
      <c r="AZ171" s="21">
        <v>29.418500000000002</v>
      </c>
      <c r="BA171" s="21">
        <v>-1.45142E-2</v>
      </c>
      <c r="BB171" s="21">
        <v>161</v>
      </c>
      <c r="BC171" s="21">
        <v>0.710175</v>
      </c>
      <c r="BD171">
        <f t="shared" si="34"/>
        <v>17.918765432098763</v>
      </c>
      <c r="BE171">
        <f t="shared" si="35"/>
        <v>12.735834205925924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6.9738300000000004</v>
      </c>
      <c r="I172" s="21">
        <v>-1.43524E-2</v>
      </c>
      <c r="J172" s="21">
        <v>162</v>
      </c>
      <c r="K172" s="21">
        <v>0.98358199999999996</v>
      </c>
      <c r="L172">
        <f t="shared" si="24"/>
        <v>17.719012345679008</v>
      </c>
      <c r="M172">
        <f t="shared" si="25"/>
        <v>17.438910198518514</v>
      </c>
      <c r="N172" s="9"/>
      <c r="O172" s="21">
        <v>0.71579000000000004</v>
      </c>
      <c r="P172" s="21">
        <v>10.792999999999999</v>
      </c>
      <c r="Q172" s="21">
        <v>-1.4489699999999999E-2</v>
      </c>
      <c r="R172" s="21">
        <v>162</v>
      </c>
      <c r="S172" s="21">
        <v>0.71521000000000001</v>
      </c>
      <c r="T172">
        <f t="shared" si="26"/>
        <v>17.888518518518516</v>
      </c>
      <c r="U172">
        <f t="shared" si="27"/>
        <v>12.80442267037037</v>
      </c>
      <c r="X172" s="9"/>
      <c r="Y172" s="21">
        <v>0.98419199999999996</v>
      </c>
      <c r="Z172" s="21">
        <v>16.297000000000001</v>
      </c>
      <c r="AA172" s="21">
        <v>-1.4306599999999999E-2</v>
      </c>
      <c r="AB172" s="21">
        <v>162</v>
      </c>
      <c r="AC172" s="21">
        <v>0.98327600000000004</v>
      </c>
      <c r="AD172">
        <f t="shared" si="28"/>
        <v>17.662469135802468</v>
      </c>
      <c r="AE172">
        <f t="shared" si="29"/>
        <v>17.383260823703701</v>
      </c>
      <c r="AF172" s="9"/>
      <c r="AG172" s="21">
        <v>0.71579000000000004</v>
      </c>
      <c r="AH172" s="21">
        <v>20.116199999999999</v>
      </c>
      <c r="AI172" s="21">
        <v>-1.4517199999999999E-2</v>
      </c>
      <c r="AJ172" s="21">
        <v>162</v>
      </c>
      <c r="AK172" s="21">
        <v>0.71521000000000001</v>
      </c>
      <c r="AL172">
        <f t="shared" si="30"/>
        <v>17.922469135802466</v>
      </c>
      <c r="AM172">
        <f t="shared" si="31"/>
        <v>12.828724182716048</v>
      </c>
      <c r="AP172" s="9"/>
      <c r="AQ172" s="21">
        <v>0.98419199999999996</v>
      </c>
      <c r="AR172" s="21">
        <v>25.609300000000001</v>
      </c>
      <c r="AS172" s="21">
        <v>-1.42487E-2</v>
      </c>
      <c r="AT172" s="21">
        <v>162</v>
      </c>
      <c r="AU172" s="21">
        <v>0.98297100000000004</v>
      </c>
      <c r="AV172">
        <f t="shared" si="32"/>
        <v>17.590987654320987</v>
      </c>
      <c r="AW172">
        <f t="shared" si="33"/>
        <v>17.312909321481481</v>
      </c>
      <c r="AX172" s="9"/>
      <c r="AY172" s="21">
        <v>0.71579000000000004</v>
      </c>
      <c r="AZ172" s="21">
        <v>29.4285</v>
      </c>
      <c r="BA172" s="21">
        <v>-1.4508099999999999E-2</v>
      </c>
      <c r="BB172" s="21">
        <v>162</v>
      </c>
      <c r="BC172" s="21">
        <v>0.71508799999999995</v>
      </c>
      <c r="BD172">
        <f t="shared" si="34"/>
        <v>17.911234567901232</v>
      </c>
      <c r="BE172">
        <f t="shared" si="35"/>
        <v>12.820682591358024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6.9839000000000002</v>
      </c>
      <c r="I173" s="21">
        <v>-1.43524E-2</v>
      </c>
      <c r="J173" s="21">
        <v>163</v>
      </c>
      <c r="K173" s="21">
        <v>0.97808799999999996</v>
      </c>
      <c r="L173">
        <f t="shared" si="24"/>
        <v>17.719012345679008</v>
      </c>
      <c r="M173">
        <f t="shared" si="25"/>
        <v>17.349677252345675</v>
      </c>
      <c r="N173" s="9"/>
      <c r="O173" s="21">
        <v>0.72082500000000005</v>
      </c>
      <c r="P173" s="21">
        <v>10.803100000000001</v>
      </c>
      <c r="Q173" s="21">
        <v>-1.44867E-2</v>
      </c>
      <c r="R173" s="21">
        <v>163</v>
      </c>
      <c r="S173" s="21">
        <v>0.72018400000000005</v>
      </c>
      <c r="T173">
        <f t="shared" si="26"/>
        <v>17.884814814814817</v>
      </c>
      <c r="U173">
        <f t="shared" si="27"/>
        <v>12.89182163888889</v>
      </c>
      <c r="X173" s="9"/>
      <c r="Y173" s="21">
        <v>0.97915600000000003</v>
      </c>
      <c r="Z173" s="21">
        <v>16.307099999999998</v>
      </c>
      <c r="AA173" s="21">
        <v>-1.4312699999999999E-2</v>
      </c>
      <c r="AB173" s="21">
        <v>163</v>
      </c>
      <c r="AC173" s="21">
        <v>0.97839399999999999</v>
      </c>
      <c r="AD173">
        <f t="shared" si="28"/>
        <v>17.669999999999998</v>
      </c>
      <c r="AE173">
        <f t="shared" si="29"/>
        <v>17.301686519999997</v>
      </c>
      <c r="AF173" s="9"/>
      <c r="AG173" s="21">
        <v>0.72082500000000005</v>
      </c>
      <c r="AH173" s="21">
        <v>20.126300000000001</v>
      </c>
      <c r="AI173" s="21">
        <v>-1.44989E-2</v>
      </c>
      <c r="AJ173" s="21">
        <v>163</v>
      </c>
      <c r="AK173" s="21">
        <v>0.72027600000000003</v>
      </c>
      <c r="AL173">
        <f t="shared" si="30"/>
        <v>17.899876543209874</v>
      </c>
      <c r="AM173">
        <f t="shared" si="31"/>
        <v>12.902678509259259</v>
      </c>
      <c r="AP173" s="9"/>
      <c r="AQ173" s="21">
        <v>0.97915600000000003</v>
      </c>
      <c r="AR173" s="21">
        <v>25.619299999999999</v>
      </c>
      <c r="AS173" s="21">
        <v>-1.42609E-2</v>
      </c>
      <c r="AT173" s="21">
        <v>163</v>
      </c>
      <c r="AU173" s="21">
        <v>0.97839399999999999</v>
      </c>
      <c r="AV173">
        <f t="shared" si="32"/>
        <v>17.606049382716048</v>
      </c>
      <c r="AW173">
        <f t="shared" si="33"/>
        <v>17.239068889382715</v>
      </c>
      <c r="AX173" s="9"/>
      <c r="AY173" s="21">
        <v>0.72082500000000005</v>
      </c>
      <c r="AZ173" s="21">
        <v>29.438600000000001</v>
      </c>
      <c r="BA173" s="21">
        <v>-1.4508099999999999E-2</v>
      </c>
      <c r="BB173" s="21">
        <v>163</v>
      </c>
      <c r="BC173" s="21">
        <v>0.72012299999999996</v>
      </c>
      <c r="BD173">
        <f t="shared" si="34"/>
        <v>17.911234567901232</v>
      </c>
      <c r="BE173">
        <f t="shared" si="35"/>
        <v>12.910865657407406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6.99397</v>
      </c>
      <c r="I174" s="21">
        <v>-1.43555E-2</v>
      </c>
      <c r="J174" s="21">
        <v>164</v>
      </c>
      <c r="K174" s="21">
        <v>0.97320600000000002</v>
      </c>
      <c r="L174">
        <f t="shared" si="24"/>
        <v>17.722839506172836</v>
      </c>
      <c r="M174">
        <f t="shared" si="25"/>
        <v>17.264190142592589</v>
      </c>
      <c r="N174" s="9"/>
      <c r="O174" s="21">
        <v>0.72586099999999998</v>
      </c>
      <c r="P174" s="21">
        <v>10.8132</v>
      </c>
      <c r="Q174" s="21">
        <v>-1.4489699999999999E-2</v>
      </c>
      <c r="R174" s="21">
        <v>164</v>
      </c>
      <c r="S174" s="21">
        <v>0.725159</v>
      </c>
      <c r="T174">
        <f t="shared" si="26"/>
        <v>17.888518518518516</v>
      </c>
      <c r="U174">
        <f t="shared" si="27"/>
        <v>12.984577940370368</v>
      </c>
      <c r="X174" s="9"/>
      <c r="Y174" s="21">
        <v>0.97412100000000001</v>
      </c>
      <c r="Z174" s="21">
        <v>16.3172</v>
      </c>
      <c r="AA174" s="21">
        <v>-1.4324999999999999E-2</v>
      </c>
      <c r="AB174" s="21">
        <v>164</v>
      </c>
      <c r="AC174" s="21">
        <v>0.97320600000000002</v>
      </c>
      <c r="AD174">
        <f t="shared" si="28"/>
        <v>17.685185185185183</v>
      </c>
      <c r="AE174">
        <f t="shared" si="29"/>
        <v>17.227510277777775</v>
      </c>
      <c r="AF174" s="9"/>
      <c r="AG174" s="21">
        <v>0.72586099999999998</v>
      </c>
      <c r="AH174" s="21">
        <v>20.136399999999998</v>
      </c>
      <c r="AI174" s="21">
        <v>-1.44867E-2</v>
      </c>
      <c r="AJ174" s="21">
        <v>164</v>
      </c>
      <c r="AK174" s="21">
        <v>0.72518899999999997</v>
      </c>
      <c r="AL174">
        <f t="shared" si="30"/>
        <v>17.884814814814817</v>
      </c>
      <c r="AM174">
        <f t="shared" si="31"/>
        <v>12.981889566296298</v>
      </c>
      <c r="AP174" s="9"/>
      <c r="AQ174" s="21">
        <v>0.97412100000000001</v>
      </c>
      <c r="AR174" s="21">
        <v>25.6294</v>
      </c>
      <c r="AS174" s="21">
        <v>-1.427E-2</v>
      </c>
      <c r="AT174" s="21">
        <v>164</v>
      </c>
      <c r="AU174" s="21">
        <v>0.97351100000000002</v>
      </c>
      <c r="AV174">
        <f t="shared" si="32"/>
        <v>17.617283950617285</v>
      </c>
      <c r="AW174">
        <f t="shared" si="33"/>
        <v>17.16136625925926</v>
      </c>
      <c r="AX174" s="9"/>
      <c r="AY174" s="21">
        <v>0.72586099999999998</v>
      </c>
      <c r="AZ174" s="21">
        <v>29.448699999999999</v>
      </c>
      <c r="BA174" s="21">
        <v>-1.4508099999999999E-2</v>
      </c>
      <c r="BB174" s="21">
        <v>164</v>
      </c>
      <c r="BC174" s="21">
        <v>0.72518899999999997</v>
      </c>
      <c r="BD174">
        <f t="shared" si="34"/>
        <v>17.911234567901232</v>
      </c>
      <c r="BE174">
        <f t="shared" si="35"/>
        <v>13.001066634691355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7.0040399999999998</v>
      </c>
      <c r="I175" s="21">
        <v>-1.43616E-2</v>
      </c>
      <c r="J175" s="21">
        <v>165</v>
      </c>
      <c r="K175" s="21">
        <v>0.96801800000000005</v>
      </c>
      <c r="L175">
        <f t="shared" si="24"/>
        <v>17.73037037037037</v>
      </c>
      <c r="M175">
        <f t="shared" si="25"/>
        <v>17.182253700740741</v>
      </c>
      <c r="N175" s="9"/>
      <c r="O175" s="21">
        <v>0.73089599999999999</v>
      </c>
      <c r="P175" s="21">
        <v>10.8232</v>
      </c>
      <c r="Q175" s="21">
        <v>-1.44928E-2</v>
      </c>
      <c r="R175" s="21">
        <v>165</v>
      </c>
      <c r="S175" s="21">
        <v>0.73013300000000003</v>
      </c>
      <c r="T175">
        <f t="shared" si="26"/>
        <v>17.892345679012344</v>
      </c>
      <c r="U175">
        <f t="shared" si="27"/>
        <v>13.077443887407405</v>
      </c>
      <c r="X175" s="9"/>
      <c r="Y175" s="21">
        <v>0.969086</v>
      </c>
      <c r="Z175" s="21">
        <v>16.327300000000001</v>
      </c>
      <c r="AA175" s="21">
        <v>-1.4328E-2</v>
      </c>
      <c r="AB175" s="21">
        <v>165</v>
      </c>
      <c r="AC175" s="21">
        <v>0.96801800000000005</v>
      </c>
      <c r="AD175">
        <f t="shared" si="28"/>
        <v>17.68888888888889</v>
      </c>
      <c r="AE175">
        <f t="shared" si="29"/>
        <v>17.142054577777778</v>
      </c>
      <c r="AF175" s="9"/>
      <c r="AG175" s="21">
        <v>0.73089599999999999</v>
      </c>
      <c r="AH175" s="21">
        <v>20.1464</v>
      </c>
      <c r="AI175" s="21">
        <v>-1.4483599999999999E-2</v>
      </c>
      <c r="AJ175" s="21">
        <v>165</v>
      </c>
      <c r="AK175" s="21">
        <v>0.73022500000000001</v>
      </c>
      <c r="AL175">
        <f t="shared" si="30"/>
        <v>17.880987654320986</v>
      </c>
      <c r="AM175">
        <f t="shared" si="31"/>
        <v>13.069142352592591</v>
      </c>
      <c r="AP175" s="9"/>
      <c r="AQ175" s="21">
        <v>0.969086</v>
      </c>
      <c r="AR175" s="21">
        <v>25.639500000000002</v>
      </c>
      <c r="AS175" s="21">
        <v>-1.42822E-2</v>
      </c>
      <c r="AT175" s="21">
        <v>165</v>
      </c>
      <c r="AU175" s="21">
        <v>0.96771200000000002</v>
      </c>
      <c r="AV175">
        <f t="shared" si="32"/>
        <v>17.632345679012342</v>
      </c>
      <c r="AW175">
        <f t="shared" si="33"/>
        <v>17.087259344691354</v>
      </c>
      <c r="AX175" s="9"/>
      <c r="AY175" s="21">
        <v>0.73089599999999999</v>
      </c>
      <c r="AZ175" s="21">
        <v>29.4587</v>
      </c>
      <c r="BA175" s="21">
        <v>-1.4511100000000001E-2</v>
      </c>
      <c r="BB175" s="21">
        <v>165</v>
      </c>
      <c r="BC175" s="21">
        <v>0.73007200000000005</v>
      </c>
      <c r="BD175">
        <f t="shared" si="34"/>
        <v>17.914938271604939</v>
      </c>
      <c r="BE175">
        <f t="shared" si="35"/>
        <v>13.093956722962963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7.0141099999999996</v>
      </c>
      <c r="I176" s="21">
        <v>-1.43555E-2</v>
      </c>
      <c r="J176" s="21">
        <v>166</v>
      </c>
      <c r="K176" s="21">
        <v>0.96282999999999996</v>
      </c>
      <c r="L176">
        <f t="shared" si="24"/>
        <v>17.722839506172836</v>
      </c>
      <c r="M176">
        <f t="shared" si="25"/>
        <v>17.085703425925921</v>
      </c>
      <c r="N176" s="9"/>
      <c r="O176" s="21">
        <v>0.735931</v>
      </c>
      <c r="P176" s="21">
        <v>10.833299999999999</v>
      </c>
      <c r="Q176" s="21">
        <v>-1.44928E-2</v>
      </c>
      <c r="R176" s="21">
        <v>166</v>
      </c>
      <c r="S176" s="21">
        <v>0.73526000000000002</v>
      </c>
      <c r="T176">
        <f t="shared" si="26"/>
        <v>17.892345679012344</v>
      </c>
      <c r="U176">
        <f t="shared" si="27"/>
        <v>13.167531847901234</v>
      </c>
      <c r="X176" s="9"/>
      <c r="Y176" s="21">
        <v>0.96404999999999996</v>
      </c>
      <c r="Z176" s="21">
        <v>16.337299999999999</v>
      </c>
      <c r="AA176" s="21">
        <v>-1.4328E-2</v>
      </c>
      <c r="AB176" s="21">
        <v>166</v>
      </c>
      <c r="AC176" s="21">
        <v>0.96343999999999996</v>
      </c>
      <c r="AD176">
        <f t="shared" si="28"/>
        <v>17.68888888888889</v>
      </c>
      <c r="AE176">
        <f t="shared" si="29"/>
        <v>17.052973333333334</v>
      </c>
      <c r="AF176" s="9"/>
      <c r="AG176" s="21">
        <v>0.735931</v>
      </c>
      <c r="AH176" s="21">
        <v>20.156500000000001</v>
      </c>
      <c r="AI176" s="21">
        <v>-1.44806E-2</v>
      </c>
      <c r="AJ176" s="21">
        <v>166</v>
      </c>
      <c r="AK176" s="21">
        <v>0.73529100000000003</v>
      </c>
      <c r="AL176">
        <f t="shared" si="30"/>
        <v>17.877283950617283</v>
      </c>
      <c r="AM176">
        <f t="shared" si="31"/>
        <v>13.156447455061727</v>
      </c>
      <c r="AP176" s="9"/>
      <c r="AQ176" s="21">
        <v>0.96404999999999996</v>
      </c>
      <c r="AR176" s="21">
        <v>25.6496</v>
      </c>
      <c r="AS176" s="21">
        <v>-1.4291399999999999E-2</v>
      </c>
      <c r="AT176" s="21">
        <v>166</v>
      </c>
      <c r="AU176" s="21">
        <v>0.96343999999999996</v>
      </c>
      <c r="AV176">
        <f t="shared" si="32"/>
        <v>17.643703703703704</v>
      </c>
      <c r="AW176">
        <f t="shared" si="33"/>
        <v>17.009412555555556</v>
      </c>
      <c r="AX176" s="9"/>
      <c r="AY176" s="21">
        <v>0.735931</v>
      </c>
      <c r="AZ176" s="21">
        <v>29.468800000000002</v>
      </c>
      <c r="BA176" s="21">
        <v>-1.45203E-2</v>
      </c>
      <c r="BB176" s="21">
        <v>166</v>
      </c>
      <c r="BC176" s="21">
        <v>0.73526000000000002</v>
      </c>
      <c r="BD176">
        <f t="shared" si="34"/>
        <v>17.926296296296293</v>
      </c>
      <c r="BE176">
        <f t="shared" si="35"/>
        <v>13.192517159629627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7.0241800000000003</v>
      </c>
      <c r="I177" s="21">
        <v>-1.43585E-2</v>
      </c>
      <c r="J177" s="21">
        <v>167</v>
      </c>
      <c r="K177" s="21">
        <v>0.95764199999999999</v>
      </c>
      <c r="L177">
        <f t="shared" si="24"/>
        <v>17.726543209876542</v>
      </c>
      <c r="M177">
        <f t="shared" si="25"/>
        <v>17.00002083641975</v>
      </c>
      <c r="N177" s="9"/>
      <c r="O177" s="21">
        <v>0.74096700000000004</v>
      </c>
      <c r="P177" s="21">
        <v>10.843400000000001</v>
      </c>
      <c r="Q177" s="21">
        <v>-1.44989E-2</v>
      </c>
      <c r="R177" s="21">
        <v>167</v>
      </c>
      <c r="S177" s="21">
        <v>0.74020399999999997</v>
      </c>
      <c r="T177">
        <f t="shared" si="26"/>
        <v>17.899876543209874</v>
      </c>
      <c r="U177">
        <f t="shared" si="27"/>
        <v>13.263217822592592</v>
      </c>
      <c r="X177" s="9"/>
      <c r="Y177" s="21">
        <v>0.95901499999999995</v>
      </c>
      <c r="Z177" s="21">
        <v>16.3474</v>
      </c>
      <c r="AA177" s="21">
        <v>-1.4328E-2</v>
      </c>
      <c r="AB177" s="21">
        <v>167</v>
      </c>
      <c r="AC177" s="21">
        <v>0.95764199999999999</v>
      </c>
      <c r="AD177">
        <f t="shared" si="28"/>
        <v>17.68888888888889</v>
      </c>
      <c r="AE177">
        <f t="shared" si="29"/>
        <v>16.963909777777779</v>
      </c>
      <c r="AF177" s="9"/>
      <c r="AG177" s="21">
        <v>0.74096700000000004</v>
      </c>
      <c r="AH177" s="21">
        <v>20.166599999999999</v>
      </c>
      <c r="AI177" s="21">
        <v>-1.4471400000000001E-2</v>
      </c>
      <c r="AJ177" s="21">
        <v>167</v>
      </c>
      <c r="AK177" s="21">
        <v>0.74032600000000004</v>
      </c>
      <c r="AL177">
        <f t="shared" si="30"/>
        <v>17.865925925925925</v>
      </c>
      <c r="AM177">
        <f t="shared" si="31"/>
        <v>13.238061535555556</v>
      </c>
      <c r="AP177" s="9"/>
      <c r="AQ177" s="21">
        <v>0.95901499999999995</v>
      </c>
      <c r="AR177" s="21">
        <v>25.659600000000001</v>
      </c>
      <c r="AS177" s="21">
        <v>-1.43036E-2</v>
      </c>
      <c r="AT177" s="21">
        <v>167</v>
      </c>
      <c r="AU177" s="21">
        <v>0.95825199999999999</v>
      </c>
      <c r="AV177">
        <f t="shared" si="32"/>
        <v>17.658765432098765</v>
      </c>
      <c r="AW177">
        <f t="shared" si="33"/>
        <v>16.935020930864194</v>
      </c>
      <c r="AX177" s="9"/>
      <c r="AY177" s="21">
        <v>0.74096700000000004</v>
      </c>
      <c r="AZ177" s="21">
        <v>29.478899999999999</v>
      </c>
      <c r="BA177" s="21">
        <v>-1.4511100000000001E-2</v>
      </c>
      <c r="BB177" s="21">
        <v>167</v>
      </c>
      <c r="BC177" s="21">
        <v>0.74035600000000001</v>
      </c>
      <c r="BD177">
        <f t="shared" si="34"/>
        <v>17.914938271604939</v>
      </c>
      <c r="BE177">
        <f t="shared" si="35"/>
        <v>13.274378066296297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7.0342500000000001</v>
      </c>
      <c r="I178" s="21">
        <v>-1.43707E-2</v>
      </c>
      <c r="J178" s="21">
        <v>168</v>
      </c>
      <c r="K178" s="21">
        <v>0.95336900000000002</v>
      </c>
      <c r="L178">
        <f t="shared" si="24"/>
        <v>17.741604938271603</v>
      </c>
      <c r="M178">
        <f t="shared" si="25"/>
        <v>16.925118537407407</v>
      </c>
      <c r="N178" s="9"/>
      <c r="O178" s="21">
        <v>0.74600200000000005</v>
      </c>
      <c r="P178" s="21">
        <v>10.853400000000001</v>
      </c>
      <c r="Q178" s="21">
        <v>-1.44958E-2</v>
      </c>
      <c r="R178" s="21">
        <v>168</v>
      </c>
      <c r="S178" s="21">
        <v>0.74536100000000005</v>
      </c>
      <c r="T178">
        <f t="shared" si="26"/>
        <v>17.896049382716047</v>
      </c>
      <c r="U178">
        <f t="shared" si="27"/>
        <v>13.350488631604938</v>
      </c>
      <c r="X178" s="9"/>
      <c r="Y178" s="21">
        <v>0.95397900000000002</v>
      </c>
      <c r="Z178" s="21">
        <v>16.357500000000002</v>
      </c>
      <c r="AA178" s="21">
        <v>-1.43188E-2</v>
      </c>
      <c r="AB178" s="21">
        <v>168</v>
      </c>
      <c r="AC178" s="21">
        <v>0.95306400000000002</v>
      </c>
      <c r="AD178">
        <f t="shared" si="28"/>
        <v>17.677530864197529</v>
      </c>
      <c r="AE178">
        <f t="shared" si="29"/>
        <v>16.863993216296294</v>
      </c>
      <c r="AF178" s="9"/>
      <c r="AG178" s="21">
        <v>0.74600200000000005</v>
      </c>
      <c r="AH178" s="21">
        <v>20.1767</v>
      </c>
      <c r="AI178" s="21">
        <v>-1.4471400000000001E-2</v>
      </c>
      <c r="AJ178" s="21">
        <v>168</v>
      </c>
      <c r="AK178" s="21">
        <v>0.74523899999999998</v>
      </c>
      <c r="AL178">
        <f t="shared" si="30"/>
        <v>17.865925925925925</v>
      </c>
      <c r="AM178">
        <f t="shared" si="31"/>
        <v>13.328016472592592</v>
      </c>
      <c r="AP178" s="9"/>
      <c r="AQ178" s="21">
        <v>0.95397900000000002</v>
      </c>
      <c r="AR178" s="21">
        <v>25.669699999999999</v>
      </c>
      <c r="AS178" s="21">
        <v>-1.43188E-2</v>
      </c>
      <c r="AT178" s="21">
        <v>168</v>
      </c>
      <c r="AU178" s="21">
        <v>0.95306400000000002</v>
      </c>
      <c r="AV178">
        <f t="shared" si="32"/>
        <v>17.677530864197529</v>
      </c>
      <c r="AW178">
        <f t="shared" si="33"/>
        <v>16.863993216296294</v>
      </c>
      <c r="AX178" s="9"/>
      <c r="AY178" s="21">
        <v>0.74600200000000005</v>
      </c>
      <c r="AZ178" s="21">
        <v>29.489000000000001</v>
      </c>
      <c r="BA178" s="21">
        <v>-1.4511100000000001E-2</v>
      </c>
      <c r="BB178" s="21">
        <v>168</v>
      </c>
      <c r="BC178" s="21">
        <v>0.74539200000000005</v>
      </c>
      <c r="BD178">
        <f t="shared" si="34"/>
        <v>17.914938271604939</v>
      </c>
      <c r="BE178">
        <f t="shared" si="35"/>
        <v>13.364579780493829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7.0443199999999999</v>
      </c>
      <c r="I179" s="21">
        <v>-1.43707E-2</v>
      </c>
      <c r="J179" s="21">
        <v>169</v>
      </c>
      <c r="K179" s="21">
        <v>0.94818100000000005</v>
      </c>
      <c r="L179">
        <f t="shared" si="24"/>
        <v>17.741604938271603</v>
      </c>
      <c r="M179">
        <f t="shared" si="25"/>
        <v>16.835789556543208</v>
      </c>
      <c r="N179" s="9"/>
      <c r="O179" s="21">
        <v>0.75103799999999998</v>
      </c>
      <c r="P179" s="21">
        <v>10.8635</v>
      </c>
      <c r="Q179" s="21">
        <v>-1.44958E-2</v>
      </c>
      <c r="R179" s="21">
        <v>169</v>
      </c>
      <c r="S179" s="21">
        <v>0.750336</v>
      </c>
      <c r="T179">
        <f t="shared" si="26"/>
        <v>17.896049382716047</v>
      </c>
      <c r="U179">
        <f t="shared" si="27"/>
        <v>13.440613136296294</v>
      </c>
      <c r="X179" s="9"/>
      <c r="Y179" s="21">
        <v>0.94894400000000001</v>
      </c>
      <c r="Z179" s="21">
        <v>16.3675</v>
      </c>
      <c r="AA179" s="21">
        <v>-1.43097E-2</v>
      </c>
      <c r="AB179" s="21">
        <v>169</v>
      </c>
      <c r="AC179" s="21">
        <v>0.94787600000000005</v>
      </c>
      <c r="AD179">
        <f t="shared" si="28"/>
        <v>17.666296296296295</v>
      </c>
      <c r="AE179">
        <f t="shared" si="29"/>
        <v>16.764325872592593</v>
      </c>
      <c r="AF179" s="9"/>
      <c r="AG179" s="21">
        <v>0.75103799999999998</v>
      </c>
      <c r="AH179" s="21">
        <v>20.186699999999998</v>
      </c>
      <c r="AI179" s="21">
        <v>-1.4471400000000001E-2</v>
      </c>
      <c r="AJ179" s="21">
        <v>169</v>
      </c>
      <c r="AK179" s="21">
        <v>0.75036599999999998</v>
      </c>
      <c r="AL179">
        <f t="shared" si="30"/>
        <v>17.865925925925925</v>
      </c>
      <c r="AM179">
        <f t="shared" si="31"/>
        <v>13.417989275555554</v>
      </c>
      <c r="AP179" s="9"/>
      <c r="AQ179" s="21">
        <v>0.94894400000000001</v>
      </c>
      <c r="AR179" s="21">
        <v>25.6798</v>
      </c>
      <c r="AS179" s="21">
        <v>-1.43188E-2</v>
      </c>
      <c r="AT179" s="21">
        <v>169</v>
      </c>
      <c r="AU179" s="21">
        <v>0.94818100000000005</v>
      </c>
      <c r="AV179">
        <f t="shared" si="32"/>
        <v>17.677530864197529</v>
      </c>
      <c r="AW179">
        <f t="shared" si="33"/>
        <v>16.774986848395059</v>
      </c>
      <c r="AX179" s="9"/>
      <c r="AY179" s="21">
        <v>0.75103799999999998</v>
      </c>
      <c r="AZ179" s="21">
        <v>29.498999999999999</v>
      </c>
      <c r="BA179" s="21">
        <v>-1.4508099999999999E-2</v>
      </c>
      <c r="BB179" s="21">
        <v>169</v>
      </c>
      <c r="BC179" s="21">
        <v>0.75036599999999998</v>
      </c>
      <c r="BD179">
        <f t="shared" si="34"/>
        <v>17.911234567901232</v>
      </c>
      <c r="BE179">
        <f t="shared" si="35"/>
        <v>13.452017787407405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7.0544000000000002</v>
      </c>
      <c r="I180" s="21">
        <v>-1.4367700000000001E-2</v>
      </c>
      <c r="J180" s="21">
        <v>170</v>
      </c>
      <c r="K180" s="21">
        <v>0.94299299999999997</v>
      </c>
      <c r="L180">
        <f t="shared" si="24"/>
        <v>17.7379012345679</v>
      </c>
      <c r="M180">
        <f t="shared" si="25"/>
        <v>16.742964616419751</v>
      </c>
      <c r="N180" s="9"/>
      <c r="O180" s="21">
        <v>0.756073</v>
      </c>
      <c r="P180" s="21">
        <v>10.8736</v>
      </c>
      <c r="Q180" s="21">
        <v>-1.4483599999999999E-2</v>
      </c>
      <c r="R180" s="21">
        <v>170</v>
      </c>
      <c r="S180" s="21">
        <v>0.75561500000000004</v>
      </c>
      <c r="T180">
        <f t="shared" si="26"/>
        <v>17.880987654320986</v>
      </c>
      <c r="U180">
        <f t="shared" si="27"/>
        <v>13.519331978765431</v>
      </c>
      <c r="X180" s="9"/>
      <c r="Y180" s="21">
        <v>0.943909</v>
      </c>
      <c r="Z180" s="21">
        <v>16.377600000000001</v>
      </c>
      <c r="AA180" s="21">
        <v>-1.43097E-2</v>
      </c>
      <c r="AB180" s="21">
        <v>170</v>
      </c>
      <c r="AC180" s="21">
        <v>0.94329799999999997</v>
      </c>
      <c r="AD180">
        <f t="shared" si="28"/>
        <v>17.666296296296295</v>
      </c>
      <c r="AE180">
        <f t="shared" si="29"/>
        <v>16.675376070740739</v>
      </c>
      <c r="AF180" s="9"/>
      <c r="AG180" s="21">
        <v>0.756073</v>
      </c>
      <c r="AH180" s="21">
        <v>20.1968</v>
      </c>
      <c r="AI180" s="21">
        <v>-1.4471400000000001E-2</v>
      </c>
      <c r="AJ180" s="21">
        <v>170</v>
      </c>
      <c r="AK180" s="21">
        <v>0.75531000000000004</v>
      </c>
      <c r="AL180">
        <f t="shared" si="30"/>
        <v>17.865925925925925</v>
      </c>
      <c r="AM180">
        <f t="shared" si="31"/>
        <v>13.507944212592593</v>
      </c>
      <c r="AP180" s="9"/>
      <c r="AQ180" s="21">
        <v>0.943909</v>
      </c>
      <c r="AR180" s="21">
        <v>25.689800000000002</v>
      </c>
      <c r="AS180" s="21">
        <v>-1.4331099999999999E-2</v>
      </c>
      <c r="AT180" s="21">
        <v>170</v>
      </c>
      <c r="AU180" s="21">
        <v>0.94268799999999997</v>
      </c>
      <c r="AV180">
        <f t="shared" si="32"/>
        <v>17.692716049382714</v>
      </c>
      <c r="AW180">
        <f t="shared" si="33"/>
        <v>16.700313913456789</v>
      </c>
      <c r="AX180" s="9"/>
      <c r="AY180" s="21">
        <v>0.756073</v>
      </c>
      <c r="AZ180" s="21">
        <v>29.5091</v>
      </c>
      <c r="BA180" s="21">
        <v>-1.4501999999999999E-2</v>
      </c>
      <c r="BB180" s="21">
        <v>170</v>
      </c>
      <c r="BC180" s="21">
        <v>0.75531000000000004</v>
      </c>
      <c r="BD180">
        <f t="shared" si="34"/>
        <v>17.903703703703702</v>
      </c>
      <c r="BE180">
        <f t="shared" si="35"/>
        <v>13.536506970370368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7.06447</v>
      </c>
      <c r="I181" s="21">
        <v>-1.43768E-2</v>
      </c>
      <c r="J181" s="21">
        <v>171</v>
      </c>
      <c r="K181" s="21">
        <v>0.93811</v>
      </c>
      <c r="L181">
        <f t="shared" si="24"/>
        <v>17.749135802469137</v>
      </c>
      <c r="M181">
        <f t="shared" si="25"/>
        <v>16.664184378271607</v>
      </c>
      <c r="N181" s="9"/>
      <c r="O181" s="21">
        <v>0.76110800000000001</v>
      </c>
      <c r="P181" s="21">
        <v>10.883699999999999</v>
      </c>
      <c r="Q181" s="21">
        <v>-1.4477500000000001E-2</v>
      </c>
      <c r="R181" s="21">
        <v>171</v>
      </c>
      <c r="S181" s="21">
        <v>0.75988800000000001</v>
      </c>
      <c r="T181">
        <f t="shared" si="26"/>
        <v>17.873456790123456</v>
      </c>
      <c r="U181">
        <f t="shared" si="27"/>
        <v>13.603630950617283</v>
      </c>
      <c r="X181" s="9"/>
      <c r="Y181" s="21">
        <v>0.93887299999999996</v>
      </c>
      <c r="Z181" s="21">
        <v>16.387699999999999</v>
      </c>
      <c r="AA181" s="21">
        <v>-1.43097E-2</v>
      </c>
      <c r="AB181" s="21">
        <v>171</v>
      </c>
      <c r="AC181" s="21">
        <v>0.93841600000000003</v>
      </c>
      <c r="AD181">
        <f t="shared" si="28"/>
        <v>17.666296296296295</v>
      </c>
      <c r="AE181">
        <f t="shared" si="29"/>
        <v>16.586408602592591</v>
      </c>
      <c r="AF181" s="9"/>
      <c r="AG181" s="21">
        <v>0.76110800000000001</v>
      </c>
      <c r="AH181" s="21">
        <v>20.206900000000001</v>
      </c>
      <c r="AI181" s="21">
        <v>-1.44653E-2</v>
      </c>
      <c r="AJ181" s="21">
        <v>171</v>
      </c>
      <c r="AK181" s="21">
        <v>0.76019300000000001</v>
      </c>
      <c r="AL181">
        <f t="shared" si="30"/>
        <v>17.858395061728395</v>
      </c>
      <c r="AM181">
        <f t="shared" si="31"/>
        <v>13.592167348641976</v>
      </c>
      <c r="AP181" s="9"/>
      <c r="AQ181" s="21">
        <v>0.93887299999999996</v>
      </c>
      <c r="AR181" s="21">
        <v>25.6999</v>
      </c>
      <c r="AS181" s="21">
        <v>-1.43372E-2</v>
      </c>
      <c r="AT181" s="21">
        <v>171</v>
      </c>
      <c r="AU181" s="21">
        <v>0.9375</v>
      </c>
      <c r="AV181">
        <f t="shared" si="32"/>
        <v>17.700246913580244</v>
      </c>
      <c r="AW181">
        <f t="shared" si="33"/>
        <v>16.618283920493823</v>
      </c>
      <c r="AX181" s="9"/>
      <c r="AY181" s="21">
        <v>0.76110800000000001</v>
      </c>
      <c r="AZ181" s="21">
        <v>29.519200000000001</v>
      </c>
      <c r="BA181" s="21">
        <v>-1.44958E-2</v>
      </c>
      <c r="BB181" s="21">
        <v>171</v>
      </c>
      <c r="BC181" s="21">
        <v>0.76080300000000001</v>
      </c>
      <c r="BD181">
        <f t="shared" si="34"/>
        <v>17.896049382716047</v>
      </c>
      <c r="BE181">
        <f t="shared" si="35"/>
        <v>13.620826353580245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7.0745399999999998</v>
      </c>
      <c r="I182" s="21">
        <v>-1.4385999999999999E-2</v>
      </c>
      <c r="J182" s="21">
        <v>172</v>
      </c>
      <c r="K182" s="21">
        <v>0.93292200000000003</v>
      </c>
      <c r="L182">
        <f t="shared" si="24"/>
        <v>17.760493827160492</v>
      </c>
      <c r="M182">
        <f t="shared" si="25"/>
        <v>16.585424034567897</v>
      </c>
      <c r="N182" s="9"/>
      <c r="O182" s="21">
        <v>0.76614400000000005</v>
      </c>
      <c r="P182" s="21">
        <v>10.893700000000001</v>
      </c>
      <c r="Q182" s="21">
        <v>-1.4483599999999999E-2</v>
      </c>
      <c r="R182" s="21">
        <v>172</v>
      </c>
      <c r="S182" s="21">
        <v>0.76507599999999998</v>
      </c>
      <c r="T182">
        <f t="shared" si="26"/>
        <v>17.880987654320986</v>
      </c>
      <c r="U182">
        <f t="shared" si="27"/>
        <v>13.699411405432098</v>
      </c>
      <c r="X182" s="9"/>
      <c r="Y182" s="21">
        <v>0.93383799999999995</v>
      </c>
      <c r="Z182" s="21">
        <v>16.3978</v>
      </c>
      <c r="AA182" s="21">
        <v>-1.43097E-2</v>
      </c>
      <c r="AB182" s="21">
        <v>172</v>
      </c>
      <c r="AC182" s="21">
        <v>0.93322799999999995</v>
      </c>
      <c r="AD182">
        <f t="shared" si="28"/>
        <v>17.666296296296295</v>
      </c>
      <c r="AE182">
        <f t="shared" si="29"/>
        <v>16.497458800740738</v>
      </c>
      <c r="AF182" s="9"/>
      <c r="AG182" s="21">
        <v>0.76614400000000005</v>
      </c>
      <c r="AH182" s="21">
        <v>20.216899999999999</v>
      </c>
      <c r="AI182" s="21">
        <v>-1.4468399999999999E-2</v>
      </c>
      <c r="AJ182" s="21">
        <v>172</v>
      </c>
      <c r="AK182" s="21">
        <v>0.76538099999999998</v>
      </c>
      <c r="AL182">
        <f t="shared" si="30"/>
        <v>17.862222222222222</v>
      </c>
      <c r="AM182">
        <f t="shared" si="31"/>
        <v>13.685034382222224</v>
      </c>
      <c r="AP182" s="9"/>
      <c r="AQ182" s="21">
        <v>0.93383799999999995</v>
      </c>
      <c r="AR182" s="21">
        <v>25.71</v>
      </c>
      <c r="AS182" s="21">
        <v>-1.43372E-2</v>
      </c>
      <c r="AT182" s="21">
        <v>172</v>
      </c>
      <c r="AU182" s="21">
        <v>0.93292200000000003</v>
      </c>
      <c r="AV182">
        <f t="shared" si="32"/>
        <v>17.700246913580244</v>
      </c>
      <c r="AW182">
        <f t="shared" si="33"/>
        <v>16.529163177283948</v>
      </c>
      <c r="AX182" s="9"/>
      <c r="AY182" s="21">
        <v>0.76614400000000005</v>
      </c>
      <c r="AZ182" s="21">
        <v>29.529199999999999</v>
      </c>
      <c r="BA182" s="21">
        <v>-1.44806E-2</v>
      </c>
      <c r="BB182" s="21">
        <v>172</v>
      </c>
      <c r="BC182" s="21">
        <v>0.76507599999999998</v>
      </c>
      <c r="BD182">
        <f t="shared" si="34"/>
        <v>17.877283950617283</v>
      </c>
      <c r="BE182">
        <f t="shared" si="35"/>
        <v>13.696573835061729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7.0846099999999996</v>
      </c>
      <c r="I183" s="21">
        <v>-1.4385999999999999E-2</v>
      </c>
      <c r="J183" s="21">
        <v>173</v>
      </c>
      <c r="K183" s="21">
        <v>0.92834499999999998</v>
      </c>
      <c r="L183">
        <f t="shared" si="24"/>
        <v>17.760493827160492</v>
      </c>
      <c r="M183">
        <f t="shared" si="25"/>
        <v>16.49598218765432</v>
      </c>
      <c r="N183" s="9"/>
      <c r="O183" s="21">
        <v>0.77117899999999995</v>
      </c>
      <c r="P183" s="21">
        <v>10.9038</v>
      </c>
      <c r="Q183" s="21">
        <v>-1.4483599999999999E-2</v>
      </c>
      <c r="R183" s="21">
        <v>173</v>
      </c>
      <c r="S183" s="21">
        <v>0.77056899999999995</v>
      </c>
      <c r="T183">
        <f t="shared" si="26"/>
        <v>17.880987654320986</v>
      </c>
      <c r="U183">
        <f t="shared" si="27"/>
        <v>13.789442178271603</v>
      </c>
      <c r="X183" s="9"/>
      <c r="Y183" s="21">
        <v>0.92880200000000002</v>
      </c>
      <c r="Z183" s="21">
        <v>16.407800000000002</v>
      </c>
      <c r="AA183" s="21">
        <v>-1.43158E-2</v>
      </c>
      <c r="AB183" s="21">
        <v>173</v>
      </c>
      <c r="AC183" s="21">
        <v>0.92742899999999995</v>
      </c>
      <c r="AD183">
        <f t="shared" si="28"/>
        <v>17.673827160493826</v>
      </c>
      <c r="AE183">
        <f t="shared" si="29"/>
        <v>16.415486014320987</v>
      </c>
      <c r="AF183" s="9"/>
      <c r="AG183" s="21">
        <v>0.77117899999999995</v>
      </c>
      <c r="AH183" s="21">
        <v>20.227</v>
      </c>
      <c r="AI183" s="21">
        <v>-1.4477500000000001E-2</v>
      </c>
      <c r="AJ183" s="21">
        <v>173</v>
      </c>
      <c r="AK183" s="21">
        <v>0.77026399999999995</v>
      </c>
      <c r="AL183">
        <f t="shared" si="30"/>
        <v>17.873456790123456</v>
      </c>
      <c r="AM183">
        <f t="shared" si="31"/>
        <v>13.783634533950615</v>
      </c>
      <c r="AP183" s="9"/>
      <c r="AQ183" s="21">
        <v>0.92880200000000002</v>
      </c>
      <c r="AR183" s="21">
        <v>25.720099999999999</v>
      </c>
      <c r="AS183" s="21">
        <v>-1.43433E-2</v>
      </c>
      <c r="AT183" s="21">
        <v>173</v>
      </c>
      <c r="AU183" s="21">
        <v>0.92834499999999998</v>
      </c>
      <c r="AV183">
        <f t="shared" si="32"/>
        <v>17.707777777777778</v>
      </c>
      <c r="AW183">
        <f t="shared" si="33"/>
        <v>16.447019415555555</v>
      </c>
      <c r="AX183" s="9"/>
      <c r="AY183" s="21">
        <v>0.77117899999999995</v>
      </c>
      <c r="AZ183" s="21">
        <v>29.539300000000001</v>
      </c>
      <c r="BA183" s="21">
        <v>-1.4471400000000001E-2</v>
      </c>
      <c r="BB183" s="21">
        <v>173</v>
      </c>
      <c r="BC183" s="21">
        <v>0.76995800000000003</v>
      </c>
      <c r="BD183">
        <f t="shared" si="34"/>
        <v>17.865925925925925</v>
      </c>
      <c r="BE183">
        <f t="shared" si="35"/>
        <v>13.777826889629628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7.0946800000000003</v>
      </c>
      <c r="I184" s="21">
        <v>-1.4385999999999999E-2</v>
      </c>
      <c r="J184" s="21">
        <v>174</v>
      </c>
      <c r="K184" s="21">
        <v>0.92315700000000001</v>
      </c>
      <c r="L184">
        <f t="shared" si="24"/>
        <v>17.760493827160492</v>
      </c>
      <c r="M184">
        <f t="shared" si="25"/>
        <v>16.406558101234566</v>
      </c>
      <c r="N184" s="9"/>
      <c r="O184" s="21">
        <v>0.77621499999999999</v>
      </c>
      <c r="P184" s="21">
        <v>10.9139</v>
      </c>
      <c r="Q184" s="21">
        <v>-1.4483599999999999E-2</v>
      </c>
      <c r="R184" s="21">
        <v>174</v>
      </c>
      <c r="S184" s="21">
        <v>0.775146</v>
      </c>
      <c r="T184">
        <f t="shared" si="26"/>
        <v>17.880987654320986</v>
      </c>
      <c r="U184">
        <f t="shared" si="27"/>
        <v>13.879490832098764</v>
      </c>
      <c r="X184" s="9"/>
      <c r="Y184" s="21">
        <v>0.923767</v>
      </c>
      <c r="Z184" s="21">
        <v>16.417899999999999</v>
      </c>
      <c r="AA184" s="21">
        <v>-1.43188E-2</v>
      </c>
      <c r="AB184" s="21">
        <v>174</v>
      </c>
      <c r="AC184" s="21">
        <v>0.92315700000000001</v>
      </c>
      <c r="AD184">
        <f t="shared" si="28"/>
        <v>17.677530864197529</v>
      </c>
      <c r="AE184">
        <f t="shared" si="29"/>
        <v>16.329919653827158</v>
      </c>
      <c r="AF184" s="9"/>
      <c r="AG184" s="21">
        <v>0.77621499999999999</v>
      </c>
      <c r="AH184" s="21">
        <v>20.237100000000002</v>
      </c>
      <c r="AI184" s="21">
        <v>-1.44806E-2</v>
      </c>
      <c r="AJ184" s="21">
        <v>174</v>
      </c>
      <c r="AK184" s="21">
        <v>0.775146</v>
      </c>
      <c r="AL184">
        <f t="shared" si="30"/>
        <v>17.877283950617283</v>
      </c>
      <c r="AM184">
        <f t="shared" si="31"/>
        <v>13.876615961728394</v>
      </c>
      <c r="AP184" s="9"/>
      <c r="AQ184" s="21">
        <v>0.923767</v>
      </c>
      <c r="AR184" s="21">
        <v>25.7301</v>
      </c>
      <c r="AS184" s="21">
        <v>-1.4346299999999999E-2</v>
      </c>
      <c r="AT184" s="21">
        <v>174</v>
      </c>
      <c r="AU184" s="21">
        <v>0.92315700000000001</v>
      </c>
      <c r="AV184">
        <f t="shared" si="32"/>
        <v>17.711481481481481</v>
      </c>
      <c r="AW184">
        <f t="shared" si="33"/>
        <v>16.361282113703705</v>
      </c>
      <c r="AX184" s="9"/>
      <c r="AY184" s="21">
        <v>0.77621499999999999</v>
      </c>
      <c r="AZ184" s="21">
        <v>29.549399999999999</v>
      </c>
      <c r="BA184" s="21">
        <v>-1.44653E-2</v>
      </c>
      <c r="BB184" s="21">
        <v>174</v>
      </c>
      <c r="BC184" s="21">
        <v>0.775146</v>
      </c>
      <c r="BD184">
        <f t="shared" si="34"/>
        <v>17.858395061728395</v>
      </c>
      <c r="BE184">
        <f t="shared" si="35"/>
        <v>13.861954122839506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7.1047500000000001</v>
      </c>
      <c r="I185" s="21">
        <v>-1.43921E-2</v>
      </c>
      <c r="J185" s="21">
        <v>175</v>
      </c>
      <c r="K185" s="21">
        <v>0.91796900000000003</v>
      </c>
      <c r="L185">
        <f t="shared" si="24"/>
        <v>17.768024691358022</v>
      </c>
      <c r="M185">
        <f t="shared" si="25"/>
        <v>16.324052860740739</v>
      </c>
      <c r="N185" s="9"/>
      <c r="O185" s="21">
        <v>0.78125</v>
      </c>
      <c r="P185" s="21">
        <v>10.9239</v>
      </c>
      <c r="Q185" s="21">
        <v>-1.4483599999999999E-2</v>
      </c>
      <c r="R185" s="21">
        <v>175</v>
      </c>
      <c r="S185" s="21">
        <v>0.78064</v>
      </c>
      <c r="T185">
        <f t="shared" si="26"/>
        <v>17.880987654320986</v>
      </c>
      <c r="U185">
        <f t="shared" si="27"/>
        <v>13.96952160493827</v>
      </c>
      <c r="X185" s="9"/>
      <c r="Y185" s="21">
        <v>0.91873199999999999</v>
      </c>
      <c r="Z185" s="21">
        <v>16.428000000000001</v>
      </c>
      <c r="AA185" s="21">
        <v>-1.4331099999999999E-2</v>
      </c>
      <c r="AB185" s="21">
        <v>175</v>
      </c>
      <c r="AC185" s="21">
        <v>0.91796900000000003</v>
      </c>
      <c r="AD185">
        <f t="shared" si="28"/>
        <v>17.692716049382714</v>
      </c>
      <c r="AE185">
        <f t="shared" si="29"/>
        <v>16.25486440148148</v>
      </c>
      <c r="AF185" s="9"/>
      <c r="AG185" s="21">
        <v>0.78125</v>
      </c>
      <c r="AH185" s="21">
        <v>20.247199999999999</v>
      </c>
      <c r="AI185" s="21">
        <v>-1.4477500000000001E-2</v>
      </c>
      <c r="AJ185" s="21">
        <v>175</v>
      </c>
      <c r="AK185" s="21">
        <v>0.78033399999999997</v>
      </c>
      <c r="AL185">
        <f t="shared" si="30"/>
        <v>17.873456790123456</v>
      </c>
      <c r="AM185">
        <f t="shared" si="31"/>
        <v>13.963638117283949</v>
      </c>
      <c r="AP185" s="9"/>
      <c r="AQ185" s="21">
        <v>0.91873199999999999</v>
      </c>
      <c r="AR185" s="21">
        <v>25.740200000000002</v>
      </c>
      <c r="AS185" s="21">
        <v>-1.43433E-2</v>
      </c>
      <c r="AT185" s="21">
        <v>175</v>
      </c>
      <c r="AU185" s="21">
        <v>0.91827400000000003</v>
      </c>
      <c r="AV185">
        <f t="shared" si="32"/>
        <v>17.707777777777778</v>
      </c>
      <c r="AW185">
        <f t="shared" si="33"/>
        <v>16.268702093333335</v>
      </c>
      <c r="AX185" s="9"/>
      <c r="AY185" s="21">
        <v>0.78125</v>
      </c>
      <c r="AZ185" s="21">
        <v>29.5595</v>
      </c>
      <c r="BA185" s="21">
        <v>-1.44592E-2</v>
      </c>
      <c r="BB185" s="21">
        <v>175</v>
      </c>
      <c r="BC185" s="21">
        <v>0.78033399999999997</v>
      </c>
      <c r="BD185">
        <f t="shared" si="34"/>
        <v>17.850864197530864</v>
      </c>
      <c r="BE185">
        <f t="shared" si="35"/>
        <v>13.945987654320987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7.1148199999999999</v>
      </c>
      <c r="I186" s="21">
        <v>-1.4385999999999999E-2</v>
      </c>
      <c r="J186" s="21">
        <v>176</v>
      </c>
      <c r="K186" s="21">
        <v>0.91247599999999995</v>
      </c>
      <c r="L186">
        <f t="shared" si="24"/>
        <v>17.760493827160492</v>
      </c>
      <c r="M186">
        <f t="shared" si="25"/>
        <v>16.227692167901232</v>
      </c>
      <c r="N186" s="9"/>
      <c r="O186" s="21">
        <v>0.78628500000000001</v>
      </c>
      <c r="P186" s="21">
        <v>10.933999999999999</v>
      </c>
      <c r="Q186" s="21">
        <v>-1.44806E-2</v>
      </c>
      <c r="R186" s="21">
        <v>176</v>
      </c>
      <c r="S186" s="21">
        <v>0.78582799999999997</v>
      </c>
      <c r="T186">
        <f t="shared" si="26"/>
        <v>17.877283950617283</v>
      </c>
      <c r="U186">
        <f t="shared" si="27"/>
        <v>14.056640211111111</v>
      </c>
      <c r="X186" s="9"/>
      <c r="Y186" s="21">
        <v>0.91369599999999995</v>
      </c>
      <c r="Z186" s="21">
        <v>16.437999999999999</v>
      </c>
      <c r="AA186" s="21">
        <v>-1.4340200000000001E-2</v>
      </c>
      <c r="AB186" s="21">
        <v>176</v>
      </c>
      <c r="AC186" s="21">
        <v>0.91278099999999995</v>
      </c>
      <c r="AD186">
        <f t="shared" si="28"/>
        <v>17.703950617283951</v>
      </c>
      <c r="AE186">
        <f t="shared" si="29"/>
        <v>16.176028863209876</v>
      </c>
      <c r="AF186" s="9"/>
      <c r="AG186" s="21">
        <v>0.78628500000000001</v>
      </c>
      <c r="AH186" s="21">
        <v>20.257200000000001</v>
      </c>
      <c r="AI186" s="21">
        <v>-1.4477500000000001E-2</v>
      </c>
      <c r="AJ186" s="21">
        <v>176</v>
      </c>
      <c r="AK186" s="21">
        <v>0.78521700000000005</v>
      </c>
      <c r="AL186">
        <f t="shared" si="30"/>
        <v>17.873456790123456</v>
      </c>
      <c r="AM186">
        <f t="shared" si="31"/>
        <v>14.053630972222221</v>
      </c>
      <c r="AP186" s="9"/>
      <c r="AQ186" s="21">
        <v>0.91369599999999995</v>
      </c>
      <c r="AR186" s="21">
        <v>25.750299999999999</v>
      </c>
      <c r="AS186" s="21">
        <v>-1.43494E-2</v>
      </c>
      <c r="AT186" s="21">
        <v>176</v>
      </c>
      <c r="AU186" s="21">
        <v>0.91278099999999995</v>
      </c>
      <c r="AV186">
        <f t="shared" si="32"/>
        <v>17.715308641975309</v>
      </c>
      <c r="AW186">
        <f t="shared" si="33"/>
        <v>16.18640664493827</v>
      </c>
      <c r="AX186" s="9"/>
      <c r="AY186" s="21">
        <v>0.78628500000000001</v>
      </c>
      <c r="AZ186" s="21">
        <v>29.569500000000001</v>
      </c>
      <c r="BA186" s="21">
        <v>-1.44592E-2</v>
      </c>
      <c r="BB186" s="21">
        <v>176</v>
      </c>
      <c r="BC186" s="21">
        <v>0.78491200000000005</v>
      </c>
      <c r="BD186">
        <f t="shared" si="34"/>
        <v>17.850864197530864</v>
      </c>
      <c r="BE186">
        <f t="shared" si="35"/>
        <v>14.035866755555556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7.1248899999999997</v>
      </c>
      <c r="I187" s="21">
        <v>-1.43707E-2</v>
      </c>
      <c r="J187" s="21">
        <v>177</v>
      </c>
      <c r="K187" s="21">
        <v>0.90789799999999998</v>
      </c>
      <c r="L187">
        <f t="shared" si="24"/>
        <v>17.741604938271603</v>
      </c>
      <c r="M187">
        <f t="shared" si="25"/>
        <v>16.121104484814815</v>
      </c>
      <c r="N187" s="9"/>
      <c r="O187" s="21">
        <v>0.79132100000000005</v>
      </c>
      <c r="P187" s="21">
        <v>10.944100000000001</v>
      </c>
      <c r="Q187" s="21">
        <v>-1.44745E-2</v>
      </c>
      <c r="R187" s="21">
        <v>177</v>
      </c>
      <c r="S187" s="21">
        <v>0.79101600000000005</v>
      </c>
      <c r="T187">
        <f t="shared" si="26"/>
        <v>17.869753086419752</v>
      </c>
      <c r="U187">
        <f t="shared" si="27"/>
        <v>14.140710882098766</v>
      </c>
      <c r="X187" s="9"/>
      <c r="Y187" s="21">
        <v>0.90866100000000005</v>
      </c>
      <c r="Z187" s="21">
        <v>16.4481</v>
      </c>
      <c r="AA187" s="21">
        <v>-1.4346299999999999E-2</v>
      </c>
      <c r="AB187" s="21">
        <v>177</v>
      </c>
      <c r="AC187" s="21">
        <v>0.90820299999999998</v>
      </c>
      <c r="AD187">
        <f t="shared" si="28"/>
        <v>17.711481481481481</v>
      </c>
      <c r="AE187">
        <f t="shared" si="29"/>
        <v>16.093732474444444</v>
      </c>
      <c r="AF187" s="9"/>
      <c r="AG187" s="21">
        <v>0.79132100000000005</v>
      </c>
      <c r="AH187" s="21">
        <v>20.267299999999999</v>
      </c>
      <c r="AI187" s="21">
        <v>-1.44745E-2</v>
      </c>
      <c r="AJ187" s="21">
        <v>177</v>
      </c>
      <c r="AK187" s="21">
        <v>0.79010000000000002</v>
      </c>
      <c r="AL187">
        <f t="shared" si="30"/>
        <v>17.869753086419752</v>
      </c>
      <c r="AM187">
        <f t="shared" si="31"/>
        <v>14.140710882098766</v>
      </c>
      <c r="AP187" s="9"/>
      <c r="AQ187" s="21">
        <v>0.90866100000000005</v>
      </c>
      <c r="AR187" s="21">
        <v>25.760300000000001</v>
      </c>
      <c r="AS187" s="21">
        <v>-1.43616E-2</v>
      </c>
      <c r="AT187" s="21">
        <v>177</v>
      </c>
      <c r="AU187" s="21">
        <v>0.90728799999999998</v>
      </c>
      <c r="AV187">
        <f t="shared" si="32"/>
        <v>17.73037037037037</v>
      </c>
      <c r="AW187">
        <f t="shared" si="33"/>
        <v>16.11089607111111</v>
      </c>
      <c r="AX187" s="9"/>
      <c r="AY187" s="21">
        <v>0.79132100000000005</v>
      </c>
      <c r="AZ187" s="21">
        <v>29.579599999999999</v>
      </c>
      <c r="BA187" s="21">
        <v>-1.4462300000000001E-2</v>
      </c>
      <c r="BB187" s="21">
        <v>177</v>
      </c>
      <c r="BC187" s="21">
        <v>0.79071000000000002</v>
      </c>
      <c r="BD187">
        <f t="shared" si="34"/>
        <v>17.854691358024692</v>
      </c>
      <c r="BE187">
        <f t="shared" si="35"/>
        <v>14.128792220123458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7.1349600000000004</v>
      </c>
      <c r="I188" s="21">
        <v>-1.4373800000000001E-2</v>
      </c>
      <c r="J188" s="21">
        <v>178</v>
      </c>
      <c r="K188" s="21">
        <v>0.90271000000000001</v>
      </c>
      <c r="L188">
        <f t="shared" si="24"/>
        <v>17.745432098765431</v>
      </c>
      <c r="M188">
        <f t="shared" si="25"/>
        <v>16.035216080246911</v>
      </c>
      <c r="N188" s="9"/>
      <c r="O188" s="21">
        <v>0.79635599999999995</v>
      </c>
      <c r="P188" s="21">
        <v>10.9542</v>
      </c>
      <c r="Q188" s="21">
        <v>-1.4483599999999999E-2</v>
      </c>
      <c r="R188" s="21">
        <v>178</v>
      </c>
      <c r="S188" s="21">
        <v>0.794983</v>
      </c>
      <c r="T188">
        <f t="shared" si="26"/>
        <v>17.880987654320986</v>
      </c>
      <c r="U188">
        <f t="shared" si="27"/>
        <v>14.239631804444443</v>
      </c>
      <c r="X188" s="9"/>
      <c r="Y188" s="21">
        <v>0.90362500000000001</v>
      </c>
      <c r="Z188" s="21">
        <v>16.458200000000001</v>
      </c>
      <c r="AA188" s="21">
        <v>-1.43616E-2</v>
      </c>
      <c r="AB188" s="21">
        <v>178</v>
      </c>
      <c r="AC188" s="21">
        <v>0.90301500000000001</v>
      </c>
      <c r="AD188">
        <f t="shared" si="28"/>
        <v>17.73037037037037</v>
      </c>
      <c r="AE188">
        <f t="shared" si="29"/>
        <v>16.021605925925925</v>
      </c>
      <c r="AF188" s="9"/>
      <c r="AG188" s="21">
        <v>0.79635599999999995</v>
      </c>
      <c r="AH188" s="21">
        <v>20.2774</v>
      </c>
      <c r="AI188" s="21">
        <v>-1.44745E-2</v>
      </c>
      <c r="AJ188" s="21">
        <v>178</v>
      </c>
      <c r="AK188" s="21">
        <v>0.79528799999999999</v>
      </c>
      <c r="AL188">
        <f t="shared" si="30"/>
        <v>17.869753086419752</v>
      </c>
      <c r="AM188">
        <f t="shared" si="31"/>
        <v>14.230685088888887</v>
      </c>
      <c r="AP188" s="9"/>
      <c r="AQ188" s="21">
        <v>0.90362500000000001</v>
      </c>
      <c r="AR188" s="21">
        <v>25.770399999999999</v>
      </c>
      <c r="AS188" s="21">
        <v>-1.4373800000000001E-2</v>
      </c>
      <c r="AT188" s="21">
        <v>178</v>
      </c>
      <c r="AU188" s="21">
        <v>0.90240500000000001</v>
      </c>
      <c r="AV188">
        <f t="shared" si="32"/>
        <v>17.745432098765431</v>
      </c>
      <c r="AW188">
        <f t="shared" si="33"/>
        <v>16.035216080246911</v>
      </c>
      <c r="AX188" s="9"/>
      <c r="AY188" s="21">
        <v>0.79635599999999995</v>
      </c>
      <c r="AZ188" s="21">
        <v>29.589700000000001</v>
      </c>
      <c r="BA188" s="21">
        <v>-1.44653E-2</v>
      </c>
      <c r="BB188" s="21">
        <v>178</v>
      </c>
      <c r="BC188" s="21">
        <v>0.79589799999999999</v>
      </c>
      <c r="BD188">
        <f t="shared" si="34"/>
        <v>17.858395061728395</v>
      </c>
      <c r="BE188">
        <f t="shared" si="35"/>
        <v>14.221640057777776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7.1450300000000002</v>
      </c>
      <c r="I189" s="21">
        <v>-1.43707E-2</v>
      </c>
      <c r="J189" s="21">
        <v>179</v>
      </c>
      <c r="K189" s="21">
        <v>0.89782700000000004</v>
      </c>
      <c r="L189">
        <f t="shared" si="24"/>
        <v>17.741604938271603</v>
      </c>
      <c r="M189">
        <f t="shared" si="25"/>
        <v>15.94242878148148</v>
      </c>
      <c r="N189" s="9"/>
      <c r="O189" s="21">
        <v>0.80139199999999999</v>
      </c>
      <c r="P189" s="21">
        <v>10.9642</v>
      </c>
      <c r="Q189" s="21">
        <v>-1.44867E-2</v>
      </c>
      <c r="R189" s="21">
        <v>179</v>
      </c>
      <c r="S189" s="21">
        <v>0.80047599999999997</v>
      </c>
      <c r="T189">
        <f t="shared" si="26"/>
        <v>17.884814814814817</v>
      </c>
      <c r="U189">
        <f t="shared" si="27"/>
        <v>14.332747514074075</v>
      </c>
      <c r="X189" s="9"/>
      <c r="Y189" s="21">
        <v>0.89859</v>
      </c>
      <c r="Z189" s="21">
        <v>16.4682</v>
      </c>
      <c r="AA189" s="21">
        <v>-1.43646E-2</v>
      </c>
      <c r="AB189" s="21">
        <v>179</v>
      </c>
      <c r="AC189" s="21">
        <v>0.89782700000000004</v>
      </c>
      <c r="AD189">
        <f t="shared" si="28"/>
        <v>17.734074074074073</v>
      </c>
      <c r="AE189">
        <f t="shared" si="29"/>
        <v>15.935661622222222</v>
      </c>
      <c r="AF189" s="9"/>
      <c r="AG189" s="21">
        <v>0.80139199999999999</v>
      </c>
      <c r="AH189" s="21">
        <v>20.287400000000002</v>
      </c>
      <c r="AI189" s="21">
        <v>-1.44745E-2</v>
      </c>
      <c r="AJ189" s="21">
        <v>179</v>
      </c>
      <c r="AK189" s="21">
        <v>0.80047599999999997</v>
      </c>
      <c r="AL189">
        <f t="shared" si="30"/>
        <v>17.869753086419752</v>
      </c>
      <c r="AM189">
        <f t="shared" si="31"/>
        <v>14.320677165432098</v>
      </c>
      <c r="AP189" s="9"/>
      <c r="AQ189" s="21">
        <v>0.89859</v>
      </c>
      <c r="AR189" s="21">
        <v>25.7805</v>
      </c>
      <c r="AS189" s="21">
        <v>-1.4385999999999999E-2</v>
      </c>
      <c r="AT189" s="21">
        <v>179</v>
      </c>
      <c r="AU189" s="21">
        <v>0.89782700000000004</v>
      </c>
      <c r="AV189">
        <f t="shared" si="32"/>
        <v>17.760493827160492</v>
      </c>
      <c r="AW189">
        <f t="shared" si="33"/>
        <v>15.959402148148147</v>
      </c>
      <c r="AX189" s="9"/>
      <c r="AY189" s="21">
        <v>0.80139199999999999</v>
      </c>
      <c r="AZ189" s="21">
        <v>29.599699999999999</v>
      </c>
      <c r="BA189" s="21">
        <v>-1.44592E-2</v>
      </c>
      <c r="BB189" s="21">
        <v>179</v>
      </c>
      <c r="BC189" s="21">
        <v>0.80047599999999997</v>
      </c>
      <c r="BD189">
        <f t="shared" si="34"/>
        <v>17.850864197530864</v>
      </c>
      <c r="BE189">
        <f t="shared" si="35"/>
        <v>14.305539760987655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7.1551099999999996</v>
      </c>
      <c r="I190" s="21">
        <v>-1.43768E-2</v>
      </c>
      <c r="J190" s="21">
        <v>180</v>
      </c>
      <c r="K190" s="21">
        <v>0.89324999999999999</v>
      </c>
      <c r="L190">
        <f t="shared" si="24"/>
        <v>17.749135802469137</v>
      </c>
      <c r="M190">
        <f t="shared" si="25"/>
        <v>15.85982904197531</v>
      </c>
      <c r="N190" s="9"/>
      <c r="O190" s="21">
        <v>0.806427</v>
      </c>
      <c r="P190" s="21">
        <v>10.974299999999999</v>
      </c>
      <c r="Q190" s="21">
        <v>-1.44867E-2</v>
      </c>
      <c r="R190" s="21">
        <v>180</v>
      </c>
      <c r="S190" s="21">
        <v>0.80535900000000005</v>
      </c>
      <c r="T190">
        <f t="shared" si="26"/>
        <v>17.884814814814817</v>
      </c>
      <c r="U190">
        <f t="shared" si="27"/>
        <v>14.422797556666669</v>
      </c>
      <c r="X190" s="9"/>
      <c r="Y190" s="21">
        <v>0.89355499999999999</v>
      </c>
      <c r="Z190" s="21">
        <v>16.478300000000001</v>
      </c>
      <c r="AA190" s="21">
        <v>-1.43707E-2</v>
      </c>
      <c r="AB190" s="21">
        <v>180</v>
      </c>
      <c r="AC190" s="21">
        <v>0.89263899999999996</v>
      </c>
      <c r="AD190">
        <f t="shared" si="28"/>
        <v>17.741604938271603</v>
      </c>
      <c r="AE190">
        <f t="shared" si="29"/>
        <v>15.853099800617283</v>
      </c>
      <c r="AF190" s="9"/>
      <c r="AG190" s="21">
        <v>0.806427</v>
      </c>
      <c r="AH190" s="21">
        <v>20.297499999999999</v>
      </c>
      <c r="AI190" s="21">
        <v>-1.4471400000000001E-2</v>
      </c>
      <c r="AJ190" s="21">
        <v>180</v>
      </c>
      <c r="AK190" s="21">
        <v>0.80505400000000005</v>
      </c>
      <c r="AL190">
        <f t="shared" si="30"/>
        <v>17.865925925925925</v>
      </c>
      <c r="AM190">
        <f t="shared" si="31"/>
        <v>14.407565046666667</v>
      </c>
      <c r="AP190" s="9"/>
      <c r="AQ190" s="21">
        <v>0.89355499999999999</v>
      </c>
      <c r="AR190" s="21">
        <v>25.790500000000002</v>
      </c>
      <c r="AS190" s="21">
        <v>-1.4389000000000001E-2</v>
      </c>
      <c r="AT190" s="21">
        <v>180</v>
      </c>
      <c r="AU190" s="21">
        <v>0.89263899999999996</v>
      </c>
      <c r="AV190">
        <f t="shared" si="32"/>
        <v>17.764197530864198</v>
      </c>
      <c r="AW190">
        <f t="shared" si="33"/>
        <v>15.873287524691358</v>
      </c>
      <c r="AX190" s="9"/>
      <c r="AY190" s="21">
        <v>0.806427</v>
      </c>
      <c r="AZ190" s="21">
        <v>29.6098</v>
      </c>
      <c r="BA190" s="21">
        <v>-1.4444E-2</v>
      </c>
      <c r="BB190" s="21">
        <v>180</v>
      </c>
      <c r="BC190" s="21">
        <v>0.80535900000000005</v>
      </c>
      <c r="BD190">
        <f t="shared" si="34"/>
        <v>17.832098765432097</v>
      </c>
      <c r="BE190">
        <f t="shared" si="35"/>
        <v>14.380285911111109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7.1651800000000003</v>
      </c>
      <c r="I191" s="21">
        <v>-1.43982E-2</v>
      </c>
      <c r="J191" s="21">
        <v>181</v>
      </c>
      <c r="K191" s="21">
        <v>0.88745099999999999</v>
      </c>
      <c r="L191">
        <f t="shared" si="24"/>
        <v>17.775555555555556</v>
      </c>
      <c r="M191">
        <f t="shared" si="25"/>
        <v>15.793918846666665</v>
      </c>
      <c r="N191" s="9"/>
      <c r="O191" s="21">
        <v>0.81146200000000002</v>
      </c>
      <c r="P191" s="21">
        <v>10.984400000000001</v>
      </c>
      <c r="Q191" s="21">
        <v>-1.44867E-2</v>
      </c>
      <c r="R191" s="21">
        <v>181</v>
      </c>
      <c r="S191" s="21">
        <v>0.80993700000000002</v>
      </c>
      <c r="T191">
        <f t="shared" si="26"/>
        <v>17.884814814814817</v>
      </c>
      <c r="U191">
        <f t="shared" si="27"/>
        <v>14.512847599259262</v>
      </c>
      <c r="X191" s="9"/>
      <c r="Y191" s="21">
        <v>0.88851899999999995</v>
      </c>
      <c r="Z191" s="21">
        <v>16.488399999999999</v>
      </c>
      <c r="AA191" s="21">
        <v>-1.4373800000000001E-2</v>
      </c>
      <c r="AB191" s="21">
        <v>181</v>
      </c>
      <c r="AC191" s="21">
        <v>0.88775599999999999</v>
      </c>
      <c r="AD191">
        <f t="shared" si="28"/>
        <v>17.745432098765431</v>
      </c>
      <c r="AE191">
        <f t="shared" si="29"/>
        <v>15.76715358296296</v>
      </c>
      <c r="AF191" s="9"/>
      <c r="AG191" s="21">
        <v>0.81146200000000002</v>
      </c>
      <c r="AH191" s="21">
        <v>20.307600000000001</v>
      </c>
      <c r="AI191" s="21">
        <v>-1.4477500000000001E-2</v>
      </c>
      <c r="AJ191" s="21">
        <v>181</v>
      </c>
      <c r="AK191" s="21">
        <v>0.81115700000000002</v>
      </c>
      <c r="AL191">
        <f t="shared" si="30"/>
        <v>17.873456790123456</v>
      </c>
      <c r="AM191">
        <f t="shared" si="31"/>
        <v>14.50363099382716</v>
      </c>
      <c r="AP191" s="9"/>
      <c r="AQ191" s="21">
        <v>0.88851899999999995</v>
      </c>
      <c r="AR191" s="21">
        <v>25.800599999999999</v>
      </c>
      <c r="AS191" s="21">
        <v>-1.43921E-2</v>
      </c>
      <c r="AT191" s="21">
        <v>181</v>
      </c>
      <c r="AU191" s="21">
        <v>0.88775599999999999</v>
      </c>
      <c r="AV191">
        <f t="shared" si="32"/>
        <v>17.768024691358022</v>
      </c>
      <c r="AW191">
        <f t="shared" si="33"/>
        <v>15.787227530740738</v>
      </c>
      <c r="AX191" s="9"/>
      <c r="AY191" s="21">
        <v>0.81146200000000002</v>
      </c>
      <c r="AZ191" s="21">
        <v>29.619900000000001</v>
      </c>
      <c r="BA191" s="21">
        <v>-1.44379E-2</v>
      </c>
      <c r="BB191" s="21">
        <v>181</v>
      </c>
      <c r="BC191" s="21">
        <v>0.81085200000000002</v>
      </c>
      <c r="BD191">
        <f t="shared" si="34"/>
        <v>17.824567901234566</v>
      </c>
      <c r="BE191">
        <f t="shared" si="35"/>
        <v>14.463959518271604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7.1752500000000001</v>
      </c>
      <c r="I192" s="21">
        <v>-1.44043E-2</v>
      </c>
      <c r="J192" s="21">
        <v>182</v>
      </c>
      <c r="K192" s="21">
        <v>0.88287400000000005</v>
      </c>
      <c r="L192">
        <f t="shared" si="24"/>
        <v>17.783086419753086</v>
      </c>
      <c r="M192">
        <f t="shared" si="25"/>
        <v>15.711072322469137</v>
      </c>
      <c r="N192" s="9"/>
      <c r="O192" s="21">
        <v>0.81649799999999995</v>
      </c>
      <c r="P192" s="21">
        <v>10.994400000000001</v>
      </c>
      <c r="Q192" s="21">
        <v>-1.44806E-2</v>
      </c>
      <c r="R192" s="21">
        <v>182</v>
      </c>
      <c r="S192" s="21">
        <v>0.81542999999999999</v>
      </c>
      <c r="T192">
        <f t="shared" si="26"/>
        <v>17.877283950617283</v>
      </c>
      <c r="U192">
        <f t="shared" si="27"/>
        <v>14.596766591111109</v>
      </c>
      <c r="X192" s="9"/>
      <c r="Y192" s="21">
        <v>0.88348400000000005</v>
      </c>
      <c r="Z192" s="21">
        <v>16.4985</v>
      </c>
      <c r="AA192" s="21">
        <v>-1.43707E-2</v>
      </c>
      <c r="AB192" s="21">
        <v>182</v>
      </c>
      <c r="AC192" s="21">
        <v>0.88226300000000002</v>
      </c>
      <c r="AD192">
        <f t="shared" si="28"/>
        <v>17.741604938271603</v>
      </c>
      <c r="AE192">
        <f t="shared" si="29"/>
        <v>15.67442409728395</v>
      </c>
      <c r="AF192" s="9"/>
      <c r="AG192" s="21">
        <v>0.81649799999999995</v>
      </c>
      <c r="AH192" s="21">
        <v>20.317699999999999</v>
      </c>
      <c r="AI192" s="21">
        <v>-1.44806E-2</v>
      </c>
      <c r="AJ192" s="21">
        <v>182</v>
      </c>
      <c r="AK192" s="21">
        <v>0.81542999999999999</v>
      </c>
      <c r="AL192">
        <f t="shared" si="30"/>
        <v>17.877283950617283</v>
      </c>
      <c r="AM192">
        <f t="shared" si="31"/>
        <v>14.596766591111109</v>
      </c>
      <c r="AP192" s="9"/>
      <c r="AQ192" s="21">
        <v>0.88348400000000005</v>
      </c>
      <c r="AR192" s="21">
        <v>25.810700000000001</v>
      </c>
      <c r="AS192" s="21">
        <v>-1.43982E-2</v>
      </c>
      <c r="AT192" s="21">
        <v>182</v>
      </c>
      <c r="AU192" s="21">
        <v>0.88256800000000002</v>
      </c>
      <c r="AV192">
        <f t="shared" si="32"/>
        <v>17.775555555555556</v>
      </c>
      <c r="AW192">
        <f t="shared" si="33"/>
        <v>15.704418924444445</v>
      </c>
      <c r="AX192" s="9"/>
      <c r="AY192" s="21">
        <v>0.81649799999999995</v>
      </c>
      <c r="AZ192" s="21">
        <v>29.63</v>
      </c>
      <c r="BA192" s="21">
        <v>-1.4428699999999999E-2</v>
      </c>
      <c r="BB192" s="21">
        <v>182</v>
      </c>
      <c r="BC192" s="21">
        <v>0.81573499999999999</v>
      </c>
      <c r="BD192">
        <f t="shared" si="34"/>
        <v>17.813209876543205</v>
      </c>
      <c r="BE192">
        <f t="shared" si="35"/>
        <v>14.544450237777772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7.1853199999999999</v>
      </c>
      <c r="I193" s="21">
        <v>-1.44043E-2</v>
      </c>
      <c r="J193" s="21">
        <v>183</v>
      </c>
      <c r="K193" s="21">
        <v>0.87768599999999997</v>
      </c>
      <c r="L193">
        <f t="shared" si="24"/>
        <v>17.783086419753086</v>
      </c>
      <c r="M193">
        <f t="shared" si="25"/>
        <v>15.62151669925926</v>
      </c>
      <c r="N193" s="9"/>
      <c r="O193" s="21">
        <v>0.82153299999999996</v>
      </c>
      <c r="P193" s="21">
        <v>11.0045</v>
      </c>
      <c r="Q193" s="21">
        <v>-1.4468399999999999E-2</v>
      </c>
      <c r="R193" s="21">
        <v>183</v>
      </c>
      <c r="S193" s="21">
        <v>0.82122799999999996</v>
      </c>
      <c r="T193">
        <f t="shared" si="26"/>
        <v>17.862222222222222</v>
      </c>
      <c r="U193">
        <f t="shared" si="27"/>
        <v>14.674405008888888</v>
      </c>
      <c r="X193" s="9"/>
      <c r="Y193" s="21">
        <v>0.87844800000000001</v>
      </c>
      <c r="Z193" s="21">
        <v>16.508500000000002</v>
      </c>
      <c r="AA193" s="21">
        <v>-1.43707E-2</v>
      </c>
      <c r="AB193" s="21">
        <v>183</v>
      </c>
      <c r="AC193" s="21">
        <v>0.87768599999999997</v>
      </c>
      <c r="AD193">
        <f t="shared" si="28"/>
        <v>17.741604938271603</v>
      </c>
      <c r="AE193">
        <f t="shared" si="29"/>
        <v>15.585077374814814</v>
      </c>
      <c r="AF193" s="9"/>
      <c r="AG193" s="21">
        <v>0.82153299999999996</v>
      </c>
      <c r="AH193" s="21">
        <v>20.3277</v>
      </c>
      <c r="AI193" s="21">
        <v>-1.4477500000000001E-2</v>
      </c>
      <c r="AJ193" s="21">
        <v>183</v>
      </c>
      <c r="AK193" s="21">
        <v>0.82061799999999996</v>
      </c>
      <c r="AL193">
        <f t="shared" si="30"/>
        <v>17.873456790123456</v>
      </c>
      <c r="AM193">
        <f t="shared" si="31"/>
        <v>14.683634577160491</v>
      </c>
      <c r="AP193" s="9"/>
      <c r="AQ193" s="21">
        <v>0.87844800000000001</v>
      </c>
      <c r="AR193" s="21">
        <v>25.820799999999998</v>
      </c>
      <c r="AS193" s="21">
        <v>-1.43921E-2</v>
      </c>
      <c r="AT193" s="21">
        <v>183</v>
      </c>
      <c r="AU193" s="21">
        <v>0.87738000000000005</v>
      </c>
      <c r="AV193">
        <f t="shared" si="32"/>
        <v>17.768024691358022</v>
      </c>
      <c r="AW193">
        <f t="shared" si="33"/>
        <v>15.608285754074071</v>
      </c>
      <c r="AX193" s="9"/>
      <c r="AY193" s="21">
        <v>0.82153299999999996</v>
      </c>
      <c r="AZ193" s="21">
        <v>29.64</v>
      </c>
      <c r="BA193" s="21">
        <v>-1.4428699999999999E-2</v>
      </c>
      <c r="BB193" s="21">
        <v>183</v>
      </c>
      <c r="BC193" s="21">
        <v>0.82092299999999996</v>
      </c>
      <c r="BD193">
        <f t="shared" si="34"/>
        <v>17.813209876543205</v>
      </c>
      <c r="BE193">
        <f t="shared" si="35"/>
        <v>14.634139749506168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7.1953899999999997</v>
      </c>
      <c r="I194" s="21">
        <v>-1.44104E-2</v>
      </c>
      <c r="J194" s="21">
        <v>184</v>
      </c>
      <c r="K194" s="21">
        <v>0.87219199999999997</v>
      </c>
      <c r="L194">
        <f t="shared" si="24"/>
        <v>17.790617283950617</v>
      </c>
      <c r="M194">
        <f t="shared" si="25"/>
        <v>15.538556413827161</v>
      </c>
      <c r="N194" s="9"/>
      <c r="O194" s="21">
        <v>0.826569</v>
      </c>
      <c r="P194" s="21">
        <v>11.0146</v>
      </c>
      <c r="Q194" s="21">
        <v>-1.44592E-2</v>
      </c>
      <c r="R194" s="21">
        <v>184</v>
      </c>
      <c r="S194" s="21">
        <v>0.82550000000000001</v>
      </c>
      <c r="T194">
        <f t="shared" si="26"/>
        <v>17.850864197530864</v>
      </c>
      <c r="U194">
        <f t="shared" si="27"/>
        <v>14.754970968888889</v>
      </c>
      <c r="X194" s="9"/>
      <c r="Y194" s="21">
        <v>0.87341299999999999</v>
      </c>
      <c r="Z194" s="21">
        <v>16.518599999999999</v>
      </c>
      <c r="AA194" s="21">
        <v>-1.43707E-2</v>
      </c>
      <c r="AB194" s="21">
        <v>184</v>
      </c>
      <c r="AC194" s="21">
        <v>0.87219199999999997</v>
      </c>
      <c r="AD194">
        <f t="shared" si="28"/>
        <v>17.741604938271603</v>
      </c>
      <c r="AE194">
        <f t="shared" si="29"/>
        <v>15.495748393950615</v>
      </c>
      <c r="AF194" s="9"/>
      <c r="AG194" s="21">
        <v>0.826569</v>
      </c>
      <c r="AH194" s="21">
        <v>20.337800000000001</v>
      </c>
      <c r="AI194" s="21">
        <v>-1.4462300000000001E-2</v>
      </c>
      <c r="AJ194" s="21">
        <v>184</v>
      </c>
      <c r="AK194" s="21">
        <v>0.82519500000000001</v>
      </c>
      <c r="AL194">
        <f t="shared" si="30"/>
        <v>17.854691358024692</v>
      </c>
      <c r="AM194">
        <f t="shared" si="31"/>
        <v>14.758134381111111</v>
      </c>
      <c r="AP194" s="9"/>
      <c r="AQ194" s="21">
        <v>0.87341299999999999</v>
      </c>
      <c r="AR194" s="21">
        <v>25.8308</v>
      </c>
      <c r="AS194" s="21">
        <v>-1.4389000000000001E-2</v>
      </c>
      <c r="AT194" s="21">
        <v>184</v>
      </c>
      <c r="AU194" s="21">
        <v>0.872498</v>
      </c>
      <c r="AV194">
        <f t="shared" si="32"/>
        <v>17.764197530864198</v>
      </c>
      <c r="AW194">
        <f t="shared" si="33"/>
        <v>15.515481058024692</v>
      </c>
      <c r="AX194" s="9"/>
      <c r="AY194" s="21">
        <v>0.826569</v>
      </c>
      <c r="AZ194" s="21">
        <v>29.650099999999998</v>
      </c>
      <c r="BA194" s="21">
        <v>-1.4422600000000001E-2</v>
      </c>
      <c r="BB194" s="21">
        <v>184</v>
      </c>
      <c r="BC194" s="21">
        <v>0.82550000000000001</v>
      </c>
      <c r="BD194">
        <f t="shared" si="34"/>
        <v>17.805679012345678</v>
      </c>
      <c r="BE194">
        <f t="shared" si="35"/>
        <v>14.717622295555554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7.2054600000000004</v>
      </c>
      <c r="I195" s="21">
        <v>-1.44104E-2</v>
      </c>
      <c r="J195" s="21">
        <v>185</v>
      </c>
      <c r="K195" s="21">
        <v>0.86761500000000003</v>
      </c>
      <c r="L195">
        <f t="shared" si="24"/>
        <v>17.790617283950617</v>
      </c>
      <c r="M195">
        <f t="shared" si="25"/>
        <v>15.448980655802469</v>
      </c>
      <c r="N195" s="9"/>
      <c r="O195" s="21">
        <v>0.83160400000000001</v>
      </c>
      <c r="P195" s="21">
        <v>11.024699999999999</v>
      </c>
      <c r="Q195" s="21">
        <v>-1.4456200000000001E-2</v>
      </c>
      <c r="R195" s="21">
        <v>185</v>
      </c>
      <c r="S195" s="21">
        <v>0.83068799999999998</v>
      </c>
      <c r="T195">
        <f t="shared" si="26"/>
        <v>17.847160493827161</v>
      </c>
      <c r="U195">
        <f t="shared" si="27"/>
        <v>14.841770055308643</v>
      </c>
      <c r="X195" s="9"/>
      <c r="Y195" s="21">
        <v>0.86837799999999998</v>
      </c>
      <c r="Z195" s="21">
        <v>16.528700000000001</v>
      </c>
      <c r="AA195" s="21">
        <v>-1.4373800000000001E-2</v>
      </c>
      <c r="AB195" s="21">
        <v>185</v>
      </c>
      <c r="AC195" s="21">
        <v>0.86731000000000003</v>
      </c>
      <c r="AD195">
        <f t="shared" si="28"/>
        <v>17.745432098765431</v>
      </c>
      <c r="AE195">
        <f t="shared" si="29"/>
        <v>15.409742835061726</v>
      </c>
      <c r="AF195" s="9"/>
      <c r="AG195" s="21">
        <v>0.83160400000000001</v>
      </c>
      <c r="AH195" s="21">
        <v>20.347899999999999</v>
      </c>
      <c r="AI195" s="21">
        <v>-1.44531E-2</v>
      </c>
      <c r="AJ195" s="21">
        <v>185</v>
      </c>
      <c r="AK195" s="21">
        <v>0.83007799999999998</v>
      </c>
      <c r="AL195">
        <f t="shared" si="30"/>
        <v>17.843333333333334</v>
      </c>
      <c r="AM195">
        <f t="shared" si="31"/>
        <v>14.838587373333334</v>
      </c>
      <c r="AP195" s="9"/>
      <c r="AQ195" s="21">
        <v>0.86837799999999998</v>
      </c>
      <c r="AR195" s="21">
        <v>25.840900000000001</v>
      </c>
      <c r="AS195" s="21">
        <v>-1.43921E-2</v>
      </c>
      <c r="AT195" s="21">
        <v>185</v>
      </c>
      <c r="AU195" s="21">
        <v>0.86731000000000003</v>
      </c>
      <c r="AV195">
        <f t="shared" si="32"/>
        <v>17.768024691358022</v>
      </c>
      <c r="AW195">
        <f t="shared" si="33"/>
        <v>15.429361745432097</v>
      </c>
      <c r="AX195" s="9"/>
      <c r="AY195" s="21">
        <v>0.83160400000000001</v>
      </c>
      <c r="AZ195" s="21">
        <v>29.6602</v>
      </c>
      <c r="BA195" s="21">
        <v>-1.44257E-2</v>
      </c>
      <c r="BB195" s="21">
        <v>185</v>
      </c>
      <c r="BC195" s="21">
        <v>0.83099400000000001</v>
      </c>
      <c r="BD195">
        <f t="shared" si="34"/>
        <v>17.809506172839505</v>
      </c>
      <c r="BE195">
        <f t="shared" si="35"/>
        <v>14.810456571358024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7.2155300000000002</v>
      </c>
      <c r="I196" s="21">
        <v>-1.4413499999999999E-2</v>
      </c>
      <c r="J196" s="21">
        <v>186</v>
      </c>
      <c r="K196" s="21">
        <v>0.86242700000000005</v>
      </c>
      <c r="L196">
        <f t="shared" si="24"/>
        <v>17.794444444444444</v>
      </c>
      <c r="M196">
        <f t="shared" si="25"/>
        <v>15.362691255555557</v>
      </c>
      <c r="N196" s="9"/>
      <c r="O196" s="21">
        <v>0.83663900000000002</v>
      </c>
      <c r="P196" s="21">
        <v>11.034700000000001</v>
      </c>
      <c r="Q196" s="21">
        <v>-1.44531E-2</v>
      </c>
      <c r="R196" s="21">
        <v>186</v>
      </c>
      <c r="S196" s="21">
        <v>0.83557099999999995</v>
      </c>
      <c r="T196">
        <f t="shared" si="26"/>
        <v>17.843333333333334</v>
      </c>
      <c r="U196">
        <f t="shared" si="27"/>
        <v>14.928428556666667</v>
      </c>
      <c r="X196" s="9"/>
      <c r="Y196" s="21">
        <v>0.86334200000000005</v>
      </c>
      <c r="Z196" s="21">
        <v>16.538699999999999</v>
      </c>
      <c r="AA196" s="21">
        <v>-1.4385999999999999E-2</v>
      </c>
      <c r="AB196" s="21">
        <v>186</v>
      </c>
      <c r="AC196" s="21">
        <v>0.86273200000000005</v>
      </c>
      <c r="AD196">
        <f t="shared" si="28"/>
        <v>17.760493827160492</v>
      </c>
      <c r="AE196">
        <f t="shared" si="29"/>
        <v>15.333380261728394</v>
      </c>
      <c r="AF196" s="9"/>
      <c r="AG196" s="21">
        <v>0.83663900000000002</v>
      </c>
      <c r="AH196" s="21">
        <v>20.357900000000001</v>
      </c>
      <c r="AI196" s="21">
        <v>-1.4456200000000001E-2</v>
      </c>
      <c r="AJ196" s="21">
        <v>186</v>
      </c>
      <c r="AK196" s="21">
        <v>0.83587599999999995</v>
      </c>
      <c r="AL196">
        <f t="shared" si="30"/>
        <v>17.847160493827161</v>
      </c>
      <c r="AM196">
        <f t="shared" si="31"/>
        <v>14.931630508395063</v>
      </c>
      <c r="AP196" s="9"/>
      <c r="AQ196" s="21">
        <v>0.86334200000000005</v>
      </c>
      <c r="AR196" s="21">
        <v>25.850999999999999</v>
      </c>
      <c r="AS196" s="21">
        <v>-1.4389000000000001E-2</v>
      </c>
      <c r="AT196" s="21">
        <v>186</v>
      </c>
      <c r="AU196" s="21">
        <v>0.86151100000000003</v>
      </c>
      <c r="AV196">
        <f t="shared" si="32"/>
        <v>17.764197530864198</v>
      </c>
      <c r="AW196">
        <f t="shared" si="33"/>
        <v>15.336577824691359</v>
      </c>
      <c r="AX196" s="9"/>
      <c r="AY196" s="21">
        <v>0.83663900000000002</v>
      </c>
      <c r="AZ196" s="21">
        <v>29.670200000000001</v>
      </c>
      <c r="BA196" s="21">
        <v>-1.44257E-2</v>
      </c>
      <c r="BB196" s="21">
        <v>186</v>
      </c>
      <c r="BC196" s="21">
        <v>0.83496099999999995</v>
      </c>
      <c r="BD196">
        <f t="shared" si="34"/>
        <v>17.809506172839505</v>
      </c>
      <c r="BE196">
        <f t="shared" si="35"/>
        <v>14.900127434938272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7.2256</v>
      </c>
      <c r="I197" s="21">
        <v>-1.4428699999999999E-2</v>
      </c>
      <c r="J197" s="21">
        <v>187</v>
      </c>
      <c r="K197" s="21">
        <v>0.85723899999999997</v>
      </c>
      <c r="L197">
        <f t="shared" si="24"/>
        <v>17.813209876543205</v>
      </c>
      <c r="M197">
        <f t="shared" si="25"/>
        <v>15.289202729506169</v>
      </c>
      <c r="N197" s="9"/>
      <c r="O197" s="21">
        <v>0.84167499999999995</v>
      </c>
      <c r="P197" s="21">
        <v>11.0448</v>
      </c>
      <c r="Q197" s="21">
        <v>-1.4447E-2</v>
      </c>
      <c r="R197" s="21">
        <v>187</v>
      </c>
      <c r="S197" s="21">
        <v>0.84197999999999995</v>
      </c>
      <c r="T197">
        <f t="shared" si="26"/>
        <v>17.8358024691358</v>
      </c>
      <c r="U197">
        <f t="shared" si="27"/>
        <v>15.011949043209873</v>
      </c>
      <c r="X197" s="9"/>
      <c r="Y197" s="21">
        <v>0.85830700000000004</v>
      </c>
      <c r="Z197" s="21">
        <v>16.5488</v>
      </c>
      <c r="AA197" s="21">
        <v>-1.4395099999999999E-2</v>
      </c>
      <c r="AB197" s="21">
        <v>187</v>
      </c>
      <c r="AC197" s="21">
        <v>0.85784899999999997</v>
      </c>
      <c r="AD197">
        <f t="shared" si="28"/>
        <v>17.771728395061729</v>
      </c>
      <c r="AE197">
        <f t="shared" si="29"/>
        <v>15.253598883580247</v>
      </c>
      <c r="AF197" s="9"/>
      <c r="AG197" s="21">
        <v>0.84167499999999995</v>
      </c>
      <c r="AH197" s="21">
        <v>20.367999999999999</v>
      </c>
      <c r="AI197" s="21">
        <v>-1.44531E-2</v>
      </c>
      <c r="AJ197" s="21">
        <v>187</v>
      </c>
      <c r="AK197" s="21">
        <v>0.84075900000000003</v>
      </c>
      <c r="AL197">
        <f t="shared" si="30"/>
        <v>17.843333333333334</v>
      </c>
      <c r="AM197">
        <f t="shared" si="31"/>
        <v>15.018287583333333</v>
      </c>
      <c r="AP197" s="9"/>
      <c r="AQ197" s="21">
        <v>0.85830700000000004</v>
      </c>
      <c r="AR197" s="21">
        <v>25.861000000000001</v>
      </c>
      <c r="AS197" s="21">
        <v>-1.4385999999999999E-2</v>
      </c>
      <c r="AT197" s="21">
        <v>187</v>
      </c>
      <c r="AU197" s="21">
        <v>0.85754399999999997</v>
      </c>
      <c r="AV197">
        <f t="shared" si="32"/>
        <v>17.760493827160492</v>
      </c>
      <c r="AW197">
        <f t="shared" si="33"/>
        <v>15.243956175308641</v>
      </c>
      <c r="AX197" s="9"/>
      <c r="AY197" s="21">
        <v>0.84167499999999995</v>
      </c>
      <c r="AZ197" s="21">
        <v>29.680299999999999</v>
      </c>
      <c r="BA197" s="21">
        <v>-1.4422600000000001E-2</v>
      </c>
      <c r="BB197" s="21">
        <v>187</v>
      </c>
      <c r="BC197" s="21">
        <v>0.84075900000000003</v>
      </c>
      <c r="BD197">
        <f t="shared" si="34"/>
        <v>17.805679012345678</v>
      </c>
      <c r="BE197">
        <f t="shared" si="35"/>
        <v>14.986594882716048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7.2356699999999998</v>
      </c>
      <c r="I198" s="21">
        <v>-1.44409E-2</v>
      </c>
      <c r="J198" s="21">
        <v>188</v>
      </c>
      <c r="K198" s="21">
        <v>0.852051</v>
      </c>
      <c r="L198">
        <f t="shared" si="24"/>
        <v>17.828271604938269</v>
      </c>
      <c r="M198">
        <f t="shared" si="25"/>
        <v>15.212347140617283</v>
      </c>
      <c r="N198" s="9"/>
      <c r="O198" s="21">
        <v>0.84670999999999996</v>
      </c>
      <c r="P198" s="21">
        <v>11.0549</v>
      </c>
      <c r="Q198" s="21">
        <v>-1.4434799999999999E-2</v>
      </c>
      <c r="R198" s="21">
        <v>188</v>
      </c>
      <c r="S198" s="21">
        <v>0.845947</v>
      </c>
      <c r="T198">
        <f t="shared" si="26"/>
        <v>17.820740740740739</v>
      </c>
      <c r="U198">
        <f t="shared" si="27"/>
        <v>15.088999392592591</v>
      </c>
      <c r="X198" s="9"/>
      <c r="Y198" s="21">
        <v>0.853271</v>
      </c>
      <c r="Z198" s="21">
        <v>16.558900000000001</v>
      </c>
      <c r="AA198" s="21">
        <v>-1.43982E-2</v>
      </c>
      <c r="AB198" s="21">
        <v>188</v>
      </c>
      <c r="AC198" s="21">
        <v>0.852356</v>
      </c>
      <c r="AD198">
        <f t="shared" si="28"/>
        <v>17.775555555555556</v>
      </c>
      <c r="AE198">
        <f t="shared" si="29"/>
        <v>15.167366064444446</v>
      </c>
      <c r="AF198" s="9"/>
      <c r="AG198" s="21">
        <v>0.84670999999999996</v>
      </c>
      <c r="AH198" s="21">
        <v>20.3781</v>
      </c>
      <c r="AI198" s="21">
        <v>-1.44501E-2</v>
      </c>
      <c r="AJ198" s="21">
        <v>188</v>
      </c>
      <c r="AK198" s="21">
        <v>0.846252</v>
      </c>
      <c r="AL198">
        <f t="shared" si="30"/>
        <v>17.839629629629631</v>
      </c>
      <c r="AM198">
        <f t="shared" si="31"/>
        <v>15.104992803703704</v>
      </c>
      <c r="AP198" s="9"/>
      <c r="AQ198" s="21">
        <v>0.853271</v>
      </c>
      <c r="AR198" s="21">
        <v>25.871099999999998</v>
      </c>
      <c r="AS198" s="21">
        <v>-1.4395099999999999E-2</v>
      </c>
      <c r="AT198" s="21">
        <v>188</v>
      </c>
      <c r="AU198" s="21">
        <v>0.852051</v>
      </c>
      <c r="AV198">
        <f t="shared" si="32"/>
        <v>17.771728395061729</v>
      </c>
      <c r="AW198">
        <f t="shared" si="33"/>
        <v>15.164100459382716</v>
      </c>
      <c r="AX198" s="9"/>
      <c r="AY198" s="21">
        <v>0.84670999999999996</v>
      </c>
      <c r="AZ198" s="21">
        <v>29.6904</v>
      </c>
      <c r="BA198" s="21">
        <v>-1.4413499999999999E-2</v>
      </c>
      <c r="BB198" s="21">
        <v>188</v>
      </c>
      <c r="BC198" s="21">
        <v>0.84533700000000001</v>
      </c>
      <c r="BD198">
        <f t="shared" si="34"/>
        <v>17.794444444444444</v>
      </c>
      <c r="BE198">
        <f t="shared" si="35"/>
        <v>15.066734055555555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7.2457399999999996</v>
      </c>
      <c r="I199" s="21">
        <v>-1.4447E-2</v>
      </c>
      <c r="J199" s="21">
        <v>189</v>
      </c>
      <c r="K199" s="21">
        <v>0.84747300000000003</v>
      </c>
      <c r="L199">
        <f t="shared" si="24"/>
        <v>17.8358024691358</v>
      </c>
      <c r="M199">
        <f t="shared" si="25"/>
        <v>15.128969743209874</v>
      </c>
      <c r="N199" s="9"/>
      <c r="O199" s="21">
        <v>0.851746</v>
      </c>
      <c r="P199" s="21">
        <v>11.0649</v>
      </c>
      <c r="Q199" s="21">
        <v>-1.4428699999999999E-2</v>
      </c>
      <c r="R199" s="21">
        <v>189</v>
      </c>
      <c r="S199" s="21">
        <v>0.85113499999999997</v>
      </c>
      <c r="T199">
        <f t="shared" si="26"/>
        <v>17.813209876543205</v>
      </c>
      <c r="U199">
        <f t="shared" si="27"/>
        <v>15.172330259506168</v>
      </c>
      <c r="X199" s="9"/>
      <c r="Y199" s="21">
        <v>0.84823599999999999</v>
      </c>
      <c r="Z199" s="21">
        <v>16.568999999999999</v>
      </c>
      <c r="AA199" s="21">
        <v>-1.43921E-2</v>
      </c>
      <c r="AB199" s="21">
        <v>189</v>
      </c>
      <c r="AC199" s="21">
        <v>0.84747300000000003</v>
      </c>
      <c r="AD199">
        <f t="shared" si="28"/>
        <v>17.768024691358022</v>
      </c>
      <c r="AE199">
        <f t="shared" si="29"/>
        <v>15.071478192098763</v>
      </c>
      <c r="AF199" s="9"/>
      <c r="AG199" s="21">
        <v>0.851746</v>
      </c>
      <c r="AH199" s="21">
        <v>20.388100000000001</v>
      </c>
      <c r="AI199" s="21">
        <v>-1.44531E-2</v>
      </c>
      <c r="AJ199" s="21">
        <v>189</v>
      </c>
      <c r="AK199" s="21">
        <v>0.85082999999999998</v>
      </c>
      <c r="AL199">
        <f t="shared" si="30"/>
        <v>17.843333333333334</v>
      </c>
      <c r="AM199">
        <f t="shared" si="31"/>
        <v>15.197987793333334</v>
      </c>
      <c r="AP199" s="9"/>
      <c r="AQ199" s="21">
        <v>0.84823599999999999</v>
      </c>
      <c r="AR199" s="21">
        <v>25.8812</v>
      </c>
      <c r="AS199" s="21">
        <v>-1.4401199999999999E-2</v>
      </c>
      <c r="AT199" s="21">
        <v>189</v>
      </c>
      <c r="AU199" s="21">
        <v>0.84716800000000003</v>
      </c>
      <c r="AV199">
        <f t="shared" si="32"/>
        <v>17.779259259259259</v>
      </c>
      <c r="AW199">
        <f t="shared" si="33"/>
        <v>15.081007757037037</v>
      </c>
      <c r="AX199" s="9"/>
      <c r="AY199" s="21">
        <v>0.851746</v>
      </c>
      <c r="AZ199" s="21">
        <v>29.700500000000002</v>
      </c>
      <c r="BA199" s="21">
        <v>-1.4413499999999999E-2</v>
      </c>
      <c r="BB199" s="21">
        <v>189</v>
      </c>
      <c r="BC199" s="21">
        <v>0.85113499999999997</v>
      </c>
      <c r="BD199">
        <f t="shared" si="34"/>
        <v>17.794444444444444</v>
      </c>
      <c r="BE199">
        <f t="shared" si="35"/>
        <v>15.156346877777779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7.2558199999999999</v>
      </c>
      <c r="I200" s="21">
        <v>-1.4456200000000001E-2</v>
      </c>
      <c r="J200" s="21">
        <v>190</v>
      </c>
      <c r="K200" s="21">
        <v>0.84258999999999995</v>
      </c>
      <c r="L200">
        <f t="shared" si="24"/>
        <v>17.847160493827161</v>
      </c>
      <c r="M200">
        <f t="shared" si="25"/>
        <v>15.048743575555555</v>
      </c>
      <c r="N200" s="9"/>
      <c r="O200" s="21">
        <v>0.85678100000000001</v>
      </c>
      <c r="P200" s="21">
        <v>11.074999999999999</v>
      </c>
      <c r="Q200" s="21">
        <v>-1.4428699999999999E-2</v>
      </c>
      <c r="R200" s="21">
        <v>190</v>
      </c>
      <c r="S200" s="21">
        <v>0.85601799999999995</v>
      </c>
      <c r="T200">
        <f t="shared" si="26"/>
        <v>17.813209876543205</v>
      </c>
      <c r="U200">
        <f t="shared" si="27"/>
        <v>15.262019771234565</v>
      </c>
      <c r="X200" s="9"/>
      <c r="Y200" s="21">
        <v>0.84320099999999998</v>
      </c>
      <c r="Z200" s="21">
        <v>16.579000000000001</v>
      </c>
      <c r="AA200" s="21">
        <v>-1.43982E-2</v>
      </c>
      <c r="AB200" s="21">
        <v>190</v>
      </c>
      <c r="AC200" s="21">
        <v>0.84228499999999995</v>
      </c>
      <c r="AD200">
        <f t="shared" si="28"/>
        <v>17.775555555555556</v>
      </c>
      <c r="AE200">
        <f t="shared" si="29"/>
        <v>14.98836622</v>
      </c>
      <c r="AF200" s="9"/>
      <c r="AG200" s="21">
        <v>0.85678100000000001</v>
      </c>
      <c r="AH200" s="21">
        <v>20.398199999999999</v>
      </c>
      <c r="AI200" s="21">
        <v>-1.44379E-2</v>
      </c>
      <c r="AJ200" s="21">
        <v>190</v>
      </c>
      <c r="AK200" s="21">
        <v>0.85601799999999995</v>
      </c>
      <c r="AL200">
        <f t="shared" si="30"/>
        <v>17.824567901234566</v>
      </c>
      <c r="AM200">
        <f t="shared" si="31"/>
        <v>15.271751110987653</v>
      </c>
      <c r="AP200" s="9"/>
      <c r="AQ200" s="21">
        <v>0.84320099999999998</v>
      </c>
      <c r="AR200" s="21">
        <v>25.891300000000001</v>
      </c>
      <c r="AS200" s="21">
        <v>-1.4413499999999999E-2</v>
      </c>
      <c r="AT200" s="21">
        <v>190</v>
      </c>
      <c r="AU200" s="21">
        <v>0.84197999999999995</v>
      </c>
      <c r="AV200">
        <f t="shared" si="32"/>
        <v>17.794444444444444</v>
      </c>
      <c r="AW200">
        <f t="shared" si="33"/>
        <v>15.004293349999999</v>
      </c>
      <c r="AX200" s="9"/>
      <c r="AY200" s="21">
        <v>0.85678100000000001</v>
      </c>
      <c r="AZ200" s="21">
        <v>29.7105</v>
      </c>
      <c r="BA200" s="21">
        <v>-1.44104E-2</v>
      </c>
      <c r="BB200" s="21">
        <v>190</v>
      </c>
      <c r="BC200" s="21">
        <v>0.85632299999999995</v>
      </c>
      <c r="BD200">
        <f t="shared" si="34"/>
        <v>17.790617283950617</v>
      </c>
      <c r="BE200">
        <f t="shared" si="35"/>
        <v>15.242662867160494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7.2658899999999997</v>
      </c>
      <c r="I201" s="21">
        <v>-1.4462300000000001E-2</v>
      </c>
      <c r="J201" s="21">
        <v>191</v>
      </c>
      <c r="K201" s="21">
        <v>0.83740199999999998</v>
      </c>
      <c r="L201">
        <f t="shared" si="24"/>
        <v>17.854691358024692</v>
      </c>
      <c r="M201">
        <f t="shared" si="25"/>
        <v>14.965177382098766</v>
      </c>
      <c r="N201" s="9"/>
      <c r="O201" s="21">
        <v>0.86181600000000003</v>
      </c>
      <c r="P201" s="21">
        <v>11.085100000000001</v>
      </c>
      <c r="Q201" s="21">
        <v>-1.44257E-2</v>
      </c>
      <c r="R201" s="21">
        <v>191</v>
      </c>
      <c r="S201" s="21">
        <v>0.86029100000000003</v>
      </c>
      <c r="T201">
        <f t="shared" si="26"/>
        <v>17.809506172839505</v>
      </c>
      <c r="U201">
        <f t="shared" si="27"/>
        <v>15.348517371851852</v>
      </c>
      <c r="X201" s="9"/>
      <c r="Y201" s="21">
        <v>0.83816500000000005</v>
      </c>
      <c r="Z201" s="21">
        <v>16.589099999999998</v>
      </c>
      <c r="AA201" s="21">
        <v>-1.44043E-2</v>
      </c>
      <c r="AB201" s="21">
        <v>191</v>
      </c>
      <c r="AC201" s="21">
        <v>0.83709699999999998</v>
      </c>
      <c r="AD201">
        <f t="shared" si="28"/>
        <v>17.783086419753086</v>
      </c>
      <c r="AE201">
        <f t="shared" si="29"/>
        <v>14.905160629012347</v>
      </c>
      <c r="AF201" s="9"/>
      <c r="AG201" s="21">
        <v>0.86181600000000003</v>
      </c>
      <c r="AH201" s="21">
        <v>20.408300000000001</v>
      </c>
      <c r="AI201" s="21">
        <v>-1.44318E-2</v>
      </c>
      <c r="AJ201" s="21">
        <v>191</v>
      </c>
      <c r="AK201" s="21">
        <v>0.86090100000000003</v>
      </c>
      <c r="AL201">
        <f t="shared" si="30"/>
        <v>17.817037037037036</v>
      </c>
      <c r="AM201">
        <f t="shared" si="31"/>
        <v>15.355007591111111</v>
      </c>
      <c r="AP201" s="9"/>
      <c r="AQ201" s="21">
        <v>0.83816500000000005</v>
      </c>
      <c r="AR201" s="21">
        <v>25.901299999999999</v>
      </c>
      <c r="AS201" s="21">
        <v>-1.4422600000000001E-2</v>
      </c>
      <c r="AT201" s="21">
        <v>191</v>
      </c>
      <c r="AU201" s="21">
        <v>0.83709699999999998</v>
      </c>
      <c r="AV201">
        <f t="shared" si="32"/>
        <v>17.805679012345678</v>
      </c>
      <c r="AW201">
        <f t="shared" si="33"/>
        <v>14.924096949382715</v>
      </c>
      <c r="AX201" s="9"/>
      <c r="AY201" s="21">
        <v>0.86181600000000003</v>
      </c>
      <c r="AZ201" s="21">
        <v>29.720600000000001</v>
      </c>
      <c r="BA201" s="21">
        <v>-1.43982E-2</v>
      </c>
      <c r="BB201" s="21">
        <v>191</v>
      </c>
      <c r="BC201" s="21">
        <v>0.86090100000000003</v>
      </c>
      <c r="BD201">
        <f t="shared" si="34"/>
        <v>17.775555555555556</v>
      </c>
      <c r="BE201">
        <f t="shared" si="35"/>
        <v>15.319258186666667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7.2759600000000004</v>
      </c>
      <c r="I202" s="21">
        <v>-1.44653E-2</v>
      </c>
      <c r="J202" s="21">
        <v>192</v>
      </c>
      <c r="K202" s="21">
        <v>0.83221400000000001</v>
      </c>
      <c r="L202">
        <f t="shared" si="24"/>
        <v>17.858395061728395</v>
      </c>
      <c r="M202">
        <f t="shared" si="25"/>
        <v>14.878364677777778</v>
      </c>
      <c r="N202" s="9"/>
      <c r="O202" s="21">
        <v>0.86685199999999996</v>
      </c>
      <c r="P202" s="21">
        <v>11.0952</v>
      </c>
      <c r="Q202" s="21">
        <v>-1.4428699999999999E-2</v>
      </c>
      <c r="R202" s="21">
        <v>192</v>
      </c>
      <c r="S202" s="21">
        <v>0.866089</v>
      </c>
      <c r="T202">
        <f t="shared" si="26"/>
        <v>17.813209876543205</v>
      </c>
      <c r="U202">
        <f t="shared" si="27"/>
        <v>15.44141660790123</v>
      </c>
      <c r="X202" s="9"/>
      <c r="Y202" s="21">
        <v>0.83313000000000004</v>
      </c>
      <c r="Z202" s="21">
        <v>16.5992</v>
      </c>
      <c r="AA202" s="21">
        <v>-1.44043E-2</v>
      </c>
      <c r="AB202" s="21">
        <v>192</v>
      </c>
      <c r="AC202" s="21">
        <v>0.83252000000000004</v>
      </c>
      <c r="AD202">
        <f t="shared" si="28"/>
        <v>17.783086419753086</v>
      </c>
      <c r="AE202">
        <f t="shared" si="29"/>
        <v>14.81562278888889</v>
      </c>
      <c r="AF202" s="9"/>
      <c r="AG202" s="21">
        <v>0.86685199999999996</v>
      </c>
      <c r="AH202" s="21">
        <v>20.418399999999998</v>
      </c>
      <c r="AI202" s="21">
        <v>-1.4413499999999999E-2</v>
      </c>
      <c r="AJ202" s="21">
        <v>192</v>
      </c>
      <c r="AK202" s="21">
        <v>0.866089</v>
      </c>
      <c r="AL202">
        <f t="shared" si="30"/>
        <v>17.794444444444444</v>
      </c>
      <c r="AM202">
        <f t="shared" si="31"/>
        <v>15.425149755555555</v>
      </c>
      <c r="AP202" s="9"/>
      <c r="AQ202" s="21">
        <v>0.83313000000000004</v>
      </c>
      <c r="AR202" s="21">
        <v>25.9114</v>
      </c>
      <c r="AS202" s="21">
        <v>-1.4428699999999999E-2</v>
      </c>
      <c r="AT202" s="21">
        <v>192</v>
      </c>
      <c r="AU202" s="21">
        <v>0.83252000000000004</v>
      </c>
      <c r="AV202">
        <f t="shared" si="32"/>
        <v>17.813209876543205</v>
      </c>
      <c r="AW202">
        <f t="shared" si="33"/>
        <v>14.840719544444442</v>
      </c>
      <c r="AX202" s="9"/>
      <c r="AY202" s="21">
        <v>0.86685199999999996</v>
      </c>
      <c r="AZ202" s="21">
        <v>29.730699999999999</v>
      </c>
      <c r="BA202" s="21">
        <v>-1.4395099999999999E-2</v>
      </c>
      <c r="BB202" s="21">
        <v>192</v>
      </c>
      <c r="BC202" s="21">
        <v>0.865479</v>
      </c>
      <c r="BD202">
        <f t="shared" si="34"/>
        <v>17.771728395061729</v>
      </c>
      <c r="BE202">
        <f t="shared" si="35"/>
        <v>15.405458302716049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7.2860300000000002</v>
      </c>
      <c r="I203" s="21">
        <v>-1.4462300000000001E-2</v>
      </c>
      <c r="J203" s="21">
        <v>193</v>
      </c>
      <c r="K203" s="21">
        <v>0.82672100000000004</v>
      </c>
      <c r="L203">
        <f t="shared" si="24"/>
        <v>17.854691358024692</v>
      </c>
      <c r="M203">
        <f t="shared" si="25"/>
        <v>14.785362785432099</v>
      </c>
      <c r="N203" s="9"/>
      <c r="O203" s="21">
        <v>0.87188699999999997</v>
      </c>
      <c r="P203" s="21">
        <v>11.1052</v>
      </c>
      <c r="Q203" s="21">
        <v>-1.44318E-2</v>
      </c>
      <c r="R203" s="21">
        <v>193</v>
      </c>
      <c r="S203" s="21">
        <v>0.87127699999999997</v>
      </c>
      <c r="T203">
        <f t="shared" si="26"/>
        <v>17.817037037037036</v>
      </c>
      <c r="U203">
        <f t="shared" si="27"/>
        <v>15.53444297111111</v>
      </c>
      <c r="X203" s="9"/>
      <c r="Y203" s="21">
        <v>0.828094</v>
      </c>
      <c r="Z203" s="21">
        <v>16.609200000000001</v>
      </c>
      <c r="AA203" s="21">
        <v>-1.44104E-2</v>
      </c>
      <c r="AB203" s="21">
        <v>193</v>
      </c>
      <c r="AC203" s="21">
        <v>0.82702600000000004</v>
      </c>
      <c r="AD203">
        <f t="shared" si="28"/>
        <v>17.790617283950617</v>
      </c>
      <c r="AE203">
        <f t="shared" si="29"/>
        <v>14.732303429135802</v>
      </c>
      <c r="AF203" s="9"/>
      <c r="AG203" s="21">
        <v>0.87188699999999997</v>
      </c>
      <c r="AH203" s="21">
        <v>20.4284</v>
      </c>
      <c r="AI203" s="21">
        <v>-1.44043E-2</v>
      </c>
      <c r="AJ203" s="21">
        <v>193</v>
      </c>
      <c r="AK203" s="21">
        <v>0.87097199999999997</v>
      </c>
      <c r="AL203">
        <f t="shared" si="30"/>
        <v>17.783086419753086</v>
      </c>
      <c r="AM203">
        <f t="shared" si="31"/>
        <v>15.504841869259259</v>
      </c>
      <c r="AP203" s="9"/>
      <c r="AQ203" s="21">
        <v>0.828094</v>
      </c>
      <c r="AR203" s="21">
        <v>25.921500000000002</v>
      </c>
      <c r="AS203" s="21">
        <v>-1.4434799999999999E-2</v>
      </c>
      <c r="AT203" s="21">
        <v>193</v>
      </c>
      <c r="AU203" s="21">
        <v>0.82763699999999996</v>
      </c>
      <c r="AV203">
        <f t="shared" si="32"/>
        <v>17.820740740740739</v>
      </c>
      <c r="AW203">
        <f t="shared" si="33"/>
        <v>14.757248482962961</v>
      </c>
      <c r="AX203" s="9"/>
      <c r="AY203" s="21">
        <v>0.87188699999999997</v>
      </c>
      <c r="AZ203" s="21">
        <v>29.7407</v>
      </c>
      <c r="BA203" s="21">
        <v>-1.43921E-2</v>
      </c>
      <c r="BB203" s="21">
        <v>193</v>
      </c>
      <c r="BC203" s="21">
        <v>0.87066699999999997</v>
      </c>
      <c r="BD203">
        <f t="shared" si="34"/>
        <v>17.768024691358022</v>
      </c>
      <c r="BE203">
        <f t="shared" si="35"/>
        <v>15.491709744074072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7.2961</v>
      </c>
      <c r="I204" s="21">
        <v>-1.44653E-2</v>
      </c>
      <c r="J204" s="21">
        <v>194</v>
      </c>
      <c r="K204" s="21">
        <v>0.82214399999999999</v>
      </c>
      <c r="L204">
        <f t="shared" ref="L204:L267" si="36">-I204/$F$2*1000</f>
        <v>17.858395061728395</v>
      </c>
      <c r="M204">
        <f t="shared" ref="M204:M267" si="37">L204*G204</f>
        <v>14.698512781111111</v>
      </c>
      <c r="N204" s="9"/>
      <c r="O204" s="21">
        <v>0.87692300000000001</v>
      </c>
      <c r="P204" s="21">
        <v>11.1153</v>
      </c>
      <c r="Q204" s="21">
        <v>-1.4434799999999999E-2</v>
      </c>
      <c r="R204" s="21">
        <v>194</v>
      </c>
      <c r="S204" s="21">
        <v>0.87616000000000005</v>
      </c>
      <c r="T204">
        <f t="shared" ref="T204:T267" si="38">-Q204/$F$2*1000</f>
        <v>17.820740740740739</v>
      </c>
      <c r="U204">
        <f t="shared" ref="U204:U267" si="39">T204*O204</f>
        <v>15.627417432592591</v>
      </c>
      <c r="X204" s="9"/>
      <c r="Y204" s="21">
        <v>0.82305899999999999</v>
      </c>
      <c r="Z204" s="21">
        <v>16.619299999999999</v>
      </c>
      <c r="AA204" s="21">
        <v>-1.4419599999999999E-2</v>
      </c>
      <c r="AB204" s="21">
        <v>194</v>
      </c>
      <c r="AC204" s="21">
        <v>0.82244899999999999</v>
      </c>
      <c r="AD204">
        <f t="shared" ref="AD204:AD267" si="40">-AA204/$F$2*1000</f>
        <v>17.801975308641975</v>
      </c>
      <c r="AE204">
        <f t="shared" ref="AE204:AE267" si="41">AD204*Y204</f>
        <v>14.652075995555554</v>
      </c>
      <c r="AF204" s="9"/>
      <c r="AG204" s="21">
        <v>0.87692300000000001</v>
      </c>
      <c r="AH204" s="21">
        <v>20.438500000000001</v>
      </c>
      <c r="AI204" s="21">
        <v>-1.4395099999999999E-2</v>
      </c>
      <c r="AJ204" s="21">
        <v>194</v>
      </c>
      <c r="AK204" s="21">
        <v>0.87616000000000005</v>
      </c>
      <c r="AL204">
        <f t="shared" ref="AL204:AL267" si="42">-AI204/$F$2*1000</f>
        <v>17.771728395061729</v>
      </c>
      <c r="AM204">
        <f t="shared" ref="AM204:AM267" si="43">AL204*AG204</f>
        <v>15.584437379382717</v>
      </c>
      <c r="AP204" s="9"/>
      <c r="AQ204" s="21">
        <v>0.82305899999999999</v>
      </c>
      <c r="AR204" s="21">
        <v>25.9315</v>
      </c>
      <c r="AS204" s="21">
        <v>-1.44379E-2</v>
      </c>
      <c r="AT204" s="21">
        <v>194</v>
      </c>
      <c r="AU204" s="21">
        <v>0.82275399999999999</v>
      </c>
      <c r="AV204">
        <f t="shared" ref="AV204:AV267" si="44">-AS204/$F$2*1000</f>
        <v>17.824567901234566</v>
      </c>
      <c r="AW204">
        <f t="shared" ref="AW204:AW267" si="45">AV204*AQ204</f>
        <v>14.67067103222222</v>
      </c>
      <c r="AX204" s="9"/>
      <c r="AY204" s="21">
        <v>0.87692300000000001</v>
      </c>
      <c r="AZ204" s="21">
        <v>29.750800000000002</v>
      </c>
      <c r="BA204" s="21">
        <v>-1.43982E-2</v>
      </c>
      <c r="BB204" s="21">
        <v>194</v>
      </c>
      <c r="BC204" s="21">
        <v>0.87616000000000005</v>
      </c>
      <c r="BD204">
        <f t="shared" ref="BD204:BD267" si="46">-BA204/$F$2*1000</f>
        <v>17.775555555555556</v>
      </c>
      <c r="BE204">
        <f t="shared" ref="BE204:BE267" si="47">BD204*AY204</f>
        <v>15.587793504444445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7.3061699999999998</v>
      </c>
      <c r="I205" s="21">
        <v>-1.4462300000000001E-2</v>
      </c>
      <c r="J205" s="21">
        <v>195</v>
      </c>
      <c r="K205" s="21">
        <v>0.81695600000000002</v>
      </c>
      <c r="L205">
        <f t="shared" si="36"/>
        <v>17.854691358024692</v>
      </c>
      <c r="M205">
        <f t="shared" si="37"/>
        <v>14.60556604345679</v>
      </c>
      <c r="N205" s="9"/>
      <c r="O205" s="21">
        <v>0.88195800000000002</v>
      </c>
      <c r="P205" s="21">
        <v>11.125400000000001</v>
      </c>
      <c r="Q205" s="21">
        <v>-1.4428699999999999E-2</v>
      </c>
      <c r="R205" s="21">
        <v>195</v>
      </c>
      <c r="S205" s="21">
        <v>0.88104199999999999</v>
      </c>
      <c r="T205">
        <f t="shared" si="38"/>
        <v>17.813209876543205</v>
      </c>
      <c r="U205">
        <f t="shared" si="39"/>
        <v>15.710502956296292</v>
      </c>
      <c r="X205" s="9"/>
      <c r="Y205" s="21">
        <v>0.81802399999999997</v>
      </c>
      <c r="Z205" s="21">
        <v>16.6294</v>
      </c>
      <c r="AA205" s="21">
        <v>-1.44318E-2</v>
      </c>
      <c r="AB205" s="21">
        <v>195</v>
      </c>
      <c r="AC205" s="21">
        <v>0.81726100000000002</v>
      </c>
      <c r="AD205">
        <f t="shared" si="40"/>
        <v>17.817037037037036</v>
      </c>
      <c r="AE205">
        <f t="shared" si="41"/>
        <v>14.574763905185183</v>
      </c>
      <c r="AF205" s="9"/>
      <c r="AG205" s="21">
        <v>0.88195800000000002</v>
      </c>
      <c r="AH205" s="21">
        <v>20.448599999999999</v>
      </c>
      <c r="AI205" s="21">
        <v>-1.4382900000000001E-2</v>
      </c>
      <c r="AJ205" s="21">
        <v>195</v>
      </c>
      <c r="AK205" s="21">
        <v>0.88104199999999999</v>
      </c>
      <c r="AL205">
        <f t="shared" si="42"/>
        <v>17.756666666666668</v>
      </c>
      <c r="AM205">
        <f t="shared" si="43"/>
        <v>15.66063422</v>
      </c>
      <c r="AP205" s="9"/>
      <c r="AQ205" s="21">
        <v>0.81802399999999997</v>
      </c>
      <c r="AR205" s="21">
        <v>25.941600000000001</v>
      </c>
      <c r="AS205" s="21">
        <v>-1.4428699999999999E-2</v>
      </c>
      <c r="AT205" s="21">
        <v>195</v>
      </c>
      <c r="AU205" s="21">
        <v>0.81695600000000002</v>
      </c>
      <c r="AV205">
        <f t="shared" si="44"/>
        <v>17.813209876543205</v>
      </c>
      <c r="AW205">
        <f t="shared" si="45"/>
        <v>14.571633196049378</v>
      </c>
      <c r="AX205" s="9"/>
      <c r="AY205" s="21">
        <v>0.88195800000000002</v>
      </c>
      <c r="AZ205" s="21">
        <v>29.760899999999999</v>
      </c>
      <c r="BA205" s="21">
        <v>-1.4382900000000001E-2</v>
      </c>
      <c r="BB205" s="21">
        <v>195</v>
      </c>
      <c r="BC205" s="21">
        <v>0.88073699999999999</v>
      </c>
      <c r="BD205">
        <f t="shared" si="46"/>
        <v>17.756666666666668</v>
      </c>
      <c r="BE205">
        <f t="shared" si="47"/>
        <v>15.66063422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7.3162399999999996</v>
      </c>
      <c r="I206" s="21">
        <v>-1.44501E-2</v>
      </c>
      <c r="J206" s="21">
        <v>196</v>
      </c>
      <c r="K206" s="21">
        <v>0.81207300000000004</v>
      </c>
      <c r="L206">
        <f t="shared" si="36"/>
        <v>17.839629629629631</v>
      </c>
      <c r="M206">
        <f t="shared" si="37"/>
        <v>14.503404813333335</v>
      </c>
      <c r="N206" s="9"/>
      <c r="O206" s="21">
        <v>0.88699300000000003</v>
      </c>
      <c r="P206" s="21">
        <v>11.135400000000001</v>
      </c>
      <c r="Q206" s="21">
        <v>-1.44104E-2</v>
      </c>
      <c r="R206" s="21">
        <v>196</v>
      </c>
      <c r="S206" s="21">
        <v>0.88592499999999996</v>
      </c>
      <c r="T206">
        <f t="shared" si="38"/>
        <v>17.790617283950617</v>
      </c>
      <c r="U206">
        <f t="shared" si="39"/>
        <v>15.78015299654321</v>
      </c>
      <c r="X206" s="9"/>
      <c r="Y206" s="21">
        <v>0.81298800000000004</v>
      </c>
      <c r="Z206" s="21">
        <v>16.639500000000002</v>
      </c>
      <c r="AA206" s="21">
        <v>-1.44409E-2</v>
      </c>
      <c r="AB206" s="21">
        <v>196</v>
      </c>
      <c r="AC206" s="21">
        <v>0.81207300000000004</v>
      </c>
      <c r="AD206">
        <f t="shared" si="40"/>
        <v>17.828271604938269</v>
      </c>
      <c r="AE206">
        <f t="shared" si="41"/>
        <v>14.494170875555554</v>
      </c>
      <c r="AF206" s="9"/>
      <c r="AG206" s="21">
        <v>0.88699300000000003</v>
      </c>
      <c r="AH206" s="21">
        <v>20.458600000000001</v>
      </c>
      <c r="AI206" s="21">
        <v>-1.43707E-2</v>
      </c>
      <c r="AJ206" s="21">
        <v>196</v>
      </c>
      <c r="AK206" s="21">
        <v>0.88592499999999996</v>
      </c>
      <c r="AL206">
        <f t="shared" si="42"/>
        <v>17.741604938271603</v>
      </c>
      <c r="AM206">
        <f t="shared" si="43"/>
        <v>15.736679389012345</v>
      </c>
      <c r="AP206" s="9"/>
      <c r="AQ206" s="21">
        <v>0.81298800000000004</v>
      </c>
      <c r="AR206" s="21">
        <v>25.951699999999999</v>
      </c>
      <c r="AS206" s="21">
        <v>-1.44165E-2</v>
      </c>
      <c r="AT206" s="21">
        <v>196</v>
      </c>
      <c r="AU206" s="21">
        <v>0.81237800000000004</v>
      </c>
      <c r="AV206">
        <f t="shared" si="44"/>
        <v>17.798148148148147</v>
      </c>
      <c r="AW206">
        <f t="shared" si="45"/>
        <v>14.469680866666668</v>
      </c>
      <c r="AX206" s="9"/>
      <c r="AY206" s="21">
        <v>0.88699300000000003</v>
      </c>
      <c r="AZ206" s="21">
        <v>29.771000000000001</v>
      </c>
      <c r="BA206" s="21">
        <v>-1.43646E-2</v>
      </c>
      <c r="BB206" s="21">
        <v>196</v>
      </c>
      <c r="BC206" s="21">
        <v>0.88592499999999996</v>
      </c>
      <c r="BD206">
        <f t="shared" si="46"/>
        <v>17.734074074074073</v>
      </c>
      <c r="BE206">
        <f t="shared" si="47"/>
        <v>15.729999565185185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7.3263100000000003</v>
      </c>
      <c r="I207" s="21">
        <v>-1.4447E-2</v>
      </c>
      <c r="J207" s="21">
        <v>197</v>
      </c>
      <c r="K207" s="21">
        <v>0.80779999999999996</v>
      </c>
      <c r="L207">
        <f t="shared" si="36"/>
        <v>17.8358024691358</v>
      </c>
      <c r="M207">
        <f t="shared" si="37"/>
        <v>14.410490112345677</v>
      </c>
      <c r="N207" s="9"/>
      <c r="O207" s="21">
        <v>0.89202899999999996</v>
      </c>
      <c r="P207" s="21">
        <v>11.1455</v>
      </c>
      <c r="Q207" s="21">
        <v>-1.4395099999999999E-2</v>
      </c>
      <c r="R207" s="21">
        <v>197</v>
      </c>
      <c r="S207" s="21">
        <v>0.89111300000000004</v>
      </c>
      <c r="T207">
        <f t="shared" si="38"/>
        <v>17.771728395061729</v>
      </c>
      <c r="U207">
        <f t="shared" si="39"/>
        <v>15.852897108518517</v>
      </c>
      <c r="X207" s="9"/>
      <c r="Y207" s="21">
        <v>0.80795300000000003</v>
      </c>
      <c r="Z207" s="21">
        <v>16.6495</v>
      </c>
      <c r="AA207" s="21">
        <v>-1.44531E-2</v>
      </c>
      <c r="AB207" s="21">
        <v>197</v>
      </c>
      <c r="AC207" s="21">
        <v>0.80718999999999996</v>
      </c>
      <c r="AD207">
        <f t="shared" si="40"/>
        <v>17.843333333333334</v>
      </c>
      <c r="AE207">
        <f t="shared" si="41"/>
        <v>14.416574696666668</v>
      </c>
      <c r="AF207" s="9"/>
      <c r="AG207" s="21">
        <v>0.89202899999999996</v>
      </c>
      <c r="AH207" s="21">
        <v>20.468699999999998</v>
      </c>
      <c r="AI207" s="21">
        <v>-1.4367700000000001E-2</v>
      </c>
      <c r="AJ207" s="21">
        <v>197</v>
      </c>
      <c r="AK207" s="21">
        <v>0.89111300000000004</v>
      </c>
      <c r="AL207">
        <f t="shared" si="42"/>
        <v>17.7379012345679</v>
      </c>
      <c r="AM207">
        <f t="shared" si="43"/>
        <v>15.822722300370369</v>
      </c>
      <c r="AP207" s="9"/>
      <c r="AQ207" s="21">
        <v>0.80795300000000003</v>
      </c>
      <c r="AR207" s="21">
        <v>25.9618</v>
      </c>
      <c r="AS207" s="21">
        <v>-1.44257E-2</v>
      </c>
      <c r="AT207" s="21">
        <v>197</v>
      </c>
      <c r="AU207" s="21">
        <v>0.80718999999999996</v>
      </c>
      <c r="AV207">
        <f t="shared" si="44"/>
        <v>17.809506172839505</v>
      </c>
      <c r="AW207">
        <f t="shared" si="45"/>
        <v>14.389243940864198</v>
      </c>
      <c r="AX207" s="9"/>
      <c r="AY207" s="21">
        <v>0.89202899999999996</v>
      </c>
      <c r="AZ207" s="21">
        <v>29.780999999999999</v>
      </c>
      <c r="BA207" s="21">
        <v>-1.43646E-2</v>
      </c>
      <c r="BB207" s="21">
        <v>197</v>
      </c>
      <c r="BC207" s="21">
        <v>0.89141800000000004</v>
      </c>
      <c r="BD207">
        <f t="shared" si="46"/>
        <v>17.734074074074073</v>
      </c>
      <c r="BE207">
        <f t="shared" si="47"/>
        <v>15.81930836222222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7.3363800000000001</v>
      </c>
      <c r="I208" s="21">
        <v>-1.4444E-2</v>
      </c>
      <c r="J208" s="21">
        <v>198</v>
      </c>
      <c r="K208" s="21">
        <v>0.80139199999999999</v>
      </c>
      <c r="L208">
        <f t="shared" si="36"/>
        <v>17.832098765432097</v>
      </c>
      <c r="M208">
        <f t="shared" si="37"/>
        <v>14.317695244444442</v>
      </c>
      <c r="N208" s="9"/>
      <c r="O208" s="21">
        <v>0.89706399999999997</v>
      </c>
      <c r="P208" s="21">
        <v>11.1556</v>
      </c>
      <c r="Q208" s="21">
        <v>-1.4382900000000001E-2</v>
      </c>
      <c r="R208" s="21">
        <v>198</v>
      </c>
      <c r="S208" s="21">
        <v>0.89569100000000001</v>
      </c>
      <c r="T208">
        <f t="shared" si="38"/>
        <v>17.756666666666668</v>
      </c>
      <c r="U208">
        <f t="shared" si="39"/>
        <v>15.928866426666668</v>
      </c>
      <c r="X208" s="9"/>
      <c r="Y208" s="21">
        <v>0.80291699999999999</v>
      </c>
      <c r="Z208" s="21">
        <v>16.659600000000001</v>
      </c>
      <c r="AA208" s="21">
        <v>-1.4462300000000001E-2</v>
      </c>
      <c r="AB208" s="21">
        <v>198</v>
      </c>
      <c r="AC208" s="21">
        <v>0.80230699999999999</v>
      </c>
      <c r="AD208">
        <f t="shared" si="40"/>
        <v>17.854691358024692</v>
      </c>
      <c r="AE208">
        <f t="shared" si="41"/>
        <v>14.335835221111111</v>
      </c>
      <c r="AF208" s="9"/>
      <c r="AG208" s="21">
        <v>0.89706399999999997</v>
      </c>
      <c r="AH208" s="21">
        <v>20.4788</v>
      </c>
      <c r="AI208" s="21">
        <v>-1.43616E-2</v>
      </c>
      <c r="AJ208" s="21">
        <v>198</v>
      </c>
      <c r="AK208" s="21">
        <v>0.89569100000000001</v>
      </c>
      <c r="AL208">
        <f t="shared" si="42"/>
        <v>17.73037037037037</v>
      </c>
      <c r="AM208">
        <f t="shared" si="43"/>
        <v>15.905276965925925</v>
      </c>
      <c r="AP208" s="9"/>
      <c r="AQ208" s="21">
        <v>0.80291699999999999</v>
      </c>
      <c r="AR208" s="21">
        <v>25.971800000000002</v>
      </c>
      <c r="AS208" s="21">
        <v>-1.4428699999999999E-2</v>
      </c>
      <c r="AT208" s="21">
        <v>198</v>
      </c>
      <c r="AU208" s="21">
        <v>0.80200199999999999</v>
      </c>
      <c r="AV208">
        <f t="shared" si="44"/>
        <v>17.813209876543205</v>
      </c>
      <c r="AW208">
        <f t="shared" si="45"/>
        <v>14.30252903444444</v>
      </c>
      <c r="AX208" s="9"/>
      <c r="AY208" s="21">
        <v>0.89706399999999997</v>
      </c>
      <c r="AZ208" s="21">
        <v>29.7911</v>
      </c>
      <c r="BA208" s="21">
        <v>-1.43707E-2</v>
      </c>
      <c r="BB208" s="21">
        <v>198</v>
      </c>
      <c r="BC208" s="21">
        <v>0.89599600000000001</v>
      </c>
      <c r="BD208">
        <f t="shared" si="46"/>
        <v>17.741604938271603</v>
      </c>
      <c r="BE208">
        <f t="shared" si="47"/>
        <v>15.915355092345678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7.3464499999999999</v>
      </c>
      <c r="I209" s="21">
        <v>-1.44592E-2</v>
      </c>
      <c r="J209" s="21">
        <v>199</v>
      </c>
      <c r="K209" s="21">
        <v>0.79742400000000002</v>
      </c>
      <c r="L209">
        <f t="shared" si="36"/>
        <v>17.850864197530864</v>
      </c>
      <c r="M209">
        <f t="shared" si="37"/>
        <v>14.242883227654321</v>
      </c>
      <c r="N209" s="9"/>
      <c r="O209" s="21">
        <v>0.90210000000000001</v>
      </c>
      <c r="P209" s="21">
        <v>11.1656</v>
      </c>
      <c r="Q209" s="21">
        <v>-1.43768E-2</v>
      </c>
      <c r="R209" s="21">
        <v>199</v>
      </c>
      <c r="S209" s="21">
        <v>0.90057399999999999</v>
      </c>
      <c r="T209">
        <f t="shared" si="38"/>
        <v>17.749135802469137</v>
      </c>
      <c r="U209">
        <f t="shared" si="39"/>
        <v>16.011495407407409</v>
      </c>
      <c r="X209" s="9"/>
      <c r="Y209" s="21">
        <v>0.79788199999999998</v>
      </c>
      <c r="Z209" s="21">
        <v>16.669699999999999</v>
      </c>
      <c r="AA209" s="21">
        <v>-1.4462300000000001E-2</v>
      </c>
      <c r="AB209" s="21">
        <v>199</v>
      </c>
      <c r="AC209" s="21">
        <v>0.79711900000000002</v>
      </c>
      <c r="AD209">
        <f t="shared" si="40"/>
        <v>17.854691358024692</v>
      </c>
      <c r="AE209">
        <f t="shared" si="41"/>
        <v>14.245936850123456</v>
      </c>
      <c r="AF209" s="9"/>
      <c r="AG209" s="21">
        <v>0.90210000000000001</v>
      </c>
      <c r="AH209" s="21">
        <v>20.488900000000001</v>
      </c>
      <c r="AI209" s="21">
        <v>-1.43616E-2</v>
      </c>
      <c r="AJ209" s="21">
        <v>199</v>
      </c>
      <c r="AK209" s="21">
        <v>0.90118399999999999</v>
      </c>
      <c r="AL209">
        <f t="shared" si="42"/>
        <v>17.73037037037037</v>
      </c>
      <c r="AM209">
        <f t="shared" si="43"/>
        <v>15.994567111111111</v>
      </c>
      <c r="AP209" s="9"/>
      <c r="AQ209" s="21">
        <v>0.79788199999999998</v>
      </c>
      <c r="AR209" s="21">
        <v>25.9819</v>
      </c>
      <c r="AS209" s="21">
        <v>-1.4434799999999999E-2</v>
      </c>
      <c r="AT209" s="21">
        <v>199</v>
      </c>
      <c r="AU209" s="21">
        <v>0.79711900000000002</v>
      </c>
      <c r="AV209">
        <f t="shared" si="44"/>
        <v>17.820740740740739</v>
      </c>
      <c r="AW209">
        <f t="shared" si="45"/>
        <v>14.218848263703702</v>
      </c>
      <c r="AX209" s="9"/>
      <c r="AY209" s="21">
        <v>0.90210000000000001</v>
      </c>
      <c r="AZ209" s="21">
        <v>29.801200000000001</v>
      </c>
      <c r="BA209" s="21">
        <v>-1.43768E-2</v>
      </c>
      <c r="BB209" s="21">
        <v>199</v>
      </c>
      <c r="BC209" s="21">
        <v>0.90057399999999999</v>
      </c>
      <c r="BD209">
        <f t="shared" si="46"/>
        <v>17.749135802469137</v>
      </c>
      <c r="BE209">
        <f t="shared" si="47"/>
        <v>16.011495407407409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7.3565300000000002</v>
      </c>
      <c r="I210" s="21">
        <v>-1.44653E-2</v>
      </c>
      <c r="J210" s="21">
        <v>200</v>
      </c>
      <c r="K210" s="21">
        <v>0.79193100000000005</v>
      </c>
      <c r="L210">
        <f t="shared" si="36"/>
        <v>17.858395061728395</v>
      </c>
      <c r="M210">
        <f t="shared" si="37"/>
        <v>14.158974949506172</v>
      </c>
      <c r="N210" s="9"/>
      <c r="O210" s="21">
        <v>0.90713500000000002</v>
      </c>
      <c r="P210" s="21">
        <v>11.175700000000001</v>
      </c>
      <c r="Q210" s="21">
        <v>-1.43768E-2</v>
      </c>
      <c r="R210" s="21">
        <v>200</v>
      </c>
      <c r="S210" s="21">
        <v>0.90637199999999996</v>
      </c>
      <c r="T210">
        <f t="shared" si="38"/>
        <v>17.749135802469137</v>
      </c>
      <c r="U210">
        <f t="shared" si="39"/>
        <v>16.100862306172843</v>
      </c>
      <c r="X210" s="9"/>
      <c r="Y210" s="21">
        <v>0.79284699999999997</v>
      </c>
      <c r="Z210" s="21">
        <v>16.6797</v>
      </c>
      <c r="AA210" s="21">
        <v>-1.44745E-2</v>
      </c>
      <c r="AB210" s="21">
        <v>200</v>
      </c>
      <c r="AC210" s="21">
        <v>0.79223600000000005</v>
      </c>
      <c r="AD210">
        <f t="shared" si="40"/>
        <v>17.869753086419752</v>
      </c>
      <c r="AE210">
        <f t="shared" si="41"/>
        <v>14.167980125308642</v>
      </c>
      <c r="AF210" s="9"/>
      <c r="AG210" s="21">
        <v>0.90713500000000002</v>
      </c>
      <c r="AH210" s="21">
        <v>20.498899999999999</v>
      </c>
      <c r="AI210" s="21">
        <v>-1.4367700000000001E-2</v>
      </c>
      <c r="AJ210" s="21">
        <v>200</v>
      </c>
      <c r="AK210" s="21">
        <v>0.90698199999999995</v>
      </c>
      <c r="AL210">
        <f t="shared" si="42"/>
        <v>17.7379012345679</v>
      </c>
      <c r="AM210">
        <f t="shared" si="43"/>
        <v>16.090671036419753</v>
      </c>
      <c r="AP210" s="9"/>
      <c r="AQ210" s="21">
        <v>0.79284699999999997</v>
      </c>
      <c r="AR210" s="21">
        <v>25.992000000000001</v>
      </c>
      <c r="AS210" s="21">
        <v>-1.4434799999999999E-2</v>
      </c>
      <c r="AT210" s="21">
        <v>200</v>
      </c>
      <c r="AU210" s="21">
        <v>0.79223600000000005</v>
      </c>
      <c r="AV210">
        <f t="shared" si="44"/>
        <v>17.820740740740739</v>
      </c>
      <c r="AW210">
        <f t="shared" si="45"/>
        <v>14.129120834074072</v>
      </c>
      <c r="AX210" s="9"/>
      <c r="AY210" s="21">
        <v>0.90713500000000002</v>
      </c>
      <c r="AZ210" s="21">
        <v>29.811199999999999</v>
      </c>
      <c r="BA210" s="21">
        <v>-1.4379899999999999E-2</v>
      </c>
      <c r="BB210" s="21">
        <v>200</v>
      </c>
      <c r="BC210" s="21">
        <v>0.90606699999999996</v>
      </c>
      <c r="BD210">
        <f t="shared" si="46"/>
        <v>17.752962962962961</v>
      </c>
      <c r="BE210">
        <f t="shared" si="47"/>
        <v>16.104334057407407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7.3666</v>
      </c>
      <c r="I211" s="21">
        <v>-1.44653E-2</v>
      </c>
      <c r="J211" s="21">
        <v>201</v>
      </c>
      <c r="K211" s="21">
        <v>0.78674299999999997</v>
      </c>
      <c r="L211">
        <f t="shared" si="36"/>
        <v>17.858395061728395</v>
      </c>
      <c r="M211">
        <f t="shared" si="37"/>
        <v>14.069040071975309</v>
      </c>
      <c r="N211" s="9"/>
      <c r="O211" s="21">
        <v>0.91217000000000004</v>
      </c>
      <c r="P211" s="21">
        <v>11.1858</v>
      </c>
      <c r="Q211" s="21">
        <v>-1.43768E-2</v>
      </c>
      <c r="R211" s="21">
        <v>201</v>
      </c>
      <c r="S211" s="21">
        <v>0.91125500000000004</v>
      </c>
      <c r="T211">
        <f t="shared" si="38"/>
        <v>17.749135802469137</v>
      </c>
      <c r="U211">
        <f t="shared" si="39"/>
        <v>16.190229204938273</v>
      </c>
      <c r="X211" s="9"/>
      <c r="Y211" s="21">
        <v>0.78781100000000004</v>
      </c>
      <c r="Z211" s="21">
        <v>16.689800000000002</v>
      </c>
      <c r="AA211" s="21">
        <v>-1.4477500000000001E-2</v>
      </c>
      <c r="AB211" s="21">
        <v>201</v>
      </c>
      <c r="AC211" s="21">
        <v>0.78704799999999997</v>
      </c>
      <c r="AD211">
        <f t="shared" si="40"/>
        <v>17.873456790123456</v>
      </c>
      <c r="AE211">
        <f t="shared" si="41"/>
        <v>14.080905867283951</v>
      </c>
      <c r="AF211" s="9"/>
      <c r="AG211" s="21">
        <v>0.91217000000000004</v>
      </c>
      <c r="AH211" s="21">
        <v>20.509</v>
      </c>
      <c r="AI211" s="21">
        <v>-1.4367700000000001E-2</v>
      </c>
      <c r="AJ211" s="21">
        <v>201</v>
      </c>
      <c r="AK211" s="21">
        <v>0.91156000000000004</v>
      </c>
      <c r="AL211">
        <f t="shared" si="42"/>
        <v>17.7379012345679</v>
      </c>
      <c r="AM211">
        <f t="shared" si="43"/>
        <v>16.179981369135803</v>
      </c>
      <c r="AP211" s="9"/>
      <c r="AQ211" s="21">
        <v>0.78781100000000004</v>
      </c>
      <c r="AR211" s="21">
        <v>26.001999999999999</v>
      </c>
      <c r="AS211" s="21">
        <v>-1.4447E-2</v>
      </c>
      <c r="AT211" s="21">
        <v>201</v>
      </c>
      <c r="AU211" s="21">
        <v>0.78704799999999997</v>
      </c>
      <c r="AV211">
        <f t="shared" si="44"/>
        <v>17.8358024691358</v>
      </c>
      <c r="AW211">
        <f t="shared" si="45"/>
        <v>14.051241379012344</v>
      </c>
      <c r="AX211" s="9"/>
      <c r="AY211" s="21">
        <v>0.91217000000000004</v>
      </c>
      <c r="AZ211" s="21">
        <v>29.821300000000001</v>
      </c>
      <c r="BA211" s="21">
        <v>-1.43585E-2</v>
      </c>
      <c r="BB211" s="21">
        <v>201</v>
      </c>
      <c r="BC211" s="21">
        <v>0.91125500000000004</v>
      </c>
      <c r="BD211">
        <f t="shared" si="46"/>
        <v>17.726543209876542</v>
      </c>
      <c r="BE211">
        <f t="shared" si="47"/>
        <v>16.169620919753086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7.3766699999999998</v>
      </c>
      <c r="I212" s="21">
        <v>-1.4468399999999999E-2</v>
      </c>
      <c r="J212" s="21">
        <v>202</v>
      </c>
      <c r="K212" s="21">
        <v>0.78186</v>
      </c>
      <c r="L212">
        <f t="shared" si="36"/>
        <v>17.862222222222222</v>
      </c>
      <c r="M212">
        <f t="shared" si="37"/>
        <v>13.982118862222222</v>
      </c>
      <c r="N212" s="9"/>
      <c r="O212" s="21">
        <v>0.91720599999999997</v>
      </c>
      <c r="P212" s="21">
        <v>11.1959</v>
      </c>
      <c r="Q212" s="21">
        <v>-1.4373800000000001E-2</v>
      </c>
      <c r="R212" s="21">
        <v>202</v>
      </c>
      <c r="S212" s="21">
        <v>0.91644300000000001</v>
      </c>
      <c r="T212">
        <f t="shared" si="38"/>
        <v>17.745432098765431</v>
      </c>
      <c r="U212">
        <f t="shared" si="39"/>
        <v>16.276216793580247</v>
      </c>
      <c r="X212" s="9"/>
      <c r="Y212" s="21">
        <v>0.78277600000000003</v>
      </c>
      <c r="Z212" s="21">
        <v>16.6999</v>
      </c>
      <c r="AA212" s="21">
        <v>-1.4477500000000001E-2</v>
      </c>
      <c r="AB212" s="21">
        <v>202</v>
      </c>
      <c r="AC212" s="21">
        <v>0.78186</v>
      </c>
      <c r="AD212">
        <f t="shared" si="40"/>
        <v>17.873456790123456</v>
      </c>
      <c r="AE212">
        <f t="shared" si="41"/>
        <v>13.990913012345679</v>
      </c>
      <c r="AF212" s="9"/>
      <c r="AG212" s="21">
        <v>0.91720599999999997</v>
      </c>
      <c r="AH212" s="21">
        <v>20.519100000000002</v>
      </c>
      <c r="AI212" s="21">
        <v>-1.4367700000000001E-2</v>
      </c>
      <c r="AJ212" s="21">
        <v>202</v>
      </c>
      <c r="AK212" s="21">
        <v>0.91613800000000001</v>
      </c>
      <c r="AL212">
        <f t="shared" si="42"/>
        <v>17.7379012345679</v>
      </c>
      <c r="AM212">
        <f t="shared" si="43"/>
        <v>16.269309439753084</v>
      </c>
      <c r="AP212" s="9"/>
      <c r="AQ212" s="21">
        <v>0.78277600000000003</v>
      </c>
      <c r="AR212" s="21">
        <v>26.0121</v>
      </c>
      <c r="AS212" s="21">
        <v>-1.4447E-2</v>
      </c>
      <c r="AT212" s="21">
        <v>202</v>
      </c>
      <c r="AU212" s="21">
        <v>0.78216600000000003</v>
      </c>
      <c r="AV212">
        <f t="shared" si="44"/>
        <v>17.8358024691358</v>
      </c>
      <c r="AW212">
        <f t="shared" si="45"/>
        <v>13.961438113580245</v>
      </c>
      <c r="AX212" s="9"/>
      <c r="AY212" s="21">
        <v>0.91720599999999997</v>
      </c>
      <c r="AZ212" s="21">
        <v>29.831399999999999</v>
      </c>
      <c r="BA212" s="21">
        <v>-1.43433E-2</v>
      </c>
      <c r="BB212" s="21">
        <v>202</v>
      </c>
      <c r="BC212" s="21">
        <v>0.91613800000000001</v>
      </c>
      <c r="BD212">
        <f t="shared" si="46"/>
        <v>17.707777777777778</v>
      </c>
      <c r="BE212">
        <f t="shared" si="47"/>
        <v>16.241680024444445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7.3867399999999996</v>
      </c>
      <c r="I213" s="21">
        <v>-1.4462300000000001E-2</v>
      </c>
      <c r="J213" s="21">
        <v>203</v>
      </c>
      <c r="K213" s="21">
        <v>0.77697799999999995</v>
      </c>
      <c r="L213">
        <f t="shared" si="36"/>
        <v>17.854691358024692</v>
      </c>
      <c r="M213">
        <f t="shared" si="37"/>
        <v>13.886307656790123</v>
      </c>
      <c r="N213" s="9"/>
      <c r="O213" s="21">
        <v>0.92224099999999998</v>
      </c>
      <c r="P213" s="21">
        <v>11.2059</v>
      </c>
      <c r="Q213" s="21">
        <v>-1.43616E-2</v>
      </c>
      <c r="R213" s="21">
        <v>203</v>
      </c>
      <c r="S213" s="21">
        <v>0.92071499999999995</v>
      </c>
      <c r="T213">
        <f t="shared" si="38"/>
        <v>17.73037037037037</v>
      </c>
      <c r="U213">
        <f t="shared" si="39"/>
        <v>16.351674500740739</v>
      </c>
      <c r="X213" s="9"/>
      <c r="Y213" s="21">
        <v>0.77773999999999999</v>
      </c>
      <c r="Z213" s="21">
        <v>16.71</v>
      </c>
      <c r="AA213" s="21">
        <v>-1.44745E-2</v>
      </c>
      <c r="AB213" s="21">
        <v>203</v>
      </c>
      <c r="AC213" s="21">
        <v>0.77697799999999995</v>
      </c>
      <c r="AD213">
        <f t="shared" si="40"/>
        <v>17.869753086419752</v>
      </c>
      <c r="AE213">
        <f t="shared" si="41"/>
        <v>13.898021765432098</v>
      </c>
      <c r="AF213" s="9"/>
      <c r="AG213" s="21">
        <v>0.92224099999999998</v>
      </c>
      <c r="AH213" s="21">
        <v>20.5291</v>
      </c>
      <c r="AI213" s="21">
        <v>-1.43707E-2</v>
      </c>
      <c r="AJ213" s="21">
        <v>203</v>
      </c>
      <c r="AK213" s="21">
        <v>0.92132599999999998</v>
      </c>
      <c r="AL213">
        <f t="shared" si="42"/>
        <v>17.741604938271603</v>
      </c>
      <c r="AM213">
        <f t="shared" si="43"/>
        <v>16.362035479876543</v>
      </c>
      <c r="AP213" s="9"/>
      <c r="AQ213" s="21">
        <v>0.77773999999999999</v>
      </c>
      <c r="AR213" s="21">
        <v>26.022200000000002</v>
      </c>
      <c r="AS213" s="21">
        <v>-1.44592E-2</v>
      </c>
      <c r="AT213" s="21">
        <v>203</v>
      </c>
      <c r="AU213" s="21">
        <v>0.77636700000000003</v>
      </c>
      <c r="AV213">
        <f t="shared" si="44"/>
        <v>17.850864197530864</v>
      </c>
      <c r="AW213">
        <f t="shared" si="45"/>
        <v>13.883331120987654</v>
      </c>
      <c r="AX213" s="9"/>
      <c r="AY213" s="21">
        <v>0.92224099999999998</v>
      </c>
      <c r="AZ213" s="21">
        <v>29.8414</v>
      </c>
      <c r="BA213" s="21">
        <v>-1.43433E-2</v>
      </c>
      <c r="BB213" s="21">
        <v>203</v>
      </c>
      <c r="BC213" s="21">
        <v>0.92102099999999998</v>
      </c>
      <c r="BD213">
        <f t="shared" si="46"/>
        <v>17.707777777777778</v>
      </c>
      <c r="BE213">
        <f t="shared" si="47"/>
        <v>16.330838685555555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7.3968100000000003</v>
      </c>
      <c r="I214" s="21">
        <v>-1.44745E-2</v>
      </c>
      <c r="J214" s="21">
        <v>204</v>
      </c>
      <c r="K214" s="21">
        <v>0.77178999999999998</v>
      </c>
      <c r="L214">
        <f t="shared" si="36"/>
        <v>17.869753086419752</v>
      </c>
      <c r="M214">
        <f t="shared" si="37"/>
        <v>13.808047558641974</v>
      </c>
      <c r="N214" s="9"/>
      <c r="O214" s="21">
        <v>0.92727700000000002</v>
      </c>
      <c r="P214" s="21">
        <v>11.215999999999999</v>
      </c>
      <c r="Q214" s="21">
        <v>-1.43646E-2</v>
      </c>
      <c r="R214" s="21">
        <v>204</v>
      </c>
      <c r="S214" s="21">
        <v>0.92620800000000003</v>
      </c>
      <c r="T214">
        <f t="shared" si="38"/>
        <v>17.734074074074073</v>
      </c>
      <c r="U214">
        <f t="shared" si="39"/>
        <v>16.444399005185183</v>
      </c>
      <c r="X214" s="9"/>
      <c r="Y214" s="21">
        <v>0.77270499999999998</v>
      </c>
      <c r="Z214" s="21">
        <v>16.72</v>
      </c>
      <c r="AA214" s="21">
        <v>-1.4477500000000001E-2</v>
      </c>
      <c r="AB214" s="21">
        <v>204</v>
      </c>
      <c r="AC214" s="21">
        <v>0.77178999999999998</v>
      </c>
      <c r="AD214">
        <f t="shared" si="40"/>
        <v>17.873456790123456</v>
      </c>
      <c r="AE214">
        <f t="shared" si="41"/>
        <v>13.810909429012344</v>
      </c>
      <c r="AF214" s="9"/>
      <c r="AG214" s="21">
        <v>0.92727700000000002</v>
      </c>
      <c r="AH214" s="21">
        <v>20.539200000000001</v>
      </c>
      <c r="AI214" s="21">
        <v>-1.43616E-2</v>
      </c>
      <c r="AJ214" s="21">
        <v>204</v>
      </c>
      <c r="AK214" s="21">
        <v>0.92559800000000003</v>
      </c>
      <c r="AL214">
        <f t="shared" si="42"/>
        <v>17.73037037037037</v>
      </c>
      <c r="AM214">
        <f t="shared" si="43"/>
        <v>16.440964645925927</v>
      </c>
      <c r="AP214" s="9"/>
      <c r="AQ214" s="21">
        <v>0.77270499999999998</v>
      </c>
      <c r="AR214" s="21">
        <v>26.032299999999999</v>
      </c>
      <c r="AS214" s="21">
        <v>-1.4471400000000001E-2</v>
      </c>
      <c r="AT214" s="21">
        <v>204</v>
      </c>
      <c r="AU214" s="21">
        <v>0.77148399999999995</v>
      </c>
      <c r="AV214">
        <f t="shared" si="44"/>
        <v>17.865925925925925</v>
      </c>
      <c r="AW214">
        <f t="shared" si="45"/>
        <v>13.805090292592592</v>
      </c>
      <c r="AX214" s="9"/>
      <c r="AY214" s="21">
        <v>0.92727700000000002</v>
      </c>
      <c r="AZ214" s="21">
        <v>29.851500000000001</v>
      </c>
      <c r="BA214" s="21">
        <v>-1.43433E-2</v>
      </c>
      <c r="BB214" s="21">
        <v>204</v>
      </c>
      <c r="BC214" s="21">
        <v>0.92620800000000003</v>
      </c>
      <c r="BD214">
        <f t="shared" si="46"/>
        <v>17.707777777777778</v>
      </c>
      <c r="BE214">
        <f t="shared" si="47"/>
        <v>16.420015054444445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7.4068800000000001</v>
      </c>
      <c r="I215" s="21">
        <v>-1.4489699999999999E-2</v>
      </c>
      <c r="J215" s="21">
        <v>205</v>
      </c>
      <c r="K215" s="21">
        <v>0.76690700000000001</v>
      </c>
      <c r="L215">
        <f t="shared" si="36"/>
        <v>17.888518518518516</v>
      </c>
      <c r="M215">
        <f t="shared" si="37"/>
        <v>13.732479011111108</v>
      </c>
      <c r="N215" s="9"/>
      <c r="O215" s="21">
        <v>0.93231200000000003</v>
      </c>
      <c r="P215" s="21">
        <v>11.226100000000001</v>
      </c>
      <c r="Q215" s="21">
        <v>-1.4373800000000001E-2</v>
      </c>
      <c r="R215" s="21">
        <v>205</v>
      </c>
      <c r="S215" s="21">
        <v>0.931396</v>
      </c>
      <c r="T215">
        <f t="shared" si="38"/>
        <v>17.745432098765431</v>
      </c>
      <c r="U215">
        <f t="shared" si="39"/>
        <v>16.544279290864196</v>
      </c>
      <c r="X215" s="9"/>
      <c r="Y215" s="21">
        <v>0.76766999999999996</v>
      </c>
      <c r="Z215" s="21">
        <v>16.7301</v>
      </c>
      <c r="AA215" s="21">
        <v>-1.44928E-2</v>
      </c>
      <c r="AB215" s="21">
        <v>205</v>
      </c>
      <c r="AC215" s="21">
        <v>0.76660200000000001</v>
      </c>
      <c r="AD215">
        <f t="shared" si="40"/>
        <v>17.892345679012344</v>
      </c>
      <c r="AE215">
        <f t="shared" si="41"/>
        <v>13.735417007407406</v>
      </c>
      <c r="AF215" s="9"/>
      <c r="AG215" s="21">
        <v>0.93231200000000003</v>
      </c>
      <c r="AH215" s="21">
        <v>20.549299999999999</v>
      </c>
      <c r="AI215" s="21">
        <v>-1.43494E-2</v>
      </c>
      <c r="AJ215" s="21">
        <v>205</v>
      </c>
      <c r="AK215" s="21">
        <v>0.931091</v>
      </c>
      <c r="AL215">
        <f t="shared" si="42"/>
        <v>17.715308641975309</v>
      </c>
      <c r="AM215">
        <f t="shared" si="43"/>
        <v>16.516194830617284</v>
      </c>
      <c r="AP215" s="9"/>
      <c r="AQ215" s="21">
        <v>0.76766999999999996</v>
      </c>
      <c r="AR215" s="21">
        <v>26.042300000000001</v>
      </c>
      <c r="AS215" s="21">
        <v>-1.4462300000000001E-2</v>
      </c>
      <c r="AT215" s="21">
        <v>205</v>
      </c>
      <c r="AU215" s="21">
        <v>0.76660200000000001</v>
      </c>
      <c r="AV215">
        <f t="shared" si="44"/>
        <v>17.854691358024692</v>
      </c>
      <c r="AW215">
        <f t="shared" si="45"/>
        <v>13.706510914814814</v>
      </c>
      <c r="AX215" s="9"/>
      <c r="AY215" s="21">
        <v>0.93231200000000003</v>
      </c>
      <c r="AZ215" s="21">
        <v>29.861599999999999</v>
      </c>
      <c r="BA215" s="21">
        <v>-1.43372E-2</v>
      </c>
      <c r="BB215" s="21">
        <v>205</v>
      </c>
      <c r="BC215" s="21">
        <v>0.931091</v>
      </c>
      <c r="BD215">
        <f t="shared" si="46"/>
        <v>17.700246913580244</v>
      </c>
      <c r="BE215">
        <f t="shared" si="47"/>
        <v>16.502152600493826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7.4169499999999999</v>
      </c>
      <c r="I216" s="21">
        <v>-1.44989E-2</v>
      </c>
      <c r="J216" s="21">
        <v>206</v>
      </c>
      <c r="K216" s="21">
        <v>0.76202400000000003</v>
      </c>
      <c r="L216">
        <f t="shared" si="36"/>
        <v>17.899876543209874</v>
      </c>
      <c r="M216">
        <f t="shared" si="37"/>
        <v>13.651054447654319</v>
      </c>
      <c r="N216" s="9"/>
      <c r="O216" s="21">
        <v>0.93734700000000004</v>
      </c>
      <c r="P216" s="21">
        <v>11.2361</v>
      </c>
      <c r="Q216" s="21">
        <v>-1.4367700000000001E-2</v>
      </c>
      <c r="R216" s="21">
        <v>206</v>
      </c>
      <c r="S216" s="21">
        <v>0.93627899999999997</v>
      </c>
      <c r="T216">
        <f t="shared" si="38"/>
        <v>17.7379012345679</v>
      </c>
      <c r="U216">
        <f t="shared" si="39"/>
        <v>16.626568508518517</v>
      </c>
      <c r="X216" s="9"/>
      <c r="Y216" s="21">
        <v>0.76263400000000003</v>
      </c>
      <c r="Z216" s="21">
        <v>16.740200000000002</v>
      </c>
      <c r="AA216" s="21">
        <v>-1.44928E-2</v>
      </c>
      <c r="AB216" s="21">
        <v>206</v>
      </c>
      <c r="AC216" s="21">
        <v>0.76141400000000004</v>
      </c>
      <c r="AD216">
        <f t="shared" si="40"/>
        <v>17.892345679012344</v>
      </c>
      <c r="AE216">
        <f t="shared" si="41"/>
        <v>13.645311154567901</v>
      </c>
      <c r="AF216" s="9"/>
      <c r="AG216" s="21">
        <v>0.93734700000000004</v>
      </c>
      <c r="AH216" s="21">
        <v>20.5594</v>
      </c>
      <c r="AI216" s="21">
        <v>-1.43433E-2</v>
      </c>
      <c r="AJ216" s="21">
        <v>206</v>
      </c>
      <c r="AK216" s="21">
        <v>0.93627899999999997</v>
      </c>
      <c r="AL216">
        <f t="shared" si="42"/>
        <v>17.707777777777778</v>
      </c>
      <c r="AM216">
        <f t="shared" si="43"/>
        <v>16.598332376666669</v>
      </c>
      <c r="AP216" s="9"/>
      <c r="AQ216" s="21">
        <v>0.76263400000000003</v>
      </c>
      <c r="AR216" s="21">
        <v>26.052399999999999</v>
      </c>
      <c r="AS216" s="21">
        <v>-1.4468399999999999E-2</v>
      </c>
      <c r="AT216" s="21">
        <v>206</v>
      </c>
      <c r="AU216" s="21">
        <v>0.76171900000000003</v>
      </c>
      <c r="AV216">
        <f t="shared" si="44"/>
        <v>17.862222222222222</v>
      </c>
      <c r="AW216">
        <f t="shared" si="45"/>
        <v>13.622337982222223</v>
      </c>
      <c r="AX216" s="9"/>
      <c r="AY216" s="21">
        <v>0.93734700000000004</v>
      </c>
      <c r="AZ216" s="21">
        <v>29.871700000000001</v>
      </c>
      <c r="BA216" s="21">
        <v>-1.4324999999999999E-2</v>
      </c>
      <c r="BB216" s="21">
        <v>206</v>
      </c>
      <c r="BC216" s="21">
        <v>0.93658399999999997</v>
      </c>
      <c r="BD216">
        <f t="shared" si="46"/>
        <v>17.685185185185183</v>
      </c>
      <c r="BE216">
        <f t="shared" si="47"/>
        <v>16.577155277777777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7.4270199999999997</v>
      </c>
      <c r="I217" s="21">
        <v>-1.45142E-2</v>
      </c>
      <c r="J217" s="21">
        <v>207</v>
      </c>
      <c r="K217" s="21">
        <v>0.75683599999999995</v>
      </c>
      <c r="L217">
        <f t="shared" si="36"/>
        <v>17.918765432098763</v>
      </c>
      <c r="M217">
        <f t="shared" si="37"/>
        <v>13.575238772592591</v>
      </c>
      <c r="N217" s="9"/>
      <c r="O217" s="21">
        <v>0.94238299999999997</v>
      </c>
      <c r="P217" s="21">
        <v>11.2462</v>
      </c>
      <c r="Q217" s="21">
        <v>-1.43616E-2</v>
      </c>
      <c r="R217" s="21">
        <v>207</v>
      </c>
      <c r="S217" s="21">
        <v>0.94146700000000005</v>
      </c>
      <c r="T217">
        <f t="shared" si="38"/>
        <v>17.73037037037037</v>
      </c>
      <c r="U217">
        <f t="shared" si="39"/>
        <v>16.708799620740738</v>
      </c>
      <c r="X217" s="9"/>
      <c r="Y217" s="21">
        <v>0.75759900000000002</v>
      </c>
      <c r="Z217" s="21">
        <v>16.7502</v>
      </c>
      <c r="AA217" s="21">
        <v>-1.4501999999999999E-2</v>
      </c>
      <c r="AB217" s="21">
        <v>207</v>
      </c>
      <c r="AC217" s="21">
        <v>0.75714099999999995</v>
      </c>
      <c r="AD217">
        <f t="shared" si="40"/>
        <v>17.903703703703702</v>
      </c>
      <c r="AE217">
        <f t="shared" si="41"/>
        <v>13.563828022222221</v>
      </c>
      <c r="AF217" s="9"/>
      <c r="AG217" s="21">
        <v>0.94238299999999997</v>
      </c>
      <c r="AH217" s="21">
        <v>20.569400000000002</v>
      </c>
      <c r="AI217" s="21">
        <v>-1.43433E-2</v>
      </c>
      <c r="AJ217" s="21">
        <v>207</v>
      </c>
      <c r="AK217" s="21">
        <v>0.94177200000000005</v>
      </c>
      <c r="AL217">
        <f t="shared" si="42"/>
        <v>17.707777777777778</v>
      </c>
      <c r="AM217">
        <f t="shared" si="43"/>
        <v>16.687508745555554</v>
      </c>
      <c r="AP217" s="9"/>
      <c r="AQ217" s="21">
        <v>0.75759900000000002</v>
      </c>
      <c r="AR217" s="21">
        <v>26.0625</v>
      </c>
      <c r="AS217" s="21">
        <v>-1.44653E-2</v>
      </c>
      <c r="AT217" s="21">
        <v>207</v>
      </c>
      <c r="AU217" s="21">
        <v>0.75683599999999995</v>
      </c>
      <c r="AV217">
        <f t="shared" si="44"/>
        <v>17.858395061728395</v>
      </c>
      <c r="AW217">
        <f t="shared" si="45"/>
        <v>13.52950224037037</v>
      </c>
      <c r="AX217" s="9"/>
      <c r="AY217" s="21">
        <v>0.94238299999999997</v>
      </c>
      <c r="AZ217" s="21">
        <v>29.881699999999999</v>
      </c>
      <c r="BA217" s="21">
        <v>-1.43158E-2</v>
      </c>
      <c r="BB217" s="21">
        <v>207</v>
      </c>
      <c r="BC217" s="21">
        <v>0.94207799999999997</v>
      </c>
      <c r="BD217">
        <f t="shared" si="46"/>
        <v>17.673827160493826</v>
      </c>
      <c r="BE217">
        <f t="shared" si="47"/>
        <v>16.655514260987651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7.4370900000000004</v>
      </c>
      <c r="I218" s="21">
        <v>-1.4523299999999999E-2</v>
      </c>
      <c r="J218" s="21">
        <v>208</v>
      </c>
      <c r="K218" s="21">
        <v>0.75134299999999998</v>
      </c>
      <c r="L218">
        <f t="shared" si="36"/>
        <v>17.93</v>
      </c>
      <c r="M218">
        <f t="shared" si="37"/>
        <v>13.493454589999999</v>
      </c>
      <c r="N218" s="9"/>
      <c r="O218" s="21">
        <v>0.94741799999999998</v>
      </c>
      <c r="P218" s="21">
        <v>11.2563</v>
      </c>
      <c r="Q218" s="21">
        <v>-1.43616E-2</v>
      </c>
      <c r="R218" s="21">
        <v>208</v>
      </c>
      <c r="S218" s="21">
        <v>0.94665500000000002</v>
      </c>
      <c r="T218">
        <f t="shared" si="38"/>
        <v>17.73037037037037</v>
      </c>
      <c r="U218">
        <f t="shared" si="39"/>
        <v>16.798072035555556</v>
      </c>
      <c r="X218" s="9"/>
      <c r="Y218" s="21">
        <v>0.75256299999999998</v>
      </c>
      <c r="Z218" s="21">
        <v>16.760300000000001</v>
      </c>
      <c r="AA218" s="21">
        <v>-1.4505000000000001E-2</v>
      </c>
      <c r="AB218" s="21">
        <v>208</v>
      </c>
      <c r="AC218" s="21">
        <v>0.75195299999999998</v>
      </c>
      <c r="AD218">
        <f t="shared" si="40"/>
        <v>17.907407407407408</v>
      </c>
      <c r="AE218">
        <f t="shared" si="41"/>
        <v>13.476452240740741</v>
      </c>
      <c r="AF218" s="9"/>
      <c r="AG218" s="21">
        <v>0.94741799999999998</v>
      </c>
      <c r="AH218" s="21">
        <v>20.579499999999999</v>
      </c>
      <c r="AI218" s="21">
        <v>-1.43494E-2</v>
      </c>
      <c r="AJ218" s="21">
        <v>208</v>
      </c>
      <c r="AK218" s="21">
        <v>0.94604500000000002</v>
      </c>
      <c r="AL218">
        <f t="shared" si="42"/>
        <v>17.715308641975309</v>
      </c>
      <c r="AM218">
        <f t="shared" si="43"/>
        <v>16.783802282962963</v>
      </c>
      <c r="AP218" s="9"/>
      <c r="AQ218" s="21">
        <v>0.75256299999999998</v>
      </c>
      <c r="AR218" s="21">
        <v>26.072500000000002</v>
      </c>
      <c r="AS218" s="21">
        <v>-1.4468399999999999E-2</v>
      </c>
      <c r="AT218" s="21">
        <v>208</v>
      </c>
      <c r="AU218" s="21">
        <v>0.75195299999999998</v>
      </c>
      <c r="AV218">
        <f t="shared" si="44"/>
        <v>17.862222222222222</v>
      </c>
      <c r="AW218">
        <f t="shared" si="45"/>
        <v>13.442447542222222</v>
      </c>
      <c r="AX218" s="9"/>
      <c r="AY218" s="21">
        <v>0.94741799999999998</v>
      </c>
      <c r="AZ218" s="21">
        <v>29.8918</v>
      </c>
      <c r="BA218" s="21">
        <v>-1.43036E-2</v>
      </c>
      <c r="BB218" s="21">
        <v>208</v>
      </c>
      <c r="BC218" s="21">
        <v>0.94635000000000002</v>
      </c>
      <c r="BD218">
        <f t="shared" si="46"/>
        <v>17.658765432098765</v>
      </c>
      <c r="BE218">
        <f t="shared" si="47"/>
        <v>16.730232228148147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7.4471600000000002</v>
      </c>
      <c r="I219" s="21">
        <v>-1.4523299999999999E-2</v>
      </c>
      <c r="J219" s="21">
        <v>209</v>
      </c>
      <c r="K219" s="21">
        <v>0.74682599999999999</v>
      </c>
      <c r="L219">
        <f t="shared" si="36"/>
        <v>17.93</v>
      </c>
      <c r="M219">
        <f t="shared" si="37"/>
        <v>13.403177039999999</v>
      </c>
      <c r="N219" s="9"/>
      <c r="O219" s="21">
        <v>0.95245400000000002</v>
      </c>
      <c r="P219" s="21">
        <v>11.266400000000001</v>
      </c>
      <c r="Q219" s="21">
        <v>-1.4367700000000001E-2</v>
      </c>
      <c r="R219" s="21">
        <v>209</v>
      </c>
      <c r="S219" s="21">
        <v>0.951233</v>
      </c>
      <c r="T219">
        <f t="shared" si="38"/>
        <v>17.7379012345679</v>
      </c>
      <c r="U219">
        <f t="shared" si="39"/>
        <v>16.894534982469136</v>
      </c>
      <c r="X219" s="9"/>
      <c r="Y219" s="21">
        <v>0.74752799999999997</v>
      </c>
      <c r="Z219" s="21">
        <v>16.770399999999999</v>
      </c>
      <c r="AA219" s="21">
        <v>-1.4505000000000001E-2</v>
      </c>
      <c r="AB219" s="21">
        <v>209</v>
      </c>
      <c r="AC219" s="21">
        <v>0.74679600000000002</v>
      </c>
      <c r="AD219">
        <f t="shared" si="40"/>
        <v>17.907407407407408</v>
      </c>
      <c r="AE219">
        <f t="shared" si="41"/>
        <v>13.386288444444444</v>
      </c>
      <c r="AF219" s="9"/>
      <c r="AG219" s="21">
        <v>0.95245400000000002</v>
      </c>
      <c r="AH219" s="21">
        <v>20.589600000000001</v>
      </c>
      <c r="AI219" s="21">
        <v>-1.43585E-2</v>
      </c>
      <c r="AJ219" s="21">
        <v>209</v>
      </c>
      <c r="AK219" s="21">
        <v>0.95153799999999999</v>
      </c>
      <c r="AL219">
        <f t="shared" si="42"/>
        <v>17.726543209876542</v>
      </c>
      <c r="AM219">
        <f t="shared" si="43"/>
        <v>16.883716986419753</v>
      </c>
      <c r="AP219" s="9"/>
      <c r="AQ219" s="21">
        <v>0.74752799999999997</v>
      </c>
      <c r="AR219" s="21">
        <v>26.082599999999999</v>
      </c>
      <c r="AS219" s="21">
        <v>-1.4477500000000001E-2</v>
      </c>
      <c r="AT219" s="21">
        <v>209</v>
      </c>
      <c r="AU219" s="21">
        <v>0.74679600000000002</v>
      </c>
      <c r="AV219">
        <f t="shared" si="44"/>
        <v>17.873456790123456</v>
      </c>
      <c r="AW219">
        <f t="shared" si="45"/>
        <v>13.360909407407405</v>
      </c>
      <c r="AX219" s="9"/>
      <c r="AY219" s="21">
        <v>0.95245400000000002</v>
      </c>
      <c r="AZ219" s="21">
        <v>29.901900000000001</v>
      </c>
      <c r="BA219" s="21">
        <v>-1.4294400000000001E-2</v>
      </c>
      <c r="BB219" s="21">
        <v>209</v>
      </c>
      <c r="BC219" s="21">
        <v>0.951233</v>
      </c>
      <c r="BD219">
        <f t="shared" si="46"/>
        <v>17.647407407407407</v>
      </c>
      <c r="BE219">
        <f t="shared" si="47"/>
        <v>16.808343774814816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7.4572399999999996</v>
      </c>
      <c r="I220" s="21">
        <v>-1.45264E-2</v>
      </c>
      <c r="J220" s="21">
        <v>210</v>
      </c>
      <c r="K220" s="21">
        <v>0.74182099999999995</v>
      </c>
      <c r="L220">
        <f t="shared" si="36"/>
        <v>17.933827160493827</v>
      </c>
      <c r="M220">
        <f t="shared" si="37"/>
        <v>13.315741129876542</v>
      </c>
      <c r="N220" s="9"/>
      <c r="O220" s="21">
        <v>0.95748900000000003</v>
      </c>
      <c r="P220" s="21">
        <v>11.276400000000001</v>
      </c>
      <c r="Q220" s="21">
        <v>-1.4367700000000001E-2</v>
      </c>
      <c r="R220" s="21">
        <v>210</v>
      </c>
      <c r="S220" s="21">
        <v>0.95672599999999997</v>
      </c>
      <c r="T220">
        <f t="shared" si="38"/>
        <v>17.7379012345679</v>
      </c>
      <c r="U220">
        <f t="shared" si="39"/>
        <v>16.983845315185185</v>
      </c>
      <c r="X220" s="9"/>
      <c r="Y220" s="21">
        <v>0.74249299999999996</v>
      </c>
      <c r="Z220" s="21">
        <v>16.7804</v>
      </c>
      <c r="AA220" s="21">
        <v>-1.4511100000000001E-2</v>
      </c>
      <c r="AB220" s="21">
        <v>210</v>
      </c>
      <c r="AC220" s="21">
        <v>0.74179099999999998</v>
      </c>
      <c r="AD220">
        <f t="shared" si="40"/>
        <v>17.914938271604939</v>
      </c>
      <c r="AE220">
        <f t="shared" si="41"/>
        <v>13.301716262098765</v>
      </c>
      <c r="AF220" s="9"/>
      <c r="AG220" s="21">
        <v>0.95748900000000003</v>
      </c>
      <c r="AH220" s="21">
        <v>20.599599999999999</v>
      </c>
      <c r="AI220" s="21">
        <v>-1.43616E-2</v>
      </c>
      <c r="AJ220" s="21">
        <v>210</v>
      </c>
      <c r="AK220" s="21">
        <v>0.95672599999999997</v>
      </c>
      <c r="AL220">
        <f t="shared" si="42"/>
        <v>17.73037037037037</v>
      </c>
      <c r="AM220">
        <f t="shared" si="43"/>
        <v>16.976634595555556</v>
      </c>
      <c r="AP220" s="9"/>
      <c r="AQ220" s="21">
        <v>0.74249299999999996</v>
      </c>
      <c r="AR220" s="21">
        <v>26.092700000000001</v>
      </c>
      <c r="AS220" s="21">
        <v>-1.4489699999999999E-2</v>
      </c>
      <c r="AT220" s="21">
        <v>210</v>
      </c>
      <c r="AU220" s="21">
        <v>0.74185199999999996</v>
      </c>
      <c r="AV220">
        <f t="shared" si="44"/>
        <v>17.888518518518516</v>
      </c>
      <c r="AW220">
        <f t="shared" si="45"/>
        <v>13.282099780370368</v>
      </c>
      <c r="AX220" s="9"/>
      <c r="AY220" s="21">
        <v>0.95748900000000003</v>
      </c>
      <c r="AZ220" s="21">
        <v>29.911899999999999</v>
      </c>
      <c r="BA220" s="21">
        <v>-1.42883E-2</v>
      </c>
      <c r="BB220" s="21">
        <v>210</v>
      </c>
      <c r="BC220" s="21">
        <v>0.95672599999999997</v>
      </c>
      <c r="BD220">
        <f t="shared" si="46"/>
        <v>17.639876543209876</v>
      </c>
      <c r="BE220">
        <f t="shared" si="47"/>
        <v>16.889987751481481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7.4673100000000003</v>
      </c>
      <c r="I221" s="21">
        <v>-1.45355E-2</v>
      </c>
      <c r="J221" s="21">
        <v>211</v>
      </c>
      <c r="K221" s="21">
        <v>0.73681600000000003</v>
      </c>
      <c r="L221">
        <f t="shared" si="36"/>
        <v>17.945061728395061</v>
      </c>
      <c r="M221">
        <f t="shared" si="37"/>
        <v>13.233711387037037</v>
      </c>
      <c r="N221" s="9"/>
      <c r="O221" s="21">
        <v>0.96252400000000005</v>
      </c>
      <c r="P221" s="21">
        <v>11.2865</v>
      </c>
      <c r="Q221" s="21">
        <v>-1.43585E-2</v>
      </c>
      <c r="R221" s="21">
        <v>211</v>
      </c>
      <c r="S221" s="21">
        <v>0.96160900000000005</v>
      </c>
      <c r="T221">
        <f t="shared" si="38"/>
        <v>17.726543209876542</v>
      </c>
      <c r="U221">
        <f t="shared" si="39"/>
        <v>17.062223276543211</v>
      </c>
      <c r="X221" s="9"/>
      <c r="Y221" s="21">
        <v>0.73745700000000003</v>
      </c>
      <c r="Z221" s="21">
        <v>16.790500000000002</v>
      </c>
      <c r="AA221" s="21">
        <v>-1.4511100000000001E-2</v>
      </c>
      <c r="AB221" s="21">
        <v>211</v>
      </c>
      <c r="AC221" s="21">
        <v>0.73672499999999996</v>
      </c>
      <c r="AD221">
        <f t="shared" si="40"/>
        <v>17.914938271604939</v>
      </c>
      <c r="AE221">
        <f t="shared" si="41"/>
        <v>13.211496632962964</v>
      </c>
      <c r="AF221" s="9"/>
      <c r="AG221" s="21">
        <v>0.96252400000000005</v>
      </c>
      <c r="AH221" s="21">
        <v>20.6097</v>
      </c>
      <c r="AI221" s="21">
        <v>-1.43585E-2</v>
      </c>
      <c r="AJ221" s="21">
        <v>211</v>
      </c>
      <c r="AK221" s="21">
        <v>0.96160900000000005</v>
      </c>
      <c r="AL221">
        <f t="shared" si="42"/>
        <v>17.726543209876542</v>
      </c>
      <c r="AM221">
        <f t="shared" si="43"/>
        <v>17.062223276543211</v>
      </c>
      <c r="AP221" s="9"/>
      <c r="AQ221" s="21">
        <v>0.73745700000000003</v>
      </c>
      <c r="AR221" s="21">
        <v>26.102699999999999</v>
      </c>
      <c r="AS221" s="21">
        <v>-1.44928E-2</v>
      </c>
      <c r="AT221" s="21">
        <v>211</v>
      </c>
      <c r="AU221" s="21">
        <v>0.73690800000000001</v>
      </c>
      <c r="AV221">
        <f t="shared" si="44"/>
        <v>17.892345679012344</v>
      </c>
      <c r="AW221">
        <f t="shared" si="45"/>
        <v>13.194835567407406</v>
      </c>
      <c r="AX221" s="9"/>
      <c r="AY221" s="21">
        <v>0.96252400000000005</v>
      </c>
      <c r="AZ221" s="21">
        <v>29.922000000000001</v>
      </c>
      <c r="BA221" s="21">
        <v>-1.4291399999999999E-2</v>
      </c>
      <c r="BB221" s="21">
        <v>211</v>
      </c>
      <c r="BC221" s="21">
        <v>0.96160900000000005</v>
      </c>
      <c r="BD221">
        <f t="shared" si="46"/>
        <v>17.643703703703704</v>
      </c>
      <c r="BE221">
        <f t="shared" si="47"/>
        <v>16.982488263703704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7.4773800000000001</v>
      </c>
      <c r="I222" s="21">
        <v>-1.4544700000000001E-2</v>
      </c>
      <c r="J222" s="21">
        <v>212</v>
      </c>
      <c r="K222" s="21">
        <v>0.73175000000000001</v>
      </c>
      <c r="L222">
        <f t="shared" si="36"/>
        <v>17.956419753086422</v>
      </c>
      <c r="M222">
        <f t="shared" si="37"/>
        <v>13.151676868395064</v>
      </c>
      <c r="N222" s="9"/>
      <c r="O222" s="21">
        <v>0.96755999999999998</v>
      </c>
      <c r="P222" s="21">
        <v>11.2966</v>
      </c>
      <c r="Q222" s="21">
        <v>-1.43433E-2</v>
      </c>
      <c r="R222" s="21">
        <v>212</v>
      </c>
      <c r="S222" s="21">
        <v>0.96618700000000002</v>
      </c>
      <c r="T222">
        <f t="shared" si="38"/>
        <v>17.707777777777778</v>
      </c>
      <c r="U222">
        <f t="shared" si="39"/>
        <v>17.133337466666667</v>
      </c>
      <c r="X222" s="9"/>
      <c r="Y222" s="21">
        <v>0.73242200000000002</v>
      </c>
      <c r="Z222" s="21">
        <v>16.800599999999999</v>
      </c>
      <c r="AA222" s="21">
        <v>-1.45142E-2</v>
      </c>
      <c r="AB222" s="21">
        <v>212</v>
      </c>
      <c r="AC222" s="21">
        <v>0.73168900000000003</v>
      </c>
      <c r="AD222">
        <f t="shared" si="40"/>
        <v>17.918765432098763</v>
      </c>
      <c r="AE222">
        <f t="shared" si="41"/>
        <v>13.12409801530864</v>
      </c>
      <c r="AF222" s="9"/>
      <c r="AG222" s="21">
        <v>0.96755999999999998</v>
      </c>
      <c r="AH222" s="21">
        <v>20.619800000000001</v>
      </c>
      <c r="AI222" s="21">
        <v>-1.43524E-2</v>
      </c>
      <c r="AJ222" s="21">
        <v>212</v>
      </c>
      <c r="AK222" s="21">
        <v>0.96649200000000002</v>
      </c>
      <c r="AL222">
        <f t="shared" si="42"/>
        <v>17.719012345679008</v>
      </c>
      <c r="AM222">
        <f t="shared" si="43"/>
        <v>17.144207585185182</v>
      </c>
      <c r="AP222" s="9"/>
      <c r="AQ222" s="21">
        <v>0.73242200000000002</v>
      </c>
      <c r="AR222" s="21">
        <v>26.1128</v>
      </c>
      <c r="AS222" s="21">
        <v>-1.44928E-2</v>
      </c>
      <c r="AT222" s="21">
        <v>212</v>
      </c>
      <c r="AU222" s="21">
        <v>0.73172000000000004</v>
      </c>
      <c r="AV222">
        <f t="shared" si="44"/>
        <v>17.892345679012344</v>
      </c>
      <c r="AW222">
        <f t="shared" si="45"/>
        <v>13.104747606913579</v>
      </c>
      <c r="AX222" s="9"/>
      <c r="AY222" s="21">
        <v>0.96755999999999998</v>
      </c>
      <c r="AZ222" s="21">
        <v>29.932099999999998</v>
      </c>
      <c r="BA222" s="21">
        <v>-1.4297499999999999E-2</v>
      </c>
      <c r="BB222" s="21">
        <v>212</v>
      </c>
      <c r="BC222" s="21">
        <v>0.96679700000000002</v>
      </c>
      <c r="BD222">
        <f t="shared" si="46"/>
        <v>17.651234567901231</v>
      </c>
      <c r="BE222">
        <f t="shared" si="47"/>
        <v>17.078628518518514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7.4874499999999999</v>
      </c>
      <c r="I223" s="21">
        <v>-1.45386E-2</v>
      </c>
      <c r="J223" s="21">
        <v>213</v>
      </c>
      <c r="K223" s="21">
        <v>0.72662400000000005</v>
      </c>
      <c r="L223">
        <f t="shared" si="36"/>
        <v>17.948888888888888</v>
      </c>
      <c r="M223">
        <f t="shared" si="37"/>
        <v>13.055770493333332</v>
      </c>
      <c r="N223" s="9"/>
      <c r="O223" s="21">
        <v>0.97259499999999999</v>
      </c>
      <c r="P223" s="21">
        <v>11.3066</v>
      </c>
      <c r="Q223" s="21">
        <v>-1.4340200000000001E-2</v>
      </c>
      <c r="R223" s="21">
        <v>213</v>
      </c>
      <c r="S223" s="21">
        <v>0.97106899999999996</v>
      </c>
      <c r="T223">
        <f t="shared" si="38"/>
        <v>17.703950617283951</v>
      </c>
      <c r="U223">
        <f t="shared" si="39"/>
        <v>17.218773850617286</v>
      </c>
      <c r="X223" s="9"/>
      <c r="Y223" s="21">
        <v>0.72738599999999998</v>
      </c>
      <c r="Z223" s="21">
        <v>16.810700000000001</v>
      </c>
      <c r="AA223" s="21">
        <v>-1.4517199999999999E-2</v>
      </c>
      <c r="AB223" s="21">
        <v>213</v>
      </c>
      <c r="AC223" s="21">
        <v>0.72668500000000003</v>
      </c>
      <c r="AD223">
        <f t="shared" si="40"/>
        <v>17.922469135802466</v>
      </c>
      <c r="AE223">
        <f t="shared" si="41"/>
        <v>13.036553134814811</v>
      </c>
      <c r="AF223" s="9"/>
      <c r="AG223" s="21">
        <v>0.97259499999999999</v>
      </c>
      <c r="AH223" s="21">
        <v>20.629899999999999</v>
      </c>
      <c r="AI223" s="21">
        <v>-1.4346299999999999E-2</v>
      </c>
      <c r="AJ223" s="21">
        <v>213</v>
      </c>
      <c r="AK223" s="21">
        <v>0.97167999999999999</v>
      </c>
      <c r="AL223">
        <f t="shared" si="42"/>
        <v>17.711481481481481</v>
      </c>
      <c r="AM223">
        <f t="shared" si="43"/>
        <v>17.226098331481481</v>
      </c>
      <c r="AP223" s="9"/>
      <c r="AQ223" s="21">
        <v>0.72738599999999998</v>
      </c>
      <c r="AR223" s="21">
        <v>26.122900000000001</v>
      </c>
      <c r="AS223" s="21">
        <v>-1.4489699999999999E-2</v>
      </c>
      <c r="AT223" s="21">
        <v>213</v>
      </c>
      <c r="AU223" s="21">
        <v>0.726715</v>
      </c>
      <c r="AV223">
        <f t="shared" si="44"/>
        <v>17.888518518518516</v>
      </c>
      <c r="AW223">
        <f t="shared" si="45"/>
        <v>13.011857931111109</v>
      </c>
      <c r="AX223" s="9"/>
      <c r="AY223" s="21">
        <v>0.97259499999999999</v>
      </c>
      <c r="AZ223" s="21">
        <v>29.9422</v>
      </c>
      <c r="BA223" s="21">
        <v>-1.4300500000000001E-2</v>
      </c>
      <c r="BB223" s="21">
        <v>213</v>
      </c>
      <c r="BC223" s="21">
        <v>0.97228999999999999</v>
      </c>
      <c r="BD223">
        <f t="shared" si="46"/>
        <v>17.654938271604937</v>
      </c>
      <c r="BE223">
        <f t="shared" si="47"/>
        <v>17.171104688271605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7.4975199999999997</v>
      </c>
      <c r="I224" s="21">
        <v>-1.45355E-2</v>
      </c>
      <c r="J224" s="21">
        <v>214</v>
      </c>
      <c r="K224" s="21">
        <v>0.72164899999999998</v>
      </c>
      <c r="L224">
        <f t="shared" si="36"/>
        <v>17.945061728395061</v>
      </c>
      <c r="M224">
        <f t="shared" si="37"/>
        <v>12.9626332845679</v>
      </c>
      <c r="N224" s="9"/>
      <c r="O224" s="21">
        <v>0.97763100000000003</v>
      </c>
      <c r="P224" s="21">
        <v>11.316700000000001</v>
      </c>
      <c r="Q224" s="21">
        <v>-1.43433E-2</v>
      </c>
      <c r="R224" s="21">
        <v>214</v>
      </c>
      <c r="S224" s="21">
        <v>0.97625700000000004</v>
      </c>
      <c r="T224">
        <f t="shared" si="38"/>
        <v>17.707777777777778</v>
      </c>
      <c r="U224">
        <f t="shared" si="39"/>
        <v>17.311672496666667</v>
      </c>
      <c r="X224" s="9"/>
      <c r="Y224" s="21">
        <v>0.72235099999999997</v>
      </c>
      <c r="Z224" s="21">
        <v>16.820699999999999</v>
      </c>
      <c r="AA224" s="21">
        <v>-1.4523299999999999E-2</v>
      </c>
      <c r="AB224" s="21">
        <v>214</v>
      </c>
      <c r="AC224" s="21">
        <v>0.72161900000000001</v>
      </c>
      <c r="AD224">
        <f t="shared" si="40"/>
        <v>17.93</v>
      </c>
      <c r="AE224">
        <f t="shared" si="41"/>
        <v>12.951753429999998</v>
      </c>
      <c r="AF224" s="9"/>
      <c r="AG224" s="21">
        <v>0.97763100000000003</v>
      </c>
      <c r="AH224" s="21">
        <v>20.639900000000001</v>
      </c>
      <c r="AI224" s="21">
        <v>-1.4334100000000001E-2</v>
      </c>
      <c r="AJ224" s="21">
        <v>214</v>
      </c>
      <c r="AK224" s="21">
        <v>0.97686799999999996</v>
      </c>
      <c r="AL224">
        <f t="shared" si="42"/>
        <v>17.69641975308642</v>
      </c>
      <c r="AM224">
        <f t="shared" si="43"/>
        <v>17.30056853962963</v>
      </c>
      <c r="AP224" s="9"/>
      <c r="AQ224" s="21">
        <v>0.72235099999999997</v>
      </c>
      <c r="AR224" s="21">
        <v>26.132999999999999</v>
      </c>
      <c r="AS224" s="21">
        <v>-1.44928E-2</v>
      </c>
      <c r="AT224" s="21">
        <v>214</v>
      </c>
      <c r="AU224" s="21">
        <v>0.72164899999999998</v>
      </c>
      <c r="AV224">
        <f t="shared" si="44"/>
        <v>17.892345679012344</v>
      </c>
      <c r="AW224">
        <f t="shared" si="45"/>
        <v>12.924553793580245</v>
      </c>
      <c r="AX224" s="9"/>
      <c r="AY224" s="21">
        <v>0.97763100000000003</v>
      </c>
      <c r="AZ224" s="21">
        <v>29.952200000000001</v>
      </c>
      <c r="BA224" s="21">
        <v>-1.43036E-2</v>
      </c>
      <c r="BB224" s="21">
        <v>214</v>
      </c>
      <c r="BC224" s="21">
        <v>0.97686799999999996</v>
      </c>
      <c r="BD224">
        <f t="shared" si="46"/>
        <v>17.658765432098765</v>
      </c>
      <c r="BE224">
        <f t="shared" si="47"/>
        <v>17.263756508148148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7.5075900000000004</v>
      </c>
      <c r="I225" s="21">
        <v>-1.4523299999999999E-2</v>
      </c>
      <c r="J225" s="21">
        <v>215</v>
      </c>
      <c r="K225" s="21">
        <v>0.71661399999999997</v>
      </c>
      <c r="L225">
        <f t="shared" si="36"/>
        <v>17.93</v>
      </c>
      <c r="M225">
        <f t="shared" si="37"/>
        <v>12.861475879999999</v>
      </c>
      <c r="N225" s="9"/>
      <c r="O225" s="21">
        <v>0.98266600000000004</v>
      </c>
      <c r="P225" s="21">
        <v>11.3268</v>
      </c>
      <c r="Q225" s="21">
        <v>-1.43372E-2</v>
      </c>
      <c r="R225" s="21">
        <v>215</v>
      </c>
      <c r="S225" s="21">
        <v>0.98205600000000004</v>
      </c>
      <c r="T225">
        <f t="shared" si="38"/>
        <v>17.700246913580244</v>
      </c>
      <c r="U225">
        <f t="shared" si="39"/>
        <v>17.393430833580243</v>
      </c>
      <c r="X225" s="9"/>
      <c r="Y225" s="21">
        <v>0.71731599999999995</v>
      </c>
      <c r="Z225" s="21">
        <v>16.8308</v>
      </c>
      <c r="AA225" s="21">
        <v>-1.4523299999999999E-2</v>
      </c>
      <c r="AB225" s="21">
        <v>215</v>
      </c>
      <c r="AC225" s="21">
        <v>0.71664399999999995</v>
      </c>
      <c r="AD225">
        <f t="shared" si="40"/>
        <v>17.93</v>
      </c>
      <c r="AE225">
        <f t="shared" si="41"/>
        <v>12.861475879999999</v>
      </c>
      <c r="AF225" s="9"/>
      <c r="AG225" s="21">
        <v>0.98266600000000004</v>
      </c>
      <c r="AH225" s="21">
        <v>20.65</v>
      </c>
      <c r="AI225" s="21">
        <v>-1.4324999999999999E-2</v>
      </c>
      <c r="AJ225" s="21">
        <v>215</v>
      </c>
      <c r="AK225" s="21">
        <v>0.98175000000000001</v>
      </c>
      <c r="AL225">
        <f t="shared" si="42"/>
        <v>17.685185185185183</v>
      </c>
      <c r="AM225">
        <f t="shared" si="43"/>
        <v>17.378630185185184</v>
      </c>
      <c r="AP225" s="9"/>
      <c r="AQ225" s="21">
        <v>0.71731599999999995</v>
      </c>
      <c r="AR225" s="21">
        <v>26.143000000000001</v>
      </c>
      <c r="AS225" s="21">
        <v>-1.44867E-2</v>
      </c>
      <c r="AT225" s="21">
        <v>215</v>
      </c>
      <c r="AU225" s="21">
        <v>0.71664399999999995</v>
      </c>
      <c r="AV225">
        <f t="shared" si="44"/>
        <v>17.884814814814817</v>
      </c>
      <c r="AW225">
        <f t="shared" si="45"/>
        <v>12.829063823703704</v>
      </c>
      <c r="AX225" s="9"/>
      <c r="AY225" s="21">
        <v>0.98266600000000004</v>
      </c>
      <c r="AZ225" s="21">
        <v>29.962299999999999</v>
      </c>
      <c r="BA225" s="21">
        <v>-1.43036E-2</v>
      </c>
      <c r="BB225" s="21">
        <v>215</v>
      </c>
      <c r="BC225" s="21">
        <v>0.98205600000000004</v>
      </c>
      <c r="BD225">
        <f t="shared" si="46"/>
        <v>17.658765432098765</v>
      </c>
      <c r="BE225">
        <f t="shared" si="47"/>
        <v>17.352668392098764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7.5176600000000002</v>
      </c>
      <c r="I226" s="21">
        <v>-1.45294E-2</v>
      </c>
      <c r="J226" s="21">
        <v>216</v>
      </c>
      <c r="K226" s="21">
        <v>0.71163900000000002</v>
      </c>
      <c r="L226">
        <f t="shared" si="36"/>
        <v>17.93753086419753</v>
      </c>
      <c r="M226">
        <f t="shared" si="37"/>
        <v>12.776544483950618</v>
      </c>
      <c r="N226" s="9"/>
      <c r="O226" s="21">
        <v>0.98770100000000005</v>
      </c>
      <c r="P226" s="21">
        <v>11.3369</v>
      </c>
      <c r="Q226" s="21">
        <v>-1.4334100000000001E-2</v>
      </c>
      <c r="R226" s="21">
        <v>216</v>
      </c>
      <c r="S226" s="21">
        <v>0.98663299999999998</v>
      </c>
      <c r="T226">
        <f t="shared" si="38"/>
        <v>17.69641975308642</v>
      </c>
      <c r="U226">
        <f t="shared" si="39"/>
        <v>17.478771486543213</v>
      </c>
      <c r="X226" s="9"/>
      <c r="Y226" s="21">
        <v>0.71228000000000002</v>
      </c>
      <c r="Z226" s="21">
        <v>16.840900000000001</v>
      </c>
      <c r="AA226" s="21">
        <v>-1.4523299999999999E-2</v>
      </c>
      <c r="AB226" s="21">
        <v>216</v>
      </c>
      <c r="AC226" s="21">
        <v>0.71154799999999996</v>
      </c>
      <c r="AD226">
        <f t="shared" si="40"/>
        <v>17.93</v>
      </c>
      <c r="AE226">
        <f t="shared" si="41"/>
        <v>12.7711804</v>
      </c>
      <c r="AF226" s="9"/>
      <c r="AG226" s="21">
        <v>0.98770100000000005</v>
      </c>
      <c r="AH226" s="21">
        <v>20.6601</v>
      </c>
      <c r="AI226" s="21">
        <v>-1.43188E-2</v>
      </c>
      <c r="AJ226" s="21">
        <v>216</v>
      </c>
      <c r="AK226" s="21">
        <v>0.98663299999999998</v>
      </c>
      <c r="AL226">
        <f t="shared" si="42"/>
        <v>17.677530864197529</v>
      </c>
      <c r="AM226">
        <f t="shared" si="43"/>
        <v>17.460114912098764</v>
      </c>
      <c r="AP226" s="9"/>
      <c r="AQ226" s="21">
        <v>0.71228000000000002</v>
      </c>
      <c r="AR226" s="21">
        <v>26.153099999999998</v>
      </c>
      <c r="AS226" s="21">
        <v>-1.44989E-2</v>
      </c>
      <c r="AT226" s="21">
        <v>216</v>
      </c>
      <c r="AU226" s="21">
        <v>0.71163900000000002</v>
      </c>
      <c r="AV226">
        <f t="shared" si="44"/>
        <v>17.899876543209874</v>
      </c>
      <c r="AW226">
        <f t="shared" si="45"/>
        <v>12.74972406419753</v>
      </c>
      <c r="AX226" s="9"/>
      <c r="AY226" s="21">
        <v>0.98770100000000005</v>
      </c>
      <c r="AZ226" s="21">
        <v>29.9724</v>
      </c>
      <c r="BA226" s="21">
        <v>-1.4312699999999999E-2</v>
      </c>
      <c r="BB226" s="21">
        <v>216</v>
      </c>
      <c r="BC226" s="21">
        <v>0.98724400000000001</v>
      </c>
      <c r="BD226">
        <f t="shared" si="46"/>
        <v>17.669999999999998</v>
      </c>
      <c r="BE226">
        <f t="shared" si="47"/>
        <v>17.452676669999999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7.52773</v>
      </c>
      <c r="I227" s="21">
        <v>-1.45355E-2</v>
      </c>
      <c r="J227" s="21">
        <v>217</v>
      </c>
      <c r="K227" s="21">
        <v>0.70660400000000001</v>
      </c>
      <c r="L227">
        <f t="shared" si="36"/>
        <v>17.945061728395061</v>
      </c>
      <c r="M227">
        <f t="shared" si="37"/>
        <v>12.691555182098766</v>
      </c>
      <c r="N227" s="9"/>
      <c r="O227" s="21">
        <v>0.99273699999999998</v>
      </c>
      <c r="P227" s="21">
        <v>11.3469</v>
      </c>
      <c r="Q227" s="21">
        <v>-1.4334100000000001E-2</v>
      </c>
      <c r="R227" s="21">
        <v>217</v>
      </c>
      <c r="S227" s="21">
        <v>0.99090599999999995</v>
      </c>
      <c r="T227">
        <f t="shared" si="38"/>
        <v>17.69641975308642</v>
      </c>
      <c r="U227">
        <f t="shared" si="39"/>
        <v>17.567890656419753</v>
      </c>
      <c r="X227" s="9"/>
      <c r="Y227" s="21">
        <v>0.70724500000000001</v>
      </c>
      <c r="Z227" s="21">
        <v>16.850899999999999</v>
      </c>
      <c r="AA227" s="21">
        <v>-1.45325E-2</v>
      </c>
      <c r="AB227" s="21">
        <v>217</v>
      </c>
      <c r="AC227" s="21">
        <v>0.70660400000000001</v>
      </c>
      <c r="AD227">
        <f t="shared" si="40"/>
        <v>17.941358024691358</v>
      </c>
      <c r="AE227">
        <f t="shared" si="41"/>
        <v>12.688935756172839</v>
      </c>
      <c r="AF227" s="9"/>
      <c r="AG227" s="21">
        <v>0.99273699999999998</v>
      </c>
      <c r="AH227" s="21">
        <v>20.670100000000001</v>
      </c>
      <c r="AI227" s="21">
        <v>-1.43097E-2</v>
      </c>
      <c r="AJ227" s="21">
        <v>217</v>
      </c>
      <c r="AK227" s="21">
        <v>0.99182099999999995</v>
      </c>
      <c r="AL227">
        <f t="shared" si="42"/>
        <v>17.666296296296295</v>
      </c>
      <c r="AM227">
        <f t="shared" si="43"/>
        <v>17.537985986296295</v>
      </c>
      <c r="AP227" s="9"/>
      <c r="AQ227" s="21">
        <v>0.70724500000000001</v>
      </c>
      <c r="AR227" s="21">
        <v>26.1632</v>
      </c>
      <c r="AS227" s="21">
        <v>-1.45142E-2</v>
      </c>
      <c r="AT227" s="21">
        <v>217</v>
      </c>
      <c r="AU227" s="21">
        <v>0.70669599999999999</v>
      </c>
      <c r="AV227">
        <f t="shared" si="44"/>
        <v>17.918765432098763</v>
      </c>
      <c r="AW227">
        <f t="shared" si="45"/>
        <v>12.67295725802469</v>
      </c>
      <c r="AX227" s="9"/>
      <c r="AY227" s="21">
        <v>0.99273699999999998</v>
      </c>
      <c r="AZ227" s="21">
        <v>29.982399999999998</v>
      </c>
      <c r="BA227" s="21">
        <v>-1.43036E-2</v>
      </c>
      <c r="BB227" s="21">
        <v>217</v>
      </c>
      <c r="BC227" s="21">
        <v>0.99182099999999995</v>
      </c>
      <c r="BD227">
        <f t="shared" si="46"/>
        <v>17.658765432098765</v>
      </c>
      <c r="BE227">
        <f t="shared" si="47"/>
        <v>17.530509818765431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7.5377999999999998</v>
      </c>
      <c r="I228" s="21">
        <v>-1.45355E-2</v>
      </c>
      <c r="J228" s="21">
        <v>218</v>
      </c>
      <c r="K228" s="21">
        <v>0.70150800000000002</v>
      </c>
      <c r="L228">
        <f t="shared" si="36"/>
        <v>17.945061728395061</v>
      </c>
      <c r="M228">
        <f t="shared" si="37"/>
        <v>12.601183851234566</v>
      </c>
      <c r="N228" s="9"/>
      <c r="O228" s="21">
        <v>0.99777199999999999</v>
      </c>
      <c r="P228" s="21">
        <v>11.356999999999999</v>
      </c>
      <c r="Q228" s="21">
        <v>-1.4331099999999999E-2</v>
      </c>
      <c r="R228" s="21">
        <v>218</v>
      </c>
      <c r="S228" s="21">
        <v>0.99670400000000003</v>
      </c>
      <c r="T228">
        <f t="shared" si="38"/>
        <v>17.692716049382714</v>
      </c>
      <c r="U228">
        <f t="shared" si="39"/>
        <v>17.653296678024688</v>
      </c>
      <c r="X228" s="9"/>
      <c r="Y228" s="21">
        <v>0.70220899999999997</v>
      </c>
      <c r="Z228" s="21">
        <v>16.861000000000001</v>
      </c>
      <c r="AA228" s="21">
        <v>-1.45325E-2</v>
      </c>
      <c r="AB228" s="21">
        <v>218</v>
      </c>
      <c r="AC228" s="21">
        <v>0.701569</v>
      </c>
      <c r="AD228">
        <f t="shared" si="40"/>
        <v>17.941358024691358</v>
      </c>
      <c r="AE228">
        <f t="shared" si="41"/>
        <v>12.598583077160493</v>
      </c>
      <c r="AF228" s="9"/>
      <c r="AG228" s="21">
        <v>0.99777199999999999</v>
      </c>
      <c r="AH228" s="21">
        <v>20.680199999999999</v>
      </c>
      <c r="AI228" s="21">
        <v>-1.4294400000000001E-2</v>
      </c>
      <c r="AJ228" s="21">
        <v>218</v>
      </c>
      <c r="AK228" s="21">
        <v>0.99670400000000003</v>
      </c>
      <c r="AL228">
        <f t="shared" si="42"/>
        <v>17.647407407407407</v>
      </c>
      <c r="AM228">
        <f t="shared" si="43"/>
        <v>17.608088983703702</v>
      </c>
      <c r="AP228" s="9"/>
      <c r="AQ228" s="21">
        <v>0.70220899999999997</v>
      </c>
      <c r="AR228" s="21">
        <v>26.173200000000001</v>
      </c>
      <c r="AS228" s="21">
        <v>-1.45203E-2</v>
      </c>
      <c r="AT228" s="21">
        <v>218</v>
      </c>
      <c r="AU228" s="21">
        <v>0.701569</v>
      </c>
      <c r="AV228">
        <f t="shared" si="44"/>
        <v>17.926296296296293</v>
      </c>
      <c r="AW228">
        <f t="shared" si="45"/>
        <v>12.588006595925924</v>
      </c>
      <c r="AX228" s="9"/>
      <c r="AY228" s="21">
        <v>0.99777199999999999</v>
      </c>
      <c r="AZ228" s="21">
        <v>29.9925</v>
      </c>
      <c r="BA228" s="21">
        <v>-1.4294400000000001E-2</v>
      </c>
      <c r="BB228" s="21">
        <v>218</v>
      </c>
      <c r="BC228" s="21">
        <v>0.99670400000000003</v>
      </c>
      <c r="BD228">
        <f t="shared" si="46"/>
        <v>17.647407407407407</v>
      </c>
      <c r="BE228">
        <f t="shared" si="47"/>
        <v>17.608088983703702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7.5478699999999996</v>
      </c>
      <c r="I229" s="21">
        <v>-1.45325E-2</v>
      </c>
      <c r="J229" s="21">
        <v>219</v>
      </c>
      <c r="K229" s="21">
        <v>0.69647199999999998</v>
      </c>
      <c r="L229">
        <f t="shared" si="36"/>
        <v>17.941358024691358</v>
      </c>
      <c r="M229">
        <f t="shared" si="37"/>
        <v>12.508248339506173</v>
      </c>
      <c r="N229" s="9"/>
      <c r="O229" s="21">
        <v>1.00281</v>
      </c>
      <c r="P229" s="21">
        <v>11.367100000000001</v>
      </c>
      <c r="Q229" s="21">
        <v>-1.43188E-2</v>
      </c>
      <c r="R229" s="21">
        <v>219</v>
      </c>
      <c r="S229" s="21">
        <v>1.0018899999999999</v>
      </c>
      <c r="T229">
        <f t="shared" si="38"/>
        <v>17.677530864197529</v>
      </c>
      <c r="U229">
        <f t="shared" si="39"/>
        <v>17.727204725925922</v>
      </c>
      <c r="X229" s="9"/>
      <c r="Y229" s="21">
        <v>0.69717399999999996</v>
      </c>
      <c r="Z229" s="21">
        <v>16.871099999999998</v>
      </c>
      <c r="AA229" s="21">
        <v>-1.45386E-2</v>
      </c>
      <c r="AB229" s="21">
        <v>219</v>
      </c>
      <c r="AC229" s="21">
        <v>0.69647199999999998</v>
      </c>
      <c r="AD229">
        <f t="shared" si="40"/>
        <v>17.948888888888888</v>
      </c>
      <c r="AE229">
        <f t="shared" si="41"/>
        <v>12.51349866222222</v>
      </c>
      <c r="AF229" s="9"/>
      <c r="AG229" s="21">
        <v>1.00281</v>
      </c>
      <c r="AH229" s="21">
        <v>20.690300000000001</v>
      </c>
      <c r="AI229" s="21">
        <v>-1.42822E-2</v>
      </c>
      <c r="AJ229" s="21">
        <v>219</v>
      </c>
      <c r="AK229" s="21">
        <v>1.0018899999999999</v>
      </c>
      <c r="AL229">
        <f t="shared" si="42"/>
        <v>17.632345679012342</v>
      </c>
      <c r="AM229">
        <f t="shared" si="43"/>
        <v>17.681892570370366</v>
      </c>
      <c r="AP229" s="9"/>
      <c r="AQ229" s="21">
        <v>0.69717399999999996</v>
      </c>
      <c r="AR229" s="21">
        <v>26.183299999999999</v>
      </c>
      <c r="AS229" s="21">
        <v>-1.45355E-2</v>
      </c>
      <c r="AT229" s="21">
        <v>219</v>
      </c>
      <c r="AU229" s="21">
        <v>0.69644200000000001</v>
      </c>
      <c r="AV229">
        <f t="shared" si="44"/>
        <v>17.945061728395061</v>
      </c>
      <c r="AW229">
        <f t="shared" si="45"/>
        <v>12.510830465432097</v>
      </c>
      <c r="AX229" s="9"/>
      <c r="AY229" s="21">
        <v>1.00281</v>
      </c>
      <c r="AZ229" s="21">
        <v>30.002600000000001</v>
      </c>
      <c r="BA229" s="21">
        <v>-1.4285300000000001E-2</v>
      </c>
      <c r="BB229" s="21">
        <v>219</v>
      </c>
      <c r="BC229" s="21">
        <v>1.0022</v>
      </c>
      <c r="BD229">
        <f t="shared" si="46"/>
        <v>17.636172839506173</v>
      </c>
      <c r="BE229">
        <f t="shared" si="47"/>
        <v>17.685730485185186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7.5579499999999999</v>
      </c>
      <c r="I230" s="21">
        <v>-1.45355E-2</v>
      </c>
      <c r="J230" s="21">
        <v>220</v>
      </c>
      <c r="K230" s="21">
        <v>0.69143699999999997</v>
      </c>
      <c r="L230">
        <f t="shared" si="36"/>
        <v>17.945061728395061</v>
      </c>
      <c r="M230">
        <f t="shared" si="37"/>
        <v>12.420477079629627</v>
      </c>
      <c r="N230" s="9"/>
      <c r="O230" s="21">
        <v>1.0078400000000001</v>
      </c>
      <c r="P230" s="21">
        <v>11.3771</v>
      </c>
      <c r="Q230" s="21">
        <v>-1.43097E-2</v>
      </c>
      <c r="R230" s="21">
        <v>220</v>
      </c>
      <c r="S230" s="21">
        <v>1.00647</v>
      </c>
      <c r="T230">
        <f t="shared" si="38"/>
        <v>17.666296296296295</v>
      </c>
      <c r="U230">
        <f t="shared" si="39"/>
        <v>17.804800059259261</v>
      </c>
      <c r="X230" s="9"/>
      <c r="Y230" s="21">
        <v>0.69213899999999995</v>
      </c>
      <c r="Z230" s="21">
        <v>16.8812</v>
      </c>
      <c r="AA230" s="21">
        <v>-1.45325E-2</v>
      </c>
      <c r="AB230" s="21">
        <v>220</v>
      </c>
      <c r="AC230" s="21">
        <v>0.69149799999999995</v>
      </c>
      <c r="AD230">
        <f t="shared" si="40"/>
        <v>17.941358024691358</v>
      </c>
      <c r="AE230">
        <f t="shared" si="41"/>
        <v>12.417913601851851</v>
      </c>
      <c r="AF230" s="9"/>
      <c r="AG230" s="21">
        <v>1.0078400000000001</v>
      </c>
      <c r="AH230" s="21">
        <v>20.700399999999998</v>
      </c>
      <c r="AI230" s="21">
        <v>-1.427E-2</v>
      </c>
      <c r="AJ230" s="21">
        <v>220</v>
      </c>
      <c r="AK230" s="21">
        <v>1.0067699999999999</v>
      </c>
      <c r="AL230">
        <f t="shared" si="42"/>
        <v>17.617283950617285</v>
      </c>
      <c r="AM230">
        <f t="shared" si="43"/>
        <v>17.755403456790127</v>
      </c>
      <c r="AP230" s="9"/>
      <c r="AQ230" s="21">
        <v>0.69213899999999995</v>
      </c>
      <c r="AR230" s="21">
        <v>26.1934</v>
      </c>
      <c r="AS230" s="21">
        <v>-1.45477E-2</v>
      </c>
      <c r="AT230" s="21">
        <v>220</v>
      </c>
      <c r="AU230" s="21">
        <v>0.69143699999999997</v>
      </c>
      <c r="AV230">
        <f t="shared" si="44"/>
        <v>17.960123456790122</v>
      </c>
      <c r="AW230">
        <f t="shared" si="45"/>
        <v>12.430901889259257</v>
      </c>
      <c r="AX230" s="9"/>
      <c r="AY230" s="21">
        <v>1.0078400000000001</v>
      </c>
      <c r="AZ230" s="21">
        <v>30.012699999999999</v>
      </c>
      <c r="BA230" s="21">
        <v>-1.42761E-2</v>
      </c>
      <c r="BB230" s="21">
        <v>220</v>
      </c>
      <c r="BC230" s="21">
        <v>1.00647</v>
      </c>
      <c r="BD230">
        <f t="shared" si="46"/>
        <v>17.624814814814812</v>
      </c>
      <c r="BE230">
        <f t="shared" si="47"/>
        <v>17.762993362962963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7.5680199999999997</v>
      </c>
      <c r="I231" s="21">
        <v>-1.45386E-2</v>
      </c>
      <c r="J231" s="21">
        <v>221</v>
      </c>
      <c r="K231" s="21">
        <v>0.68643200000000004</v>
      </c>
      <c r="L231">
        <f t="shared" si="36"/>
        <v>17.948888888888888</v>
      </c>
      <c r="M231">
        <f t="shared" si="37"/>
        <v>12.332735402222221</v>
      </c>
      <c r="N231" s="9"/>
      <c r="O231" s="21">
        <v>1.01288</v>
      </c>
      <c r="P231" s="21">
        <v>11.3872</v>
      </c>
      <c r="Q231" s="21">
        <v>-1.4297499999999999E-2</v>
      </c>
      <c r="R231" s="21">
        <v>221</v>
      </c>
      <c r="S231" s="21">
        <v>1.01166</v>
      </c>
      <c r="T231">
        <f t="shared" si="38"/>
        <v>17.651234567901231</v>
      </c>
      <c r="U231">
        <f t="shared" si="39"/>
        <v>17.8785824691358</v>
      </c>
      <c r="X231" s="9"/>
      <c r="Y231" s="21">
        <v>0.68710300000000002</v>
      </c>
      <c r="Z231" s="21">
        <v>16.891200000000001</v>
      </c>
      <c r="AA231" s="21">
        <v>-1.4523299999999999E-2</v>
      </c>
      <c r="AB231" s="21">
        <v>221</v>
      </c>
      <c r="AC231" s="21">
        <v>0.68649300000000002</v>
      </c>
      <c r="AD231">
        <f t="shared" si="40"/>
        <v>17.93</v>
      </c>
      <c r="AE231">
        <f t="shared" si="41"/>
        <v>12.31975679</v>
      </c>
      <c r="AF231" s="9"/>
      <c r="AG231" s="21">
        <v>1.01288</v>
      </c>
      <c r="AH231" s="21">
        <v>20.7104</v>
      </c>
      <c r="AI231" s="21">
        <v>-1.42548E-2</v>
      </c>
      <c r="AJ231" s="21">
        <v>221</v>
      </c>
      <c r="AK231" s="21">
        <v>1.01196</v>
      </c>
      <c r="AL231">
        <f t="shared" si="42"/>
        <v>17.598518518518517</v>
      </c>
      <c r="AM231">
        <f t="shared" si="43"/>
        <v>17.825187437037037</v>
      </c>
      <c r="AP231" s="9"/>
      <c r="AQ231" s="21">
        <v>0.68710300000000002</v>
      </c>
      <c r="AR231" s="21">
        <v>26.203499999999998</v>
      </c>
      <c r="AS231" s="21">
        <v>-1.4544700000000001E-2</v>
      </c>
      <c r="AT231" s="21">
        <v>221</v>
      </c>
      <c r="AU231" s="21">
        <v>0.68627899999999997</v>
      </c>
      <c r="AV231">
        <f t="shared" si="44"/>
        <v>17.956419753086422</v>
      </c>
      <c r="AW231">
        <f t="shared" si="45"/>
        <v>12.33790988160494</v>
      </c>
      <c r="AX231" s="9"/>
      <c r="AY231" s="21">
        <v>1.01288</v>
      </c>
      <c r="AZ231" s="21">
        <v>30.0227</v>
      </c>
      <c r="BA231" s="21">
        <v>-1.427E-2</v>
      </c>
      <c r="BB231" s="21">
        <v>221</v>
      </c>
      <c r="BC231" s="21">
        <v>1.01166</v>
      </c>
      <c r="BD231">
        <f t="shared" si="46"/>
        <v>17.617283950617285</v>
      </c>
      <c r="BE231">
        <f t="shared" si="47"/>
        <v>17.844194567901237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7.5780900000000004</v>
      </c>
      <c r="I232" s="21">
        <v>-1.4550799999999999E-2</v>
      </c>
      <c r="J232" s="21">
        <v>222</v>
      </c>
      <c r="K232" s="21">
        <v>0.681427</v>
      </c>
      <c r="L232">
        <f t="shared" si="36"/>
        <v>17.963950617283949</v>
      </c>
      <c r="M232">
        <f t="shared" si="37"/>
        <v>12.252635869629628</v>
      </c>
      <c r="N232" s="9"/>
      <c r="O232" s="21">
        <v>1.0179100000000001</v>
      </c>
      <c r="P232" s="21">
        <v>11.3973</v>
      </c>
      <c r="Q232" s="21">
        <v>-1.4285300000000001E-2</v>
      </c>
      <c r="R232" s="21">
        <v>222</v>
      </c>
      <c r="S232" s="21">
        <v>1.01685</v>
      </c>
      <c r="T232">
        <f t="shared" si="38"/>
        <v>17.636172839506173</v>
      </c>
      <c r="U232">
        <f t="shared" si="39"/>
        <v>17.952036695061729</v>
      </c>
      <c r="X232" s="9"/>
      <c r="Y232" s="21">
        <v>0.68206800000000001</v>
      </c>
      <c r="Z232" s="21">
        <v>16.901299999999999</v>
      </c>
      <c r="AA232" s="21">
        <v>-1.45294E-2</v>
      </c>
      <c r="AB232" s="21">
        <v>222</v>
      </c>
      <c r="AC232" s="21">
        <v>0.68133500000000002</v>
      </c>
      <c r="AD232">
        <f t="shared" si="40"/>
        <v>17.93753086419753</v>
      </c>
      <c r="AE232">
        <f t="shared" si="41"/>
        <v>12.234615801481482</v>
      </c>
      <c r="AF232" s="9"/>
      <c r="AG232" s="21">
        <v>1.0179100000000001</v>
      </c>
      <c r="AH232" s="21">
        <v>20.720500000000001</v>
      </c>
      <c r="AI232" s="21">
        <v>-1.4245600000000001E-2</v>
      </c>
      <c r="AJ232" s="21">
        <v>222</v>
      </c>
      <c r="AK232" s="21">
        <v>1.01685</v>
      </c>
      <c r="AL232">
        <f t="shared" si="42"/>
        <v>17.58716049382716</v>
      </c>
      <c r="AM232">
        <f t="shared" si="43"/>
        <v>17.902146538271605</v>
      </c>
      <c r="AP232" s="9"/>
      <c r="AQ232" s="21">
        <v>0.68206800000000001</v>
      </c>
      <c r="AR232" s="21">
        <v>26.2135</v>
      </c>
      <c r="AS232" s="21">
        <v>-1.45416E-2</v>
      </c>
      <c r="AT232" s="21">
        <v>222</v>
      </c>
      <c r="AU232" s="21">
        <v>0.681396</v>
      </c>
      <c r="AV232">
        <f t="shared" si="44"/>
        <v>17.952592592592595</v>
      </c>
      <c r="AW232">
        <f t="shared" si="45"/>
        <v>12.244888924444446</v>
      </c>
      <c r="AX232" s="9"/>
      <c r="AY232" s="21">
        <v>1.0179100000000001</v>
      </c>
      <c r="AZ232" s="21">
        <v>30.032800000000002</v>
      </c>
      <c r="BA232" s="21">
        <v>-1.427E-2</v>
      </c>
      <c r="BB232" s="21">
        <v>222</v>
      </c>
      <c r="BC232" s="21">
        <v>1.01685</v>
      </c>
      <c r="BD232">
        <f t="shared" si="46"/>
        <v>17.617283950617285</v>
      </c>
      <c r="BE232">
        <f t="shared" si="47"/>
        <v>17.932809506172841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7.5881600000000002</v>
      </c>
      <c r="I233" s="21">
        <v>-1.4556899999999999E-2</v>
      </c>
      <c r="J233" s="21">
        <v>223</v>
      </c>
      <c r="K233" s="21">
        <v>0.67633100000000002</v>
      </c>
      <c r="L233">
        <f t="shared" si="36"/>
        <v>17.971481481481479</v>
      </c>
      <c r="M233">
        <f t="shared" si="37"/>
        <v>12.167268050370369</v>
      </c>
      <c r="N233" s="9"/>
      <c r="O233" s="21">
        <v>1.02295</v>
      </c>
      <c r="P233" s="21">
        <v>11.407400000000001</v>
      </c>
      <c r="Q233" s="21">
        <v>-1.42883E-2</v>
      </c>
      <c r="R233" s="21">
        <v>223</v>
      </c>
      <c r="S233" s="21">
        <v>1.02142</v>
      </c>
      <c r="T233">
        <f t="shared" si="38"/>
        <v>17.639876543209876</v>
      </c>
      <c r="U233">
        <f t="shared" si="39"/>
        <v>18.044711709876545</v>
      </c>
      <c r="X233" s="9"/>
      <c r="Y233" s="21">
        <v>0.67703199999999997</v>
      </c>
      <c r="Z233" s="21">
        <v>16.9114</v>
      </c>
      <c r="AA233" s="21">
        <v>-1.4544700000000001E-2</v>
      </c>
      <c r="AB233" s="21">
        <v>223</v>
      </c>
      <c r="AC233" s="21">
        <v>0.67639199999999999</v>
      </c>
      <c r="AD233">
        <f t="shared" si="40"/>
        <v>17.956419753086422</v>
      </c>
      <c r="AE233">
        <f t="shared" si="41"/>
        <v>12.157070778271606</v>
      </c>
      <c r="AF233" s="9"/>
      <c r="AG233" s="21">
        <v>1.02295</v>
      </c>
      <c r="AH233" s="21">
        <v>20.730599999999999</v>
      </c>
      <c r="AI233" s="21">
        <v>-1.4236499999999999E-2</v>
      </c>
      <c r="AJ233" s="21">
        <v>223</v>
      </c>
      <c r="AK233" s="21">
        <v>1.02234</v>
      </c>
      <c r="AL233">
        <f t="shared" si="42"/>
        <v>17.575925925925926</v>
      </c>
      <c r="AM233">
        <f t="shared" si="43"/>
        <v>17.979293425925928</v>
      </c>
      <c r="AP233" s="9"/>
      <c r="AQ233" s="21">
        <v>0.67703199999999997</v>
      </c>
      <c r="AR233" s="21">
        <v>26.223600000000001</v>
      </c>
      <c r="AS233" s="21">
        <v>-1.45416E-2</v>
      </c>
      <c r="AT233" s="21">
        <v>223</v>
      </c>
      <c r="AU233" s="21">
        <v>0.67636099999999999</v>
      </c>
      <c r="AV233">
        <f t="shared" si="44"/>
        <v>17.952592592592595</v>
      </c>
      <c r="AW233">
        <f t="shared" si="45"/>
        <v>12.154479668148149</v>
      </c>
      <c r="AX233" s="9"/>
      <c r="AY233" s="21">
        <v>1.02295</v>
      </c>
      <c r="AZ233" s="21">
        <v>30.042899999999999</v>
      </c>
      <c r="BA233" s="21">
        <v>-1.4263899999999999E-2</v>
      </c>
      <c r="BB233" s="21">
        <v>223</v>
      </c>
      <c r="BC233" s="21">
        <v>1.02203</v>
      </c>
      <c r="BD233">
        <f t="shared" si="46"/>
        <v>17.609753086419751</v>
      </c>
      <c r="BE233">
        <f t="shared" si="47"/>
        <v>18.013896919753083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7.59823</v>
      </c>
      <c r="I234" s="21">
        <v>-1.4563E-2</v>
      </c>
      <c r="J234" s="21">
        <v>224</v>
      </c>
      <c r="K234" s="21">
        <v>0.671234</v>
      </c>
      <c r="L234">
        <f t="shared" si="36"/>
        <v>17.979012345679013</v>
      </c>
      <c r="M234">
        <f t="shared" si="37"/>
        <v>12.081842359259259</v>
      </c>
      <c r="N234" s="9"/>
      <c r="O234" s="21">
        <v>1.0279799999999999</v>
      </c>
      <c r="P234" s="21">
        <v>11.417400000000001</v>
      </c>
      <c r="Q234" s="21">
        <v>-1.4291399999999999E-2</v>
      </c>
      <c r="R234" s="21">
        <v>224</v>
      </c>
      <c r="S234" s="21">
        <v>1.02722</v>
      </c>
      <c r="T234">
        <f t="shared" si="38"/>
        <v>17.643703703703704</v>
      </c>
      <c r="U234">
        <f t="shared" si="39"/>
        <v>18.137374533333332</v>
      </c>
      <c r="X234" s="9"/>
      <c r="Y234" s="21">
        <v>0.67199699999999996</v>
      </c>
      <c r="Z234" s="21">
        <v>16.921399999999998</v>
      </c>
      <c r="AA234" s="21">
        <v>-1.45691E-2</v>
      </c>
      <c r="AB234" s="21">
        <v>224</v>
      </c>
      <c r="AC234" s="21">
        <v>0.671234</v>
      </c>
      <c r="AD234">
        <f t="shared" si="40"/>
        <v>17.98654320987654</v>
      </c>
      <c r="AE234">
        <f t="shared" si="41"/>
        <v>12.086903077407404</v>
      </c>
      <c r="AF234" s="9"/>
      <c r="AG234" s="21">
        <v>1.0279799999999999</v>
      </c>
      <c r="AH234" s="21">
        <v>20.740600000000001</v>
      </c>
      <c r="AI234" s="21">
        <v>-1.4236499999999999E-2</v>
      </c>
      <c r="AJ234" s="21">
        <v>224</v>
      </c>
      <c r="AK234" s="21">
        <v>1.02661</v>
      </c>
      <c r="AL234">
        <f t="shared" si="42"/>
        <v>17.575925925925926</v>
      </c>
      <c r="AM234">
        <f t="shared" si="43"/>
        <v>18.067700333333331</v>
      </c>
      <c r="AP234" s="9"/>
      <c r="AQ234" s="21">
        <v>0.67199699999999996</v>
      </c>
      <c r="AR234" s="21">
        <v>26.233699999999999</v>
      </c>
      <c r="AS234" s="21">
        <v>-1.4556899999999999E-2</v>
      </c>
      <c r="AT234" s="21">
        <v>224</v>
      </c>
      <c r="AU234" s="21">
        <v>0.671265</v>
      </c>
      <c r="AV234">
        <f t="shared" si="44"/>
        <v>17.971481481481479</v>
      </c>
      <c r="AW234">
        <f t="shared" si="45"/>
        <v>12.07678164111111</v>
      </c>
      <c r="AX234" s="9"/>
      <c r="AY234" s="21">
        <v>1.0279799999999999</v>
      </c>
      <c r="AZ234" s="21">
        <v>30.052900000000001</v>
      </c>
      <c r="BA234" s="21">
        <v>-1.4257799999999999E-2</v>
      </c>
      <c r="BB234" s="21">
        <v>224</v>
      </c>
      <c r="BC234" s="21">
        <v>1.02661</v>
      </c>
      <c r="BD234">
        <f t="shared" si="46"/>
        <v>17.60222222222222</v>
      </c>
      <c r="BE234">
        <f t="shared" si="47"/>
        <v>18.094732399999998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7.6082999999999998</v>
      </c>
      <c r="I235" s="21">
        <v>-1.4563E-2</v>
      </c>
      <c r="J235" s="21">
        <v>225</v>
      </c>
      <c r="K235" s="21">
        <v>0.66635100000000003</v>
      </c>
      <c r="L235">
        <f t="shared" si="36"/>
        <v>17.979012345679013</v>
      </c>
      <c r="M235">
        <f t="shared" si="37"/>
        <v>11.991318032098768</v>
      </c>
      <c r="N235" s="9"/>
      <c r="O235" s="21">
        <v>1.03302</v>
      </c>
      <c r="P235" s="21">
        <v>11.4275</v>
      </c>
      <c r="Q235" s="21">
        <v>-1.4279200000000001E-2</v>
      </c>
      <c r="R235" s="21">
        <v>225</v>
      </c>
      <c r="S235" s="21">
        <v>1.0321</v>
      </c>
      <c r="T235">
        <f t="shared" si="38"/>
        <v>17.628641975308639</v>
      </c>
      <c r="U235">
        <f t="shared" si="39"/>
        <v>18.21073973333333</v>
      </c>
      <c r="X235" s="9"/>
      <c r="Y235" s="21">
        <v>0.66696200000000005</v>
      </c>
      <c r="Z235" s="21">
        <v>16.9315</v>
      </c>
      <c r="AA235" s="21">
        <v>-1.45813E-2</v>
      </c>
      <c r="AB235" s="21">
        <v>225</v>
      </c>
      <c r="AC235" s="21">
        <v>0.66622899999999996</v>
      </c>
      <c r="AD235">
        <f t="shared" si="40"/>
        <v>18.001604938271605</v>
      </c>
      <c r="AE235">
        <f t="shared" si="41"/>
        <v>12.006386432839507</v>
      </c>
      <c r="AF235" s="9"/>
      <c r="AG235" s="21">
        <v>1.03302</v>
      </c>
      <c r="AH235" s="21">
        <v>20.750699999999998</v>
      </c>
      <c r="AI235" s="21">
        <v>-1.42395E-2</v>
      </c>
      <c r="AJ235" s="21">
        <v>225</v>
      </c>
      <c r="AK235" s="21">
        <v>1.03241</v>
      </c>
      <c r="AL235">
        <f t="shared" si="42"/>
        <v>17.579629629629629</v>
      </c>
      <c r="AM235">
        <f t="shared" si="43"/>
        <v>18.160108999999999</v>
      </c>
      <c r="AP235" s="9"/>
      <c r="AQ235" s="21">
        <v>0.66696200000000005</v>
      </c>
      <c r="AR235" s="21">
        <v>26.2437</v>
      </c>
      <c r="AS235" s="21">
        <v>-1.4566000000000001E-2</v>
      </c>
      <c r="AT235" s="21">
        <v>225</v>
      </c>
      <c r="AU235" s="21">
        <v>0.66635100000000003</v>
      </c>
      <c r="AV235">
        <f t="shared" si="44"/>
        <v>17.982716049382717</v>
      </c>
      <c r="AW235">
        <f t="shared" si="45"/>
        <v>11.993788261728396</v>
      </c>
      <c r="AX235" s="9"/>
      <c r="AY235" s="21">
        <v>1.03302</v>
      </c>
      <c r="AZ235" s="21">
        <v>30.062999999999999</v>
      </c>
      <c r="BA235" s="21">
        <v>-1.4245600000000001E-2</v>
      </c>
      <c r="BB235" s="21">
        <v>225</v>
      </c>
      <c r="BC235" s="21">
        <v>1.0321</v>
      </c>
      <c r="BD235">
        <f t="shared" si="46"/>
        <v>17.58716049382716</v>
      </c>
      <c r="BE235">
        <f t="shared" si="47"/>
        <v>18.167888533333333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7.6183699999999996</v>
      </c>
      <c r="I236" s="21">
        <v>-1.4563E-2</v>
      </c>
      <c r="J236" s="21">
        <v>226</v>
      </c>
      <c r="K236" s="21">
        <v>0.66128500000000001</v>
      </c>
      <c r="L236">
        <f t="shared" si="36"/>
        <v>17.979012345679013</v>
      </c>
      <c r="M236">
        <f t="shared" si="37"/>
        <v>11.900775725925927</v>
      </c>
      <c r="N236" s="9"/>
      <c r="O236" s="21">
        <v>1.03806</v>
      </c>
      <c r="P236" s="21">
        <v>11.4376</v>
      </c>
      <c r="Q236" s="21">
        <v>-1.42609E-2</v>
      </c>
      <c r="R236" s="21">
        <v>226</v>
      </c>
      <c r="S236" s="21">
        <v>1.03668</v>
      </c>
      <c r="T236">
        <f t="shared" si="38"/>
        <v>17.606049382716048</v>
      </c>
      <c r="U236">
        <f t="shared" si="39"/>
        <v>18.27613562222222</v>
      </c>
      <c r="X236" s="9"/>
      <c r="Y236" s="21">
        <v>0.66192600000000001</v>
      </c>
      <c r="Z236" s="21">
        <v>16.941600000000001</v>
      </c>
      <c r="AA236" s="21">
        <v>-1.4578199999999999E-2</v>
      </c>
      <c r="AB236" s="21">
        <v>226</v>
      </c>
      <c r="AC236" s="21">
        <v>0.66125500000000004</v>
      </c>
      <c r="AD236">
        <f t="shared" si="40"/>
        <v>17.997777777777777</v>
      </c>
      <c r="AE236">
        <f t="shared" si="41"/>
        <v>11.913197053333333</v>
      </c>
      <c r="AF236" s="9"/>
      <c r="AG236" s="21">
        <v>1.03806</v>
      </c>
      <c r="AH236" s="21">
        <v>20.7608</v>
      </c>
      <c r="AI236" s="21">
        <v>-1.42334E-2</v>
      </c>
      <c r="AJ236" s="21">
        <v>226</v>
      </c>
      <c r="AK236" s="21">
        <v>1.03729</v>
      </c>
      <c r="AL236">
        <f t="shared" si="42"/>
        <v>17.572098765432099</v>
      </c>
      <c r="AM236">
        <f t="shared" si="43"/>
        <v>18.240892844444446</v>
      </c>
      <c r="AP236" s="9"/>
      <c r="AQ236" s="21">
        <v>0.66192600000000001</v>
      </c>
      <c r="AR236" s="21">
        <v>26.253799999999998</v>
      </c>
      <c r="AS236" s="21">
        <v>-1.45691E-2</v>
      </c>
      <c r="AT236" s="21">
        <v>226</v>
      </c>
      <c r="AU236" s="21">
        <v>0.66122400000000003</v>
      </c>
      <c r="AV236">
        <f t="shared" si="44"/>
        <v>17.98654320987654</v>
      </c>
      <c r="AW236">
        <f t="shared" si="45"/>
        <v>11.90576060074074</v>
      </c>
      <c r="AX236" s="9"/>
      <c r="AY236" s="21">
        <v>1.03806</v>
      </c>
      <c r="AZ236" s="21">
        <v>30.0731</v>
      </c>
      <c r="BA236" s="21">
        <v>-1.4224199999999999E-2</v>
      </c>
      <c r="BB236" s="21">
        <v>226</v>
      </c>
      <c r="BC236" s="21">
        <v>1.0369900000000001</v>
      </c>
      <c r="BD236">
        <f t="shared" si="46"/>
        <v>17.560740740740737</v>
      </c>
      <c r="BE236">
        <f t="shared" si="47"/>
        <v>18.229102533333329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7.6284400000000003</v>
      </c>
      <c r="I237" s="21">
        <v>-1.4556899999999999E-2</v>
      </c>
      <c r="J237" s="21">
        <v>227</v>
      </c>
      <c r="K237" s="21">
        <v>0.656219</v>
      </c>
      <c r="L237">
        <f t="shared" si="36"/>
        <v>17.971481481481479</v>
      </c>
      <c r="M237">
        <f t="shared" si="37"/>
        <v>11.805304441851851</v>
      </c>
      <c r="N237" s="9"/>
      <c r="O237" s="21">
        <v>1.0430900000000001</v>
      </c>
      <c r="P237" s="21">
        <v>11.4476</v>
      </c>
      <c r="Q237" s="21">
        <v>-1.4245600000000001E-2</v>
      </c>
      <c r="R237" s="21">
        <v>227</v>
      </c>
      <c r="S237" s="21">
        <v>1.0424800000000001</v>
      </c>
      <c r="T237">
        <f t="shared" si="38"/>
        <v>17.58716049382716</v>
      </c>
      <c r="U237">
        <f t="shared" si="39"/>
        <v>18.344991239506172</v>
      </c>
      <c r="X237" s="9"/>
      <c r="Y237" s="21">
        <v>0.656891</v>
      </c>
      <c r="Z237" s="21">
        <v>16.951699999999999</v>
      </c>
      <c r="AA237" s="21">
        <v>-1.4578199999999999E-2</v>
      </c>
      <c r="AB237" s="21">
        <v>227</v>
      </c>
      <c r="AC237" s="21">
        <v>0.656281</v>
      </c>
      <c r="AD237">
        <f t="shared" si="40"/>
        <v>17.997777777777777</v>
      </c>
      <c r="AE237">
        <f t="shared" si="41"/>
        <v>11.822578242222223</v>
      </c>
      <c r="AF237" s="9"/>
      <c r="AG237" s="21">
        <v>1.0430900000000001</v>
      </c>
      <c r="AH237" s="21">
        <v>20.770800000000001</v>
      </c>
      <c r="AI237" s="21">
        <v>-1.4218099999999999E-2</v>
      </c>
      <c r="AJ237" s="21">
        <v>227</v>
      </c>
      <c r="AK237" s="21">
        <v>1.0418700000000001</v>
      </c>
      <c r="AL237">
        <f t="shared" si="42"/>
        <v>17.553209876543207</v>
      </c>
      <c r="AM237">
        <f t="shared" si="43"/>
        <v>18.309577690123454</v>
      </c>
      <c r="AP237" s="9"/>
      <c r="AQ237" s="21">
        <v>0.656891</v>
      </c>
      <c r="AR237" s="21">
        <v>26.2639</v>
      </c>
      <c r="AS237" s="21">
        <v>-1.45691E-2</v>
      </c>
      <c r="AT237" s="21">
        <v>227</v>
      </c>
      <c r="AU237" s="21">
        <v>0.65615800000000002</v>
      </c>
      <c r="AV237">
        <f t="shared" si="44"/>
        <v>17.98654320987654</v>
      </c>
      <c r="AW237">
        <f t="shared" si="45"/>
        <v>11.81519835567901</v>
      </c>
      <c r="AX237" s="9"/>
      <c r="AY237" s="21">
        <v>1.0430900000000001</v>
      </c>
      <c r="AZ237" s="21">
        <v>30.083200000000001</v>
      </c>
      <c r="BA237" s="21">
        <v>-1.4208999999999999E-2</v>
      </c>
      <c r="BB237" s="21">
        <v>227</v>
      </c>
      <c r="BC237" s="21">
        <v>1.0418700000000001</v>
      </c>
      <c r="BD237">
        <f t="shared" si="46"/>
        <v>17.541975308641973</v>
      </c>
      <c r="BE237">
        <f t="shared" si="47"/>
        <v>18.297859024691356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7.6385100000000001</v>
      </c>
      <c r="I238" s="21">
        <v>-1.4556899999999999E-2</v>
      </c>
      <c r="J238" s="21">
        <v>228</v>
      </c>
      <c r="K238" s="21">
        <v>0.65121499999999999</v>
      </c>
      <c r="L238">
        <f t="shared" si="36"/>
        <v>17.971481481481479</v>
      </c>
      <c r="M238">
        <f t="shared" si="37"/>
        <v>11.714800061111109</v>
      </c>
      <c r="N238" s="9"/>
      <c r="O238" s="21">
        <v>1.04813</v>
      </c>
      <c r="P238" s="21">
        <v>11.457700000000001</v>
      </c>
      <c r="Q238" s="21">
        <v>-1.42548E-2</v>
      </c>
      <c r="R238" s="21">
        <v>228</v>
      </c>
      <c r="S238" s="21">
        <v>1.0473600000000001</v>
      </c>
      <c r="T238">
        <f t="shared" si="38"/>
        <v>17.598518518518517</v>
      </c>
      <c r="U238">
        <f t="shared" si="39"/>
        <v>18.445535214814814</v>
      </c>
      <c r="X238" s="9"/>
      <c r="Y238" s="21">
        <v>0.65185499999999996</v>
      </c>
      <c r="Z238" s="21">
        <v>16.9617</v>
      </c>
      <c r="AA238" s="21">
        <v>-1.45813E-2</v>
      </c>
      <c r="AB238" s="21">
        <v>228</v>
      </c>
      <c r="AC238" s="21">
        <v>0.65124499999999996</v>
      </c>
      <c r="AD238">
        <f t="shared" si="40"/>
        <v>18.001604938271605</v>
      </c>
      <c r="AE238">
        <f t="shared" si="41"/>
        <v>11.734436187037037</v>
      </c>
      <c r="AF238" s="9"/>
      <c r="AG238" s="21">
        <v>1.04813</v>
      </c>
      <c r="AH238" s="21">
        <v>20.780899999999999</v>
      </c>
      <c r="AI238" s="21">
        <v>-1.4196800000000001E-2</v>
      </c>
      <c r="AJ238" s="21">
        <v>228</v>
      </c>
      <c r="AK238" s="21">
        <v>1.0473600000000001</v>
      </c>
      <c r="AL238">
        <f t="shared" si="42"/>
        <v>17.526913580246916</v>
      </c>
      <c r="AM238">
        <f t="shared" si="43"/>
        <v>18.3704839308642</v>
      </c>
      <c r="AP238" s="9"/>
      <c r="AQ238" s="21">
        <v>0.65185499999999996</v>
      </c>
      <c r="AR238" s="21">
        <v>26.274000000000001</v>
      </c>
      <c r="AS238" s="21">
        <v>-1.4572099999999999E-2</v>
      </c>
      <c r="AT238" s="21">
        <v>228</v>
      </c>
      <c r="AU238" s="21">
        <v>0.65121499999999999</v>
      </c>
      <c r="AV238">
        <f t="shared" si="44"/>
        <v>17.990246913580243</v>
      </c>
      <c r="AW238">
        <f t="shared" si="45"/>
        <v>11.727032401851849</v>
      </c>
      <c r="AX238" s="9"/>
      <c r="AY238" s="21">
        <v>1.04813</v>
      </c>
      <c r="AZ238" s="21">
        <v>30.0932</v>
      </c>
      <c r="BA238" s="21">
        <v>-1.4212000000000001E-2</v>
      </c>
      <c r="BB238" s="21">
        <v>228</v>
      </c>
      <c r="BC238" s="21">
        <v>1.0470600000000001</v>
      </c>
      <c r="BD238">
        <f t="shared" si="46"/>
        <v>17.54567901234568</v>
      </c>
      <c r="BE238">
        <f t="shared" si="47"/>
        <v>18.390152543209876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7.6485799999999999</v>
      </c>
      <c r="I239" s="21">
        <v>-1.4550799999999999E-2</v>
      </c>
      <c r="J239" s="21">
        <v>229</v>
      </c>
      <c r="K239" s="21">
        <v>0.64617899999999995</v>
      </c>
      <c r="L239">
        <f t="shared" si="36"/>
        <v>17.963950617283949</v>
      </c>
      <c r="M239">
        <f t="shared" si="37"/>
        <v>11.619442538271603</v>
      </c>
      <c r="N239" s="9"/>
      <c r="O239" s="21">
        <v>1.0531600000000001</v>
      </c>
      <c r="P239" s="21">
        <v>11.4678</v>
      </c>
      <c r="Q239" s="21">
        <v>-1.4267E-2</v>
      </c>
      <c r="R239" s="21">
        <v>229</v>
      </c>
      <c r="S239" s="21">
        <v>1.0519400000000001</v>
      </c>
      <c r="T239">
        <f t="shared" si="38"/>
        <v>17.613580246913582</v>
      </c>
      <c r="U239">
        <f t="shared" si="39"/>
        <v>18.549918172839508</v>
      </c>
      <c r="X239" s="9"/>
      <c r="Y239" s="21">
        <v>0.64681999999999995</v>
      </c>
      <c r="Z239" s="21">
        <v>16.971800000000002</v>
      </c>
      <c r="AA239" s="21">
        <v>-1.4590499999999999E-2</v>
      </c>
      <c r="AB239" s="21">
        <v>229</v>
      </c>
      <c r="AC239" s="21">
        <v>0.64614899999999997</v>
      </c>
      <c r="AD239">
        <f t="shared" si="40"/>
        <v>18.012962962962959</v>
      </c>
      <c r="AE239">
        <f t="shared" si="41"/>
        <v>11.6511447037037</v>
      </c>
      <c r="AF239" s="9"/>
      <c r="AG239" s="21">
        <v>1.0531600000000001</v>
      </c>
      <c r="AH239" s="21">
        <v>20.791</v>
      </c>
      <c r="AI239" s="21">
        <v>-1.41785E-2</v>
      </c>
      <c r="AJ239" s="21">
        <v>229</v>
      </c>
      <c r="AK239" s="21">
        <v>1.0522499999999999</v>
      </c>
      <c r="AL239">
        <f t="shared" si="42"/>
        <v>17.504320987654321</v>
      </c>
      <c r="AM239">
        <f t="shared" si="43"/>
        <v>18.434850691358026</v>
      </c>
      <c r="AP239" s="9"/>
      <c r="AQ239" s="21">
        <v>0.64681999999999995</v>
      </c>
      <c r="AR239" s="21">
        <v>26.283999999999999</v>
      </c>
      <c r="AS239" s="21">
        <v>-1.45691E-2</v>
      </c>
      <c r="AT239" s="21">
        <v>229</v>
      </c>
      <c r="AU239" s="21">
        <v>0.64627100000000004</v>
      </c>
      <c r="AV239">
        <f t="shared" si="44"/>
        <v>17.98654320987654</v>
      </c>
      <c r="AW239">
        <f t="shared" si="45"/>
        <v>11.634055879012342</v>
      </c>
      <c r="AX239" s="9"/>
      <c r="AY239" s="21">
        <v>1.0531600000000001</v>
      </c>
      <c r="AZ239" s="21">
        <v>30.103300000000001</v>
      </c>
      <c r="BA239" s="21">
        <v>-1.41998E-2</v>
      </c>
      <c r="BB239" s="21">
        <v>229</v>
      </c>
      <c r="BC239" s="21">
        <v>1.0522499999999999</v>
      </c>
      <c r="BD239">
        <f t="shared" si="46"/>
        <v>17.530617283950615</v>
      </c>
      <c r="BE239">
        <f t="shared" si="47"/>
        <v>18.462544898765433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7.6586600000000002</v>
      </c>
      <c r="I240" s="21">
        <v>-1.4544700000000001E-2</v>
      </c>
      <c r="J240" s="21">
        <v>230</v>
      </c>
      <c r="K240" s="21">
        <v>0.64108299999999996</v>
      </c>
      <c r="L240">
        <f t="shared" si="36"/>
        <v>17.956419753086422</v>
      </c>
      <c r="M240">
        <f t="shared" si="37"/>
        <v>11.524160851234571</v>
      </c>
      <c r="N240" s="9"/>
      <c r="O240" s="21">
        <v>1.0582</v>
      </c>
      <c r="P240" s="21">
        <v>11.4778</v>
      </c>
      <c r="Q240" s="21">
        <v>-1.42761E-2</v>
      </c>
      <c r="R240" s="21">
        <v>230</v>
      </c>
      <c r="S240" s="21">
        <v>1.0574300000000001</v>
      </c>
      <c r="T240">
        <f t="shared" si="38"/>
        <v>17.624814814814812</v>
      </c>
      <c r="U240">
        <f t="shared" si="39"/>
        <v>18.650579037037033</v>
      </c>
      <c r="X240" s="9"/>
      <c r="Y240" s="21">
        <v>0.64178500000000005</v>
      </c>
      <c r="Z240" s="21">
        <v>16.9819</v>
      </c>
      <c r="AA240" s="21">
        <v>-1.45966E-2</v>
      </c>
      <c r="AB240" s="21">
        <v>230</v>
      </c>
      <c r="AC240" s="21">
        <v>0.64114400000000005</v>
      </c>
      <c r="AD240">
        <f t="shared" si="40"/>
        <v>18.020493827160493</v>
      </c>
      <c r="AE240">
        <f t="shared" si="41"/>
        <v>11.565282630864198</v>
      </c>
      <c r="AF240" s="9"/>
      <c r="AG240" s="21">
        <v>1.0582</v>
      </c>
      <c r="AH240" s="21">
        <v>20.801100000000002</v>
      </c>
      <c r="AI240" s="21">
        <v>-1.41663E-2</v>
      </c>
      <c r="AJ240" s="21">
        <v>230</v>
      </c>
      <c r="AK240" s="21">
        <v>1.0577399999999999</v>
      </c>
      <c r="AL240">
        <f t="shared" si="42"/>
        <v>17.489259259259256</v>
      </c>
      <c r="AM240">
        <f t="shared" si="43"/>
        <v>18.507134148148147</v>
      </c>
      <c r="AP240" s="9"/>
      <c r="AQ240" s="21">
        <v>0.64178500000000005</v>
      </c>
      <c r="AR240" s="21">
        <v>26.2941</v>
      </c>
      <c r="AS240" s="21">
        <v>-1.45752E-2</v>
      </c>
      <c r="AT240" s="21">
        <v>230</v>
      </c>
      <c r="AU240" s="21">
        <v>0.64111300000000004</v>
      </c>
      <c r="AV240">
        <f t="shared" si="44"/>
        <v>17.994074074074071</v>
      </c>
      <c r="AW240">
        <f t="shared" si="45"/>
        <v>11.548326829629628</v>
      </c>
      <c r="AX240" s="9"/>
      <c r="AY240" s="21">
        <v>1.0582</v>
      </c>
      <c r="AZ240" s="21">
        <v>30.113399999999999</v>
      </c>
      <c r="BA240" s="21">
        <v>-1.41876E-2</v>
      </c>
      <c r="BB240" s="21">
        <v>230</v>
      </c>
      <c r="BC240" s="21">
        <v>1.0574300000000001</v>
      </c>
      <c r="BD240">
        <f t="shared" si="46"/>
        <v>17.515555555555554</v>
      </c>
      <c r="BE240">
        <f t="shared" si="47"/>
        <v>18.534960888888889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7.66873</v>
      </c>
      <c r="I241" s="21">
        <v>-1.45477E-2</v>
      </c>
      <c r="J241" s="21">
        <v>231</v>
      </c>
      <c r="K241" s="21">
        <v>0.63607800000000003</v>
      </c>
      <c r="L241">
        <f t="shared" si="36"/>
        <v>17.960123456790122</v>
      </c>
      <c r="M241">
        <f t="shared" si="37"/>
        <v>11.436090650987653</v>
      </c>
      <c r="N241" s="9"/>
      <c r="O241" s="21">
        <v>1.0632299999999999</v>
      </c>
      <c r="P241" s="21">
        <v>11.4879</v>
      </c>
      <c r="Q241" s="21">
        <v>-1.4285300000000001E-2</v>
      </c>
      <c r="R241" s="21">
        <v>231</v>
      </c>
      <c r="S241" s="21">
        <v>1.0623199999999999</v>
      </c>
      <c r="T241">
        <f t="shared" si="38"/>
        <v>17.636172839506173</v>
      </c>
      <c r="U241">
        <f t="shared" si="39"/>
        <v>18.751308048148147</v>
      </c>
      <c r="X241" s="9"/>
      <c r="Y241" s="21">
        <v>0.63674900000000001</v>
      </c>
      <c r="Z241" s="21">
        <v>16.991900000000001</v>
      </c>
      <c r="AA241" s="21">
        <v>-1.45874E-2</v>
      </c>
      <c r="AB241" s="21">
        <v>231</v>
      </c>
      <c r="AC241" s="21">
        <v>0.63595599999999997</v>
      </c>
      <c r="AD241">
        <f t="shared" si="40"/>
        <v>18.009135802469135</v>
      </c>
      <c r="AE241">
        <f t="shared" si="41"/>
        <v>11.46729921308642</v>
      </c>
      <c r="AF241" s="9"/>
      <c r="AG241" s="21">
        <v>1.0632299999999999</v>
      </c>
      <c r="AH241" s="21">
        <v>20.8111</v>
      </c>
      <c r="AI241" s="21">
        <v>-1.4157100000000001E-2</v>
      </c>
      <c r="AJ241" s="21">
        <v>231</v>
      </c>
      <c r="AK241" s="21">
        <v>1.0623199999999999</v>
      </c>
      <c r="AL241">
        <f t="shared" si="42"/>
        <v>17.477901234567902</v>
      </c>
      <c r="AM241">
        <f t="shared" si="43"/>
        <v>18.583028929629627</v>
      </c>
      <c r="AP241" s="9"/>
      <c r="AQ241" s="21">
        <v>0.63674900000000001</v>
      </c>
      <c r="AR241" s="21">
        <v>26.304200000000002</v>
      </c>
      <c r="AS241" s="21">
        <v>-1.4584400000000001E-2</v>
      </c>
      <c r="AT241" s="21">
        <v>231</v>
      </c>
      <c r="AU241" s="21">
        <v>0.63610800000000001</v>
      </c>
      <c r="AV241">
        <f t="shared" si="44"/>
        <v>18.005432098765432</v>
      </c>
      <c r="AW241">
        <f t="shared" si="45"/>
        <v>11.464940883456791</v>
      </c>
      <c r="AX241" s="9"/>
      <c r="AY241" s="21">
        <v>1.0632299999999999</v>
      </c>
      <c r="AZ241" s="21">
        <v>30.1234</v>
      </c>
      <c r="BA241" s="21">
        <v>-1.41846E-2</v>
      </c>
      <c r="BB241" s="21">
        <v>231</v>
      </c>
      <c r="BC241" s="21">
        <v>1.0620099999999999</v>
      </c>
      <c r="BD241">
        <f t="shared" si="46"/>
        <v>17.511851851851851</v>
      </c>
      <c r="BE241">
        <f t="shared" si="47"/>
        <v>18.619126244444441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7.6787999999999998</v>
      </c>
      <c r="I242" s="21">
        <v>-1.4563E-2</v>
      </c>
      <c r="J242" s="21">
        <v>232</v>
      </c>
      <c r="K242" s="21">
        <v>0.631073</v>
      </c>
      <c r="L242">
        <f t="shared" si="36"/>
        <v>17.979012345679013</v>
      </c>
      <c r="M242">
        <f t="shared" si="37"/>
        <v>11.357593804938272</v>
      </c>
      <c r="N242" s="9"/>
      <c r="O242" s="21">
        <v>1.0682700000000001</v>
      </c>
      <c r="P242" s="21">
        <v>11.497999999999999</v>
      </c>
      <c r="Q242" s="21">
        <v>-1.42822E-2</v>
      </c>
      <c r="R242" s="21">
        <v>232</v>
      </c>
      <c r="S242" s="21">
        <v>1.0678099999999999</v>
      </c>
      <c r="T242">
        <f t="shared" si="38"/>
        <v>17.632345679012342</v>
      </c>
      <c r="U242">
        <f t="shared" si="39"/>
        <v>18.836105918518516</v>
      </c>
      <c r="X242" s="9"/>
      <c r="Y242" s="21">
        <v>0.631714</v>
      </c>
      <c r="Z242" s="21">
        <v>17.001999999999999</v>
      </c>
      <c r="AA242" s="21">
        <v>-1.4584400000000001E-2</v>
      </c>
      <c r="AB242" s="21">
        <v>232</v>
      </c>
      <c r="AC242" s="21">
        <v>0.631073</v>
      </c>
      <c r="AD242">
        <f t="shared" si="40"/>
        <v>18.005432098765432</v>
      </c>
      <c r="AE242">
        <f t="shared" si="41"/>
        <v>11.374283532839506</v>
      </c>
      <c r="AF242" s="9"/>
      <c r="AG242" s="21">
        <v>1.0682700000000001</v>
      </c>
      <c r="AH242" s="21">
        <v>20.821200000000001</v>
      </c>
      <c r="AI242" s="21">
        <v>-1.4157100000000001E-2</v>
      </c>
      <c r="AJ242" s="21">
        <v>232</v>
      </c>
      <c r="AK242" s="21">
        <v>1.0674999999999999</v>
      </c>
      <c r="AL242">
        <f t="shared" si="42"/>
        <v>17.477901234567902</v>
      </c>
      <c r="AM242">
        <f t="shared" si="43"/>
        <v>18.671117551851854</v>
      </c>
      <c r="AP242" s="9"/>
      <c r="AQ242" s="21">
        <v>0.631714</v>
      </c>
      <c r="AR242" s="21">
        <v>26.3142</v>
      </c>
      <c r="AS242" s="21">
        <v>-1.4593500000000001E-2</v>
      </c>
      <c r="AT242" s="21">
        <v>232</v>
      </c>
      <c r="AU242" s="21">
        <v>0.63104199999999999</v>
      </c>
      <c r="AV242">
        <f t="shared" si="44"/>
        <v>18.016666666666666</v>
      </c>
      <c r="AW242">
        <f t="shared" si="45"/>
        <v>11.381380566666666</v>
      </c>
      <c r="AX242" s="9"/>
      <c r="AY242" s="21">
        <v>1.0682700000000001</v>
      </c>
      <c r="AZ242" s="21">
        <v>30.133500000000002</v>
      </c>
      <c r="BA242" s="21">
        <v>-1.41602E-2</v>
      </c>
      <c r="BB242" s="21">
        <v>232</v>
      </c>
      <c r="BC242" s="21">
        <v>1.0668899999999999</v>
      </c>
      <c r="BD242">
        <f t="shared" si="46"/>
        <v>17.481728395061729</v>
      </c>
      <c r="BE242">
        <f t="shared" si="47"/>
        <v>18.675205992592595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7.6888699999999996</v>
      </c>
      <c r="I243" s="21">
        <v>-1.45691E-2</v>
      </c>
      <c r="J243" s="21">
        <v>233</v>
      </c>
      <c r="K243" s="21">
        <v>0.62597700000000001</v>
      </c>
      <c r="L243">
        <f t="shared" si="36"/>
        <v>17.98654320987654</v>
      </c>
      <c r="M243">
        <f t="shared" si="37"/>
        <v>11.271770925679009</v>
      </c>
      <c r="N243" s="9"/>
      <c r="O243" s="21">
        <v>1.0732999999999999</v>
      </c>
      <c r="P243" s="21">
        <v>11.508100000000001</v>
      </c>
      <c r="Q243" s="21">
        <v>-1.42761E-2</v>
      </c>
      <c r="R243" s="21">
        <v>233</v>
      </c>
      <c r="S243" s="21">
        <v>1.0726899999999999</v>
      </c>
      <c r="T243">
        <f t="shared" si="38"/>
        <v>17.624814814814812</v>
      </c>
      <c r="U243">
        <f t="shared" si="39"/>
        <v>18.916713740740736</v>
      </c>
      <c r="X243" s="9"/>
      <c r="Y243" s="21">
        <v>0.62667799999999996</v>
      </c>
      <c r="Z243" s="21">
        <v>17.0121</v>
      </c>
      <c r="AA243" s="21">
        <v>-1.4584400000000001E-2</v>
      </c>
      <c r="AB243" s="21">
        <v>233</v>
      </c>
      <c r="AC243" s="21">
        <v>0.62600699999999998</v>
      </c>
      <c r="AD243">
        <f t="shared" si="40"/>
        <v>18.005432098765432</v>
      </c>
      <c r="AE243">
        <f t="shared" si="41"/>
        <v>11.283608176790123</v>
      </c>
      <c r="AF243" s="9"/>
      <c r="AG243" s="21">
        <v>1.0732999999999999</v>
      </c>
      <c r="AH243" s="21">
        <v>20.831299999999999</v>
      </c>
      <c r="AI243" s="21">
        <v>-1.4154099999999999E-2</v>
      </c>
      <c r="AJ243" s="21">
        <v>233</v>
      </c>
      <c r="AK243" s="21">
        <v>1.07239</v>
      </c>
      <c r="AL243">
        <f t="shared" si="42"/>
        <v>17.474197530864195</v>
      </c>
      <c r="AM243">
        <f t="shared" si="43"/>
        <v>18.755056209876539</v>
      </c>
      <c r="AP243" s="9"/>
      <c r="AQ243" s="21">
        <v>0.62667799999999996</v>
      </c>
      <c r="AR243" s="21">
        <v>26.324300000000001</v>
      </c>
      <c r="AS243" s="21">
        <v>-1.4599600000000001E-2</v>
      </c>
      <c r="AT243" s="21">
        <v>233</v>
      </c>
      <c r="AU243" s="21">
        <v>0.62600699999999998</v>
      </c>
      <c r="AV243">
        <f t="shared" si="44"/>
        <v>18.0241975308642</v>
      </c>
      <c r="AW243">
        <f t="shared" si="45"/>
        <v>11.295368060246915</v>
      </c>
      <c r="AX243" s="9"/>
      <c r="AY243" s="21">
        <v>1.0732999999999999</v>
      </c>
      <c r="AZ243" s="21">
        <v>30.143599999999999</v>
      </c>
      <c r="BA243" s="21">
        <v>-1.41327E-2</v>
      </c>
      <c r="BB243" s="21">
        <v>233</v>
      </c>
      <c r="BC243" s="21">
        <v>1.0726899999999999</v>
      </c>
      <c r="BD243">
        <f t="shared" si="46"/>
        <v>17.447777777777777</v>
      </c>
      <c r="BE243">
        <f t="shared" si="47"/>
        <v>18.726699888888888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7.6989400000000003</v>
      </c>
      <c r="I244" s="21">
        <v>-1.4572099999999999E-2</v>
      </c>
      <c r="J244" s="21">
        <v>234</v>
      </c>
      <c r="K244" s="21">
        <v>0.62097199999999997</v>
      </c>
      <c r="L244">
        <f t="shared" si="36"/>
        <v>17.990246913580243</v>
      </c>
      <c r="M244">
        <f t="shared" si="37"/>
        <v>11.183511062098763</v>
      </c>
      <c r="N244" s="9"/>
      <c r="O244" s="21">
        <v>1.0783400000000001</v>
      </c>
      <c r="P244" s="21">
        <v>11.5181</v>
      </c>
      <c r="Q244" s="21">
        <v>-1.42548E-2</v>
      </c>
      <c r="R244" s="21">
        <v>234</v>
      </c>
      <c r="S244" s="21">
        <v>1.07697</v>
      </c>
      <c r="T244">
        <f t="shared" si="38"/>
        <v>17.598518518518517</v>
      </c>
      <c r="U244">
        <f t="shared" si="39"/>
        <v>18.977186459259258</v>
      </c>
      <c r="X244" s="9"/>
      <c r="Y244" s="21">
        <v>0.62164299999999995</v>
      </c>
      <c r="Z244" s="21">
        <v>17.022200000000002</v>
      </c>
      <c r="AA244" s="21">
        <v>-1.45813E-2</v>
      </c>
      <c r="AB244" s="21">
        <v>234</v>
      </c>
      <c r="AC244" s="21">
        <v>0.62097199999999997</v>
      </c>
      <c r="AD244">
        <f t="shared" si="40"/>
        <v>18.001604938271605</v>
      </c>
      <c r="AE244">
        <f t="shared" si="41"/>
        <v>11.190571698641975</v>
      </c>
      <c r="AF244" s="9"/>
      <c r="AG244" s="21">
        <v>1.0783400000000001</v>
      </c>
      <c r="AH244" s="21">
        <v>20.8413</v>
      </c>
      <c r="AI244" s="21">
        <v>-1.41418E-2</v>
      </c>
      <c r="AJ244" s="21">
        <v>234</v>
      </c>
      <c r="AK244" s="21">
        <v>1.07758</v>
      </c>
      <c r="AL244">
        <f t="shared" si="42"/>
        <v>17.45901234567901</v>
      </c>
      <c r="AM244">
        <f t="shared" si="43"/>
        <v>18.826751372839507</v>
      </c>
      <c r="AP244" s="9"/>
      <c r="AQ244" s="21">
        <v>0.62164299999999995</v>
      </c>
      <c r="AR244" s="21">
        <v>26.334399999999999</v>
      </c>
      <c r="AS244" s="21">
        <v>-1.4605699999999999E-2</v>
      </c>
      <c r="AT244" s="21">
        <v>234</v>
      </c>
      <c r="AU244" s="21">
        <v>0.62094099999999997</v>
      </c>
      <c r="AV244">
        <f t="shared" si="44"/>
        <v>18.031728395061727</v>
      </c>
      <c r="AW244">
        <f t="shared" si="45"/>
        <v>11.209297734691356</v>
      </c>
      <c r="AX244" s="9"/>
      <c r="AY244" s="21">
        <v>1.0783400000000001</v>
      </c>
      <c r="AZ244" s="21">
        <v>30.153600000000001</v>
      </c>
      <c r="BA244" s="21">
        <v>-1.4108300000000001E-2</v>
      </c>
      <c r="BB244" s="21">
        <v>234</v>
      </c>
      <c r="BC244" s="21">
        <v>1.0772699999999999</v>
      </c>
      <c r="BD244">
        <f t="shared" si="46"/>
        <v>17.417654320987655</v>
      </c>
      <c r="BE244">
        <f t="shared" si="47"/>
        <v>18.78215336049383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7.7090100000000001</v>
      </c>
      <c r="I245" s="21">
        <v>-1.4572099999999999E-2</v>
      </c>
      <c r="J245" s="21">
        <v>235</v>
      </c>
      <c r="K245" s="21">
        <v>0.61587499999999995</v>
      </c>
      <c r="L245">
        <f t="shared" si="36"/>
        <v>17.990246913580243</v>
      </c>
      <c r="M245">
        <f t="shared" si="37"/>
        <v>11.092930168888888</v>
      </c>
      <c r="N245" s="9"/>
      <c r="O245" s="21">
        <v>1.0833699999999999</v>
      </c>
      <c r="P245" s="21">
        <v>11.5282</v>
      </c>
      <c r="Q245" s="21">
        <v>-1.4242599999999999E-2</v>
      </c>
      <c r="R245" s="21">
        <v>235</v>
      </c>
      <c r="S245" s="21">
        <v>1.0821499999999999</v>
      </c>
      <c r="T245">
        <f t="shared" si="38"/>
        <v>17.583456790123453</v>
      </c>
      <c r="U245">
        <f t="shared" si="39"/>
        <v>19.049389582716046</v>
      </c>
      <c r="X245" s="9"/>
      <c r="Y245" s="21">
        <v>0.61660800000000004</v>
      </c>
      <c r="Z245" s="21">
        <v>17.0322</v>
      </c>
      <c r="AA245" s="21">
        <v>-1.45752E-2</v>
      </c>
      <c r="AB245" s="21">
        <v>235</v>
      </c>
      <c r="AC245" s="21">
        <v>0.61593600000000004</v>
      </c>
      <c r="AD245">
        <f t="shared" si="40"/>
        <v>17.994074074074071</v>
      </c>
      <c r="AE245">
        <f t="shared" si="41"/>
        <v>11.095290026666666</v>
      </c>
      <c r="AF245" s="9"/>
      <c r="AG245" s="21">
        <v>1.0833699999999999</v>
      </c>
      <c r="AH245" s="21">
        <v>20.851400000000002</v>
      </c>
      <c r="AI245" s="21">
        <v>-1.4129600000000001E-2</v>
      </c>
      <c r="AJ245" s="21">
        <v>235</v>
      </c>
      <c r="AK245" s="21">
        <v>1.08246</v>
      </c>
      <c r="AL245">
        <f t="shared" si="42"/>
        <v>17.443950617283949</v>
      </c>
      <c r="AM245">
        <f t="shared" si="43"/>
        <v>18.89825278024691</v>
      </c>
      <c r="AP245" s="9"/>
      <c r="AQ245" s="21">
        <v>0.61660800000000004</v>
      </c>
      <c r="AR245" s="21">
        <v>26.3445</v>
      </c>
      <c r="AS245" s="21">
        <v>-1.4605699999999999E-2</v>
      </c>
      <c r="AT245" s="21">
        <v>235</v>
      </c>
      <c r="AU245" s="21">
        <v>0.61590599999999995</v>
      </c>
      <c r="AV245">
        <f t="shared" si="44"/>
        <v>18.031728395061727</v>
      </c>
      <c r="AW245">
        <f t="shared" si="45"/>
        <v>11.118507982222223</v>
      </c>
      <c r="AX245" s="9"/>
      <c r="AY245" s="21">
        <v>1.0833699999999999</v>
      </c>
      <c r="AZ245" s="21">
        <v>30.163699999999999</v>
      </c>
      <c r="BA245" s="21">
        <v>-1.41022E-2</v>
      </c>
      <c r="BB245" s="21">
        <v>235</v>
      </c>
      <c r="BC245" s="21">
        <v>1.0821499999999999</v>
      </c>
      <c r="BD245">
        <f t="shared" si="46"/>
        <v>17.410123456790124</v>
      </c>
      <c r="BE245">
        <f t="shared" si="47"/>
        <v>18.861605449382715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7.7190799999999999</v>
      </c>
      <c r="I246" s="21">
        <v>-1.45874E-2</v>
      </c>
      <c r="J246" s="21">
        <v>236</v>
      </c>
      <c r="K246" s="21">
        <v>0.61090100000000003</v>
      </c>
      <c r="L246">
        <f t="shared" si="36"/>
        <v>18.009135802469135</v>
      </c>
      <c r="M246">
        <f t="shared" si="37"/>
        <v>11.013883200987655</v>
      </c>
      <c r="N246" s="9"/>
      <c r="O246" s="21">
        <v>1.0884100000000001</v>
      </c>
      <c r="P246" s="21">
        <v>11.5383</v>
      </c>
      <c r="Q246" s="21">
        <v>-1.42303E-2</v>
      </c>
      <c r="R246" s="21">
        <v>236</v>
      </c>
      <c r="S246" s="21">
        <v>1.08765</v>
      </c>
      <c r="T246">
        <f t="shared" si="38"/>
        <v>17.568271604938271</v>
      </c>
      <c r="U246">
        <f t="shared" si="39"/>
        <v>19.121482497530867</v>
      </c>
      <c r="X246" s="9"/>
      <c r="Y246" s="21">
        <v>0.611572</v>
      </c>
      <c r="Z246" s="21">
        <v>17.042300000000001</v>
      </c>
      <c r="AA246" s="21">
        <v>-1.4584400000000001E-2</v>
      </c>
      <c r="AB246" s="21">
        <v>236</v>
      </c>
      <c r="AC246" s="21">
        <v>0.61087000000000002</v>
      </c>
      <c r="AD246">
        <f t="shared" si="40"/>
        <v>18.005432098765432</v>
      </c>
      <c r="AE246">
        <f t="shared" si="41"/>
        <v>11.011618119506172</v>
      </c>
      <c r="AF246" s="9"/>
      <c r="AG246" s="21">
        <v>1.0884100000000001</v>
      </c>
      <c r="AH246" s="21">
        <v>20.861499999999999</v>
      </c>
      <c r="AI246" s="21">
        <v>-1.41266E-2</v>
      </c>
      <c r="AJ246" s="21">
        <v>236</v>
      </c>
      <c r="AK246" s="21">
        <v>1.08765</v>
      </c>
      <c r="AL246">
        <f t="shared" si="42"/>
        <v>17.440246913580246</v>
      </c>
      <c r="AM246">
        <f t="shared" si="43"/>
        <v>18.982139143209878</v>
      </c>
      <c r="AP246" s="9"/>
      <c r="AQ246" s="21">
        <v>0.611572</v>
      </c>
      <c r="AR246" s="21">
        <v>26.354500000000002</v>
      </c>
      <c r="AS246" s="21">
        <v>-1.4599600000000001E-2</v>
      </c>
      <c r="AT246" s="21">
        <v>236</v>
      </c>
      <c r="AU246" s="21">
        <v>0.61096200000000001</v>
      </c>
      <c r="AV246">
        <f t="shared" si="44"/>
        <v>18.0241975308642</v>
      </c>
      <c r="AW246">
        <f t="shared" si="45"/>
        <v>11.023094532345681</v>
      </c>
      <c r="AX246" s="9"/>
      <c r="AY246" s="21">
        <v>1.0884100000000001</v>
      </c>
      <c r="AZ246" s="21">
        <v>30.1738</v>
      </c>
      <c r="BA246" s="21">
        <v>-1.41052E-2</v>
      </c>
      <c r="BB246" s="21">
        <v>236</v>
      </c>
      <c r="BC246" s="21">
        <v>1.08704</v>
      </c>
      <c r="BD246">
        <f t="shared" si="46"/>
        <v>17.413827160493828</v>
      </c>
      <c r="BE246">
        <f t="shared" si="47"/>
        <v>18.95338361975309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7.7291499999999997</v>
      </c>
      <c r="I247" s="21">
        <v>-1.45966E-2</v>
      </c>
      <c r="J247" s="21">
        <v>237</v>
      </c>
      <c r="K247" s="21">
        <v>0.60598799999999997</v>
      </c>
      <c r="L247">
        <f t="shared" si="36"/>
        <v>18.020493827160493</v>
      </c>
      <c r="M247">
        <f t="shared" si="37"/>
        <v>10.930096264444444</v>
      </c>
      <c r="N247" s="9"/>
      <c r="O247" s="21">
        <v>1.09344</v>
      </c>
      <c r="P247" s="21">
        <v>11.548299999999999</v>
      </c>
      <c r="Q247" s="21">
        <v>-1.4224199999999999E-2</v>
      </c>
      <c r="R247" s="21">
        <v>237</v>
      </c>
      <c r="S247" s="21">
        <v>1.09283</v>
      </c>
      <c r="T247">
        <f t="shared" si="38"/>
        <v>17.560740740740737</v>
      </c>
      <c r="U247">
        <f t="shared" si="39"/>
        <v>19.201616355555551</v>
      </c>
      <c r="X247" s="9"/>
      <c r="Y247" s="21">
        <v>0.60653699999999999</v>
      </c>
      <c r="Z247" s="21">
        <v>17.052399999999999</v>
      </c>
      <c r="AA247" s="21">
        <v>-1.4578199999999999E-2</v>
      </c>
      <c r="AB247" s="21">
        <v>237</v>
      </c>
      <c r="AC247" s="21">
        <v>0.60577400000000003</v>
      </c>
      <c r="AD247">
        <f t="shared" si="40"/>
        <v>17.997777777777777</v>
      </c>
      <c r="AE247">
        <f t="shared" si="41"/>
        <v>10.91631814</v>
      </c>
      <c r="AF247" s="9"/>
      <c r="AG247" s="21">
        <v>1.09344</v>
      </c>
      <c r="AH247" s="21">
        <v>20.871600000000001</v>
      </c>
      <c r="AI247" s="21">
        <v>-1.41266E-2</v>
      </c>
      <c r="AJ247" s="21">
        <v>237</v>
      </c>
      <c r="AK247" s="21">
        <v>1.09222</v>
      </c>
      <c r="AL247">
        <f t="shared" si="42"/>
        <v>17.440246913580246</v>
      </c>
      <c r="AM247">
        <f t="shared" si="43"/>
        <v>19.069863585185185</v>
      </c>
      <c r="AP247" s="9"/>
      <c r="AQ247" s="21">
        <v>0.60653699999999999</v>
      </c>
      <c r="AR247" s="21">
        <v>26.364599999999999</v>
      </c>
      <c r="AS247" s="21">
        <v>-1.4593500000000001E-2</v>
      </c>
      <c r="AT247" s="21">
        <v>237</v>
      </c>
      <c r="AU247" s="21">
        <v>0.60583500000000001</v>
      </c>
      <c r="AV247">
        <f t="shared" si="44"/>
        <v>18.016666666666666</v>
      </c>
      <c r="AW247">
        <f t="shared" si="45"/>
        <v>10.92777495</v>
      </c>
      <c r="AX247" s="9"/>
      <c r="AY247" s="21">
        <v>1.09344</v>
      </c>
      <c r="AZ247" s="21">
        <v>30.183900000000001</v>
      </c>
      <c r="BA247" s="21">
        <v>-1.40961E-2</v>
      </c>
      <c r="BB247" s="21">
        <v>237</v>
      </c>
      <c r="BC247" s="21">
        <v>1.09222</v>
      </c>
      <c r="BD247">
        <f t="shared" si="46"/>
        <v>17.40259259259259</v>
      </c>
      <c r="BE247">
        <f t="shared" si="47"/>
        <v>19.028690844444441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7.7392200000000004</v>
      </c>
      <c r="I248" s="21">
        <v>-1.4611799999999999E-2</v>
      </c>
      <c r="J248" s="21">
        <v>238</v>
      </c>
      <c r="K248" s="21">
        <v>0.60086099999999998</v>
      </c>
      <c r="L248">
        <f t="shared" si="36"/>
        <v>18.039259259259257</v>
      </c>
      <c r="M248">
        <f t="shared" si="37"/>
        <v>10.850632483703702</v>
      </c>
      <c r="N248" s="9"/>
      <c r="O248" s="21">
        <v>1.0984799999999999</v>
      </c>
      <c r="P248" s="21">
        <v>11.558400000000001</v>
      </c>
      <c r="Q248" s="21">
        <v>-1.42273E-2</v>
      </c>
      <c r="R248" s="21">
        <v>238</v>
      </c>
      <c r="S248" s="21">
        <v>1.09741</v>
      </c>
      <c r="T248">
        <f t="shared" si="38"/>
        <v>17.564567901234565</v>
      </c>
      <c r="U248">
        <f t="shared" si="39"/>
        <v>19.294326548148142</v>
      </c>
      <c r="X248" s="9"/>
      <c r="Y248" s="21">
        <v>0.60150099999999995</v>
      </c>
      <c r="Z248" s="21">
        <v>17.0624</v>
      </c>
      <c r="AA248" s="21">
        <v>-1.4563E-2</v>
      </c>
      <c r="AB248" s="21">
        <v>238</v>
      </c>
      <c r="AC248" s="21">
        <v>0.6008</v>
      </c>
      <c r="AD248">
        <f t="shared" si="40"/>
        <v>17.979012345679013</v>
      </c>
      <c r="AE248">
        <f t="shared" si="41"/>
        <v>10.814393904938271</v>
      </c>
      <c r="AF248" s="9"/>
      <c r="AG248" s="21">
        <v>1.0984799999999999</v>
      </c>
      <c r="AH248" s="21">
        <v>20.881599999999999</v>
      </c>
      <c r="AI248" s="21">
        <v>-1.41327E-2</v>
      </c>
      <c r="AJ248" s="21">
        <v>238</v>
      </c>
      <c r="AK248" s="21">
        <v>1.09772</v>
      </c>
      <c r="AL248">
        <f t="shared" si="42"/>
        <v>17.447777777777777</v>
      </c>
      <c r="AM248">
        <f t="shared" si="43"/>
        <v>19.166034933333332</v>
      </c>
      <c r="AP248" s="9"/>
      <c r="AQ248" s="21">
        <v>0.60150099999999995</v>
      </c>
      <c r="AR248" s="21">
        <v>26.374700000000001</v>
      </c>
      <c r="AS248" s="21">
        <v>-1.45966E-2</v>
      </c>
      <c r="AT248" s="21">
        <v>238</v>
      </c>
      <c r="AU248" s="21">
        <v>0.60089099999999995</v>
      </c>
      <c r="AV248">
        <f t="shared" si="44"/>
        <v>18.020493827160493</v>
      </c>
      <c r="AW248">
        <f t="shared" si="45"/>
        <v>10.839345057530863</v>
      </c>
      <c r="AX248" s="9"/>
      <c r="AY248" s="21">
        <v>1.0984799999999999</v>
      </c>
      <c r="AZ248" s="21">
        <v>30.193899999999999</v>
      </c>
      <c r="BA248" s="21">
        <v>-1.4080799999999999E-2</v>
      </c>
      <c r="BB248" s="21">
        <v>238</v>
      </c>
      <c r="BC248" s="21">
        <v>1.09741</v>
      </c>
      <c r="BD248">
        <f t="shared" si="46"/>
        <v>17.383703703703702</v>
      </c>
      <c r="BE248">
        <f t="shared" si="47"/>
        <v>19.095650844444442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7.7492900000000002</v>
      </c>
      <c r="I249" s="21">
        <v>-1.4621E-2</v>
      </c>
      <c r="J249" s="21">
        <v>239</v>
      </c>
      <c r="K249" s="21">
        <v>0.59576399999999996</v>
      </c>
      <c r="L249">
        <f t="shared" si="36"/>
        <v>18.050617283950618</v>
      </c>
      <c r="M249">
        <f t="shared" si="37"/>
        <v>10.76657948888889</v>
      </c>
      <c r="N249" s="9"/>
      <c r="O249" s="21">
        <v>1.1035200000000001</v>
      </c>
      <c r="P249" s="21">
        <v>11.5685</v>
      </c>
      <c r="Q249" s="21">
        <v>-1.42303E-2</v>
      </c>
      <c r="R249" s="21">
        <v>239</v>
      </c>
      <c r="S249" s="21">
        <v>1.1029100000000001</v>
      </c>
      <c r="T249">
        <f t="shared" si="38"/>
        <v>17.568271604938271</v>
      </c>
      <c r="U249">
        <f t="shared" si="39"/>
        <v>19.386939081481483</v>
      </c>
      <c r="X249" s="9"/>
      <c r="Y249" s="21">
        <v>0.59646600000000005</v>
      </c>
      <c r="Z249" s="21">
        <v>17.072500000000002</v>
      </c>
      <c r="AA249" s="21">
        <v>-1.4556899999999999E-2</v>
      </c>
      <c r="AB249" s="21">
        <v>239</v>
      </c>
      <c r="AC249" s="21">
        <v>0.59576399999999996</v>
      </c>
      <c r="AD249">
        <f t="shared" si="40"/>
        <v>17.971481481481479</v>
      </c>
      <c r="AE249">
        <f t="shared" si="41"/>
        <v>10.719377673333334</v>
      </c>
      <c r="AF249" s="9"/>
      <c r="AG249" s="21">
        <v>1.1035200000000001</v>
      </c>
      <c r="AH249" s="21">
        <v>20.8917</v>
      </c>
      <c r="AI249" s="21">
        <v>-1.41327E-2</v>
      </c>
      <c r="AJ249" s="21">
        <v>239</v>
      </c>
      <c r="AK249" s="21">
        <v>1.10229</v>
      </c>
      <c r="AL249">
        <f t="shared" si="42"/>
        <v>17.447777777777777</v>
      </c>
      <c r="AM249">
        <f t="shared" si="43"/>
        <v>19.253971733333334</v>
      </c>
      <c r="AP249" s="9"/>
      <c r="AQ249" s="21">
        <v>0.59646600000000005</v>
      </c>
      <c r="AR249" s="21">
        <v>26.384699999999999</v>
      </c>
      <c r="AS249" s="21">
        <v>-1.4590499999999999E-2</v>
      </c>
      <c r="AT249" s="21">
        <v>239</v>
      </c>
      <c r="AU249" s="21">
        <v>0.59576399999999996</v>
      </c>
      <c r="AV249">
        <f t="shared" si="44"/>
        <v>18.012962962962959</v>
      </c>
      <c r="AW249">
        <f t="shared" si="45"/>
        <v>10.744119966666664</v>
      </c>
      <c r="AX249" s="9"/>
      <c r="AY249" s="21">
        <v>1.1035200000000001</v>
      </c>
      <c r="AZ249" s="21">
        <v>30.204000000000001</v>
      </c>
      <c r="BA249" s="21">
        <v>-1.40564E-2</v>
      </c>
      <c r="BB249" s="21">
        <v>239</v>
      </c>
      <c r="BC249" s="21">
        <v>1.10168</v>
      </c>
      <c r="BD249">
        <f t="shared" si="46"/>
        <v>17.35358024691358</v>
      </c>
      <c r="BE249">
        <f t="shared" si="47"/>
        <v>19.150022874074075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7.7593699999999997</v>
      </c>
      <c r="I250" s="21">
        <v>-1.4627100000000001E-2</v>
      </c>
      <c r="J250" s="21">
        <v>240</v>
      </c>
      <c r="K250" s="21">
        <v>0.59082000000000001</v>
      </c>
      <c r="L250">
        <f t="shared" si="36"/>
        <v>18.058148148148145</v>
      </c>
      <c r="M250">
        <f t="shared" si="37"/>
        <v>10.680148617407406</v>
      </c>
      <c r="N250" s="9"/>
      <c r="O250" s="21">
        <v>1.1085499999999999</v>
      </c>
      <c r="P250" s="21">
        <v>11.5786</v>
      </c>
      <c r="Q250" s="21">
        <v>-1.4218099999999999E-2</v>
      </c>
      <c r="R250" s="21">
        <v>240</v>
      </c>
      <c r="S250" s="21">
        <v>1.10748</v>
      </c>
      <c r="T250">
        <f t="shared" si="38"/>
        <v>17.553209876543207</v>
      </c>
      <c r="U250">
        <f t="shared" si="39"/>
        <v>19.458610808641971</v>
      </c>
      <c r="X250" s="9"/>
      <c r="Y250" s="21">
        <v>0.59143100000000004</v>
      </c>
      <c r="Z250" s="21">
        <v>17.082599999999999</v>
      </c>
      <c r="AA250" s="21">
        <v>-1.45538E-2</v>
      </c>
      <c r="AB250" s="21">
        <v>240</v>
      </c>
      <c r="AC250" s="21">
        <v>0.59075900000000003</v>
      </c>
      <c r="AD250">
        <f t="shared" si="40"/>
        <v>17.967654320987652</v>
      </c>
      <c r="AE250">
        <f t="shared" si="41"/>
        <v>10.626627762716049</v>
      </c>
      <c r="AF250" s="9"/>
      <c r="AG250" s="21">
        <v>1.1085499999999999</v>
      </c>
      <c r="AH250" s="21">
        <v>20.901800000000001</v>
      </c>
      <c r="AI250" s="21">
        <v>-1.4120499999999999E-2</v>
      </c>
      <c r="AJ250" s="21">
        <v>240</v>
      </c>
      <c r="AK250" s="21">
        <v>1.1077900000000001</v>
      </c>
      <c r="AL250">
        <f t="shared" si="42"/>
        <v>17.432716049382716</v>
      </c>
      <c r="AM250">
        <f t="shared" si="43"/>
        <v>19.325037376543207</v>
      </c>
      <c r="AP250" s="9"/>
      <c r="AQ250" s="21">
        <v>0.59143100000000004</v>
      </c>
      <c r="AR250" s="21">
        <v>26.3948</v>
      </c>
      <c r="AS250" s="21">
        <v>-1.4593500000000001E-2</v>
      </c>
      <c r="AT250" s="21">
        <v>240</v>
      </c>
      <c r="AU250" s="21">
        <v>0.59075900000000003</v>
      </c>
      <c r="AV250">
        <f t="shared" si="44"/>
        <v>18.016666666666666</v>
      </c>
      <c r="AW250">
        <f t="shared" si="45"/>
        <v>10.655615183333333</v>
      </c>
      <c r="AX250" s="9"/>
      <c r="AY250" s="21">
        <v>1.1085499999999999</v>
      </c>
      <c r="AZ250" s="21">
        <v>30.214099999999998</v>
      </c>
      <c r="BA250" s="21">
        <v>-1.40442E-2</v>
      </c>
      <c r="BB250" s="21">
        <v>240</v>
      </c>
      <c r="BC250" s="21">
        <v>1.1071800000000001</v>
      </c>
      <c r="BD250">
        <f t="shared" si="46"/>
        <v>17.338518518518516</v>
      </c>
      <c r="BE250">
        <f t="shared" si="47"/>
        <v>19.220614703703699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7.7694400000000003</v>
      </c>
      <c r="I251" s="21">
        <v>-1.46362E-2</v>
      </c>
      <c r="J251" s="21">
        <v>241</v>
      </c>
      <c r="K251" s="21">
        <v>0.58572400000000002</v>
      </c>
      <c r="L251">
        <f t="shared" si="36"/>
        <v>18.069382716049383</v>
      </c>
      <c r="M251">
        <f t="shared" si="37"/>
        <v>10.595795677777778</v>
      </c>
      <c r="N251" s="9"/>
      <c r="O251" s="21">
        <v>1.1135900000000001</v>
      </c>
      <c r="P251" s="21">
        <v>11.5886</v>
      </c>
      <c r="Q251" s="21">
        <v>-1.42059E-2</v>
      </c>
      <c r="R251" s="21">
        <v>241</v>
      </c>
      <c r="S251" s="21">
        <v>1.11267</v>
      </c>
      <c r="T251">
        <f t="shared" si="38"/>
        <v>17.538148148148146</v>
      </c>
      <c r="U251">
        <f t="shared" si="39"/>
        <v>19.530306396296297</v>
      </c>
      <c r="X251" s="9"/>
      <c r="Y251" s="21">
        <v>0.586395</v>
      </c>
      <c r="Z251" s="21">
        <v>17.092700000000001</v>
      </c>
      <c r="AA251" s="21">
        <v>-1.4559900000000001E-2</v>
      </c>
      <c r="AB251" s="21">
        <v>241</v>
      </c>
      <c r="AC251" s="21">
        <v>0.58572400000000002</v>
      </c>
      <c r="AD251">
        <f t="shared" si="40"/>
        <v>17.975185185185186</v>
      </c>
      <c r="AE251">
        <f t="shared" si="41"/>
        <v>10.540558716666666</v>
      </c>
      <c r="AF251" s="9"/>
      <c r="AG251" s="21">
        <v>1.1135900000000001</v>
      </c>
      <c r="AH251" s="21">
        <v>20.911799999999999</v>
      </c>
      <c r="AI251" s="21">
        <v>-1.4114399999999999E-2</v>
      </c>
      <c r="AJ251" s="21">
        <v>241</v>
      </c>
      <c r="AK251" s="21">
        <v>1.11267</v>
      </c>
      <c r="AL251">
        <f t="shared" si="42"/>
        <v>17.425185185185182</v>
      </c>
      <c r="AM251">
        <f t="shared" si="43"/>
        <v>19.404511970370368</v>
      </c>
      <c r="AP251" s="9"/>
      <c r="AQ251" s="21">
        <v>0.586395</v>
      </c>
      <c r="AR251" s="21">
        <v>26.404900000000001</v>
      </c>
      <c r="AS251" s="21">
        <v>-1.4593500000000001E-2</v>
      </c>
      <c r="AT251" s="21">
        <v>241</v>
      </c>
      <c r="AU251" s="21">
        <v>0.585754</v>
      </c>
      <c r="AV251">
        <f t="shared" si="44"/>
        <v>18.016666666666666</v>
      </c>
      <c r="AW251">
        <f t="shared" si="45"/>
        <v>10.564883249999999</v>
      </c>
      <c r="AX251" s="9"/>
      <c r="AY251" s="21">
        <v>1.1135900000000001</v>
      </c>
      <c r="AZ251" s="21">
        <v>30.2241</v>
      </c>
      <c r="BA251" s="21">
        <v>-1.4035000000000001E-2</v>
      </c>
      <c r="BB251" s="21">
        <v>241</v>
      </c>
      <c r="BC251" s="21">
        <v>1.1123700000000001</v>
      </c>
      <c r="BD251">
        <f t="shared" si="46"/>
        <v>17.327160493827162</v>
      </c>
      <c r="BE251">
        <f t="shared" si="47"/>
        <v>19.29535265432099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7.7795100000000001</v>
      </c>
      <c r="I252" s="21">
        <v>-1.4633200000000001E-2</v>
      </c>
      <c r="J252" s="21">
        <v>242</v>
      </c>
      <c r="K252" s="21">
        <v>0.58068799999999998</v>
      </c>
      <c r="L252">
        <f t="shared" si="36"/>
        <v>18.065679012345679</v>
      </c>
      <c r="M252">
        <f t="shared" si="37"/>
        <v>10.502663150617284</v>
      </c>
      <c r="N252" s="9"/>
      <c r="O252" s="21">
        <v>1.1186199999999999</v>
      </c>
      <c r="P252" s="21">
        <v>11.598699999999999</v>
      </c>
      <c r="Q252" s="21">
        <v>-1.4196800000000001E-2</v>
      </c>
      <c r="R252" s="21">
        <v>242</v>
      </c>
      <c r="S252" s="21">
        <v>1.11755</v>
      </c>
      <c r="T252">
        <f t="shared" si="38"/>
        <v>17.526913580246916</v>
      </c>
      <c r="U252">
        <f t="shared" si="39"/>
        <v>19.605956069135804</v>
      </c>
      <c r="X252" s="9"/>
      <c r="Y252" s="21">
        <v>0.58135999999999999</v>
      </c>
      <c r="Z252" s="21">
        <v>17.102699999999999</v>
      </c>
      <c r="AA252" s="21">
        <v>-1.4556899999999999E-2</v>
      </c>
      <c r="AB252" s="21">
        <v>242</v>
      </c>
      <c r="AC252" s="21">
        <v>0.58074999999999999</v>
      </c>
      <c r="AD252">
        <f t="shared" si="40"/>
        <v>17.971481481481479</v>
      </c>
      <c r="AE252">
        <f t="shared" si="41"/>
        <v>10.447900474074073</v>
      </c>
      <c r="AF252" s="9"/>
      <c r="AG252" s="21">
        <v>1.1186199999999999</v>
      </c>
      <c r="AH252" s="21">
        <v>20.921900000000001</v>
      </c>
      <c r="AI252" s="21">
        <v>-1.41022E-2</v>
      </c>
      <c r="AJ252" s="21">
        <v>242</v>
      </c>
      <c r="AK252" s="21">
        <v>1.11755</v>
      </c>
      <c r="AL252">
        <f t="shared" si="42"/>
        <v>17.410123456790124</v>
      </c>
      <c r="AM252">
        <f t="shared" si="43"/>
        <v>19.475312301234567</v>
      </c>
      <c r="AP252" s="9"/>
      <c r="AQ252" s="21">
        <v>0.58135999999999999</v>
      </c>
      <c r="AR252" s="21">
        <v>26.414899999999999</v>
      </c>
      <c r="AS252" s="21">
        <v>-1.46027E-2</v>
      </c>
      <c r="AT252" s="21">
        <v>242</v>
      </c>
      <c r="AU252" s="21">
        <v>0.58074999999999999</v>
      </c>
      <c r="AV252">
        <f t="shared" si="44"/>
        <v>18.028024691358024</v>
      </c>
      <c r="AW252">
        <f t="shared" si="45"/>
        <v>10.4807724345679</v>
      </c>
      <c r="AX252" s="9"/>
      <c r="AY252" s="21">
        <v>1.1186199999999999</v>
      </c>
      <c r="AZ252" s="21">
        <v>30.234200000000001</v>
      </c>
      <c r="BA252" s="21">
        <v>-1.4035000000000001E-2</v>
      </c>
      <c r="BB252" s="21">
        <v>242</v>
      </c>
      <c r="BC252" s="21">
        <v>1.1178600000000001</v>
      </c>
      <c r="BD252">
        <f t="shared" si="46"/>
        <v>17.327160493827162</v>
      </c>
      <c r="BE252">
        <f t="shared" si="47"/>
        <v>19.382508271604937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7.7895799999999999</v>
      </c>
      <c r="I253" s="21">
        <v>-1.4624E-2</v>
      </c>
      <c r="J253" s="21">
        <v>243</v>
      </c>
      <c r="K253" s="21">
        <v>0.57565299999999997</v>
      </c>
      <c r="L253">
        <f t="shared" si="36"/>
        <v>18.054320987654318</v>
      </c>
      <c r="M253">
        <f t="shared" si="37"/>
        <v>10.405138488888886</v>
      </c>
      <c r="N253" s="9"/>
      <c r="O253" s="21">
        <v>1.1236600000000001</v>
      </c>
      <c r="P253" s="21">
        <v>11.6088</v>
      </c>
      <c r="Q253" s="21">
        <v>-1.41785E-2</v>
      </c>
      <c r="R253" s="21">
        <v>243</v>
      </c>
      <c r="S253" s="21">
        <v>1.1224400000000001</v>
      </c>
      <c r="T253">
        <f t="shared" si="38"/>
        <v>17.504320987654321</v>
      </c>
      <c r="U253">
        <f t="shared" si="39"/>
        <v>19.668905320987655</v>
      </c>
      <c r="X253" s="9"/>
      <c r="Y253" s="21">
        <v>0.57632399999999995</v>
      </c>
      <c r="Z253" s="21">
        <v>17.1128</v>
      </c>
      <c r="AA253" s="21">
        <v>-1.4559900000000001E-2</v>
      </c>
      <c r="AB253" s="21">
        <v>243</v>
      </c>
      <c r="AC253" s="21">
        <v>0.57568399999999997</v>
      </c>
      <c r="AD253">
        <f t="shared" si="40"/>
        <v>17.975185185185186</v>
      </c>
      <c r="AE253">
        <f t="shared" si="41"/>
        <v>10.359530626666666</v>
      </c>
      <c r="AF253" s="9"/>
      <c r="AG253" s="21">
        <v>1.1236600000000001</v>
      </c>
      <c r="AH253" s="21">
        <v>20.931999999999999</v>
      </c>
      <c r="AI253" s="21">
        <v>-1.40991E-2</v>
      </c>
      <c r="AJ253" s="21">
        <v>243</v>
      </c>
      <c r="AK253" s="21">
        <v>1.1224400000000001</v>
      </c>
      <c r="AL253">
        <f t="shared" si="42"/>
        <v>17.406296296296293</v>
      </c>
      <c r="AM253">
        <f t="shared" si="43"/>
        <v>19.558758896296293</v>
      </c>
      <c r="AP253" s="9"/>
      <c r="AQ253" s="21">
        <v>0.57632399999999995</v>
      </c>
      <c r="AR253" s="21">
        <v>26.425000000000001</v>
      </c>
      <c r="AS253" s="21">
        <v>-1.46179E-2</v>
      </c>
      <c r="AT253" s="21">
        <v>243</v>
      </c>
      <c r="AU253" s="21">
        <v>0.57577500000000004</v>
      </c>
      <c r="AV253">
        <f t="shared" si="44"/>
        <v>18.046790123456791</v>
      </c>
      <c r="AW253">
        <f t="shared" si="45"/>
        <v>10.40079827111111</v>
      </c>
      <c r="AX253" s="9"/>
      <c r="AY253" s="21">
        <v>1.1236600000000001</v>
      </c>
      <c r="AZ253" s="21">
        <v>30.244299999999999</v>
      </c>
      <c r="BA253" s="21">
        <v>-1.4025900000000001E-2</v>
      </c>
      <c r="BB253" s="21">
        <v>243</v>
      </c>
      <c r="BC253" s="21">
        <v>1.1230500000000001</v>
      </c>
      <c r="BD253">
        <f t="shared" si="46"/>
        <v>17.315925925925924</v>
      </c>
      <c r="BE253">
        <f t="shared" si="47"/>
        <v>19.457213325925927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7.7996499999999997</v>
      </c>
      <c r="I254" s="21">
        <v>-1.4624E-2</v>
      </c>
      <c r="J254" s="21">
        <v>244</v>
      </c>
      <c r="K254" s="21">
        <v>0.57064800000000004</v>
      </c>
      <c r="L254">
        <f t="shared" si="36"/>
        <v>18.054320987654318</v>
      </c>
      <c r="M254">
        <f t="shared" si="37"/>
        <v>10.314234982716048</v>
      </c>
      <c r="N254" s="9"/>
      <c r="O254" s="21">
        <v>1.12869</v>
      </c>
      <c r="P254" s="21">
        <v>11.6188</v>
      </c>
      <c r="Q254" s="21">
        <v>-1.41602E-2</v>
      </c>
      <c r="R254" s="21">
        <v>244</v>
      </c>
      <c r="S254" s="21">
        <v>1.1285400000000001</v>
      </c>
      <c r="T254">
        <f t="shared" si="38"/>
        <v>17.481728395061729</v>
      </c>
      <c r="U254">
        <f t="shared" si="39"/>
        <v>19.731452022222221</v>
      </c>
      <c r="X254" s="9"/>
      <c r="Y254" s="21">
        <v>0.57128900000000005</v>
      </c>
      <c r="Z254" s="21">
        <v>17.122900000000001</v>
      </c>
      <c r="AA254" s="21">
        <v>-1.4563E-2</v>
      </c>
      <c r="AB254" s="21">
        <v>244</v>
      </c>
      <c r="AC254" s="21">
        <v>0.57064800000000004</v>
      </c>
      <c r="AD254">
        <f t="shared" si="40"/>
        <v>17.979012345679013</v>
      </c>
      <c r="AE254">
        <f t="shared" si="41"/>
        <v>10.271211983950618</v>
      </c>
      <c r="AF254" s="9"/>
      <c r="AG254" s="21">
        <v>1.12869</v>
      </c>
      <c r="AH254" s="21">
        <v>20.9421</v>
      </c>
      <c r="AI254" s="21">
        <v>-1.40961E-2</v>
      </c>
      <c r="AJ254" s="21">
        <v>244</v>
      </c>
      <c r="AK254" s="21">
        <v>1.1276200000000001</v>
      </c>
      <c r="AL254">
        <f t="shared" si="42"/>
        <v>17.40259259259259</v>
      </c>
      <c r="AM254">
        <f t="shared" si="43"/>
        <v>19.642132233333331</v>
      </c>
      <c r="AP254" s="9"/>
      <c r="AQ254" s="21">
        <v>0.57128900000000005</v>
      </c>
      <c r="AR254" s="21">
        <v>26.435099999999998</v>
      </c>
      <c r="AS254" s="21">
        <v>-1.46149E-2</v>
      </c>
      <c r="AT254" s="21">
        <v>244</v>
      </c>
      <c r="AU254" s="21">
        <v>0.57058699999999996</v>
      </c>
      <c r="AV254">
        <f t="shared" si="44"/>
        <v>18.043086419753088</v>
      </c>
      <c r="AW254">
        <f t="shared" si="45"/>
        <v>10.307816797654322</v>
      </c>
      <c r="AX254" s="9"/>
      <c r="AY254" s="21">
        <v>1.12869</v>
      </c>
      <c r="AZ254" s="21">
        <v>30.2544</v>
      </c>
      <c r="BA254" s="21">
        <v>-1.40228E-2</v>
      </c>
      <c r="BB254" s="21">
        <v>244</v>
      </c>
      <c r="BC254" s="21">
        <v>1.1270100000000001</v>
      </c>
      <c r="BD254">
        <f t="shared" si="46"/>
        <v>17.312098765432097</v>
      </c>
      <c r="BE254">
        <f t="shared" si="47"/>
        <v>19.539992755555552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7.8097200000000004</v>
      </c>
      <c r="I255" s="21">
        <v>-1.4624E-2</v>
      </c>
      <c r="J255" s="21">
        <v>245</v>
      </c>
      <c r="K255" s="21">
        <v>0.56570399999999998</v>
      </c>
      <c r="L255">
        <f t="shared" si="36"/>
        <v>18.054320987654318</v>
      </c>
      <c r="M255">
        <f t="shared" si="37"/>
        <v>10.223331476543208</v>
      </c>
      <c r="N255" s="9"/>
      <c r="O255" s="21">
        <v>1.1337299999999999</v>
      </c>
      <c r="P255" s="21">
        <v>11.6289</v>
      </c>
      <c r="Q255" s="21">
        <v>-1.41479E-2</v>
      </c>
      <c r="R255" s="21">
        <v>245</v>
      </c>
      <c r="S255" s="21">
        <v>1.1331199999999999</v>
      </c>
      <c r="T255">
        <f t="shared" si="38"/>
        <v>17.466543209876541</v>
      </c>
      <c r="U255">
        <f t="shared" si="39"/>
        <v>19.80234403333333</v>
      </c>
      <c r="X255" s="9"/>
      <c r="Y255" s="21">
        <v>0.56625400000000004</v>
      </c>
      <c r="Z255" s="21">
        <v>17.132899999999999</v>
      </c>
      <c r="AA255" s="21">
        <v>-1.45752E-2</v>
      </c>
      <c r="AB255" s="21">
        <v>245</v>
      </c>
      <c r="AC255" s="21">
        <v>0.56558200000000003</v>
      </c>
      <c r="AD255">
        <f t="shared" si="40"/>
        <v>17.994074074074071</v>
      </c>
      <c r="AE255">
        <f t="shared" si="41"/>
        <v>10.18921642074074</v>
      </c>
      <c r="AF255" s="9"/>
      <c r="AG255" s="21">
        <v>1.1337299999999999</v>
      </c>
      <c r="AH255" s="21">
        <v>20.952100000000002</v>
      </c>
      <c r="AI255" s="21">
        <v>-1.4086899999999999E-2</v>
      </c>
      <c r="AJ255" s="21">
        <v>245</v>
      </c>
      <c r="AK255" s="21">
        <v>1.1334200000000001</v>
      </c>
      <c r="AL255">
        <f t="shared" si="42"/>
        <v>17.391234567901233</v>
      </c>
      <c r="AM255">
        <f t="shared" si="43"/>
        <v>19.716964366666662</v>
      </c>
      <c r="AP255" s="9"/>
      <c r="AQ255" s="21">
        <v>0.56625400000000004</v>
      </c>
      <c r="AR255" s="21">
        <v>26.4452</v>
      </c>
      <c r="AS255" s="21">
        <v>-1.46179E-2</v>
      </c>
      <c r="AT255" s="21">
        <v>245</v>
      </c>
      <c r="AU255" s="21">
        <v>0.56561300000000003</v>
      </c>
      <c r="AV255">
        <f t="shared" si="44"/>
        <v>18.046790123456791</v>
      </c>
      <c r="AW255">
        <f t="shared" si="45"/>
        <v>10.219067094567903</v>
      </c>
      <c r="AX255" s="9"/>
      <c r="AY255" s="21">
        <v>1.1337299999999999</v>
      </c>
      <c r="AZ255" s="21">
        <v>30.264399999999998</v>
      </c>
      <c r="BA255" s="21">
        <v>-1.40167E-2</v>
      </c>
      <c r="BB255" s="21">
        <v>245</v>
      </c>
      <c r="BC255" s="21">
        <v>1.1325099999999999</v>
      </c>
      <c r="BD255">
        <f t="shared" si="46"/>
        <v>17.304567901234567</v>
      </c>
      <c r="BE255">
        <f t="shared" si="47"/>
        <v>19.618707766666663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7.8197900000000002</v>
      </c>
      <c r="I256" s="21">
        <v>-1.46362E-2</v>
      </c>
      <c r="J256" s="21">
        <v>246</v>
      </c>
      <c r="K256" s="21">
        <v>0.56051600000000001</v>
      </c>
      <c r="L256">
        <f t="shared" si="36"/>
        <v>18.069382716049383</v>
      </c>
      <c r="M256">
        <f t="shared" si="37"/>
        <v>10.140862829135802</v>
      </c>
      <c r="N256" s="9"/>
      <c r="O256" s="21">
        <v>1.13876</v>
      </c>
      <c r="P256" s="21">
        <v>11.638999999999999</v>
      </c>
      <c r="Q256" s="21">
        <v>-1.4135699999999999E-2</v>
      </c>
      <c r="R256" s="21">
        <v>246</v>
      </c>
      <c r="S256" s="21">
        <v>1.1379999999999999</v>
      </c>
      <c r="T256">
        <f t="shared" si="38"/>
        <v>17.45148148148148</v>
      </c>
      <c r="U256">
        <f t="shared" si="39"/>
        <v>19.873049051851851</v>
      </c>
      <c r="X256" s="9"/>
      <c r="Y256" s="21">
        <v>0.56121799999999999</v>
      </c>
      <c r="Z256" s="21">
        <v>17.143000000000001</v>
      </c>
      <c r="AA256" s="21">
        <v>-1.4584400000000001E-2</v>
      </c>
      <c r="AB256" s="21">
        <v>246</v>
      </c>
      <c r="AC256" s="21">
        <v>0.560608</v>
      </c>
      <c r="AD256">
        <f t="shared" si="40"/>
        <v>18.005432098765432</v>
      </c>
      <c r="AE256">
        <f t="shared" si="41"/>
        <v>10.104972591604938</v>
      </c>
      <c r="AF256" s="9"/>
      <c r="AG256" s="21">
        <v>1.13876</v>
      </c>
      <c r="AH256" s="21">
        <v>20.962199999999999</v>
      </c>
      <c r="AI256" s="21">
        <v>-1.40778E-2</v>
      </c>
      <c r="AJ256" s="21">
        <v>246</v>
      </c>
      <c r="AK256" s="21">
        <v>1.1379999999999999</v>
      </c>
      <c r="AL256">
        <f t="shared" si="42"/>
        <v>17.38</v>
      </c>
      <c r="AM256">
        <f t="shared" si="43"/>
        <v>19.791648799999997</v>
      </c>
      <c r="AP256" s="9"/>
      <c r="AQ256" s="21">
        <v>0.56121799999999999</v>
      </c>
      <c r="AR256" s="21">
        <v>26.455200000000001</v>
      </c>
      <c r="AS256" s="21">
        <v>-1.46088E-2</v>
      </c>
      <c r="AT256" s="21">
        <v>246</v>
      </c>
      <c r="AU256" s="21">
        <v>0.560608</v>
      </c>
      <c r="AV256">
        <f t="shared" si="44"/>
        <v>18.035555555555554</v>
      </c>
      <c r="AW256">
        <f t="shared" si="45"/>
        <v>10.121878417777777</v>
      </c>
      <c r="AX256" s="9"/>
      <c r="AY256" s="21">
        <v>1.13876</v>
      </c>
      <c r="AZ256" s="21">
        <v>30.2745</v>
      </c>
      <c r="BA256" s="21">
        <v>-1.39954E-2</v>
      </c>
      <c r="BB256" s="21">
        <v>246</v>
      </c>
      <c r="BC256" s="21">
        <v>1.1373899999999999</v>
      </c>
      <c r="BD256">
        <f t="shared" si="46"/>
        <v>17.278271604938272</v>
      </c>
      <c r="BE256">
        <f t="shared" si="47"/>
        <v>19.675804572839507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7.82986</v>
      </c>
      <c r="I257" s="21">
        <v>-1.46423E-2</v>
      </c>
      <c r="J257" s="21">
        <v>247</v>
      </c>
      <c r="K257" s="21">
        <v>0.555481</v>
      </c>
      <c r="L257">
        <f t="shared" si="36"/>
        <v>18.076913580246913</v>
      </c>
      <c r="M257">
        <f t="shared" si="37"/>
        <v>10.054072025802469</v>
      </c>
      <c r="N257" s="9"/>
      <c r="O257" s="21">
        <v>1.1437999999999999</v>
      </c>
      <c r="P257" s="21">
        <v>11.649100000000001</v>
      </c>
      <c r="Q257" s="21">
        <v>-1.41266E-2</v>
      </c>
      <c r="R257" s="21">
        <v>247</v>
      </c>
      <c r="S257" s="21">
        <v>1.1431899999999999</v>
      </c>
      <c r="T257">
        <f t="shared" si="38"/>
        <v>17.440246913580246</v>
      </c>
      <c r="U257">
        <f t="shared" si="39"/>
        <v>19.948154419753084</v>
      </c>
      <c r="X257" s="9"/>
      <c r="Y257" s="21">
        <v>0.55618299999999998</v>
      </c>
      <c r="Z257" s="21">
        <v>17.153099999999998</v>
      </c>
      <c r="AA257" s="21">
        <v>-1.45966E-2</v>
      </c>
      <c r="AB257" s="21">
        <v>247</v>
      </c>
      <c r="AC257" s="21">
        <v>0.55551099999999998</v>
      </c>
      <c r="AD257">
        <f t="shared" si="40"/>
        <v>18.020493827160493</v>
      </c>
      <c r="AE257">
        <f t="shared" si="41"/>
        <v>10.022692318271604</v>
      </c>
      <c r="AF257" s="9"/>
      <c r="AG257" s="21">
        <v>1.1437999999999999</v>
      </c>
      <c r="AH257" s="21">
        <v>20.972300000000001</v>
      </c>
      <c r="AI257" s="21">
        <v>-1.4065599999999999E-2</v>
      </c>
      <c r="AJ257" s="21">
        <v>247</v>
      </c>
      <c r="AK257" s="21">
        <v>1.1428799999999999</v>
      </c>
      <c r="AL257">
        <f t="shared" si="42"/>
        <v>17.364938271604938</v>
      </c>
      <c r="AM257">
        <f t="shared" si="43"/>
        <v>19.862016395061726</v>
      </c>
      <c r="AP257" s="9"/>
      <c r="AQ257" s="21">
        <v>0.55618299999999998</v>
      </c>
      <c r="AR257" s="21">
        <v>26.465299999999999</v>
      </c>
      <c r="AS257" s="21">
        <v>-1.4605699999999999E-2</v>
      </c>
      <c r="AT257" s="21">
        <v>247</v>
      </c>
      <c r="AU257" s="21">
        <v>0.55557299999999998</v>
      </c>
      <c r="AV257">
        <f t="shared" si="44"/>
        <v>18.031728395061727</v>
      </c>
      <c r="AW257">
        <f t="shared" si="45"/>
        <v>10.028940793950616</v>
      </c>
      <c r="AX257" s="9"/>
      <c r="AY257" s="21">
        <v>1.1437999999999999</v>
      </c>
      <c r="AZ257" s="21">
        <v>30.284600000000001</v>
      </c>
      <c r="BA257" s="21">
        <v>-1.39679E-2</v>
      </c>
      <c r="BB257" s="21">
        <v>247</v>
      </c>
      <c r="BC257" s="21">
        <v>1.1425799999999999</v>
      </c>
      <c r="BD257">
        <f t="shared" si="46"/>
        <v>17.244320987654319</v>
      </c>
      <c r="BE257">
        <f t="shared" si="47"/>
        <v>19.724054345679008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7.8399299999999998</v>
      </c>
      <c r="I258" s="21">
        <v>-1.4639299999999999E-2</v>
      </c>
      <c r="J258" s="21">
        <v>248</v>
      </c>
      <c r="K258" s="21">
        <v>0.55053700000000005</v>
      </c>
      <c r="L258">
        <f t="shared" si="36"/>
        <v>18.07320987654321</v>
      </c>
      <c r="M258">
        <f t="shared" si="37"/>
        <v>9.9609954038271606</v>
      </c>
      <c r="N258" s="9"/>
      <c r="O258" s="21">
        <v>1.14883</v>
      </c>
      <c r="P258" s="21">
        <v>11.6591</v>
      </c>
      <c r="Q258" s="21">
        <v>-1.41113E-2</v>
      </c>
      <c r="R258" s="21">
        <v>248</v>
      </c>
      <c r="S258" s="21">
        <v>1.1480699999999999</v>
      </c>
      <c r="T258">
        <f t="shared" si="38"/>
        <v>17.421358024691358</v>
      </c>
      <c r="U258">
        <f t="shared" si="39"/>
        <v>20.014178739506175</v>
      </c>
      <c r="X258" s="9"/>
      <c r="Y258" s="21">
        <v>0.55114700000000005</v>
      </c>
      <c r="Z258" s="21">
        <v>17.1631</v>
      </c>
      <c r="AA258" s="21">
        <v>-1.46149E-2</v>
      </c>
      <c r="AB258" s="21">
        <v>248</v>
      </c>
      <c r="AC258" s="21">
        <v>0.55056799999999995</v>
      </c>
      <c r="AD258">
        <f t="shared" si="40"/>
        <v>18.043086419753088</v>
      </c>
      <c r="AE258">
        <f t="shared" si="41"/>
        <v>9.9443929509876554</v>
      </c>
      <c r="AF258" s="9"/>
      <c r="AG258" s="21">
        <v>1.14883</v>
      </c>
      <c r="AH258" s="21">
        <v>20.982299999999999</v>
      </c>
      <c r="AI258" s="21">
        <v>-1.40625E-2</v>
      </c>
      <c r="AJ258" s="21">
        <v>248</v>
      </c>
      <c r="AK258" s="21">
        <v>1.1480699999999999</v>
      </c>
      <c r="AL258">
        <f t="shared" si="42"/>
        <v>17.361111111111111</v>
      </c>
      <c r="AM258">
        <f t="shared" si="43"/>
        <v>19.944965277777779</v>
      </c>
      <c r="AP258" s="9"/>
      <c r="AQ258" s="21">
        <v>0.55114700000000005</v>
      </c>
      <c r="AR258" s="21">
        <v>26.4754</v>
      </c>
      <c r="AS258" s="21">
        <v>-1.4605699999999999E-2</v>
      </c>
      <c r="AT258" s="21">
        <v>248</v>
      </c>
      <c r="AU258" s="21">
        <v>0.55053700000000005</v>
      </c>
      <c r="AV258">
        <f t="shared" si="44"/>
        <v>18.031728395061727</v>
      </c>
      <c r="AW258">
        <f t="shared" si="45"/>
        <v>9.938133009753086</v>
      </c>
      <c r="AX258" s="9"/>
      <c r="AY258" s="21">
        <v>1.14883</v>
      </c>
      <c r="AZ258" s="21">
        <v>30.294599999999999</v>
      </c>
      <c r="BA258" s="21">
        <v>-1.39404E-2</v>
      </c>
      <c r="BB258" s="21">
        <v>248</v>
      </c>
      <c r="BC258" s="21">
        <v>1.14777</v>
      </c>
      <c r="BD258">
        <f t="shared" si="46"/>
        <v>17.21037037037037</v>
      </c>
      <c r="BE258">
        <f t="shared" si="47"/>
        <v>19.771789792592593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7.85</v>
      </c>
      <c r="I259" s="21">
        <v>-1.4633200000000001E-2</v>
      </c>
      <c r="J259" s="21">
        <v>249</v>
      </c>
      <c r="K259" s="21">
        <v>0.54547100000000004</v>
      </c>
      <c r="L259">
        <f t="shared" si="36"/>
        <v>18.065679012345679</v>
      </c>
      <c r="M259">
        <f t="shared" si="37"/>
        <v>9.8658840967901238</v>
      </c>
      <c r="N259" s="9"/>
      <c r="O259" s="21">
        <v>1.15387</v>
      </c>
      <c r="P259" s="21">
        <v>11.6692</v>
      </c>
      <c r="Q259" s="21">
        <v>-1.40991E-2</v>
      </c>
      <c r="R259" s="21">
        <v>249</v>
      </c>
      <c r="S259" s="21">
        <v>1.15326</v>
      </c>
      <c r="T259">
        <f t="shared" si="38"/>
        <v>17.406296296296293</v>
      </c>
      <c r="U259">
        <f t="shared" si="39"/>
        <v>20.084603107407403</v>
      </c>
      <c r="X259" s="9"/>
      <c r="Y259" s="21">
        <v>0.54611200000000004</v>
      </c>
      <c r="Z259" s="21">
        <v>17.173200000000001</v>
      </c>
      <c r="AA259" s="21">
        <v>-1.4611799999999999E-2</v>
      </c>
      <c r="AB259" s="21">
        <v>249</v>
      </c>
      <c r="AC259" s="21">
        <v>0.54553200000000002</v>
      </c>
      <c r="AD259">
        <f t="shared" si="40"/>
        <v>18.039259259259257</v>
      </c>
      <c r="AE259">
        <f t="shared" si="41"/>
        <v>9.8514559525925929</v>
      </c>
      <c r="AF259" s="9"/>
      <c r="AG259" s="21">
        <v>1.15387</v>
      </c>
      <c r="AH259" s="21">
        <v>20.9924</v>
      </c>
      <c r="AI259" s="21">
        <v>-1.4031999999999999E-2</v>
      </c>
      <c r="AJ259" s="21">
        <v>249</v>
      </c>
      <c r="AK259" s="21">
        <v>1.15326</v>
      </c>
      <c r="AL259">
        <f t="shared" si="42"/>
        <v>17.323456790123455</v>
      </c>
      <c r="AM259">
        <f t="shared" si="43"/>
        <v>19.98901708641975</v>
      </c>
      <c r="AP259" s="9"/>
      <c r="AQ259" s="21">
        <v>0.54611200000000004</v>
      </c>
      <c r="AR259" s="21">
        <v>26.485399999999998</v>
      </c>
      <c r="AS259" s="21">
        <v>-1.46149E-2</v>
      </c>
      <c r="AT259" s="21">
        <v>249</v>
      </c>
      <c r="AU259" s="21">
        <v>0.54534899999999997</v>
      </c>
      <c r="AV259">
        <f t="shared" si="44"/>
        <v>18.043086419753088</v>
      </c>
      <c r="AW259">
        <f t="shared" si="45"/>
        <v>9.8535460108641999</v>
      </c>
      <c r="AX259" s="9"/>
      <c r="AY259" s="21">
        <v>1.15387</v>
      </c>
      <c r="AZ259" s="21">
        <v>30.3047</v>
      </c>
      <c r="BA259" s="21">
        <v>-1.39191E-2</v>
      </c>
      <c r="BB259" s="21">
        <v>249</v>
      </c>
      <c r="BC259" s="21">
        <v>1.15265</v>
      </c>
      <c r="BD259">
        <f t="shared" si="46"/>
        <v>17.184074074074076</v>
      </c>
      <c r="BE259">
        <f t="shared" si="47"/>
        <v>19.828187551851851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7.86008</v>
      </c>
      <c r="I260" s="21">
        <v>-1.4639299999999999E-2</v>
      </c>
      <c r="J260" s="21">
        <v>250</v>
      </c>
      <c r="K260" s="21">
        <v>0.54037500000000005</v>
      </c>
      <c r="L260">
        <f t="shared" si="36"/>
        <v>18.07320987654321</v>
      </c>
      <c r="M260">
        <f t="shared" si="37"/>
        <v>9.7789981803703707</v>
      </c>
      <c r="N260" s="9"/>
      <c r="O260" s="21">
        <v>1.1589100000000001</v>
      </c>
      <c r="P260" s="21">
        <v>11.6793</v>
      </c>
      <c r="Q260" s="21">
        <v>-1.4093E-2</v>
      </c>
      <c r="R260" s="21">
        <v>250</v>
      </c>
      <c r="S260" s="21">
        <v>1.1575299999999999</v>
      </c>
      <c r="T260">
        <f t="shared" si="38"/>
        <v>17.398765432098763</v>
      </c>
      <c r="U260">
        <f t="shared" si="39"/>
        <v>20.163603246913578</v>
      </c>
      <c r="X260" s="9"/>
      <c r="Y260" s="21">
        <v>0.54107700000000003</v>
      </c>
      <c r="Z260" s="21">
        <v>17.183299999999999</v>
      </c>
      <c r="AA260" s="21">
        <v>-1.4599600000000001E-2</v>
      </c>
      <c r="AB260" s="21">
        <v>250</v>
      </c>
      <c r="AC260" s="21">
        <v>0.54034400000000005</v>
      </c>
      <c r="AD260">
        <f t="shared" si="40"/>
        <v>18.0241975308642</v>
      </c>
      <c r="AE260">
        <f t="shared" si="41"/>
        <v>9.752478727407409</v>
      </c>
      <c r="AF260" s="9"/>
      <c r="AG260" s="21">
        <v>1.1589100000000001</v>
      </c>
      <c r="AH260" s="21">
        <v>21.002500000000001</v>
      </c>
      <c r="AI260" s="21">
        <v>-1.40015E-2</v>
      </c>
      <c r="AJ260" s="21">
        <v>250</v>
      </c>
      <c r="AK260" s="21">
        <v>1.15784</v>
      </c>
      <c r="AL260">
        <f t="shared" si="42"/>
        <v>17.285802469135803</v>
      </c>
      <c r="AM260">
        <f t="shared" si="43"/>
        <v>20.032689339506174</v>
      </c>
      <c r="AP260" s="9"/>
      <c r="AQ260" s="21">
        <v>0.54107700000000003</v>
      </c>
      <c r="AR260" s="21">
        <v>26.4955</v>
      </c>
      <c r="AS260" s="21">
        <v>-1.4611799999999999E-2</v>
      </c>
      <c r="AT260" s="21">
        <v>250</v>
      </c>
      <c r="AU260" s="21">
        <v>0.54043600000000003</v>
      </c>
      <c r="AV260">
        <f t="shared" si="44"/>
        <v>18.039259259259257</v>
      </c>
      <c r="AW260">
        <f t="shared" si="45"/>
        <v>9.7606282822222212</v>
      </c>
      <c r="AX260" s="9"/>
      <c r="AY260" s="21">
        <v>1.1589100000000001</v>
      </c>
      <c r="AZ260" s="21">
        <v>30.314800000000002</v>
      </c>
      <c r="BA260" s="21">
        <v>-1.39252E-2</v>
      </c>
      <c r="BB260" s="21">
        <v>250</v>
      </c>
      <c r="BC260" s="21">
        <v>1.1581399999999999</v>
      </c>
      <c r="BD260">
        <f t="shared" si="46"/>
        <v>17.191604938271606</v>
      </c>
      <c r="BE260">
        <f t="shared" si="47"/>
        <v>19.923522879012349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7.8701499999999998</v>
      </c>
      <c r="I261" s="21">
        <v>-1.4627100000000001E-2</v>
      </c>
      <c r="J261" s="21">
        <v>251</v>
      </c>
      <c r="K261" s="21">
        <v>0.53537000000000001</v>
      </c>
      <c r="L261">
        <f t="shared" si="36"/>
        <v>18.058148148148145</v>
      </c>
      <c r="M261">
        <f t="shared" si="37"/>
        <v>9.6799077914814795</v>
      </c>
      <c r="N261" s="9"/>
      <c r="O261" s="21">
        <v>1.16394</v>
      </c>
      <c r="P261" s="21">
        <v>11.689299999999999</v>
      </c>
      <c r="Q261" s="21">
        <v>-1.40991E-2</v>
      </c>
      <c r="R261" s="21">
        <v>251</v>
      </c>
      <c r="S261" s="21">
        <v>1.16333</v>
      </c>
      <c r="T261">
        <f t="shared" si="38"/>
        <v>17.406296296296293</v>
      </c>
      <c r="U261">
        <f t="shared" si="39"/>
        <v>20.259884511111107</v>
      </c>
      <c r="X261" s="9"/>
      <c r="Y261" s="21">
        <v>0.53604099999999999</v>
      </c>
      <c r="Z261" s="21">
        <v>17.1934</v>
      </c>
      <c r="AA261" s="21">
        <v>-1.4590499999999999E-2</v>
      </c>
      <c r="AB261" s="21">
        <v>251</v>
      </c>
      <c r="AC261" s="21">
        <v>0.53543099999999999</v>
      </c>
      <c r="AD261">
        <f t="shared" si="40"/>
        <v>18.012962962962959</v>
      </c>
      <c r="AE261">
        <f t="shared" si="41"/>
        <v>9.6556866796296266</v>
      </c>
      <c r="AF261" s="9"/>
      <c r="AG261" s="21">
        <v>1.16394</v>
      </c>
      <c r="AH261" s="21">
        <v>21.012599999999999</v>
      </c>
      <c r="AI261" s="21">
        <v>-1.39893E-2</v>
      </c>
      <c r="AJ261" s="21">
        <v>251</v>
      </c>
      <c r="AK261" s="21">
        <v>1.16333</v>
      </c>
      <c r="AL261">
        <f t="shared" si="42"/>
        <v>17.270740740740738</v>
      </c>
      <c r="AM261">
        <f t="shared" si="43"/>
        <v>20.102105977777775</v>
      </c>
      <c r="AP261" s="9"/>
      <c r="AQ261" s="21">
        <v>0.53604099999999999</v>
      </c>
      <c r="AR261" s="21">
        <v>26.505600000000001</v>
      </c>
      <c r="AS261" s="21">
        <v>-1.46179E-2</v>
      </c>
      <c r="AT261" s="21">
        <v>251</v>
      </c>
      <c r="AU261" s="21">
        <v>0.53549199999999997</v>
      </c>
      <c r="AV261">
        <f t="shared" si="44"/>
        <v>18.046790123456791</v>
      </c>
      <c r="AW261">
        <f t="shared" si="45"/>
        <v>9.6738194245679008</v>
      </c>
      <c r="AX261" s="9"/>
      <c r="AY261" s="21">
        <v>1.16394</v>
      </c>
      <c r="AZ261" s="21">
        <v>30.3249</v>
      </c>
      <c r="BA261" s="21">
        <v>-1.39191E-2</v>
      </c>
      <c r="BB261" s="21">
        <v>251</v>
      </c>
      <c r="BC261" s="21">
        <v>1.16272</v>
      </c>
      <c r="BD261">
        <f t="shared" si="46"/>
        <v>17.184074074074076</v>
      </c>
      <c r="BE261">
        <f t="shared" si="47"/>
        <v>20.001231177777779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7.8802199999999996</v>
      </c>
      <c r="I262" s="21">
        <v>-1.46301E-2</v>
      </c>
      <c r="J262" s="21">
        <v>252</v>
      </c>
      <c r="K262" s="21">
        <v>0.53027299999999999</v>
      </c>
      <c r="L262">
        <f t="shared" si="36"/>
        <v>18.061851851851848</v>
      </c>
      <c r="M262">
        <f t="shared" si="37"/>
        <v>9.5909517044444428</v>
      </c>
      <c r="N262" s="9"/>
      <c r="O262" s="21">
        <v>1.1689799999999999</v>
      </c>
      <c r="P262" s="21">
        <v>11.699400000000001</v>
      </c>
      <c r="Q262" s="21">
        <v>-1.409E-2</v>
      </c>
      <c r="R262" s="21">
        <v>252</v>
      </c>
      <c r="S262" s="21">
        <v>1.16791</v>
      </c>
      <c r="T262">
        <f t="shared" si="38"/>
        <v>17.39506172839506</v>
      </c>
      <c r="U262">
        <f t="shared" si="39"/>
        <v>20.334479259259254</v>
      </c>
      <c r="X262" s="9"/>
      <c r="Y262" s="21">
        <v>0.53100599999999998</v>
      </c>
      <c r="Z262" s="21">
        <v>17.203399999999998</v>
      </c>
      <c r="AA262" s="21">
        <v>-1.45813E-2</v>
      </c>
      <c r="AB262" s="21">
        <v>252</v>
      </c>
      <c r="AC262" s="21">
        <v>0.530304</v>
      </c>
      <c r="AD262">
        <f t="shared" si="40"/>
        <v>18.001604938271605</v>
      </c>
      <c r="AE262">
        <f t="shared" si="41"/>
        <v>9.5589602318518505</v>
      </c>
      <c r="AF262" s="9"/>
      <c r="AG262" s="21">
        <v>1.1689799999999999</v>
      </c>
      <c r="AH262" s="21">
        <v>21.022600000000001</v>
      </c>
      <c r="AI262" s="21">
        <v>-1.3986200000000001E-2</v>
      </c>
      <c r="AJ262" s="21">
        <v>252</v>
      </c>
      <c r="AK262" s="21">
        <v>1.16791</v>
      </c>
      <c r="AL262">
        <f t="shared" si="42"/>
        <v>17.266913580246914</v>
      </c>
      <c r="AM262">
        <f t="shared" si="43"/>
        <v>20.184676637037036</v>
      </c>
      <c r="AP262" s="9"/>
      <c r="AQ262" s="21">
        <v>0.53100599999999998</v>
      </c>
      <c r="AR262" s="21">
        <v>26.515699999999999</v>
      </c>
      <c r="AS262" s="21">
        <v>-1.4624E-2</v>
      </c>
      <c r="AT262" s="21">
        <v>252</v>
      </c>
      <c r="AU262" s="21">
        <v>0.53036499999999998</v>
      </c>
      <c r="AV262">
        <f t="shared" si="44"/>
        <v>18.054320987654318</v>
      </c>
      <c r="AW262">
        <f t="shared" si="45"/>
        <v>9.5869527703703685</v>
      </c>
      <c r="AX262" s="9"/>
      <c r="AY262" s="21">
        <v>1.1689799999999999</v>
      </c>
      <c r="AZ262" s="21">
        <v>30.334900000000001</v>
      </c>
      <c r="BA262" s="21">
        <v>-1.39221E-2</v>
      </c>
      <c r="BB262" s="21">
        <v>252</v>
      </c>
      <c r="BC262" s="21">
        <v>1.16821</v>
      </c>
      <c r="BD262">
        <f t="shared" si="46"/>
        <v>17.187777777777779</v>
      </c>
      <c r="BE262">
        <f t="shared" si="47"/>
        <v>20.092168466666667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7.8902900000000002</v>
      </c>
      <c r="I263" s="21">
        <v>-1.46301E-2</v>
      </c>
      <c r="J263" s="21">
        <v>253</v>
      </c>
      <c r="K263" s="21">
        <v>0.52536000000000005</v>
      </c>
      <c r="L263">
        <f t="shared" si="36"/>
        <v>18.061851851851848</v>
      </c>
      <c r="M263">
        <f t="shared" si="37"/>
        <v>9.4999922185185177</v>
      </c>
      <c r="N263" s="9"/>
      <c r="O263" s="21">
        <v>1.17401</v>
      </c>
      <c r="P263" s="21">
        <v>11.7095</v>
      </c>
      <c r="Q263" s="21">
        <v>-1.40594E-2</v>
      </c>
      <c r="R263" s="21">
        <v>253</v>
      </c>
      <c r="S263" s="21">
        <v>1.1734</v>
      </c>
      <c r="T263">
        <f t="shared" si="38"/>
        <v>17.357283950617283</v>
      </c>
      <c r="U263">
        <f t="shared" si="39"/>
        <v>20.377624930864197</v>
      </c>
      <c r="X263" s="9"/>
      <c r="Y263" s="21">
        <v>0.52597000000000005</v>
      </c>
      <c r="Z263" s="21">
        <v>17.2135</v>
      </c>
      <c r="AA263" s="21">
        <v>-1.4572099999999999E-2</v>
      </c>
      <c r="AB263" s="21">
        <v>253</v>
      </c>
      <c r="AC263" s="21">
        <v>0.52532999999999996</v>
      </c>
      <c r="AD263">
        <f t="shared" si="40"/>
        <v>17.990246913580243</v>
      </c>
      <c r="AE263">
        <f t="shared" si="41"/>
        <v>9.4623301691358019</v>
      </c>
      <c r="AF263" s="9"/>
      <c r="AG263" s="21">
        <v>1.17401</v>
      </c>
      <c r="AH263" s="21">
        <v>21.032699999999998</v>
      </c>
      <c r="AI263" s="21">
        <v>-1.3980100000000001E-2</v>
      </c>
      <c r="AJ263" s="21">
        <v>253</v>
      </c>
      <c r="AK263" s="21">
        <v>1.1734</v>
      </c>
      <c r="AL263">
        <f t="shared" si="42"/>
        <v>17.259382716049384</v>
      </c>
      <c r="AM263">
        <f t="shared" si="43"/>
        <v>20.262687902469136</v>
      </c>
      <c r="AP263" s="9"/>
      <c r="AQ263" s="21">
        <v>0.52597000000000005</v>
      </c>
      <c r="AR263" s="21">
        <v>26.525700000000001</v>
      </c>
      <c r="AS263" s="21">
        <v>-1.46362E-2</v>
      </c>
      <c r="AT263" s="21">
        <v>253</v>
      </c>
      <c r="AU263" s="21">
        <v>0.525146</v>
      </c>
      <c r="AV263">
        <f t="shared" si="44"/>
        <v>18.069382716049383</v>
      </c>
      <c r="AW263">
        <f t="shared" si="45"/>
        <v>9.5039532271604941</v>
      </c>
      <c r="AX263" s="9"/>
      <c r="AY263" s="21">
        <v>1.17401</v>
      </c>
      <c r="AZ263" s="21">
        <v>30.344999999999999</v>
      </c>
      <c r="BA263" s="21">
        <v>-1.39191E-2</v>
      </c>
      <c r="BB263" s="21">
        <v>253</v>
      </c>
      <c r="BC263" s="21">
        <v>1.17249</v>
      </c>
      <c r="BD263">
        <f t="shared" si="46"/>
        <v>17.184074074074076</v>
      </c>
      <c r="BE263">
        <f t="shared" si="47"/>
        <v>20.174274803703707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7.90036</v>
      </c>
      <c r="I264" s="21">
        <v>-1.46301E-2</v>
      </c>
      <c r="J264" s="21">
        <v>254</v>
      </c>
      <c r="K264" s="21">
        <v>0.52023299999999995</v>
      </c>
      <c r="L264">
        <f t="shared" si="36"/>
        <v>18.061851851851848</v>
      </c>
      <c r="M264">
        <f t="shared" si="37"/>
        <v>9.4090507944444433</v>
      </c>
      <c r="N264" s="9"/>
      <c r="O264" s="21">
        <v>1.1790499999999999</v>
      </c>
      <c r="P264" s="21">
        <v>11.7196</v>
      </c>
      <c r="Q264" s="21">
        <v>-1.4035000000000001E-2</v>
      </c>
      <c r="R264" s="21">
        <v>254</v>
      </c>
      <c r="S264" s="21">
        <v>1.17828</v>
      </c>
      <c r="T264">
        <f t="shared" si="38"/>
        <v>17.327160493827162</v>
      </c>
      <c r="U264">
        <f t="shared" si="39"/>
        <v>20.429588580246914</v>
      </c>
      <c r="X264" s="9"/>
      <c r="Y264" s="21">
        <v>0.52093500000000004</v>
      </c>
      <c r="Z264" s="21">
        <v>17.223600000000001</v>
      </c>
      <c r="AA264" s="21">
        <v>-1.4572099999999999E-2</v>
      </c>
      <c r="AB264" s="21">
        <v>254</v>
      </c>
      <c r="AC264" s="21">
        <v>0.52035500000000001</v>
      </c>
      <c r="AD264">
        <f t="shared" si="40"/>
        <v>17.990246913580243</v>
      </c>
      <c r="AE264">
        <f t="shared" si="41"/>
        <v>9.3717492759259251</v>
      </c>
      <c r="AF264" s="9"/>
      <c r="AG264" s="21">
        <v>1.1790499999999999</v>
      </c>
      <c r="AH264" s="21">
        <v>21.0428</v>
      </c>
      <c r="AI264" s="21">
        <v>-1.3980100000000001E-2</v>
      </c>
      <c r="AJ264" s="21">
        <v>254</v>
      </c>
      <c r="AK264" s="21">
        <v>1.17798</v>
      </c>
      <c r="AL264">
        <f t="shared" si="42"/>
        <v>17.259382716049384</v>
      </c>
      <c r="AM264">
        <f t="shared" si="43"/>
        <v>20.349675191358024</v>
      </c>
      <c r="AP264" s="9"/>
      <c r="AQ264" s="21">
        <v>0.52093500000000004</v>
      </c>
      <c r="AR264" s="21">
        <v>26.535799999999998</v>
      </c>
      <c r="AS264" s="21">
        <v>-1.46423E-2</v>
      </c>
      <c r="AT264" s="21">
        <v>254</v>
      </c>
      <c r="AU264" s="21">
        <v>0.52026399999999995</v>
      </c>
      <c r="AV264">
        <f t="shared" si="44"/>
        <v>18.076913580246913</v>
      </c>
      <c r="AW264">
        <f t="shared" si="45"/>
        <v>9.4168969759259262</v>
      </c>
      <c r="AX264" s="9"/>
      <c r="AY264" s="21">
        <v>1.1790499999999999</v>
      </c>
      <c r="AZ264" s="21">
        <v>30.3551</v>
      </c>
      <c r="BA264" s="21">
        <v>-1.39191E-2</v>
      </c>
      <c r="BB264" s="21">
        <v>254</v>
      </c>
      <c r="BC264" s="21">
        <v>1.17859</v>
      </c>
      <c r="BD264">
        <f t="shared" si="46"/>
        <v>17.184074074074076</v>
      </c>
      <c r="BE264">
        <f t="shared" si="47"/>
        <v>20.260882537037038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7.9104299999999999</v>
      </c>
      <c r="I265" s="21">
        <v>-1.4633200000000001E-2</v>
      </c>
      <c r="J265" s="21">
        <v>255</v>
      </c>
      <c r="K265" s="21">
        <v>0.51525900000000002</v>
      </c>
      <c r="L265">
        <f t="shared" si="36"/>
        <v>18.065679012345679</v>
      </c>
      <c r="M265">
        <f t="shared" si="37"/>
        <v>9.3200838024691368</v>
      </c>
      <c r="N265" s="9"/>
      <c r="O265" s="21">
        <v>1.18408</v>
      </c>
      <c r="P265" s="21">
        <v>11.7296</v>
      </c>
      <c r="Q265" s="21">
        <v>-1.40137E-2</v>
      </c>
      <c r="R265" s="21">
        <v>255</v>
      </c>
      <c r="S265" s="21">
        <v>1.1831700000000001</v>
      </c>
      <c r="T265">
        <f t="shared" si="38"/>
        <v>17.300864197530863</v>
      </c>
      <c r="U265">
        <f t="shared" si="39"/>
        <v>20.485607279012346</v>
      </c>
      <c r="X265" s="9"/>
      <c r="Y265" s="21">
        <v>0.51590000000000003</v>
      </c>
      <c r="Z265" s="21">
        <v>17.233599999999999</v>
      </c>
      <c r="AA265" s="21">
        <v>-1.4578199999999999E-2</v>
      </c>
      <c r="AB265" s="21">
        <v>255</v>
      </c>
      <c r="AC265" s="21">
        <v>0.51522800000000002</v>
      </c>
      <c r="AD265">
        <f t="shared" si="40"/>
        <v>17.997777777777777</v>
      </c>
      <c r="AE265">
        <f t="shared" si="41"/>
        <v>9.2850535555555567</v>
      </c>
      <c r="AF265" s="9"/>
      <c r="AG265" s="21">
        <v>1.18408</v>
      </c>
      <c r="AH265" s="21">
        <v>21.052800000000001</v>
      </c>
      <c r="AI265" s="21">
        <v>-1.3977099999999999E-2</v>
      </c>
      <c r="AJ265" s="21">
        <v>255</v>
      </c>
      <c r="AK265" s="21">
        <v>1.18347</v>
      </c>
      <c r="AL265">
        <f t="shared" si="42"/>
        <v>17.255679012345677</v>
      </c>
      <c r="AM265">
        <f t="shared" si="43"/>
        <v>20.432104404938269</v>
      </c>
      <c r="AP265" s="9"/>
      <c r="AQ265" s="21">
        <v>0.51590000000000003</v>
      </c>
      <c r="AR265" s="21">
        <v>26.5459</v>
      </c>
      <c r="AS265" s="21">
        <v>-1.4654500000000001E-2</v>
      </c>
      <c r="AT265" s="21">
        <v>255</v>
      </c>
      <c r="AU265" s="21">
        <v>0.51525900000000002</v>
      </c>
      <c r="AV265">
        <f t="shared" si="44"/>
        <v>18.091975308641977</v>
      </c>
      <c r="AW265">
        <f t="shared" si="45"/>
        <v>9.3336500617283971</v>
      </c>
      <c r="AX265" s="9"/>
      <c r="AY265" s="21">
        <v>1.18408</v>
      </c>
      <c r="AZ265" s="21">
        <v>30.365100000000002</v>
      </c>
      <c r="BA265" s="21">
        <v>-1.39191E-2</v>
      </c>
      <c r="BB265" s="21">
        <v>255</v>
      </c>
      <c r="BC265" s="21">
        <v>1.18347</v>
      </c>
      <c r="BD265">
        <f t="shared" si="46"/>
        <v>17.184074074074076</v>
      </c>
      <c r="BE265">
        <f t="shared" si="47"/>
        <v>20.347318429629631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7.9204999999999997</v>
      </c>
      <c r="I266" s="21">
        <v>-1.46362E-2</v>
      </c>
      <c r="J266" s="21">
        <v>256</v>
      </c>
      <c r="K266" s="21">
        <v>0.51028399999999996</v>
      </c>
      <c r="L266">
        <f t="shared" si="36"/>
        <v>18.069382716049383</v>
      </c>
      <c r="M266">
        <f t="shared" si="37"/>
        <v>9.2309971318518507</v>
      </c>
      <c r="N266" s="9"/>
      <c r="O266" s="21">
        <v>1.18912</v>
      </c>
      <c r="P266" s="21">
        <v>11.739699999999999</v>
      </c>
      <c r="Q266" s="21">
        <v>-1.39954E-2</v>
      </c>
      <c r="R266" s="21">
        <v>256</v>
      </c>
      <c r="S266" s="21">
        <v>1.18835</v>
      </c>
      <c r="T266">
        <f t="shared" si="38"/>
        <v>17.278271604938272</v>
      </c>
      <c r="U266">
        <f t="shared" si="39"/>
        <v>20.545938330864196</v>
      </c>
      <c r="X266" s="9"/>
      <c r="Y266" s="21">
        <v>0.51086399999999998</v>
      </c>
      <c r="Z266" s="21">
        <v>17.2437</v>
      </c>
      <c r="AA266" s="21">
        <v>-1.45813E-2</v>
      </c>
      <c r="AB266" s="21">
        <v>256</v>
      </c>
      <c r="AC266" s="21">
        <v>0.51019300000000001</v>
      </c>
      <c r="AD266">
        <f t="shared" si="40"/>
        <v>18.001604938271605</v>
      </c>
      <c r="AE266">
        <f t="shared" si="41"/>
        <v>9.1963719051851847</v>
      </c>
      <c r="AF266" s="9"/>
      <c r="AG266" s="21">
        <v>1.18912</v>
      </c>
      <c r="AH266" s="21">
        <v>21.062899999999999</v>
      </c>
      <c r="AI266" s="21">
        <v>-1.3964799999999999E-2</v>
      </c>
      <c r="AJ266" s="21">
        <v>256</v>
      </c>
      <c r="AK266" s="21">
        <v>1.1880500000000001</v>
      </c>
      <c r="AL266">
        <f t="shared" si="42"/>
        <v>17.240493827160492</v>
      </c>
      <c r="AM266">
        <f t="shared" si="43"/>
        <v>20.501016019753084</v>
      </c>
      <c r="AP266" s="9"/>
      <c r="AQ266" s="21">
        <v>0.51086399999999998</v>
      </c>
      <c r="AR266" s="21">
        <v>26.555900000000001</v>
      </c>
      <c r="AS266" s="21">
        <v>-1.46576E-2</v>
      </c>
      <c r="AT266" s="21">
        <v>256</v>
      </c>
      <c r="AU266" s="21">
        <v>0.51034500000000005</v>
      </c>
      <c r="AV266">
        <f t="shared" si="44"/>
        <v>18.095802469135801</v>
      </c>
      <c r="AW266">
        <f t="shared" si="45"/>
        <v>9.2444940325925913</v>
      </c>
      <c r="AX266" s="9"/>
      <c r="AY266" s="21">
        <v>1.18912</v>
      </c>
      <c r="AZ266" s="21">
        <v>30.3752</v>
      </c>
      <c r="BA266" s="21">
        <v>-1.3909899999999999E-2</v>
      </c>
      <c r="BB266" s="21">
        <v>256</v>
      </c>
      <c r="BC266" s="21">
        <v>1.1880500000000001</v>
      </c>
      <c r="BD266">
        <f t="shared" si="46"/>
        <v>17.172716049382714</v>
      </c>
      <c r="BE266">
        <f t="shared" si="47"/>
        <v>20.420420108641974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7.9305700000000003</v>
      </c>
      <c r="I267" s="21">
        <v>-1.46423E-2</v>
      </c>
      <c r="J267" s="21">
        <v>257</v>
      </c>
      <c r="K267" s="21">
        <v>0.50515699999999997</v>
      </c>
      <c r="L267">
        <f t="shared" si="36"/>
        <v>18.076913580246913</v>
      </c>
      <c r="M267">
        <f t="shared" si="37"/>
        <v>9.1438271193827152</v>
      </c>
      <c r="N267" s="9"/>
      <c r="O267" s="21">
        <v>1.19415</v>
      </c>
      <c r="P267" s="21">
        <v>11.7498</v>
      </c>
      <c r="Q267" s="21">
        <v>-1.3974E-2</v>
      </c>
      <c r="R267" s="21">
        <v>257</v>
      </c>
      <c r="S267" s="21">
        <v>1.19354</v>
      </c>
      <c r="T267">
        <f t="shared" si="38"/>
        <v>17.251851851851853</v>
      </c>
      <c r="U267">
        <f t="shared" si="39"/>
        <v>20.601298888888891</v>
      </c>
      <c r="X267" s="9"/>
      <c r="Y267" s="21">
        <v>0.50582899999999997</v>
      </c>
      <c r="Z267" s="21">
        <v>17.253799999999998</v>
      </c>
      <c r="AA267" s="21">
        <v>-1.4590499999999999E-2</v>
      </c>
      <c r="AB267" s="21">
        <v>257</v>
      </c>
      <c r="AC267" s="21">
        <v>0.50521899999999997</v>
      </c>
      <c r="AD267">
        <f t="shared" si="40"/>
        <v>18.012962962962959</v>
      </c>
      <c r="AE267">
        <f t="shared" si="41"/>
        <v>9.11147904259259</v>
      </c>
      <c r="AF267" s="9"/>
      <c r="AG267" s="21">
        <v>1.19415</v>
      </c>
      <c r="AH267" s="21">
        <v>21.073</v>
      </c>
      <c r="AI267" s="21">
        <v>-1.39496E-2</v>
      </c>
      <c r="AJ267" s="21">
        <v>257</v>
      </c>
      <c r="AK267" s="21">
        <v>1.19293</v>
      </c>
      <c r="AL267">
        <f t="shared" si="42"/>
        <v>17.221728395061724</v>
      </c>
      <c r="AM267">
        <f t="shared" si="43"/>
        <v>20.56532696296296</v>
      </c>
      <c r="AP267" s="9"/>
      <c r="AQ267" s="21">
        <v>0.50582899999999997</v>
      </c>
      <c r="AR267" s="21">
        <v>26.565999999999999</v>
      </c>
      <c r="AS267" s="21">
        <v>-1.4660599999999999E-2</v>
      </c>
      <c r="AT267" s="21">
        <v>257</v>
      </c>
      <c r="AU267" s="21">
        <v>0.50515699999999997</v>
      </c>
      <c r="AV267">
        <f t="shared" si="44"/>
        <v>18.099506172839504</v>
      </c>
      <c r="AW267">
        <f t="shared" si="45"/>
        <v>9.1552551079012332</v>
      </c>
      <c r="AX267" s="9"/>
      <c r="AY267" s="21">
        <v>1.19415</v>
      </c>
      <c r="AZ267" s="21">
        <v>30.385300000000001</v>
      </c>
      <c r="BA267" s="21">
        <v>-1.3894699999999999E-2</v>
      </c>
      <c r="BB267" s="21">
        <v>257</v>
      </c>
      <c r="BC267" s="21">
        <v>1.19293</v>
      </c>
      <c r="BD267">
        <f t="shared" si="46"/>
        <v>17.153950617283947</v>
      </c>
      <c r="BE267">
        <f t="shared" si="47"/>
        <v>20.484390129629627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7.9406400000000001</v>
      </c>
      <c r="I268" s="21">
        <v>-1.4648400000000001E-2</v>
      </c>
      <c r="J268" s="21">
        <v>258</v>
      </c>
      <c r="K268" s="21">
        <v>0.50012199999999996</v>
      </c>
      <c r="L268">
        <f t="shared" ref="L268:L331" si="48">-I268/$F$2*1000</f>
        <v>18.084444444444443</v>
      </c>
      <c r="M268">
        <f t="shared" ref="M268:M331" si="49">L268*G268</f>
        <v>9.0565631866666667</v>
      </c>
      <c r="N268" s="9"/>
      <c r="O268" s="21">
        <v>1.19919</v>
      </c>
      <c r="P268" s="21">
        <v>11.7598</v>
      </c>
      <c r="Q268" s="21">
        <v>-1.39557E-2</v>
      </c>
      <c r="R268" s="21">
        <v>258</v>
      </c>
      <c r="S268" s="21">
        <v>1.1981200000000001</v>
      </c>
      <c r="T268">
        <f t="shared" ref="T268:T331" si="50">-Q268/$F$2*1000</f>
        <v>17.229259259259258</v>
      </c>
      <c r="U268">
        <f t="shared" ref="U268:U331" si="51">T268*O268</f>
        <v>20.66115541111111</v>
      </c>
      <c r="X268" s="9"/>
      <c r="Y268" s="21">
        <v>0.50079300000000004</v>
      </c>
      <c r="Z268" s="21">
        <v>17.2639</v>
      </c>
      <c r="AA268" s="21">
        <v>-1.4590499999999999E-2</v>
      </c>
      <c r="AB268" s="21">
        <v>258</v>
      </c>
      <c r="AC268" s="21">
        <v>0.50027500000000003</v>
      </c>
      <c r="AD268">
        <f t="shared" ref="AD268:AD331" si="52">-AA268/$F$2*1000</f>
        <v>18.012962962962959</v>
      </c>
      <c r="AE268">
        <f t="shared" ref="AE268:AE331" si="53">AD268*Y268</f>
        <v>9.0207657611111092</v>
      </c>
      <c r="AF268" s="9"/>
      <c r="AG268" s="21">
        <v>1.19919</v>
      </c>
      <c r="AH268" s="21">
        <v>21.082999999999998</v>
      </c>
      <c r="AI268" s="21">
        <v>-1.3937400000000001E-2</v>
      </c>
      <c r="AJ268" s="21">
        <v>258</v>
      </c>
      <c r="AK268" s="21">
        <v>1.1984300000000001</v>
      </c>
      <c r="AL268">
        <f t="shared" ref="AL268:AL331" si="54">-AI268/$F$2*1000</f>
        <v>17.206666666666667</v>
      </c>
      <c r="AM268">
        <f t="shared" ref="AM268:AM331" si="55">AL268*AG268</f>
        <v>20.6340626</v>
      </c>
      <c r="AP268" s="9"/>
      <c r="AQ268" s="21">
        <v>0.50079300000000004</v>
      </c>
      <c r="AR268" s="21">
        <v>26.5761</v>
      </c>
      <c r="AS268" s="21">
        <v>-1.4660599999999999E-2</v>
      </c>
      <c r="AT268" s="21">
        <v>258</v>
      </c>
      <c r="AU268" s="21">
        <v>0.50015299999999996</v>
      </c>
      <c r="AV268">
        <f t="shared" ref="AV268:AV331" si="56">-AS268/$F$2*1000</f>
        <v>18.099506172839504</v>
      </c>
      <c r="AW268">
        <f t="shared" ref="AW268:AW331" si="57">AV268*AQ268</f>
        <v>9.064105994814815</v>
      </c>
      <c r="AX268" s="9"/>
      <c r="AY268" s="21">
        <v>1.19919</v>
      </c>
      <c r="AZ268" s="21">
        <v>30.395399999999999</v>
      </c>
      <c r="BA268" s="21">
        <v>-1.38916E-2</v>
      </c>
      <c r="BB268" s="21">
        <v>258</v>
      </c>
      <c r="BC268" s="21">
        <v>1.1981200000000001</v>
      </c>
      <c r="BD268">
        <f t="shared" ref="BD268:BD331" si="58">-BA268/$F$2*1000</f>
        <v>17.150123456790123</v>
      </c>
      <c r="BE268">
        <f t="shared" ref="BE268:BE331" si="59">BD268*AY268</f>
        <v>20.566256548148147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7.9507099999999999</v>
      </c>
      <c r="I269" s="21">
        <v>-1.4660599999999999E-2</v>
      </c>
      <c r="J269" s="21">
        <v>259</v>
      </c>
      <c r="K269" s="21">
        <v>0.495056</v>
      </c>
      <c r="L269">
        <f t="shared" si="48"/>
        <v>18.099506172839504</v>
      </c>
      <c r="M269">
        <f t="shared" si="49"/>
        <v>8.9729749812345663</v>
      </c>
      <c r="N269" s="9"/>
      <c r="O269" s="21">
        <v>1.2042200000000001</v>
      </c>
      <c r="P269" s="21">
        <v>11.7699</v>
      </c>
      <c r="Q269" s="21">
        <v>-1.39404E-2</v>
      </c>
      <c r="R269" s="21">
        <v>259</v>
      </c>
      <c r="S269" s="21">
        <v>1.2039200000000001</v>
      </c>
      <c r="T269">
        <f t="shared" si="50"/>
        <v>17.21037037037037</v>
      </c>
      <c r="U269">
        <f t="shared" si="51"/>
        <v>20.725072207407408</v>
      </c>
      <c r="X269" s="9"/>
      <c r="Y269" s="21">
        <v>0.49575799999999998</v>
      </c>
      <c r="Z269" s="21">
        <v>17.273900000000001</v>
      </c>
      <c r="AA269" s="21">
        <v>-1.45966E-2</v>
      </c>
      <c r="AB269" s="21">
        <v>259</v>
      </c>
      <c r="AC269" s="21">
        <v>0.49517800000000001</v>
      </c>
      <c r="AD269">
        <f t="shared" si="52"/>
        <v>18.020493827160493</v>
      </c>
      <c r="AE269">
        <f t="shared" si="53"/>
        <v>8.9338039787654306</v>
      </c>
      <c r="AF269" s="9"/>
      <c r="AG269" s="21">
        <v>1.2042200000000001</v>
      </c>
      <c r="AH269" s="21">
        <v>21.0931</v>
      </c>
      <c r="AI269" s="21">
        <v>-1.39282E-2</v>
      </c>
      <c r="AJ269" s="21">
        <v>259</v>
      </c>
      <c r="AK269" s="21">
        <v>1.2036100000000001</v>
      </c>
      <c r="AL269">
        <f t="shared" si="54"/>
        <v>17.195308641975309</v>
      </c>
      <c r="AM269">
        <f t="shared" si="55"/>
        <v>20.706934572839508</v>
      </c>
      <c r="AP269" s="9"/>
      <c r="AQ269" s="21">
        <v>0.49575799999999998</v>
      </c>
      <c r="AR269" s="21">
        <v>26.586200000000002</v>
      </c>
      <c r="AS269" s="21">
        <v>-1.4654500000000001E-2</v>
      </c>
      <c r="AT269" s="21">
        <v>259</v>
      </c>
      <c r="AU269" s="21">
        <v>0.49502600000000002</v>
      </c>
      <c r="AV269">
        <f t="shared" si="56"/>
        <v>18.091975308641977</v>
      </c>
      <c r="AW269">
        <f t="shared" si="57"/>
        <v>8.9692414950617287</v>
      </c>
      <c r="AX269" s="9"/>
      <c r="AY269" s="21">
        <v>1.2042200000000001</v>
      </c>
      <c r="AZ269" s="21">
        <v>30.4054</v>
      </c>
      <c r="BA269" s="21">
        <v>-1.38916E-2</v>
      </c>
      <c r="BB269" s="21">
        <v>259</v>
      </c>
      <c r="BC269" s="21">
        <v>1.2033100000000001</v>
      </c>
      <c r="BD269">
        <f t="shared" si="58"/>
        <v>17.150123456790123</v>
      </c>
      <c r="BE269">
        <f t="shared" si="59"/>
        <v>20.652521669135805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7.9607900000000003</v>
      </c>
      <c r="I270" s="21">
        <v>-1.46759E-2</v>
      </c>
      <c r="J270" s="21">
        <v>260</v>
      </c>
      <c r="K270" s="21">
        <v>0.49005100000000001</v>
      </c>
      <c r="L270">
        <f t="shared" si="48"/>
        <v>18.118395061728396</v>
      </c>
      <c r="M270">
        <f t="shared" si="49"/>
        <v>8.8911131798765446</v>
      </c>
      <c r="N270" s="9"/>
      <c r="O270" s="21">
        <v>1.20926</v>
      </c>
      <c r="P270" s="21">
        <v>11.78</v>
      </c>
      <c r="Q270" s="21">
        <v>-1.39221E-2</v>
      </c>
      <c r="R270" s="21">
        <v>260</v>
      </c>
      <c r="S270" s="21">
        <v>1.2084999999999999</v>
      </c>
      <c r="T270">
        <f t="shared" si="50"/>
        <v>17.187777777777779</v>
      </c>
      <c r="U270">
        <f t="shared" si="51"/>
        <v>20.784492155555558</v>
      </c>
      <c r="X270" s="9"/>
      <c r="Y270" s="21">
        <v>0.49072300000000002</v>
      </c>
      <c r="Z270" s="21">
        <v>17.283999999999999</v>
      </c>
      <c r="AA270" s="21">
        <v>-1.46027E-2</v>
      </c>
      <c r="AB270" s="21">
        <v>260</v>
      </c>
      <c r="AC270" s="21">
        <v>0.48998999999999998</v>
      </c>
      <c r="AD270">
        <f t="shared" si="52"/>
        <v>18.028024691358024</v>
      </c>
      <c r="AE270">
        <f t="shared" si="53"/>
        <v>8.8467663606172842</v>
      </c>
      <c r="AF270" s="9"/>
      <c r="AG270" s="21">
        <v>1.20926</v>
      </c>
      <c r="AH270" s="21">
        <v>21.103200000000001</v>
      </c>
      <c r="AI270" s="21">
        <v>-1.3903799999999999E-2</v>
      </c>
      <c r="AJ270" s="21">
        <v>260</v>
      </c>
      <c r="AK270" s="21">
        <v>1.2084999999999999</v>
      </c>
      <c r="AL270">
        <f t="shared" si="54"/>
        <v>17.165185185185184</v>
      </c>
      <c r="AM270">
        <f t="shared" si="55"/>
        <v>20.757171837037035</v>
      </c>
      <c r="AP270" s="9"/>
      <c r="AQ270" s="21">
        <v>0.49072300000000002</v>
      </c>
      <c r="AR270" s="21">
        <v>26.5962</v>
      </c>
      <c r="AS270" s="21">
        <v>-1.4660599999999999E-2</v>
      </c>
      <c r="AT270" s="21">
        <v>260</v>
      </c>
      <c r="AU270" s="21">
        <v>0.49011199999999999</v>
      </c>
      <c r="AV270">
        <f t="shared" si="56"/>
        <v>18.099506172839504</v>
      </c>
      <c r="AW270">
        <f t="shared" si="57"/>
        <v>8.881843967654321</v>
      </c>
      <c r="AX270" s="9"/>
      <c r="AY270" s="21">
        <v>1.20926</v>
      </c>
      <c r="AZ270" s="21">
        <v>30.415500000000002</v>
      </c>
      <c r="BA270" s="21">
        <v>-1.3876299999999999E-2</v>
      </c>
      <c r="BB270" s="21">
        <v>260</v>
      </c>
      <c r="BC270" s="21">
        <v>1.2084999999999999</v>
      </c>
      <c r="BD270">
        <f t="shared" si="58"/>
        <v>17.131234567901231</v>
      </c>
      <c r="BE270">
        <f t="shared" si="59"/>
        <v>20.716116713580242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7.9708600000000001</v>
      </c>
      <c r="I271" s="21">
        <v>-1.4688100000000001E-2</v>
      </c>
      <c r="J271" s="21">
        <v>261</v>
      </c>
      <c r="K271" s="21">
        <v>0.485016</v>
      </c>
      <c r="L271">
        <f t="shared" si="48"/>
        <v>18.133456790123457</v>
      </c>
      <c r="M271">
        <f t="shared" si="49"/>
        <v>8.8071842280246919</v>
      </c>
      <c r="N271" s="9"/>
      <c r="O271" s="21">
        <v>1.2142900000000001</v>
      </c>
      <c r="P271" s="21">
        <v>11.79</v>
      </c>
      <c r="Q271" s="21">
        <v>-1.3916E-2</v>
      </c>
      <c r="R271" s="21">
        <v>261</v>
      </c>
      <c r="S271" s="21">
        <v>1.2136800000000001</v>
      </c>
      <c r="T271">
        <f t="shared" si="50"/>
        <v>17.180246913580245</v>
      </c>
      <c r="U271">
        <f t="shared" si="51"/>
        <v>20.861802024691357</v>
      </c>
      <c r="X271" s="9"/>
      <c r="Y271" s="21">
        <v>0.48568699999999998</v>
      </c>
      <c r="Z271" s="21">
        <v>17.2941</v>
      </c>
      <c r="AA271" s="21">
        <v>-1.4605699999999999E-2</v>
      </c>
      <c r="AB271" s="21">
        <v>261</v>
      </c>
      <c r="AC271" s="21">
        <v>0.485016</v>
      </c>
      <c r="AD271">
        <f t="shared" si="52"/>
        <v>18.031728395061727</v>
      </c>
      <c r="AE271">
        <f t="shared" si="53"/>
        <v>8.7577760690123441</v>
      </c>
      <c r="AF271" s="9"/>
      <c r="AG271" s="21">
        <v>1.2142900000000001</v>
      </c>
      <c r="AH271" s="21">
        <v>21.113299999999999</v>
      </c>
      <c r="AI271" s="21">
        <v>-1.38794E-2</v>
      </c>
      <c r="AJ271" s="21">
        <v>261</v>
      </c>
      <c r="AK271" s="21">
        <v>1.2136800000000001</v>
      </c>
      <c r="AL271">
        <f t="shared" si="54"/>
        <v>17.135061728395058</v>
      </c>
      <c r="AM271">
        <f t="shared" si="55"/>
        <v>20.806934106172836</v>
      </c>
      <c r="AP271" s="9"/>
      <c r="AQ271" s="21">
        <v>0.48568699999999998</v>
      </c>
      <c r="AR271" s="21">
        <v>26.606300000000001</v>
      </c>
      <c r="AS271" s="21">
        <v>-1.46759E-2</v>
      </c>
      <c r="AT271" s="21">
        <v>261</v>
      </c>
      <c r="AU271" s="21">
        <v>0.485016</v>
      </c>
      <c r="AV271">
        <f t="shared" si="56"/>
        <v>18.118395061728396</v>
      </c>
      <c r="AW271">
        <f t="shared" si="57"/>
        <v>8.7998689423456788</v>
      </c>
      <c r="AX271" s="9"/>
      <c r="AY271" s="21">
        <v>1.2142900000000001</v>
      </c>
      <c r="AZ271" s="21">
        <v>30.425599999999999</v>
      </c>
      <c r="BA271" s="21">
        <v>-1.38519E-2</v>
      </c>
      <c r="BB271" s="21">
        <v>261</v>
      </c>
      <c r="BC271" s="21">
        <v>1.2139899999999999</v>
      </c>
      <c r="BD271">
        <f t="shared" si="58"/>
        <v>17.101111111111113</v>
      </c>
      <c r="BE271">
        <f t="shared" si="59"/>
        <v>20.765708211111114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7.9809299999999999</v>
      </c>
      <c r="I272" s="21">
        <v>-1.4694199999999999E-2</v>
      </c>
      <c r="J272" s="21">
        <v>262</v>
      </c>
      <c r="K272" s="21">
        <v>0.480072</v>
      </c>
      <c r="L272">
        <f t="shared" si="48"/>
        <v>18.140987654320988</v>
      </c>
      <c r="M272">
        <f t="shared" si="49"/>
        <v>8.7195019980246915</v>
      </c>
      <c r="N272" s="9"/>
      <c r="O272" s="21">
        <v>1.21933</v>
      </c>
      <c r="P272" s="21">
        <v>11.8001</v>
      </c>
      <c r="Q272" s="21">
        <v>-1.39069E-2</v>
      </c>
      <c r="R272" s="21">
        <v>262</v>
      </c>
      <c r="S272" s="21">
        <v>1.2179599999999999</v>
      </c>
      <c r="T272">
        <f t="shared" si="50"/>
        <v>17.169012345679011</v>
      </c>
      <c r="U272">
        <f t="shared" si="51"/>
        <v>20.934691823456788</v>
      </c>
      <c r="X272" s="9"/>
      <c r="Y272" s="21">
        <v>0.48065200000000002</v>
      </c>
      <c r="Z272" s="21">
        <v>17.304099999999998</v>
      </c>
      <c r="AA272" s="21">
        <v>-1.46088E-2</v>
      </c>
      <c r="AB272" s="21">
        <v>262</v>
      </c>
      <c r="AC272" s="21">
        <v>0.48001100000000002</v>
      </c>
      <c r="AD272">
        <f t="shared" si="52"/>
        <v>18.035555555555554</v>
      </c>
      <c r="AE272">
        <f t="shared" si="53"/>
        <v>8.6688258488888881</v>
      </c>
      <c r="AF272" s="9"/>
      <c r="AG272" s="21">
        <v>1.21933</v>
      </c>
      <c r="AH272" s="21">
        <v>21.1233</v>
      </c>
      <c r="AI272" s="21">
        <v>-1.3858000000000001E-2</v>
      </c>
      <c r="AJ272" s="21">
        <v>262</v>
      </c>
      <c r="AK272" s="21">
        <v>1.2185699999999999</v>
      </c>
      <c r="AL272">
        <f t="shared" si="54"/>
        <v>17.10864197530864</v>
      </c>
      <c r="AM272">
        <f t="shared" si="55"/>
        <v>20.861080419753083</v>
      </c>
      <c r="AP272" s="9"/>
      <c r="AQ272" s="21">
        <v>0.48065200000000002</v>
      </c>
      <c r="AR272" s="21">
        <v>26.616399999999999</v>
      </c>
      <c r="AS272" s="21">
        <v>-1.46851E-2</v>
      </c>
      <c r="AT272" s="21">
        <v>262</v>
      </c>
      <c r="AU272" s="21">
        <v>0.48004200000000002</v>
      </c>
      <c r="AV272">
        <f t="shared" si="56"/>
        <v>18.12975308641975</v>
      </c>
      <c r="AW272">
        <f t="shared" si="57"/>
        <v>8.7141020804938272</v>
      </c>
      <c r="AX272" s="9"/>
      <c r="AY272" s="21">
        <v>1.21933</v>
      </c>
      <c r="AZ272" s="21">
        <v>30.435600000000001</v>
      </c>
      <c r="BA272" s="21">
        <v>-1.38245E-2</v>
      </c>
      <c r="BB272" s="21">
        <v>262</v>
      </c>
      <c r="BC272" s="21">
        <v>1.2185699999999999</v>
      </c>
      <c r="BD272">
        <f t="shared" si="58"/>
        <v>17.067283950617281</v>
      </c>
      <c r="BE272">
        <f t="shared" si="59"/>
        <v>20.810651339506169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7.9909999999999997</v>
      </c>
      <c r="I273" s="21">
        <v>-1.4694199999999999E-2</v>
      </c>
      <c r="J273" s="21">
        <v>263</v>
      </c>
      <c r="K273" s="21">
        <v>0.47497600000000001</v>
      </c>
      <c r="L273">
        <f t="shared" si="48"/>
        <v>18.140987654320988</v>
      </c>
      <c r="M273">
        <f t="shared" si="49"/>
        <v>8.6281439841975303</v>
      </c>
      <c r="N273" s="9"/>
      <c r="O273" s="21">
        <v>1.22437</v>
      </c>
      <c r="P273" s="21">
        <v>11.8102</v>
      </c>
      <c r="Q273" s="21">
        <v>-1.38916E-2</v>
      </c>
      <c r="R273" s="21">
        <v>263</v>
      </c>
      <c r="S273" s="21">
        <v>1.2234499999999999</v>
      </c>
      <c r="T273">
        <f t="shared" si="50"/>
        <v>17.150123456790123</v>
      </c>
      <c r="U273">
        <f t="shared" si="51"/>
        <v>20.998096656790121</v>
      </c>
      <c r="X273" s="9"/>
      <c r="Y273" s="21">
        <v>0.47561599999999998</v>
      </c>
      <c r="Z273" s="21">
        <v>17.3142</v>
      </c>
      <c r="AA273" s="21">
        <v>-1.46179E-2</v>
      </c>
      <c r="AB273" s="21">
        <v>263</v>
      </c>
      <c r="AC273" s="21">
        <v>0.47503699999999999</v>
      </c>
      <c r="AD273">
        <f t="shared" si="52"/>
        <v>18.046790123456791</v>
      </c>
      <c r="AE273">
        <f t="shared" si="53"/>
        <v>8.5833421313580249</v>
      </c>
      <c r="AF273" s="9"/>
      <c r="AG273" s="21">
        <v>1.22437</v>
      </c>
      <c r="AH273" s="21">
        <v>21.133400000000002</v>
      </c>
      <c r="AI273" s="21">
        <v>-1.38336E-2</v>
      </c>
      <c r="AJ273" s="21">
        <v>263</v>
      </c>
      <c r="AK273" s="21">
        <v>1.2234499999999999</v>
      </c>
      <c r="AL273">
        <f t="shared" si="54"/>
        <v>17.078518518518518</v>
      </c>
      <c r="AM273">
        <f t="shared" si="55"/>
        <v>20.910425718518518</v>
      </c>
      <c r="AP273" s="9"/>
      <c r="AQ273" s="21">
        <v>0.47561599999999998</v>
      </c>
      <c r="AR273" s="21">
        <v>26.6264</v>
      </c>
      <c r="AS273" s="21">
        <v>-1.4694199999999999E-2</v>
      </c>
      <c r="AT273" s="21">
        <v>263</v>
      </c>
      <c r="AU273" s="21">
        <v>0.47497600000000001</v>
      </c>
      <c r="AV273">
        <f t="shared" si="56"/>
        <v>18.140987654320988</v>
      </c>
      <c r="AW273">
        <f t="shared" si="57"/>
        <v>8.6281439841975303</v>
      </c>
      <c r="AX273" s="9"/>
      <c r="AY273" s="21">
        <v>1.22437</v>
      </c>
      <c r="AZ273" s="21">
        <v>30.445699999999999</v>
      </c>
      <c r="BA273" s="21">
        <v>-1.3797E-2</v>
      </c>
      <c r="BB273" s="21">
        <v>263</v>
      </c>
      <c r="BC273" s="21">
        <v>1.2237499999999999</v>
      </c>
      <c r="BD273">
        <f t="shared" si="58"/>
        <v>17.033333333333331</v>
      </c>
      <c r="BE273">
        <f t="shared" si="59"/>
        <v>20.855102333333331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8.0010700000000003</v>
      </c>
      <c r="I274" s="21">
        <v>-1.46973E-2</v>
      </c>
      <c r="J274" s="21">
        <v>264</v>
      </c>
      <c r="K274" s="21">
        <v>0.46997100000000003</v>
      </c>
      <c r="L274">
        <f t="shared" si="48"/>
        <v>18.144814814814815</v>
      </c>
      <c r="M274">
        <f t="shared" si="49"/>
        <v>8.5386051003703702</v>
      </c>
      <c r="N274" s="9"/>
      <c r="O274" s="21">
        <v>1.2294</v>
      </c>
      <c r="P274" s="21">
        <v>11.8203</v>
      </c>
      <c r="Q274" s="21">
        <v>-1.3897700000000001E-2</v>
      </c>
      <c r="R274" s="21">
        <v>264</v>
      </c>
      <c r="S274" s="21">
        <v>1.2283299999999999</v>
      </c>
      <c r="T274">
        <f t="shared" si="50"/>
        <v>17.157654320987653</v>
      </c>
      <c r="U274">
        <f t="shared" si="51"/>
        <v>21.093620222222221</v>
      </c>
      <c r="X274" s="9"/>
      <c r="Y274" s="21">
        <v>0.47058100000000003</v>
      </c>
      <c r="Z274" s="21">
        <v>17.324300000000001</v>
      </c>
      <c r="AA274" s="21">
        <v>-1.4621E-2</v>
      </c>
      <c r="AB274" s="21">
        <v>264</v>
      </c>
      <c r="AC274" s="21">
        <v>0.46994000000000002</v>
      </c>
      <c r="AD274">
        <f t="shared" si="52"/>
        <v>18.050617283950618</v>
      </c>
      <c r="AE274">
        <f t="shared" si="53"/>
        <v>8.4942775320987671</v>
      </c>
      <c r="AF274" s="9"/>
      <c r="AG274" s="21">
        <v>1.2294</v>
      </c>
      <c r="AH274" s="21">
        <v>21.1435</v>
      </c>
      <c r="AI274" s="21">
        <v>-1.3809200000000001E-2</v>
      </c>
      <c r="AJ274" s="21">
        <v>264</v>
      </c>
      <c r="AK274" s="21">
        <v>1.2283299999999999</v>
      </c>
      <c r="AL274">
        <f t="shared" si="54"/>
        <v>17.048395061728392</v>
      </c>
      <c r="AM274">
        <f t="shared" si="55"/>
        <v>20.959296888888886</v>
      </c>
      <c r="AP274" s="9"/>
      <c r="AQ274" s="21">
        <v>0.47058100000000003</v>
      </c>
      <c r="AR274" s="21">
        <v>26.636500000000002</v>
      </c>
      <c r="AS274" s="21">
        <v>-1.46973E-2</v>
      </c>
      <c r="AT274" s="21">
        <v>264</v>
      </c>
      <c r="AU274" s="21">
        <v>0.46984900000000002</v>
      </c>
      <c r="AV274">
        <f t="shared" si="56"/>
        <v>18.144814814814815</v>
      </c>
      <c r="AW274">
        <f t="shared" si="57"/>
        <v>8.5386051003703702</v>
      </c>
      <c r="AX274" s="9"/>
      <c r="AY274" s="21">
        <v>1.2294</v>
      </c>
      <c r="AZ274" s="21">
        <v>30.4558</v>
      </c>
      <c r="BA274" s="21">
        <v>-1.3781699999999999E-2</v>
      </c>
      <c r="BB274" s="21">
        <v>264</v>
      </c>
      <c r="BC274" s="21">
        <v>1.2283299999999999</v>
      </c>
      <c r="BD274">
        <f t="shared" si="58"/>
        <v>17.014444444444443</v>
      </c>
      <c r="BE274">
        <f t="shared" si="59"/>
        <v>20.917558</v>
      </c>
    </row>
    <row r="275" spans="6:101" x14ac:dyDescent="0.25">
      <c r="F275" s="9"/>
      <c r="G275" s="21">
        <v>0.46554600000000002</v>
      </c>
      <c r="H275" s="21">
        <v>8.0111399999999993</v>
      </c>
      <c r="I275" s="21">
        <v>-1.4694199999999999E-2</v>
      </c>
      <c r="J275" s="21">
        <v>265</v>
      </c>
      <c r="K275" s="21">
        <v>0.46493499999999999</v>
      </c>
      <c r="L275">
        <f t="shared" si="48"/>
        <v>18.140987654320988</v>
      </c>
      <c r="M275">
        <f t="shared" si="49"/>
        <v>8.4454642385185181</v>
      </c>
      <c r="N275" s="9"/>
      <c r="O275" s="21">
        <v>1.23444</v>
      </c>
      <c r="P275" s="21">
        <v>11.830299999999999</v>
      </c>
      <c r="Q275" s="21">
        <v>-1.38916E-2</v>
      </c>
      <c r="R275" s="21">
        <v>265</v>
      </c>
      <c r="S275" s="21">
        <v>1.2335199999999999</v>
      </c>
      <c r="T275">
        <f t="shared" si="50"/>
        <v>17.150123456790123</v>
      </c>
      <c r="U275">
        <f t="shared" si="51"/>
        <v>21.170798399999999</v>
      </c>
      <c r="X275" s="9"/>
      <c r="Y275" s="21">
        <v>0.46554600000000002</v>
      </c>
      <c r="Z275" s="21">
        <v>17.334399999999999</v>
      </c>
      <c r="AA275" s="21">
        <v>-1.46301E-2</v>
      </c>
      <c r="AB275" s="21">
        <v>265</v>
      </c>
      <c r="AC275" s="21">
        <v>0.46490500000000001</v>
      </c>
      <c r="AD275">
        <f t="shared" si="52"/>
        <v>18.061851851851848</v>
      </c>
      <c r="AE275">
        <f t="shared" si="53"/>
        <v>8.4086228822222218</v>
      </c>
      <c r="AF275" s="9"/>
      <c r="AG275" s="21">
        <v>1.23444</v>
      </c>
      <c r="AH275" s="21">
        <v>21.153500000000001</v>
      </c>
      <c r="AI275" s="21">
        <v>-1.38031E-2</v>
      </c>
      <c r="AJ275" s="21">
        <v>265</v>
      </c>
      <c r="AK275" s="21">
        <v>1.23383</v>
      </c>
      <c r="AL275">
        <f t="shared" si="54"/>
        <v>17.040864197530862</v>
      </c>
      <c r="AM275">
        <f t="shared" si="55"/>
        <v>21.035924399999995</v>
      </c>
      <c r="AP275" s="9"/>
      <c r="AQ275" s="21">
        <v>0.46554600000000002</v>
      </c>
      <c r="AR275" s="21">
        <v>26.646599999999999</v>
      </c>
      <c r="AS275" s="21">
        <v>-1.47034E-2</v>
      </c>
      <c r="AT275" s="21">
        <v>265</v>
      </c>
      <c r="AU275" s="21">
        <v>0.46490500000000001</v>
      </c>
      <c r="AV275">
        <f t="shared" si="56"/>
        <v>18.152345679012342</v>
      </c>
      <c r="AW275">
        <f t="shared" si="57"/>
        <v>8.4507519214814799</v>
      </c>
      <c r="AX275" s="9"/>
      <c r="AY275" s="21">
        <v>1.23444</v>
      </c>
      <c r="AZ275" s="21">
        <v>30.465800000000002</v>
      </c>
      <c r="BA275" s="21">
        <v>-1.3760400000000001E-2</v>
      </c>
      <c r="BB275" s="21">
        <v>265</v>
      </c>
      <c r="BC275" s="21">
        <v>1.2335199999999999</v>
      </c>
      <c r="BD275">
        <f t="shared" si="58"/>
        <v>16.988148148148149</v>
      </c>
      <c r="BE275">
        <f t="shared" si="59"/>
        <v>20.970849600000001</v>
      </c>
    </row>
    <row r="276" spans="6:101" x14ac:dyDescent="0.25">
      <c r="F276" s="9"/>
      <c r="G276" s="21">
        <v>0.46050999999999997</v>
      </c>
      <c r="H276" s="21">
        <v>8.02121</v>
      </c>
      <c r="I276" s="21">
        <v>-1.4682000000000001E-2</v>
      </c>
      <c r="J276" s="21">
        <v>266</v>
      </c>
      <c r="K276" s="21">
        <v>0.45993000000000001</v>
      </c>
      <c r="L276">
        <f t="shared" si="48"/>
        <v>18.125925925925923</v>
      </c>
      <c r="M276">
        <f t="shared" si="49"/>
        <v>8.3471701481481464</v>
      </c>
      <c r="N276" s="9"/>
      <c r="O276" s="21">
        <v>1.2394700000000001</v>
      </c>
      <c r="P276" s="21">
        <v>11.840400000000001</v>
      </c>
      <c r="Q276" s="21">
        <v>-1.3876299999999999E-2</v>
      </c>
      <c r="R276" s="21">
        <v>266</v>
      </c>
      <c r="S276" s="21">
        <v>1.2383999999999999</v>
      </c>
      <c r="T276">
        <f t="shared" si="50"/>
        <v>17.131234567901231</v>
      </c>
      <c r="U276">
        <f t="shared" si="51"/>
        <v>21.233651309876539</v>
      </c>
      <c r="X276" s="9"/>
      <c r="Y276" s="21">
        <v>0.46050999999999997</v>
      </c>
      <c r="Z276" s="21">
        <v>17.3444</v>
      </c>
      <c r="AA276" s="21">
        <v>-1.4621E-2</v>
      </c>
      <c r="AB276" s="21">
        <v>266</v>
      </c>
      <c r="AC276" s="21">
        <v>0.45989999999999998</v>
      </c>
      <c r="AD276">
        <f t="shared" si="52"/>
        <v>18.050617283950618</v>
      </c>
      <c r="AE276">
        <f t="shared" si="53"/>
        <v>8.3124897654320993</v>
      </c>
      <c r="AF276" s="9"/>
      <c r="AG276" s="21">
        <v>1.2394700000000001</v>
      </c>
      <c r="AH276" s="21">
        <v>21.163599999999999</v>
      </c>
      <c r="AI276" s="21">
        <v>-1.37939E-2</v>
      </c>
      <c r="AJ276" s="21">
        <v>266</v>
      </c>
      <c r="AK276" s="21">
        <v>1.2377899999999999</v>
      </c>
      <c r="AL276">
        <f t="shared" si="54"/>
        <v>17.029506172839504</v>
      </c>
      <c r="AM276">
        <f t="shared" si="55"/>
        <v>21.107562016049382</v>
      </c>
      <c r="AP276" s="9"/>
      <c r="AQ276" s="21">
        <v>0.46050999999999997</v>
      </c>
      <c r="AR276" s="21">
        <v>26.656700000000001</v>
      </c>
      <c r="AS276" s="21">
        <v>-1.46973E-2</v>
      </c>
      <c r="AT276" s="21">
        <v>266</v>
      </c>
      <c r="AU276" s="21">
        <v>0.45986900000000003</v>
      </c>
      <c r="AV276">
        <f t="shared" si="56"/>
        <v>18.144814814814815</v>
      </c>
      <c r="AW276">
        <f t="shared" si="57"/>
        <v>8.35586867037037</v>
      </c>
      <c r="AX276" s="9"/>
      <c r="AY276" s="21">
        <v>1.2394700000000001</v>
      </c>
      <c r="AZ276" s="21">
        <v>30.475899999999999</v>
      </c>
      <c r="BA276" s="21">
        <v>-1.3736E-2</v>
      </c>
      <c r="BB276" s="21">
        <v>266</v>
      </c>
      <c r="BC276" s="21">
        <v>1.2383999999999999</v>
      </c>
      <c r="BD276">
        <f t="shared" si="58"/>
        <v>16.958024691358023</v>
      </c>
      <c r="BE276">
        <f t="shared" si="59"/>
        <v>21.01896286419753</v>
      </c>
    </row>
    <row r="277" spans="6:101" x14ac:dyDescent="0.25">
      <c r="F277" s="9"/>
      <c r="G277" s="21">
        <v>0.45547500000000002</v>
      </c>
      <c r="H277" s="21">
        <v>8.0312800000000006</v>
      </c>
      <c r="I277" s="21">
        <v>-1.4678999999999999E-2</v>
      </c>
      <c r="J277" s="21">
        <v>267</v>
      </c>
      <c r="K277" s="21">
        <v>0.45489499999999999</v>
      </c>
      <c r="L277">
        <f t="shared" si="48"/>
        <v>18.12222222222222</v>
      </c>
      <c r="M277">
        <f t="shared" si="49"/>
        <v>8.2542191666666653</v>
      </c>
      <c r="N277" s="9"/>
      <c r="O277" s="21">
        <v>1.24451</v>
      </c>
      <c r="P277" s="21">
        <v>11.8505</v>
      </c>
      <c r="Q277" s="21">
        <v>-1.3858000000000001E-2</v>
      </c>
      <c r="R277" s="21">
        <v>267</v>
      </c>
      <c r="S277" s="21">
        <v>1.24359</v>
      </c>
      <c r="T277">
        <f t="shared" si="50"/>
        <v>17.10864197530864</v>
      </c>
      <c r="U277">
        <f t="shared" si="51"/>
        <v>21.291876024691355</v>
      </c>
      <c r="X277" s="9"/>
      <c r="Y277" s="21">
        <v>0.45547500000000002</v>
      </c>
      <c r="Z277" s="21">
        <v>17.354500000000002</v>
      </c>
      <c r="AA277" s="21">
        <v>-1.4621E-2</v>
      </c>
      <c r="AB277" s="21">
        <v>267</v>
      </c>
      <c r="AC277" s="21">
        <v>0.45489499999999999</v>
      </c>
      <c r="AD277">
        <f t="shared" si="52"/>
        <v>18.050617283950618</v>
      </c>
      <c r="AE277">
        <f t="shared" si="53"/>
        <v>8.2216049074074089</v>
      </c>
      <c r="AF277" s="9"/>
      <c r="AG277" s="21">
        <v>1.24451</v>
      </c>
      <c r="AH277" s="21">
        <v>21.1737</v>
      </c>
      <c r="AI277" s="21">
        <v>-1.3781699999999999E-2</v>
      </c>
      <c r="AJ277" s="21">
        <v>267</v>
      </c>
      <c r="AK277" s="21">
        <v>1.24329</v>
      </c>
      <c r="AL277">
        <f t="shared" si="54"/>
        <v>17.014444444444443</v>
      </c>
      <c r="AM277">
        <f t="shared" si="55"/>
        <v>21.174646255555555</v>
      </c>
      <c r="AP277" s="9"/>
      <c r="AQ277" s="21">
        <v>0.45547500000000002</v>
      </c>
      <c r="AR277" s="21">
        <v>26.666699999999999</v>
      </c>
      <c r="AS277" s="21">
        <v>-1.46912E-2</v>
      </c>
      <c r="AT277" s="21">
        <v>267</v>
      </c>
      <c r="AU277" s="21">
        <v>0.45483400000000002</v>
      </c>
      <c r="AV277">
        <f t="shared" si="56"/>
        <v>18.137283950617284</v>
      </c>
      <c r="AW277">
        <f t="shared" si="57"/>
        <v>8.2610794074074079</v>
      </c>
      <c r="AX277" s="9"/>
      <c r="AY277" s="21">
        <v>1.24451</v>
      </c>
      <c r="AZ277" s="21">
        <v>30.486000000000001</v>
      </c>
      <c r="BA277" s="21">
        <v>-1.37238E-2</v>
      </c>
      <c r="BB277" s="21">
        <v>267</v>
      </c>
      <c r="BC277" s="21">
        <v>1.24359</v>
      </c>
      <c r="BD277">
        <f t="shared" si="58"/>
        <v>16.942962962962962</v>
      </c>
      <c r="BE277">
        <f t="shared" si="59"/>
        <v>21.085686837037038</v>
      </c>
    </row>
    <row r="278" spans="6:101" x14ac:dyDescent="0.25">
      <c r="F278" s="9"/>
      <c r="G278" s="21">
        <v>0.45043899999999998</v>
      </c>
      <c r="H278" s="21">
        <v>8.0413499999999996</v>
      </c>
      <c r="I278" s="21">
        <v>-1.4688100000000001E-2</v>
      </c>
      <c r="J278" s="21">
        <v>268</v>
      </c>
      <c r="K278" s="21">
        <v>0.44985999999999998</v>
      </c>
      <c r="L278">
        <f t="shared" si="48"/>
        <v>18.133456790123457</v>
      </c>
      <c r="M278">
        <f t="shared" si="49"/>
        <v>8.1680161430864189</v>
      </c>
      <c r="N278" s="9"/>
      <c r="O278" s="21">
        <v>1.2495400000000001</v>
      </c>
      <c r="P278" s="21">
        <v>11.8605</v>
      </c>
      <c r="Q278" s="21">
        <v>-1.3842800000000001E-2</v>
      </c>
      <c r="R278" s="21">
        <v>268</v>
      </c>
      <c r="S278" s="21">
        <v>1.24817</v>
      </c>
      <c r="T278">
        <f t="shared" si="50"/>
        <v>17.089876543209876</v>
      </c>
      <c r="U278">
        <f t="shared" si="51"/>
        <v>21.354484335802468</v>
      </c>
      <c r="X278" s="9"/>
      <c r="Y278" s="21">
        <v>0.45043899999999998</v>
      </c>
      <c r="Z278" s="21">
        <v>17.364599999999999</v>
      </c>
      <c r="AA278" s="21">
        <v>-1.4627100000000001E-2</v>
      </c>
      <c r="AB278" s="21">
        <v>268</v>
      </c>
      <c r="AC278" s="21">
        <v>0.449799</v>
      </c>
      <c r="AD278">
        <f t="shared" si="52"/>
        <v>18.058148148148145</v>
      </c>
      <c r="AE278">
        <f t="shared" si="53"/>
        <v>8.1340941937037012</v>
      </c>
      <c r="AF278" s="9"/>
      <c r="AG278" s="21">
        <v>1.2495400000000001</v>
      </c>
      <c r="AH278" s="21">
        <v>21.183800000000002</v>
      </c>
      <c r="AI278" s="21">
        <v>-1.37634E-2</v>
      </c>
      <c r="AJ278" s="21">
        <v>268</v>
      </c>
      <c r="AK278" s="21">
        <v>1.24847</v>
      </c>
      <c r="AL278">
        <f t="shared" si="54"/>
        <v>16.991851851851852</v>
      </c>
      <c r="AM278">
        <f t="shared" si="55"/>
        <v>21.231998562962964</v>
      </c>
      <c r="AP278" s="9"/>
      <c r="AQ278" s="21">
        <v>0.45043899999999998</v>
      </c>
      <c r="AR278" s="21">
        <v>26.6768</v>
      </c>
      <c r="AS278" s="21">
        <v>-1.4682000000000001E-2</v>
      </c>
      <c r="AT278" s="21">
        <v>268</v>
      </c>
      <c r="AU278" s="21">
        <v>0.44985999999999998</v>
      </c>
      <c r="AV278">
        <f t="shared" si="56"/>
        <v>18.125925925925923</v>
      </c>
      <c r="AW278">
        <f t="shared" si="57"/>
        <v>8.1646239481481473</v>
      </c>
      <c r="AX278" s="9"/>
      <c r="AY278" s="21">
        <v>1.2495400000000001</v>
      </c>
      <c r="AZ278" s="21">
        <v>30.496099999999998</v>
      </c>
      <c r="BA278" s="21">
        <v>-1.37115E-2</v>
      </c>
      <c r="BB278" s="21">
        <v>268</v>
      </c>
      <c r="BC278" s="21">
        <v>1.24817</v>
      </c>
      <c r="BD278">
        <f t="shared" si="58"/>
        <v>16.927777777777777</v>
      </c>
      <c r="BE278">
        <f t="shared" si="59"/>
        <v>21.151935444444444</v>
      </c>
    </row>
    <row r="279" spans="6:101" x14ac:dyDescent="0.25">
      <c r="F279" s="9"/>
      <c r="G279" s="21">
        <v>0.44540400000000002</v>
      </c>
      <c r="H279" s="21">
        <v>8.0514200000000002</v>
      </c>
      <c r="I279" s="21">
        <v>-1.46912E-2</v>
      </c>
      <c r="J279" s="21">
        <v>269</v>
      </c>
      <c r="K279" s="21">
        <v>0.44479400000000002</v>
      </c>
      <c r="L279">
        <f t="shared" si="48"/>
        <v>18.137283950617284</v>
      </c>
      <c r="M279">
        <f t="shared" si="49"/>
        <v>8.0784188207407421</v>
      </c>
      <c r="N279" s="9"/>
      <c r="O279" s="21">
        <v>1.25458</v>
      </c>
      <c r="P279" s="21">
        <v>11.8706</v>
      </c>
      <c r="Q279" s="21">
        <v>-1.38306E-2</v>
      </c>
      <c r="R279" s="21">
        <v>269</v>
      </c>
      <c r="S279" s="21">
        <v>1.25366</v>
      </c>
      <c r="T279">
        <f t="shared" si="50"/>
        <v>17.074814814814815</v>
      </c>
      <c r="U279">
        <f t="shared" si="51"/>
        <v>21.421721170370372</v>
      </c>
      <c r="X279" s="9"/>
      <c r="Y279" s="21">
        <v>0.44540400000000002</v>
      </c>
      <c r="Z279" s="21">
        <v>17.374600000000001</v>
      </c>
      <c r="AA279" s="21">
        <v>-1.4627100000000001E-2</v>
      </c>
      <c r="AB279" s="21">
        <v>269</v>
      </c>
      <c r="AC279" s="21">
        <v>0.44479400000000002</v>
      </c>
      <c r="AD279">
        <f t="shared" si="52"/>
        <v>18.058148148148145</v>
      </c>
      <c r="AE279">
        <f t="shared" si="53"/>
        <v>8.0431714177777778</v>
      </c>
      <c r="AF279" s="9"/>
      <c r="AG279" s="21">
        <v>1.25458</v>
      </c>
      <c r="AH279" s="21">
        <v>21.1938</v>
      </c>
      <c r="AI279" s="21">
        <v>-1.37482E-2</v>
      </c>
      <c r="AJ279" s="21">
        <v>269</v>
      </c>
      <c r="AK279" s="21">
        <v>1.25427</v>
      </c>
      <c r="AL279">
        <f t="shared" si="54"/>
        <v>16.973086419753084</v>
      </c>
      <c r="AM279">
        <f t="shared" si="55"/>
        <v>21.294094760493824</v>
      </c>
      <c r="AP279" s="9"/>
      <c r="AQ279" s="21">
        <v>0.44540400000000002</v>
      </c>
      <c r="AR279" s="21">
        <v>26.686900000000001</v>
      </c>
      <c r="AS279" s="21">
        <v>-1.46759E-2</v>
      </c>
      <c r="AT279" s="21">
        <v>269</v>
      </c>
      <c r="AU279" s="21">
        <v>0.444855</v>
      </c>
      <c r="AV279">
        <f t="shared" si="56"/>
        <v>18.118395061728396</v>
      </c>
      <c r="AW279">
        <f t="shared" si="57"/>
        <v>8.0700056340740751</v>
      </c>
      <c r="AX279" s="9"/>
      <c r="AY279" s="21">
        <v>1.25458</v>
      </c>
      <c r="AZ279" s="21">
        <v>30.5061</v>
      </c>
      <c r="BA279" s="21">
        <v>-1.3699299999999999E-2</v>
      </c>
      <c r="BB279" s="21">
        <v>269</v>
      </c>
      <c r="BC279" s="21">
        <v>1.25427</v>
      </c>
      <c r="BD279">
        <f t="shared" si="58"/>
        <v>16.912716049382716</v>
      </c>
      <c r="BE279">
        <f t="shared" si="59"/>
        <v>21.218355301234567</v>
      </c>
    </row>
    <row r="280" spans="6:101" x14ac:dyDescent="0.25">
      <c r="F280" s="9"/>
      <c r="G280" s="21">
        <v>0.44036900000000001</v>
      </c>
      <c r="H280" s="21">
        <v>8.0615000000000006</v>
      </c>
      <c r="I280" s="21">
        <v>-1.4700299999999999E-2</v>
      </c>
      <c r="J280" s="21">
        <v>270</v>
      </c>
      <c r="K280" s="21">
        <v>0.43987999999999999</v>
      </c>
      <c r="L280">
        <f t="shared" si="48"/>
        <v>18.148518518518514</v>
      </c>
      <c r="M280">
        <f t="shared" si="49"/>
        <v>7.9920449514814802</v>
      </c>
      <c r="N280" s="9"/>
      <c r="O280" s="21">
        <v>1.2596099999999999</v>
      </c>
      <c r="P280" s="21">
        <v>11.880699999999999</v>
      </c>
      <c r="Q280" s="21">
        <v>-1.38E-2</v>
      </c>
      <c r="R280" s="21">
        <v>270</v>
      </c>
      <c r="S280" s="21">
        <v>1.25885</v>
      </c>
      <c r="T280">
        <f t="shared" si="50"/>
        <v>17.037037037037035</v>
      </c>
      <c r="U280">
        <f t="shared" si="51"/>
        <v>21.460022222222218</v>
      </c>
      <c r="X280" s="9"/>
      <c r="Y280" s="21">
        <v>0.44036900000000001</v>
      </c>
      <c r="Z280" s="21">
        <v>17.384699999999999</v>
      </c>
      <c r="AA280" s="21">
        <v>-1.4633200000000001E-2</v>
      </c>
      <c r="AB280" s="21">
        <v>270</v>
      </c>
      <c r="AC280" s="21">
        <v>0.43975799999999998</v>
      </c>
      <c r="AD280">
        <f t="shared" si="52"/>
        <v>18.065679012345679</v>
      </c>
      <c r="AE280">
        <f t="shared" si="53"/>
        <v>7.9555650009876544</v>
      </c>
      <c r="AF280" s="9"/>
      <c r="AG280" s="21">
        <v>1.2596099999999999</v>
      </c>
      <c r="AH280" s="21">
        <v>21.203900000000001</v>
      </c>
      <c r="AI280" s="21">
        <v>-1.3736E-2</v>
      </c>
      <c r="AJ280" s="21">
        <v>270</v>
      </c>
      <c r="AK280" s="21">
        <v>1.25854</v>
      </c>
      <c r="AL280">
        <f t="shared" si="54"/>
        <v>16.958024691358023</v>
      </c>
      <c r="AM280">
        <f t="shared" si="55"/>
        <v>21.360497481481477</v>
      </c>
      <c r="AP280" s="9"/>
      <c r="AQ280" s="21">
        <v>0.44036900000000001</v>
      </c>
      <c r="AR280" s="21">
        <v>26.696899999999999</v>
      </c>
      <c r="AS280" s="21">
        <v>-1.4672899999999999E-2</v>
      </c>
      <c r="AT280" s="21">
        <v>270</v>
      </c>
      <c r="AU280" s="21">
        <v>0.43978899999999999</v>
      </c>
      <c r="AV280">
        <f t="shared" si="56"/>
        <v>18.11469135802469</v>
      </c>
      <c r="AW280">
        <f t="shared" si="57"/>
        <v>7.9771485186419744</v>
      </c>
      <c r="AX280" s="9"/>
      <c r="AY280" s="21">
        <v>1.2596099999999999</v>
      </c>
      <c r="AZ280" s="21">
        <v>30.516200000000001</v>
      </c>
      <c r="BA280" s="21">
        <v>-1.3687100000000001E-2</v>
      </c>
      <c r="BB280" s="21">
        <v>270</v>
      </c>
      <c r="BC280" s="21">
        <v>1.25854</v>
      </c>
      <c r="BD280">
        <f t="shared" si="58"/>
        <v>16.897654320987655</v>
      </c>
      <c r="BE280">
        <f t="shared" si="59"/>
        <v>21.284454359259257</v>
      </c>
    </row>
    <row r="281" spans="6:101" x14ac:dyDescent="0.25">
      <c r="F281" s="9"/>
      <c r="G281" s="21">
        <v>0.43533300000000003</v>
      </c>
      <c r="H281" s="21">
        <v>8.0715699999999995</v>
      </c>
      <c r="I281" s="21">
        <v>-1.47125E-2</v>
      </c>
      <c r="J281" s="21">
        <v>271</v>
      </c>
      <c r="K281" s="21">
        <v>0.434753</v>
      </c>
      <c r="L281">
        <f t="shared" si="48"/>
        <v>18.163580246913579</v>
      </c>
      <c r="M281">
        <f t="shared" si="49"/>
        <v>7.9072058796296298</v>
      </c>
      <c r="N281" s="9"/>
      <c r="O281" s="21">
        <v>1.2646500000000001</v>
      </c>
      <c r="P281" s="21">
        <v>11.8908</v>
      </c>
      <c r="Q281" s="21">
        <v>-1.3772599999999999E-2</v>
      </c>
      <c r="R281" s="21">
        <v>271</v>
      </c>
      <c r="S281" s="21">
        <v>1.26373</v>
      </c>
      <c r="T281">
        <f t="shared" si="50"/>
        <v>17.00320987654321</v>
      </c>
      <c r="U281">
        <f t="shared" si="51"/>
        <v>21.503109370370371</v>
      </c>
      <c r="X281" s="9"/>
      <c r="Y281" s="21">
        <v>0.43533300000000003</v>
      </c>
      <c r="Z281" s="21">
        <v>17.3948</v>
      </c>
      <c r="AA281" s="21">
        <v>-1.46362E-2</v>
      </c>
      <c r="AB281" s="21">
        <v>271</v>
      </c>
      <c r="AC281" s="21">
        <v>0.43466199999999999</v>
      </c>
      <c r="AD281">
        <f t="shared" si="52"/>
        <v>18.069382716049383</v>
      </c>
      <c r="AE281">
        <f t="shared" si="53"/>
        <v>7.8661985859259262</v>
      </c>
      <c r="AF281" s="9"/>
      <c r="AG281" s="21">
        <v>1.2646500000000001</v>
      </c>
      <c r="AH281" s="21">
        <v>21.213999999999999</v>
      </c>
      <c r="AI281" s="21">
        <v>-1.37238E-2</v>
      </c>
      <c r="AJ281" s="21">
        <v>271</v>
      </c>
      <c r="AK281" s="21">
        <v>1.26373</v>
      </c>
      <c r="AL281">
        <f t="shared" si="54"/>
        <v>16.942962962962962</v>
      </c>
      <c r="AM281">
        <f t="shared" si="55"/>
        <v>21.42691811111111</v>
      </c>
      <c r="AP281" s="9"/>
      <c r="AQ281" s="21">
        <v>0.43533300000000003</v>
      </c>
      <c r="AR281" s="21">
        <v>26.707000000000001</v>
      </c>
      <c r="AS281" s="21">
        <v>-1.4682000000000001E-2</v>
      </c>
      <c r="AT281" s="21">
        <v>271</v>
      </c>
      <c r="AU281" s="21">
        <v>0.434753</v>
      </c>
      <c r="AV281">
        <f t="shared" si="56"/>
        <v>18.125925925925923</v>
      </c>
      <c r="AW281">
        <f t="shared" si="57"/>
        <v>7.8908137111111101</v>
      </c>
      <c r="AX281" s="9"/>
      <c r="AY281" s="21">
        <v>1.2646500000000001</v>
      </c>
      <c r="AZ281" s="21">
        <v>30.526299999999999</v>
      </c>
      <c r="BA281" s="21">
        <v>-1.36688E-2</v>
      </c>
      <c r="BB281" s="21">
        <v>271</v>
      </c>
      <c r="BC281" s="21">
        <v>1.26373</v>
      </c>
      <c r="BD281">
        <f t="shared" si="58"/>
        <v>16.87506172839506</v>
      </c>
      <c r="BE281">
        <f t="shared" si="59"/>
        <v>21.341046814814813</v>
      </c>
    </row>
    <row r="282" spans="6:101" x14ac:dyDescent="0.25">
      <c r="F282" s="9"/>
      <c r="G282" s="21">
        <v>0.43029800000000001</v>
      </c>
      <c r="H282" s="21">
        <v>8.0816400000000002</v>
      </c>
      <c r="I282" s="21">
        <v>-1.47125E-2</v>
      </c>
      <c r="J282" s="21">
        <v>272</v>
      </c>
      <c r="K282" s="21">
        <v>0.42971799999999999</v>
      </c>
      <c r="L282">
        <f t="shared" si="48"/>
        <v>18.163580246913579</v>
      </c>
      <c r="M282">
        <f t="shared" si="49"/>
        <v>7.8157522530864192</v>
      </c>
      <c r="N282" s="9"/>
      <c r="O282" s="21">
        <v>1.2696799999999999</v>
      </c>
      <c r="P282" s="21">
        <v>11.9008</v>
      </c>
      <c r="Q282" s="21">
        <v>-1.37451E-2</v>
      </c>
      <c r="R282" s="21">
        <v>272</v>
      </c>
      <c r="S282" s="21">
        <v>1.26892</v>
      </c>
      <c r="T282">
        <f t="shared" si="50"/>
        <v>16.969259259259257</v>
      </c>
      <c r="U282">
        <f t="shared" si="51"/>
        <v>21.545529096296292</v>
      </c>
      <c r="X282" s="9"/>
      <c r="Y282" s="21">
        <v>0.43029800000000001</v>
      </c>
      <c r="Z282" s="21">
        <v>17.404900000000001</v>
      </c>
      <c r="AA282" s="21">
        <v>-1.46362E-2</v>
      </c>
      <c r="AB282" s="21">
        <v>272</v>
      </c>
      <c r="AC282" s="21">
        <v>0.42984</v>
      </c>
      <c r="AD282">
        <f t="shared" si="52"/>
        <v>18.069382716049383</v>
      </c>
      <c r="AE282">
        <f t="shared" si="53"/>
        <v>7.7752192439506178</v>
      </c>
      <c r="AF282" s="9"/>
      <c r="AG282" s="21">
        <v>1.2696799999999999</v>
      </c>
      <c r="AH282" s="21">
        <v>21.224</v>
      </c>
      <c r="AI282" s="21">
        <v>-1.37054E-2</v>
      </c>
      <c r="AJ282" s="21">
        <v>272</v>
      </c>
      <c r="AK282" s="21">
        <v>1.2686200000000001</v>
      </c>
      <c r="AL282">
        <f t="shared" si="54"/>
        <v>16.920246913580247</v>
      </c>
      <c r="AM282">
        <f t="shared" si="55"/>
        <v>21.483299101234568</v>
      </c>
      <c r="AP282" s="9"/>
      <c r="AQ282" s="21">
        <v>0.43029800000000001</v>
      </c>
      <c r="AR282" s="21">
        <v>26.717099999999999</v>
      </c>
      <c r="AS282" s="21">
        <v>-1.4682000000000001E-2</v>
      </c>
      <c r="AT282" s="21">
        <v>272</v>
      </c>
      <c r="AU282" s="21">
        <v>0.42968800000000001</v>
      </c>
      <c r="AV282">
        <f t="shared" si="56"/>
        <v>18.125925925925923</v>
      </c>
      <c r="AW282">
        <f t="shared" si="57"/>
        <v>7.7995496740740728</v>
      </c>
      <c r="AX282" s="9"/>
      <c r="AY282" s="21">
        <v>1.2696799999999999</v>
      </c>
      <c r="AZ282" s="21">
        <v>30.536300000000001</v>
      </c>
      <c r="BA282" s="21">
        <v>-1.36566E-2</v>
      </c>
      <c r="BB282" s="21">
        <v>272</v>
      </c>
      <c r="BC282" s="21">
        <v>1.26892</v>
      </c>
      <c r="BD282">
        <f t="shared" si="58"/>
        <v>16.86</v>
      </c>
      <c r="BE282">
        <f t="shared" si="59"/>
        <v>21.406804799999996</v>
      </c>
    </row>
    <row r="283" spans="6:101" x14ac:dyDescent="0.25">
      <c r="F283" s="9"/>
      <c r="G283" s="21">
        <v>0.42526199999999997</v>
      </c>
      <c r="H283" s="21">
        <v>8.0917100000000008</v>
      </c>
      <c r="I283" s="21">
        <v>-1.4715600000000001E-2</v>
      </c>
      <c r="J283" s="21">
        <v>273</v>
      </c>
      <c r="K283" s="21">
        <v>0.424622</v>
      </c>
      <c r="L283">
        <f t="shared" si="48"/>
        <v>18.167407407407406</v>
      </c>
      <c r="M283">
        <f t="shared" si="49"/>
        <v>7.7259080088888883</v>
      </c>
      <c r="N283" s="9"/>
      <c r="O283" s="21">
        <v>1.2747200000000001</v>
      </c>
      <c r="P283" s="21">
        <v>11.9109</v>
      </c>
      <c r="Q283" s="21">
        <v>-1.3726800000000001E-2</v>
      </c>
      <c r="R283" s="21">
        <v>273</v>
      </c>
      <c r="S283" s="21">
        <v>1.2738</v>
      </c>
      <c r="T283">
        <f t="shared" si="50"/>
        <v>16.946666666666665</v>
      </c>
      <c r="U283">
        <f t="shared" si="51"/>
        <v>21.602254933333334</v>
      </c>
      <c r="X283" s="9"/>
      <c r="Y283" s="21">
        <v>0.42526199999999997</v>
      </c>
      <c r="Z283" s="21">
        <v>17.414899999999999</v>
      </c>
      <c r="AA283" s="21">
        <v>-1.46362E-2</v>
      </c>
      <c r="AB283" s="21">
        <v>273</v>
      </c>
      <c r="AC283" s="21">
        <v>0.42471300000000001</v>
      </c>
      <c r="AD283">
        <f t="shared" si="52"/>
        <v>18.069382716049383</v>
      </c>
      <c r="AE283">
        <f t="shared" si="53"/>
        <v>7.6842218325925922</v>
      </c>
      <c r="AF283" s="9"/>
      <c r="AG283" s="21">
        <v>1.2747200000000001</v>
      </c>
      <c r="AH283" s="21">
        <v>21.234100000000002</v>
      </c>
      <c r="AI283" s="21">
        <v>-1.36749E-2</v>
      </c>
      <c r="AJ283" s="21">
        <v>273</v>
      </c>
      <c r="AK283" s="21">
        <v>1.2741100000000001</v>
      </c>
      <c r="AL283">
        <f t="shared" si="54"/>
        <v>16.882592592592591</v>
      </c>
      <c r="AM283">
        <f t="shared" si="55"/>
        <v>21.52057842962963</v>
      </c>
      <c r="AP283" s="9"/>
      <c r="AQ283" s="21">
        <v>0.42526199999999997</v>
      </c>
      <c r="AR283" s="21">
        <v>26.7272</v>
      </c>
      <c r="AS283" s="21">
        <v>-1.46851E-2</v>
      </c>
      <c r="AT283" s="21">
        <v>273</v>
      </c>
      <c r="AU283" s="21">
        <v>0.42449999999999999</v>
      </c>
      <c r="AV283">
        <f t="shared" si="56"/>
        <v>18.12975308641975</v>
      </c>
      <c r="AW283">
        <f t="shared" si="57"/>
        <v>7.709895057037035</v>
      </c>
      <c r="AX283" s="9"/>
      <c r="AY283" s="21">
        <v>1.2747200000000001</v>
      </c>
      <c r="AZ283" s="21">
        <v>30.546399999999998</v>
      </c>
      <c r="BA283" s="21">
        <v>-1.36353E-2</v>
      </c>
      <c r="BB283" s="21">
        <v>273</v>
      </c>
      <c r="BC283" s="21">
        <v>1.2738</v>
      </c>
      <c r="BD283">
        <f t="shared" si="58"/>
        <v>16.833703703703701</v>
      </c>
      <c r="BE283">
        <f t="shared" si="59"/>
        <v>21.458258785185183</v>
      </c>
    </row>
    <row r="284" spans="6:101" x14ac:dyDescent="0.25">
      <c r="F284" s="9"/>
      <c r="G284" s="21">
        <v>0.42022700000000002</v>
      </c>
      <c r="H284" s="21">
        <v>8.1017799999999998</v>
      </c>
      <c r="I284" s="21">
        <v>-1.4715600000000001E-2</v>
      </c>
      <c r="J284" s="21">
        <v>274</v>
      </c>
      <c r="K284" s="21">
        <v>0.41964699999999999</v>
      </c>
      <c r="L284">
        <f t="shared" si="48"/>
        <v>18.167407407407406</v>
      </c>
      <c r="M284">
        <f t="shared" si="49"/>
        <v>7.6344351125925929</v>
      </c>
      <c r="N284" s="9"/>
      <c r="O284" s="21">
        <v>1.2797499999999999</v>
      </c>
      <c r="P284" s="21">
        <v>11.920999999999999</v>
      </c>
      <c r="Q284" s="21">
        <v>-1.37085E-2</v>
      </c>
      <c r="R284" s="21">
        <v>274</v>
      </c>
      <c r="S284" s="21">
        <v>1.2793000000000001</v>
      </c>
      <c r="T284">
        <f t="shared" si="50"/>
        <v>16.924074074074074</v>
      </c>
      <c r="U284">
        <f t="shared" si="51"/>
        <v>21.658583796296295</v>
      </c>
      <c r="X284" s="9"/>
      <c r="Y284" s="21">
        <v>0.42022700000000002</v>
      </c>
      <c r="Z284" s="21">
        <v>17.425000000000001</v>
      </c>
      <c r="AA284" s="21">
        <v>-1.46423E-2</v>
      </c>
      <c r="AB284" s="21">
        <v>274</v>
      </c>
      <c r="AC284" s="21">
        <v>0.41964699999999999</v>
      </c>
      <c r="AD284">
        <f t="shared" si="52"/>
        <v>18.076913580246913</v>
      </c>
      <c r="AE284">
        <f t="shared" si="53"/>
        <v>7.5964071630864201</v>
      </c>
      <c r="AF284" s="9"/>
      <c r="AG284" s="21">
        <v>1.2797499999999999</v>
      </c>
      <c r="AH284" s="21">
        <v>21.244199999999999</v>
      </c>
      <c r="AI284" s="21">
        <v>-1.36475E-2</v>
      </c>
      <c r="AJ284" s="21">
        <v>274</v>
      </c>
      <c r="AK284" s="21">
        <v>1.2793000000000001</v>
      </c>
      <c r="AL284">
        <f t="shared" si="54"/>
        <v>16.848765432098766</v>
      </c>
      <c r="AM284">
        <f t="shared" si="55"/>
        <v>21.562207561728396</v>
      </c>
      <c r="AP284" s="9"/>
      <c r="AQ284" s="21">
        <v>0.42022700000000002</v>
      </c>
      <c r="AR284" s="21">
        <v>26.737200000000001</v>
      </c>
      <c r="AS284" s="21">
        <v>-1.4688100000000001E-2</v>
      </c>
      <c r="AT284" s="21">
        <v>274</v>
      </c>
      <c r="AU284" s="21">
        <v>0.41961700000000002</v>
      </c>
      <c r="AV284">
        <f t="shared" si="56"/>
        <v>18.133456790123457</v>
      </c>
      <c r="AW284">
        <f t="shared" si="57"/>
        <v>7.6201681465432101</v>
      </c>
      <c r="AX284" s="9"/>
      <c r="AY284" s="21">
        <v>1.2797499999999999</v>
      </c>
      <c r="AZ284" s="21">
        <v>30.5565</v>
      </c>
      <c r="BA284" s="21">
        <v>-1.36139E-2</v>
      </c>
      <c r="BB284" s="21">
        <v>274</v>
      </c>
      <c r="BC284" s="21">
        <v>1.2789900000000001</v>
      </c>
      <c r="BD284">
        <f t="shared" si="58"/>
        <v>16.807283950617283</v>
      </c>
      <c r="BE284">
        <f t="shared" si="59"/>
        <v>21.509121635802465</v>
      </c>
    </row>
    <row r="285" spans="6:101" x14ac:dyDescent="0.25">
      <c r="F285" s="9"/>
      <c r="G285" s="21">
        <v>0.41519200000000001</v>
      </c>
      <c r="H285" s="21">
        <v>8.1118500000000004</v>
      </c>
      <c r="I285" s="21">
        <v>-1.4715600000000001E-2</v>
      </c>
      <c r="J285" s="21">
        <v>275</v>
      </c>
      <c r="K285" s="21">
        <v>0.414551</v>
      </c>
      <c r="L285">
        <f t="shared" si="48"/>
        <v>18.167407407407406</v>
      </c>
      <c r="M285">
        <f t="shared" si="49"/>
        <v>7.5429622162962957</v>
      </c>
      <c r="N285" s="9"/>
      <c r="O285" s="21">
        <v>1.2847900000000001</v>
      </c>
      <c r="P285" s="21">
        <v>11.930999999999999</v>
      </c>
      <c r="Q285" s="21">
        <v>-1.36902E-2</v>
      </c>
      <c r="R285" s="21">
        <v>275</v>
      </c>
      <c r="S285" s="21">
        <v>1.2838700000000001</v>
      </c>
      <c r="T285">
        <f t="shared" si="50"/>
        <v>16.901481481481479</v>
      </c>
      <c r="U285">
        <f t="shared" si="51"/>
        <v>21.714854392592592</v>
      </c>
      <c r="X285" s="9"/>
      <c r="Y285" s="21">
        <v>0.41519200000000001</v>
      </c>
      <c r="Z285" s="21">
        <v>17.435099999999998</v>
      </c>
      <c r="AA285" s="21">
        <v>-1.46576E-2</v>
      </c>
      <c r="AB285" s="21">
        <v>275</v>
      </c>
      <c r="AC285" s="21">
        <v>0.41464200000000001</v>
      </c>
      <c r="AD285">
        <f t="shared" si="52"/>
        <v>18.095802469135801</v>
      </c>
      <c r="AE285">
        <f t="shared" si="53"/>
        <v>7.5132324187654316</v>
      </c>
      <c r="AF285" s="9"/>
      <c r="AG285" s="21">
        <v>1.2847900000000001</v>
      </c>
      <c r="AH285" s="21">
        <v>21.254300000000001</v>
      </c>
      <c r="AI285" s="21">
        <v>-1.36261E-2</v>
      </c>
      <c r="AJ285" s="21">
        <v>275</v>
      </c>
      <c r="AK285" s="21">
        <v>1.2844800000000001</v>
      </c>
      <c r="AL285">
        <f t="shared" si="54"/>
        <v>16.822345679012344</v>
      </c>
      <c r="AM285">
        <f t="shared" si="55"/>
        <v>21.613181504938272</v>
      </c>
      <c r="AP285" s="9"/>
      <c r="AQ285" s="21">
        <v>0.41519200000000001</v>
      </c>
      <c r="AR285" s="21">
        <v>26.747299999999999</v>
      </c>
      <c r="AS285" s="21">
        <v>-1.46851E-2</v>
      </c>
      <c r="AT285" s="21">
        <v>275</v>
      </c>
      <c r="AU285" s="21">
        <v>0.414551</v>
      </c>
      <c r="AV285">
        <f t="shared" si="56"/>
        <v>18.12975308641975</v>
      </c>
      <c r="AW285">
        <f t="shared" si="57"/>
        <v>7.5273284434567893</v>
      </c>
      <c r="AX285" s="9"/>
      <c r="AY285" s="21">
        <v>1.2847900000000001</v>
      </c>
      <c r="AZ285" s="21">
        <v>30.566600000000001</v>
      </c>
      <c r="BA285" s="21">
        <v>-1.3595599999999999E-2</v>
      </c>
      <c r="BB285" s="21">
        <v>275</v>
      </c>
      <c r="BC285" s="21">
        <v>1.2838700000000001</v>
      </c>
      <c r="BD285">
        <f t="shared" si="58"/>
        <v>16.784691358024691</v>
      </c>
      <c r="BE285">
        <f t="shared" si="59"/>
        <v>21.564803609876545</v>
      </c>
    </row>
    <row r="286" spans="6:101" x14ac:dyDescent="0.25">
      <c r="F286" s="9"/>
      <c r="G286" s="21">
        <v>0.41015600000000002</v>
      </c>
      <c r="H286" s="21">
        <v>8.1219199999999994</v>
      </c>
      <c r="I286" s="21">
        <v>-1.4727799999999999E-2</v>
      </c>
      <c r="J286" s="21">
        <v>276</v>
      </c>
      <c r="K286" s="21">
        <v>0.40951500000000002</v>
      </c>
      <c r="L286">
        <f t="shared" si="48"/>
        <v>18.182469135802467</v>
      </c>
      <c r="M286">
        <f t="shared" si="49"/>
        <v>7.457648810864197</v>
      </c>
      <c r="N286" s="9"/>
      <c r="O286" s="21">
        <v>1.28983</v>
      </c>
      <c r="P286" s="21">
        <v>11.9411</v>
      </c>
      <c r="Q286" s="21">
        <v>-1.3681E-2</v>
      </c>
      <c r="R286" s="21">
        <v>276</v>
      </c>
      <c r="S286" s="21">
        <v>1.2887599999999999</v>
      </c>
      <c r="T286">
        <f t="shared" si="50"/>
        <v>16.890123456790121</v>
      </c>
      <c r="U286">
        <f t="shared" si="51"/>
        <v>21.785387938271601</v>
      </c>
      <c r="X286" s="9"/>
      <c r="Y286" s="21">
        <v>0.41015600000000002</v>
      </c>
      <c r="Z286" s="21">
        <v>17.4451</v>
      </c>
      <c r="AA286" s="21">
        <v>-1.4654500000000001E-2</v>
      </c>
      <c r="AB286" s="21">
        <v>276</v>
      </c>
      <c r="AC286" s="21">
        <v>0.40942400000000001</v>
      </c>
      <c r="AD286">
        <f t="shared" si="52"/>
        <v>18.091975308641977</v>
      </c>
      <c r="AE286">
        <f t="shared" si="53"/>
        <v>7.4205322246913594</v>
      </c>
      <c r="AF286" s="9"/>
      <c r="AG286" s="21">
        <v>1.28983</v>
      </c>
      <c r="AH286" s="21">
        <v>21.264299999999999</v>
      </c>
      <c r="AI286" s="21">
        <v>-1.36017E-2</v>
      </c>
      <c r="AJ286" s="21">
        <v>276</v>
      </c>
      <c r="AK286" s="21">
        <v>1.2890600000000001</v>
      </c>
      <c r="AL286">
        <f t="shared" si="54"/>
        <v>16.792222222222222</v>
      </c>
      <c r="AM286">
        <f t="shared" si="55"/>
        <v>21.659111988888888</v>
      </c>
      <c r="AP286" s="9"/>
      <c r="AQ286" s="21">
        <v>0.41015600000000002</v>
      </c>
      <c r="AR286" s="21">
        <v>26.757400000000001</v>
      </c>
      <c r="AS286" s="21">
        <v>-1.4688100000000001E-2</v>
      </c>
      <c r="AT286" s="21">
        <v>276</v>
      </c>
      <c r="AU286" s="21">
        <v>0.409576</v>
      </c>
      <c r="AV286">
        <f t="shared" si="56"/>
        <v>18.133456790123457</v>
      </c>
      <c r="AW286">
        <f t="shared" si="57"/>
        <v>7.4375461032098773</v>
      </c>
      <c r="AX286" s="9"/>
      <c r="AY286" s="21">
        <v>1.28983</v>
      </c>
      <c r="AZ286" s="21">
        <v>30.576599999999999</v>
      </c>
      <c r="BA286" s="21">
        <v>-1.35773E-2</v>
      </c>
      <c r="BB286" s="21">
        <v>276</v>
      </c>
      <c r="BC286" s="21">
        <v>1.2890600000000001</v>
      </c>
      <c r="BD286">
        <f t="shared" si="58"/>
        <v>16.7620987654321</v>
      </c>
      <c r="BE286">
        <f t="shared" si="59"/>
        <v>21.620257850617286</v>
      </c>
    </row>
    <row r="287" spans="6:101" x14ac:dyDescent="0.25">
      <c r="F287" s="9"/>
      <c r="G287" s="21">
        <v>0.40512100000000001</v>
      </c>
      <c r="H287" s="21">
        <v>8.1319900000000001</v>
      </c>
      <c r="I287" s="21">
        <v>-1.4733899999999999E-2</v>
      </c>
      <c r="J287" s="21">
        <v>277</v>
      </c>
      <c r="K287" s="21">
        <v>0.404449</v>
      </c>
      <c r="L287">
        <f t="shared" si="48"/>
        <v>18.189999999999998</v>
      </c>
      <c r="M287">
        <f t="shared" si="49"/>
        <v>7.3691509899999996</v>
      </c>
      <c r="N287" s="9"/>
      <c r="O287" s="21">
        <v>1.2948599999999999</v>
      </c>
      <c r="P287" s="21">
        <v>11.9512</v>
      </c>
      <c r="Q287" s="21">
        <v>-1.36688E-2</v>
      </c>
      <c r="R287" s="21">
        <v>277</v>
      </c>
      <c r="S287" s="21">
        <v>1.2939499999999999</v>
      </c>
      <c r="T287">
        <f t="shared" si="50"/>
        <v>16.87506172839506</v>
      </c>
      <c r="U287">
        <f t="shared" si="51"/>
        <v>21.850842429629626</v>
      </c>
      <c r="X287" s="9"/>
      <c r="Y287" s="21">
        <v>0.40512100000000001</v>
      </c>
      <c r="Z287" s="21">
        <v>17.455200000000001</v>
      </c>
      <c r="AA287" s="21">
        <v>-1.4648400000000001E-2</v>
      </c>
      <c r="AB287" s="21">
        <v>277</v>
      </c>
      <c r="AC287" s="21">
        <v>0.40450999999999998</v>
      </c>
      <c r="AD287">
        <f t="shared" si="52"/>
        <v>18.084444444444443</v>
      </c>
      <c r="AE287">
        <f t="shared" si="53"/>
        <v>7.3263882177777777</v>
      </c>
      <c r="AF287" s="9"/>
      <c r="AG287" s="21">
        <v>1.2948599999999999</v>
      </c>
      <c r="AH287" s="21">
        <v>21.2744</v>
      </c>
      <c r="AI287" s="21">
        <v>-1.35864E-2</v>
      </c>
      <c r="AJ287" s="21">
        <v>277</v>
      </c>
      <c r="AK287" s="21">
        <v>1.2939499999999999</v>
      </c>
      <c r="AL287">
        <f t="shared" si="54"/>
        <v>16.77333333333333</v>
      </c>
      <c r="AM287">
        <f t="shared" si="55"/>
        <v>21.719118399999992</v>
      </c>
      <c r="AP287" s="9"/>
      <c r="AQ287" s="21">
        <v>0.40512100000000001</v>
      </c>
      <c r="AR287" s="21">
        <v>26.767399999999999</v>
      </c>
      <c r="AS287" s="21">
        <v>-1.46973E-2</v>
      </c>
      <c r="AT287" s="21">
        <v>277</v>
      </c>
      <c r="AU287" s="21">
        <v>0.40450999999999998</v>
      </c>
      <c r="AV287">
        <f t="shared" si="56"/>
        <v>18.144814814814815</v>
      </c>
      <c r="AW287">
        <f t="shared" si="57"/>
        <v>7.3508455225925928</v>
      </c>
      <c r="AX287" s="9"/>
      <c r="AY287" s="21">
        <v>1.2948599999999999</v>
      </c>
      <c r="AZ287" s="21">
        <v>30.5867</v>
      </c>
      <c r="BA287" s="21">
        <v>-1.3559E-2</v>
      </c>
      <c r="BB287" s="21">
        <v>277</v>
      </c>
      <c r="BC287" s="21">
        <v>1.2939499999999999</v>
      </c>
      <c r="BD287">
        <f t="shared" si="58"/>
        <v>16.739506172839505</v>
      </c>
      <c r="BE287">
        <f t="shared" si="59"/>
        <v>21.67531696296296</v>
      </c>
    </row>
    <row r="288" spans="6:101" x14ac:dyDescent="0.25">
      <c r="F288" s="9"/>
      <c r="G288" s="21">
        <v>0.40008500000000002</v>
      </c>
      <c r="H288" s="21">
        <v>8.1420600000000007</v>
      </c>
      <c r="I288" s="21">
        <v>-1.4733899999999999E-2</v>
      </c>
      <c r="J288" s="21">
        <v>278</v>
      </c>
      <c r="K288" s="21">
        <v>0.39950600000000003</v>
      </c>
      <c r="L288">
        <f t="shared" si="48"/>
        <v>18.189999999999998</v>
      </c>
      <c r="M288">
        <f t="shared" si="49"/>
        <v>7.2775461499999992</v>
      </c>
      <c r="N288" s="9"/>
      <c r="O288" s="21">
        <v>1.2999000000000001</v>
      </c>
      <c r="P288" s="21">
        <v>11.9613</v>
      </c>
      <c r="Q288" s="21">
        <v>-1.36597E-2</v>
      </c>
      <c r="R288" s="21">
        <v>278</v>
      </c>
      <c r="S288" s="21">
        <v>1.2991299999999999</v>
      </c>
      <c r="T288">
        <f t="shared" si="50"/>
        <v>16.863827160493827</v>
      </c>
      <c r="U288">
        <f t="shared" si="51"/>
        <v>21.921288925925925</v>
      </c>
      <c r="X288" s="9"/>
      <c r="Y288" s="21">
        <v>0.40008500000000002</v>
      </c>
      <c r="Z288" s="21">
        <v>17.465299999999999</v>
      </c>
      <c r="AA288" s="21">
        <v>-1.46423E-2</v>
      </c>
      <c r="AB288" s="21">
        <v>278</v>
      </c>
      <c r="AC288" s="21">
        <v>0.39947500000000002</v>
      </c>
      <c r="AD288">
        <f t="shared" si="52"/>
        <v>18.076913580246913</v>
      </c>
      <c r="AE288">
        <f t="shared" si="53"/>
        <v>7.2323019697530864</v>
      </c>
      <c r="AF288" s="9"/>
      <c r="AG288" s="21">
        <v>1.2999000000000001</v>
      </c>
      <c r="AH288" s="21">
        <v>21.284500000000001</v>
      </c>
      <c r="AI288" s="21">
        <v>-1.35681E-2</v>
      </c>
      <c r="AJ288" s="21">
        <v>278</v>
      </c>
      <c r="AK288" s="21">
        <v>1.2988299999999999</v>
      </c>
      <c r="AL288">
        <f t="shared" si="54"/>
        <v>16.750740740740738</v>
      </c>
      <c r="AM288">
        <f t="shared" si="55"/>
        <v>21.774287888888885</v>
      </c>
      <c r="AP288" s="9"/>
      <c r="AQ288" s="21">
        <v>0.40008500000000002</v>
      </c>
      <c r="AR288" s="21">
        <v>26.7775</v>
      </c>
      <c r="AS288" s="21">
        <v>-1.47095E-2</v>
      </c>
      <c r="AT288" s="21">
        <v>278</v>
      </c>
      <c r="AU288" s="21">
        <v>0.39950600000000003</v>
      </c>
      <c r="AV288">
        <f t="shared" si="56"/>
        <v>18.159876543209876</v>
      </c>
      <c r="AW288">
        <f t="shared" si="57"/>
        <v>7.265494206790124</v>
      </c>
      <c r="AX288" s="9"/>
      <c r="AY288" s="21">
        <v>1.2999000000000001</v>
      </c>
      <c r="AZ288" s="21">
        <v>30.596800000000002</v>
      </c>
      <c r="BA288" s="21">
        <v>-1.3559E-2</v>
      </c>
      <c r="BB288" s="21">
        <v>278</v>
      </c>
      <c r="BC288" s="21">
        <v>1.2994399999999999</v>
      </c>
      <c r="BD288">
        <f t="shared" si="58"/>
        <v>16.739506172839505</v>
      </c>
      <c r="BE288">
        <f t="shared" si="59"/>
        <v>21.759684074074073</v>
      </c>
    </row>
    <row r="289" spans="6:57" x14ac:dyDescent="0.25">
      <c r="F289" s="9"/>
      <c r="G289" s="21">
        <v>0.39505000000000001</v>
      </c>
      <c r="H289" s="21">
        <v>8.1521299999999997</v>
      </c>
      <c r="I289" s="21">
        <v>-1.4727799999999999E-2</v>
      </c>
      <c r="J289" s="21">
        <v>279</v>
      </c>
      <c r="K289" s="21">
        <v>0.39456200000000002</v>
      </c>
      <c r="L289">
        <f t="shared" si="48"/>
        <v>18.182469135802467</v>
      </c>
      <c r="M289">
        <f t="shared" si="49"/>
        <v>7.182984432098765</v>
      </c>
      <c r="N289" s="9"/>
      <c r="O289" s="21">
        <v>1.3049299999999999</v>
      </c>
      <c r="P289" s="21">
        <v>11.971299999999999</v>
      </c>
      <c r="Q289" s="21">
        <v>-1.36414E-2</v>
      </c>
      <c r="R289" s="21">
        <v>279</v>
      </c>
      <c r="S289" s="21">
        <v>1.3043199999999999</v>
      </c>
      <c r="T289">
        <f t="shared" si="50"/>
        <v>16.841234567901232</v>
      </c>
      <c r="U289">
        <f t="shared" si="51"/>
        <v>21.976632224691354</v>
      </c>
      <c r="X289" s="9"/>
      <c r="Y289" s="21">
        <v>0.39505000000000001</v>
      </c>
      <c r="Z289" s="21">
        <v>17.475300000000001</v>
      </c>
      <c r="AA289" s="21">
        <v>-1.4639299999999999E-2</v>
      </c>
      <c r="AB289" s="21">
        <v>279</v>
      </c>
      <c r="AC289" s="21">
        <v>0.39450099999999999</v>
      </c>
      <c r="AD289">
        <f t="shared" si="52"/>
        <v>18.07320987654321</v>
      </c>
      <c r="AE289">
        <f t="shared" si="53"/>
        <v>7.1398215617283949</v>
      </c>
      <c r="AF289" s="9"/>
      <c r="AG289" s="21">
        <v>1.3049299999999999</v>
      </c>
      <c r="AH289" s="21">
        <v>21.294499999999999</v>
      </c>
      <c r="AI289" s="21">
        <v>-1.3549800000000001E-2</v>
      </c>
      <c r="AJ289" s="21">
        <v>279</v>
      </c>
      <c r="AK289" s="21">
        <v>1.3043199999999999</v>
      </c>
      <c r="AL289">
        <f t="shared" si="54"/>
        <v>16.728148148148147</v>
      </c>
      <c r="AM289">
        <f t="shared" si="55"/>
        <v>21.829062362962961</v>
      </c>
      <c r="AP289" s="9"/>
      <c r="AQ289" s="21">
        <v>0.39505000000000001</v>
      </c>
      <c r="AR289" s="21">
        <v>26.787600000000001</v>
      </c>
      <c r="AS289" s="21">
        <v>-1.47186E-2</v>
      </c>
      <c r="AT289" s="21">
        <v>279</v>
      </c>
      <c r="AU289" s="21">
        <v>0.39437899999999998</v>
      </c>
      <c r="AV289">
        <f t="shared" si="56"/>
        <v>18.171111111111109</v>
      </c>
      <c r="AW289">
        <f t="shared" si="57"/>
        <v>7.178497444444444</v>
      </c>
      <c r="AX289" s="9"/>
      <c r="AY289" s="21">
        <v>1.3049299999999999</v>
      </c>
      <c r="AZ289" s="21">
        <v>30.6068</v>
      </c>
      <c r="BA289" s="21">
        <v>-1.3543700000000001E-2</v>
      </c>
      <c r="BB289" s="21">
        <v>279</v>
      </c>
      <c r="BC289" s="21">
        <v>1.3043199999999999</v>
      </c>
      <c r="BD289">
        <f t="shared" si="58"/>
        <v>16.720617283950617</v>
      </c>
      <c r="BE289">
        <f t="shared" si="59"/>
        <v>21.819235112345677</v>
      </c>
    </row>
    <row r="290" spans="6:57" x14ac:dyDescent="0.25">
      <c r="F290" s="9"/>
      <c r="G290" s="21">
        <v>0.390015</v>
      </c>
      <c r="H290" s="21">
        <v>8.16221</v>
      </c>
      <c r="I290" s="21">
        <v>-1.47247E-2</v>
      </c>
      <c r="J290" s="21">
        <v>280</v>
      </c>
      <c r="K290" s="21">
        <v>0.38934299999999999</v>
      </c>
      <c r="L290">
        <f t="shared" si="48"/>
        <v>18.178641975308643</v>
      </c>
      <c r="M290">
        <f t="shared" si="49"/>
        <v>7.0899430500000005</v>
      </c>
      <c r="N290" s="9"/>
      <c r="O290" s="21">
        <v>1.3099700000000001</v>
      </c>
      <c r="P290" s="21">
        <v>11.981400000000001</v>
      </c>
      <c r="Q290" s="21">
        <v>-1.362E-2</v>
      </c>
      <c r="R290" s="21">
        <v>280</v>
      </c>
      <c r="S290" s="21">
        <v>1.3089</v>
      </c>
      <c r="T290">
        <f t="shared" si="50"/>
        <v>16.814814814814813</v>
      </c>
      <c r="U290">
        <f t="shared" si="51"/>
        <v>22.026902962962961</v>
      </c>
      <c r="X290" s="9"/>
      <c r="Y290" s="21">
        <v>0.390015</v>
      </c>
      <c r="Z290" s="21">
        <v>17.485399999999998</v>
      </c>
      <c r="AA290" s="21">
        <v>-1.4648400000000001E-2</v>
      </c>
      <c r="AB290" s="21">
        <v>280</v>
      </c>
      <c r="AC290" s="21">
        <v>0.38940399999999997</v>
      </c>
      <c r="AD290">
        <f t="shared" si="52"/>
        <v>18.084444444444443</v>
      </c>
      <c r="AE290">
        <f t="shared" si="53"/>
        <v>7.0532045999999999</v>
      </c>
      <c r="AF290" s="9"/>
      <c r="AG290" s="21">
        <v>1.3099700000000001</v>
      </c>
      <c r="AH290" s="21">
        <v>21.304600000000001</v>
      </c>
      <c r="AI290" s="21">
        <v>-1.35254E-2</v>
      </c>
      <c r="AJ290" s="21">
        <v>280</v>
      </c>
      <c r="AK290" s="21">
        <v>1.3091999999999999</v>
      </c>
      <c r="AL290">
        <f t="shared" si="54"/>
        <v>16.698024691358025</v>
      </c>
      <c r="AM290">
        <f t="shared" si="55"/>
        <v>21.873911404938273</v>
      </c>
      <c r="AP290" s="9"/>
      <c r="AQ290" s="21">
        <v>0.390015</v>
      </c>
      <c r="AR290" s="21">
        <v>26.797599999999999</v>
      </c>
      <c r="AS290" s="21">
        <v>-1.47125E-2</v>
      </c>
      <c r="AT290" s="21">
        <v>280</v>
      </c>
      <c r="AU290" s="21">
        <v>0.38940399999999997</v>
      </c>
      <c r="AV290">
        <f t="shared" si="56"/>
        <v>18.163580246913579</v>
      </c>
      <c r="AW290">
        <f t="shared" si="57"/>
        <v>7.0840687499999992</v>
      </c>
      <c r="AX290" s="9"/>
      <c r="AY290" s="21">
        <v>1.3099700000000001</v>
      </c>
      <c r="AZ290" s="21">
        <v>30.616900000000001</v>
      </c>
      <c r="BA290" s="21">
        <v>-1.35193E-2</v>
      </c>
      <c r="BB290" s="21">
        <v>280</v>
      </c>
      <c r="BC290" s="21">
        <v>1.30951</v>
      </c>
      <c r="BD290">
        <f t="shared" si="58"/>
        <v>16.690493827160495</v>
      </c>
      <c r="BE290">
        <f t="shared" si="59"/>
        <v>21.864046198765436</v>
      </c>
    </row>
    <row r="291" spans="6:57" x14ac:dyDescent="0.25">
      <c r="F291" s="9"/>
      <c r="G291" s="21">
        <v>0.38497900000000002</v>
      </c>
      <c r="H291" s="21">
        <v>8.1722800000000007</v>
      </c>
      <c r="I291" s="21">
        <v>-1.47247E-2</v>
      </c>
      <c r="J291" s="21">
        <v>281</v>
      </c>
      <c r="K291" s="21">
        <v>0.38436900000000002</v>
      </c>
      <c r="L291">
        <f t="shared" si="48"/>
        <v>18.178641975308643</v>
      </c>
      <c r="M291">
        <f t="shared" si="49"/>
        <v>6.9983954090123461</v>
      </c>
      <c r="N291" s="9"/>
      <c r="O291" s="21">
        <v>1.3149999999999999</v>
      </c>
      <c r="P291" s="21">
        <v>11.9915</v>
      </c>
      <c r="Q291" s="21">
        <v>-1.3589499999999999E-2</v>
      </c>
      <c r="R291" s="21">
        <v>281</v>
      </c>
      <c r="S291" s="21">
        <v>1.31409</v>
      </c>
      <c r="T291">
        <f t="shared" si="50"/>
        <v>16.777160493827161</v>
      </c>
      <c r="U291">
        <f t="shared" si="51"/>
        <v>22.061966049382715</v>
      </c>
      <c r="X291" s="9"/>
      <c r="Y291" s="21">
        <v>0.38497900000000002</v>
      </c>
      <c r="Z291" s="21">
        <v>17.4955</v>
      </c>
      <c r="AA291" s="21">
        <v>-1.46515E-2</v>
      </c>
      <c r="AB291" s="21">
        <v>281</v>
      </c>
      <c r="AC291" s="21">
        <v>0.38439899999999999</v>
      </c>
      <c r="AD291">
        <f t="shared" si="52"/>
        <v>18.088271604938271</v>
      </c>
      <c r="AE291">
        <f t="shared" si="53"/>
        <v>6.9636047141975306</v>
      </c>
      <c r="AF291" s="9"/>
      <c r="AG291" s="21">
        <v>1.3149999999999999</v>
      </c>
      <c r="AH291" s="21">
        <v>21.314699999999998</v>
      </c>
      <c r="AI291" s="21">
        <v>-1.35193E-2</v>
      </c>
      <c r="AJ291" s="21">
        <v>281</v>
      </c>
      <c r="AK291" s="21">
        <v>1.3143899999999999</v>
      </c>
      <c r="AL291">
        <f t="shared" si="54"/>
        <v>16.690493827160495</v>
      </c>
      <c r="AM291">
        <f t="shared" si="55"/>
        <v>21.947999382716048</v>
      </c>
      <c r="AP291" s="9"/>
      <c r="AQ291" s="21">
        <v>0.38497900000000002</v>
      </c>
      <c r="AR291" s="21">
        <v>26.807700000000001</v>
      </c>
      <c r="AS291" s="21">
        <v>-1.46973E-2</v>
      </c>
      <c r="AT291" s="21">
        <v>281</v>
      </c>
      <c r="AU291" s="21">
        <v>0.38436900000000002</v>
      </c>
      <c r="AV291">
        <f t="shared" si="56"/>
        <v>18.144814814814815</v>
      </c>
      <c r="AW291">
        <f t="shared" si="57"/>
        <v>6.9853726625925932</v>
      </c>
      <c r="AX291" s="9"/>
      <c r="AY291" s="21">
        <v>1.3149999999999999</v>
      </c>
      <c r="AZ291" s="21">
        <v>30.626999999999999</v>
      </c>
      <c r="BA291" s="21">
        <v>-1.34979E-2</v>
      </c>
      <c r="BB291" s="21">
        <v>281</v>
      </c>
      <c r="BC291" s="21">
        <v>1.31409</v>
      </c>
      <c r="BD291">
        <f t="shared" si="58"/>
        <v>16.664074074074072</v>
      </c>
      <c r="BE291">
        <f t="shared" si="59"/>
        <v>21.913257407407404</v>
      </c>
    </row>
    <row r="292" spans="6:57" x14ac:dyDescent="0.25">
      <c r="F292" s="9"/>
      <c r="G292" s="21">
        <v>0.379944</v>
      </c>
      <c r="H292" s="21">
        <v>8.1823499999999996</v>
      </c>
      <c r="I292" s="21">
        <v>-1.47247E-2</v>
      </c>
      <c r="J292" s="21">
        <v>282</v>
      </c>
      <c r="K292" s="21">
        <v>0.37933299999999998</v>
      </c>
      <c r="L292">
        <f t="shared" si="48"/>
        <v>18.178641975308643</v>
      </c>
      <c r="M292">
        <f t="shared" si="49"/>
        <v>6.9068659466666675</v>
      </c>
      <c r="N292" s="9"/>
      <c r="O292" s="21">
        <v>1.3200400000000001</v>
      </c>
      <c r="P292" s="21">
        <v>12.0015</v>
      </c>
      <c r="Q292" s="21">
        <v>-1.3561999999999999E-2</v>
      </c>
      <c r="R292" s="21">
        <v>282</v>
      </c>
      <c r="S292" s="21">
        <v>1.3192699999999999</v>
      </c>
      <c r="T292">
        <f t="shared" si="50"/>
        <v>16.743209876543208</v>
      </c>
      <c r="U292">
        <f t="shared" si="51"/>
        <v>22.101706765432098</v>
      </c>
      <c r="X292" s="9"/>
      <c r="Y292" s="21">
        <v>0.379944</v>
      </c>
      <c r="Z292" s="21">
        <v>17.505600000000001</v>
      </c>
      <c r="AA292" s="21">
        <v>-1.46637E-2</v>
      </c>
      <c r="AB292" s="21">
        <v>282</v>
      </c>
      <c r="AC292" s="21">
        <v>0.37939499999999998</v>
      </c>
      <c r="AD292">
        <f t="shared" si="52"/>
        <v>18.103333333333332</v>
      </c>
      <c r="AE292">
        <f t="shared" si="53"/>
        <v>6.8782528799999998</v>
      </c>
      <c r="AF292" s="9"/>
      <c r="AG292" s="21">
        <v>1.3200400000000001</v>
      </c>
      <c r="AH292" s="21">
        <v>21.3248</v>
      </c>
      <c r="AI292" s="21">
        <v>-1.3507099999999999E-2</v>
      </c>
      <c r="AJ292" s="21">
        <v>282</v>
      </c>
      <c r="AK292" s="21">
        <v>1.3192699999999999</v>
      </c>
      <c r="AL292">
        <f t="shared" si="54"/>
        <v>16.67543209876543</v>
      </c>
      <c r="AM292">
        <f t="shared" si="55"/>
        <v>22.01223738765432</v>
      </c>
      <c r="AP292" s="9"/>
      <c r="AQ292" s="21">
        <v>0.379944</v>
      </c>
      <c r="AR292" s="21">
        <v>26.817799999999998</v>
      </c>
      <c r="AS292" s="21">
        <v>-1.46973E-2</v>
      </c>
      <c r="AT292" s="21">
        <v>282</v>
      </c>
      <c r="AU292" s="21">
        <v>0.37924200000000002</v>
      </c>
      <c r="AV292">
        <f t="shared" si="56"/>
        <v>18.144814814814815</v>
      </c>
      <c r="AW292">
        <f t="shared" si="57"/>
        <v>6.8940135200000006</v>
      </c>
      <c r="AX292" s="9"/>
      <c r="AY292" s="21">
        <v>1.3200400000000001</v>
      </c>
      <c r="AZ292" s="21">
        <v>30.6371</v>
      </c>
      <c r="BA292" s="21">
        <v>-1.34644E-2</v>
      </c>
      <c r="BB292" s="21">
        <v>282</v>
      </c>
      <c r="BC292" s="21">
        <v>1.31958</v>
      </c>
      <c r="BD292">
        <f t="shared" si="58"/>
        <v>16.622716049382717</v>
      </c>
      <c r="BE292">
        <f t="shared" si="59"/>
        <v>21.942650093827165</v>
      </c>
    </row>
    <row r="293" spans="6:57" x14ac:dyDescent="0.25">
      <c r="F293" s="9"/>
      <c r="G293" s="21">
        <v>0.37490800000000002</v>
      </c>
      <c r="H293" s="21">
        <v>8.1924200000000003</v>
      </c>
      <c r="I293" s="21">
        <v>-1.47247E-2</v>
      </c>
      <c r="J293" s="21">
        <v>283</v>
      </c>
      <c r="K293" s="21">
        <v>0.37429800000000002</v>
      </c>
      <c r="L293">
        <f t="shared" si="48"/>
        <v>18.178641975308643</v>
      </c>
      <c r="M293">
        <f t="shared" si="49"/>
        <v>6.8153183056790132</v>
      </c>
      <c r="N293" s="9"/>
      <c r="O293" s="21">
        <v>1.32507</v>
      </c>
      <c r="P293" s="21">
        <v>12.0116</v>
      </c>
      <c r="Q293" s="21">
        <v>-1.3546799999999999E-2</v>
      </c>
      <c r="R293" s="21">
        <v>283</v>
      </c>
      <c r="S293" s="21">
        <v>1.32416</v>
      </c>
      <c r="T293">
        <f t="shared" si="50"/>
        <v>16.72444444444444</v>
      </c>
      <c r="U293">
        <f t="shared" si="51"/>
        <v>22.161059599999994</v>
      </c>
      <c r="X293" s="9"/>
      <c r="Y293" s="21">
        <v>0.37490800000000002</v>
      </c>
      <c r="Z293" s="21">
        <v>17.515599999999999</v>
      </c>
      <c r="AA293" s="21">
        <v>-1.4672899999999999E-2</v>
      </c>
      <c r="AB293" s="21">
        <v>283</v>
      </c>
      <c r="AC293" s="21">
        <v>0.37423699999999999</v>
      </c>
      <c r="AD293">
        <f t="shared" si="52"/>
        <v>18.11469135802469</v>
      </c>
      <c r="AE293">
        <f t="shared" si="53"/>
        <v>6.7913427076543202</v>
      </c>
      <c r="AF293" s="9"/>
      <c r="AG293" s="21">
        <v>1.32507</v>
      </c>
      <c r="AH293" s="21">
        <v>21.334800000000001</v>
      </c>
      <c r="AI293" s="21">
        <v>-1.3473499999999999E-2</v>
      </c>
      <c r="AJ293" s="21">
        <v>283</v>
      </c>
      <c r="AK293" s="21">
        <v>1.32416</v>
      </c>
      <c r="AL293">
        <f t="shared" si="54"/>
        <v>16.633950617283947</v>
      </c>
      <c r="AM293">
        <f t="shared" si="55"/>
        <v>22.041148944444441</v>
      </c>
      <c r="AP293" s="9"/>
      <c r="AQ293" s="21">
        <v>0.37490800000000002</v>
      </c>
      <c r="AR293" s="21">
        <v>26.8279</v>
      </c>
      <c r="AS293" s="21">
        <v>-1.4694199999999999E-2</v>
      </c>
      <c r="AT293" s="21">
        <v>283</v>
      </c>
      <c r="AU293" s="21">
        <v>0.37429800000000002</v>
      </c>
      <c r="AV293">
        <f t="shared" si="56"/>
        <v>18.140987654320988</v>
      </c>
      <c r="AW293">
        <f t="shared" si="57"/>
        <v>6.8012013995061729</v>
      </c>
      <c r="AX293" s="9"/>
      <c r="AY293" s="21">
        <v>1.32507</v>
      </c>
      <c r="AZ293" s="21">
        <v>30.647099999999998</v>
      </c>
      <c r="BA293" s="21">
        <v>-1.3443E-2</v>
      </c>
      <c r="BB293" s="21">
        <v>283</v>
      </c>
      <c r="BC293" s="21">
        <v>1.32446</v>
      </c>
      <c r="BD293">
        <f t="shared" si="58"/>
        <v>16.596296296296295</v>
      </c>
      <c r="BE293">
        <f t="shared" si="59"/>
        <v>21.99125433333333</v>
      </c>
    </row>
    <row r="294" spans="6:57" x14ac:dyDescent="0.25">
      <c r="F294" s="9"/>
      <c r="G294" s="21">
        <v>0.36987300000000001</v>
      </c>
      <c r="H294" s="21">
        <v>8.2024899999999992</v>
      </c>
      <c r="I294" s="21">
        <v>-1.47308E-2</v>
      </c>
      <c r="J294" s="21">
        <v>284</v>
      </c>
      <c r="K294" s="21">
        <v>0.36920199999999997</v>
      </c>
      <c r="L294">
        <f t="shared" si="48"/>
        <v>18.186172839506174</v>
      </c>
      <c r="M294">
        <f t="shared" si="49"/>
        <v>6.7265743066666674</v>
      </c>
      <c r="N294" s="9"/>
      <c r="O294" s="21">
        <v>1.3301099999999999</v>
      </c>
      <c r="P294" s="21">
        <v>12.021699999999999</v>
      </c>
      <c r="Q294" s="21">
        <v>-1.35315E-2</v>
      </c>
      <c r="R294" s="21">
        <v>284</v>
      </c>
      <c r="S294" s="21">
        <v>1.32904</v>
      </c>
      <c r="T294">
        <f t="shared" si="50"/>
        <v>16.705555555555552</v>
      </c>
      <c r="U294">
        <f t="shared" si="51"/>
        <v>22.220226499999995</v>
      </c>
      <c r="X294" s="9"/>
      <c r="Y294" s="21">
        <v>0.36987300000000001</v>
      </c>
      <c r="Z294" s="21">
        <v>17.525700000000001</v>
      </c>
      <c r="AA294" s="21">
        <v>-1.46698E-2</v>
      </c>
      <c r="AB294" s="21">
        <v>284</v>
      </c>
      <c r="AC294" s="21">
        <v>0.36920199999999997</v>
      </c>
      <c r="AD294">
        <f t="shared" si="52"/>
        <v>18.110864197530866</v>
      </c>
      <c r="AE294">
        <f t="shared" si="53"/>
        <v>6.6987196733333336</v>
      </c>
      <c r="AF294" s="9"/>
      <c r="AG294" s="21">
        <v>1.3301099999999999</v>
      </c>
      <c r="AH294" s="21">
        <v>21.344899999999999</v>
      </c>
      <c r="AI294" s="21">
        <v>-1.3446E-2</v>
      </c>
      <c r="AJ294" s="21">
        <v>284</v>
      </c>
      <c r="AK294" s="21">
        <v>1.33026</v>
      </c>
      <c r="AL294">
        <f t="shared" si="54"/>
        <v>16.599999999999998</v>
      </c>
      <c r="AM294">
        <f t="shared" si="55"/>
        <v>22.079825999999997</v>
      </c>
      <c r="AP294" s="9"/>
      <c r="AQ294" s="21">
        <v>0.36987300000000001</v>
      </c>
      <c r="AR294" s="21">
        <v>26.837900000000001</v>
      </c>
      <c r="AS294" s="21">
        <v>-1.4694199999999999E-2</v>
      </c>
      <c r="AT294" s="21">
        <v>284</v>
      </c>
      <c r="AU294" s="21">
        <v>0.36929299999999998</v>
      </c>
      <c r="AV294">
        <f t="shared" si="56"/>
        <v>18.140987654320988</v>
      </c>
      <c r="AW294">
        <f t="shared" si="57"/>
        <v>6.7098615266666668</v>
      </c>
      <c r="AX294" s="9"/>
      <c r="AY294" s="21">
        <v>1.3301099999999999</v>
      </c>
      <c r="AZ294" s="21">
        <v>30.6572</v>
      </c>
      <c r="BA294" s="21">
        <v>-1.3421600000000001E-2</v>
      </c>
      <c r="BB294" s="21">
        <v>284</v>
      </c>
      <c r="BC294" s="21">
        <v>1.32874</v>
      </c>
      <c r="BD294">
        <f t="shared" si="58"/>
        <v>16.569876543209876</v>
      </c>
      <c r="BE294">
        <f t="shared" si="59"/>
        <v>22.039758488888886</v>
      </c>
    </row>
    <row r="295" spans="6:57" x14ac:dyDescent="0.25">
      <c r="F295" s="9"/>
      <c r="G295" s="21">
        <v>0.364838</v>
      </c>
      <c r="H295" s="21">
        <v>8.2125599999999999</v>
      </c>
      <c r="I295" s="21">
        <v>-1.4736900000000001E-2</v>
      </c>
      <c r="J295" s="21">
        <v>285</v>
      </c>
      <c r="K295" s="21">
        <v>0.36437999999999998</v>
      </c>
      <c r="L295">
        <f t="shared" si="48"/>
        <v>18.193703703703704</v>
      </c>
      <c r="M295">
        <f t="shared" si="49"/>
        <v>6.637754471851852</v>
      </c>
      <c r="N295" s="9"/>
      <c r="O295" s="21">
        <v>1.33514</v>
      </c>
      <c r="P295" s="21">
        <v>12.0318</v>
      </c>
      <c r="Q295" s="21">
        <v>-1.3494900000000001E-2</v>
      </c>
      <c r="R295" s="21">
        <v>285</v>
      </c>
      <c r="S295" s="21">
        <v>1.33453</v>
      </c>
      <c r="T295">
        <f t="shared" si="50"/>
        <v>16.660370370370369</v>
      </c>
      <c r="U295">
        <f t="shared" si="51"/>
        <v>22.243926896296294</v>
      </c>
      <c r="X295" s="9"/>
      <c r="Y295" s="21">
        <v>0.364838</v>
      </c>
      <c r="Z295" s="21">
        <v>17.535799999999998</v>
      </c>
      <c r="AA295" s="21">
        <v>-1.4678999999999999E-2</v>
      </c>
      <c r="AB295" s="21">
        <v>285</v>
      </c>
      <c r="AC295" s="21">
        <v>0.364319</v>
      </c>
      <c r="AD295">
        <f t="shared" si="52"/>
        <v>18.12222222222222</v>
      </c>
      <c r="AE295">
        <f t="shared" si="53"/>
        <v>6.6116753111111102</v>
      </c>
      <c r="AF295" s="9"/>
      <c r="AG295" s="21">
        <v>1.33514</v>
      </c>
      <c r="AH295" s="21">
        <v>21.355</v>
      </c>
      <c r="AI295" s="21">
        <v>-1.3412500000000001E-2</v>
      </c>
      <c r="AJ295" s="21">
        <v>285</v>
      </c>
      <c r="AK295" s="21">
        <v>1.33453</v>
      </c>
      <c r="AL295">
        <f t="shared" si="54"/>
        <v>16.558641975308642</v>
      </c>
      <c r="AM295">
        <f t="shared" si="55"/>
        <v>22.108105246913581</v>
      </c>
      <c r="AP295" s="9"/>
      <c r="AQ295" s="21">
        <v>0.364838</v>
      </c>
      <c r="AR295" s="21">
        <v>26.847999999999999</v>
      </c>
      <c r="AS295" s="21">
        <v>-1.46973E-2</v>
      </c>
      <c r="AT295" s="21">
        <v>285</v>
      </c>
      <c r="AU295" s="21">
        <v>0.364288</v>
      </c>
      <c r="AV295">
        <f t="shared" si="56"/>
        <v>18.144814814814815</v>
      </c>
      <c r="AW295">
        <f t="shared" si="57"/>
        <v>6.6199179474074077</v>
      </c>
      <c r="AX295" s="9"/>
      <c r="AY295" s="21">
        <v>1.33514</v>
      </c>
      <c r="AZ295" s="21">
        <v>30.667300000000001</v>
      </c>
      <c r="BA295" s="21">
        <v>-1.33972E-2</v>
      </c>
      <c r="BB295" s="21">
        <v>285</v>
      </c>
      <c r="BC295" s="21">
        <v>1.33453</v>
      </c>
      <c r="BD295">
        <f t="shared" si="58"/>
        <v>16.539753086419751</v>
      </c>
      <c r="BE295">
        <f t="shared" si="59"/>
        <v>22.082885935802466</v>
      </c>
    </row>
    <row r="296" spans="6:57" x14ac:dyDescent="0.25">
      <c r="F296" s="9"/>
      <c r="G296" s="21">
        <v>0.35980200000000001</v>
      </c>
      <c r="H296" s="21">
        <v>8.2226300000000005</v>
      </c>
      <c r="I296" s="21">
        <v>-1.4736900000000001E-2</v>
      </c>
      <c r="J296" s="21">
        <v>286</v>
      </c>
      <c r="K296" s="21">
        <v>0.35922199999999999</v>
      </c>
      <c r="L296">
        <f t="shared" si="48"/>
        <v>18.193703703703704</v>
      </c>
      <c r="M296">
        <f t="shared" si="49"/>
        <v>6.54613098</v>
      </c>
      <c r="N296" s="9"/>
      <c r="O296" s="21">
        <v>1.3401799999999999</v>
      </c>
      <c r="P296" s="21">
        <v>12.0418</v>
      </c>
      <c r="Q296" s="21">
        <v>-1.34644E-2</v>
      </c>
      <c r="R296" s="21">
        <v>286</v>
      </c>
      <c r="S296" s="21">
        <v>1.33972</v>
      </c>
      <c r="T296">
        <f t="shared" si="50"/>
        <v>16.622716049382717</v>
      </c>
      <c r="U296">
        <f t="shared" si="51"/>
        <v>22.277431595061728</v>
      </c>
      <c r="X296" s="9"/>
      <c r="Y296" s="21">
        <v>0.35980200000000001</v>
      </c>
      <c r="Z296" s="21">
        <v>17.5458</v>
      </c>
      <c r="AA296" s="21">
        <v>-1.4678999999999999E-2</v>
      </c>
      <c r="AB296" s="21">
        <v>286</v>
      </c>
      <c r="AC296" s="21">
        <v>0.35913099999999998</v>
      </c>
      <c r="AD296">
        <f t="shared" si="52"/>
        <v>18.12222222222222</v>
      </c>
      <c r="AE296">
        <f t="shared" si="53"/>
        <v>6.5204117999999998</v>
      </c>
      <c r="AF296" s="9"/>
      <c r="AG296" s="21">
        <v>1.3401799999999999</v>
      </c>
      <c r="AH296" s="21">
        <v>21.364999999999998</v>
      </c>
      <c r="AI296" s="21">
        <v>-1.3382E-2</v>
      </c>
      <c r="AJ296" s="21">
        <v>286</v>
      </c>
      <c r="AK296" s="21">
        <v>1.3394200000000001</v>
      </c>
      <c r="AL296">
        <f t="shared" si="54"/>
        <v>16.520987654320987</v>
      </c>
      <c r="AM296">
        <f t="shared" si="55"/>
        <v>22.141097234567898</v>
      </c>
      <c r="AP296" s="9"/>
      <c r="AQ296" s="21">
        <v>0.35980200000000001</v>
      </c>
      <c r="AR296" s="21">
        <v>26.8581</v>
      </c>
      <c r="AS296" s="21">
        <v>-1.47034E-2</v>
      </c>
      <c r="AT296" s="21">
        <v>286</v>
      </c>
      <c r="AU296" s="21">
        <v>0.35907</v>
      </c>
      <c r="AV296">
        <f t="shared" si="56"/>
        <v>18.152345679012342</v>
      </c>
      <c r="AW296">
        <f t="shared" si="57"/>
        <v>6.5312502799999992</v>
      </c>
      <c r="AX296" s="9"/>
      <c r="AY296" s="21">
        <v>1.3401799999999999</v>
      </c>
      <c r="AZ296" s="21">
        <v>30.677299999999999</v>
      </c>
      <c r="BA296" s="21">
        <v>-1.3382E-2</v>
      </c>
      <c r="BB296" s="21">
        <v>286</v>
      </c>
      <c r="BC296" s="21">
        <v>1.33911</v>
      </c>
      <c r="BD296">
        <f t="shared" si="58"/>
        <v>16.520987654320987</v>
      </c>
      <c r="BE296">
        <f t="shared" si="59"/>
        <v>22.141097234567898</v>
      </c>
    </row>
    <row r="297" spans="6:57" x14ac:dyDescent="0.25">
      <c r="F297" s="9"/>
      <c r="G297" s="21">
        <v>0.354767</v>
      </c>
      <c r="H297" s="21">
        <v>8.2326999999999995</v>
      </c>
      <c r="I297" s="21">
        <v>-1.4736900000000001E-2</v>
      </c>
      <c r="J297" s="21">
        <v>287</v>
      </c>
      <c r="K297" s="21">
        <v>0.35418699999999997</v>
      </c>
      <c r="L297">
        <f t="shared" si="48"/>
        <v>18.193703703703704</v>
      </c>
      <c r="M297">
        <f t="shared" si="49"/>
        <v>6.4545256818518517</v>
      </c>
      <c r="N297" s="9"/>
      <c r="O297" s="21">
        <v>1.34521</v>
      </c>
      <c r="P297" s="21">
        <v>12.0519</v>
      </c>
      <c r="Q297" s="21">
        <v>-1.34308E-2</v>
      </c>
      <c r="R297" s="21">
        <v>287</v>
      </c>
      <c r="S297" s="21">
        <v>1.3443000000000001</v>
      </c>
      <c r="T297">
        <f t="shared" si="50"/>
        <v>16.581234567901234</v>
      </c>
      <c r="U297">
        <f t="shared" si="51"/>
        <v>22.305242553086419</v>
      </c>
      <c r="X297" s="9"/>
      <c r="Y297" s="21">
        <v>0.354767</v>
      </c>
      <c r="Z297" s="21">
        <v>17.555900000000001</v>
      </c>
      <c r="AA297" s="21">
        <v>-1.4678999999999999E-2</v>
      </c>
      <c r="AB297" s="21">
        <v>287</v>
      </c>
      <c r="AC297" s="21">
        <v>0.35415600000000003</v>
      </c>
      <c r="AD297">
        <f t="shared" si="52"/>
        <v>18.12222222222222</v>
      </c>
      <c r="AE297">
        <f t="shared" si="53"/>
        <v>6.42916641111111</v>
      </c>
      <c r="AF297" s="9"/>
      <c r="AG297" s="21">
        <v>1.34521</v>
      </c>
      <c r="AH297" s="21">
        <v>21.3751</v>
      </c>
      <c r="AI297" s="21">
        <v>-1.3345299999999999E-2</v>
      </c>
      <c r="AJ297" s="21">
        <v>287</v>
      </c>
      <c r="AK297" s="21">
        <v>1.3443000000000001</v>
      </c>
      <c r="AL297">
        <f t="shared" si="54"/>
        <v>16.475679012345676</v>
      </c>
      <c r="AM297">
        <f t="shared" si="55"/>
        <v>22.163248164197526</v>
      </c>
      <c r="AP297" s="9"/>
      <c r="AQ297" s="21">
        <v>0.354767</v>
      </c>
      <c r="AR297" s="21">
        <v>26.868099999999998</v>
      </c>
      <c r="AS297" s="21">
        <v>-1.47125E-2</v>
      </c>
      <c r="AT297" s="21">
        <v>287</v>
      </c>
      <c r="AU297" s="21">
        <v>0.35418699999999997</v>
      </c>
      <c r="AV297">
        <f t="shared" si="56"/>
        <v>18.163580246913579</v>
      </c>
      <c r="AW297">
        <f t="shared" si="57"/>
        <v>6.44383887345679</v>
      </c>
      <c r="AX297" s="9"/>
      <c r="AY297" s="21">
        <v>1.34521</v>
      </c>
      <c r="AZ297" s="21">
        <v>30.6874</v>
      </c>
      <c r="BA297" s="21">
        <v>-1.3351399999999999E-2</v>
      </c>
      <c r="BB297" s="21">
        <v>287</v>
      </c>
      <c r="BC297" s="21">
        <v>1.3446</v>
      </c>
      <c r="BD297">
        <f t="shared" si="58"/>
        <v>16.483209876543206</v>
      </c>
      <c r="BE297">
        <f t="shared" si="59"/>
        <v>22.173378758024686</v>
      </c>
    </row>
    <row r="298" spans="6:57" x14ac:dyDescent="0.25">
      <c r="F298" s="9"/>
      <c r="G298" s="21">
        <v>0.34973100000000001</v>
      </c>
      <c r="H298" s="21">
        <v>8.2427700000000002</v>
      </c>
      <c r="I298" s="21">
        <v>-1.4736900000000001E-2</v>
      </c>
      <c r="J298" s="21">
        <v>288</v>
      </c>
      <c r="K298" s="21">
        <v>0.34915200000000002</v>
      </c>
      <c r="L298">
        <f t="shared" si="48"/>
        <v>18.193703703703704</v>
      </c>
      <c r="M298">
        <f t="shared" si="49"/>
        <v>6.3629021900000007</v>
      </c>
      <c r="N298" s="9"/>
      <c r="O298" s="21">
        <v>1.35025</v>
      </c>
      <c r="P298" s="21">
        <v>12.061999999999999</v>
      </c>
      <c r="Q298" s="21">
        <v>-1.34003E-2</v>
      </c>
      <c r="R298" s="21">
        <v>288</v>
      </c>
      <c r="S298" s="21">
        <v>1.3494900000000001</v>
      </c>
      <c r="T298">
        <f t="shared" si="50"/>
        <v>16.543580246913578</v>
      </c>
      <c r="U298">
        <f t="shared" si="51"/>
        <v>22.337969228395057</v>
      </c>
      <c r="X298" s="9"/>
      <c r="Y298" s="21">
        <v>0.34973100000000001</v>
      </c>
      <c r="Z298" s="21">
        <v>17.565999999999999</v>
      </c>
      <c r="AA298" s="21">
        <v>-1.46851E-2</v>
      </c>
      <c r="AB298" s="21">
        <v>288</v>
      </c>
      <c r="AC298" s="21">
        <v>0.34903000000000001</v>
      </c>
      <c r="AD298">
        <f t="shared" si="52"/>
        <v>18.12975308641975</v>
      </c>
      <c r="AE298">
        <f t="shared" si="53"/>
        <v>6.340536676666666</v>
      </c>
      <c r="AF298" s="9"/>
      <c r="AG298" s="21">
        <v>1.35025</v>
      </c>
      <c r="AH298" s="21">
        <v>21.385200000000001</v>
      </c>
      <c r="AI298" s="21">
        <v>-1.3324000000000001E-2</v>
      </c>
      <c r="AJ298" s="21">
        <v>288</v>
      </c>
      <c r="AK298" s="21">
        <v>1.3494900000000001</v>
      </c>
      <c r="AL298">
        <f t="shared" si="54"/>
        <v>16.449382716049382</v>
      </c>
      <c r="AM298">
        <f t="shared" si="55"/>
        <v>22.210779012345675</v>
      </c>
      <c r="AP298" s="9"/>
      <c r="AQ298" s="21">
        <v>0.34973100000000001</v>
      </c>
      <c r="AR298" s="21">
        <v>26.8782</v>
      </c>
      <c r="AS298" s="21">
        <v>-1.47247E-2</v>
      </c>
      <c r="AT298" s="21">
        <v>288</v>
      </c>
      <c r="AU298" s="21">
        <v>0.34912100000000001</v>
      </c>
      <c r="AV298">
        <f t="shared" si="56"/>
        <v>18.178641975308643</v>
      </c>
      <c r="AW298">
        <f t="shared" si="57"/>
        <v>6.3576346366666678</v>
      </c>
      <c r="AX298" s="9"/>
      <c r="AY298" s="21">
        <v>1.35025</v>
      </c>
      <c r="AZ298" s="21">
        <v>30.697500000000002</v>
      </c>
      <c r="BA298" s="21">
        <v>-1.3324000000000001E-2</v>
      </c>
      <c r="BB298" s="21">
        <v>288</v>
      </c>
      <c r="BC298" s="21">
        <v>1.3494900000000001</v>
      </c>
      <c r="BD298">
        <f t="shared" si="58"/>
        <v>16.449382716049382</v>
      </c>
      <c r="BE298">
        <f t="shared" si="59"/>
        <v>22.210779012345675</v>
      </c>
    </row>
    <row r="299" spans="6:57" x14ac:dyDescent="0.25">
      <c r="F299" s="9"/>
      <c r="G299" s="21">
        <v>0.344696</v>
      </c>
      <c r="H299" s="21">
        <v>8.2528400000000008</v>
      </c>
      <c r="I299" s="21">
        <v>-1.47308E-2</v>
      </c>
      <c r="J299" s="21">
        <v>289</v>
      </c>
      <c r="K299" s="21">
        <v>0.34414699999999998</v>
      </c>
      <c r="L299">
        <f t="shared" si="48"/>
        <v>18.186172839506174</v>
      </c>
      <c r="M299">
        <f t="shared" si="49"/>
        <v>6.2687010330864199</v>
      </c>
      <c r="N299" s="9"/>
      <c r="O299" s="21">
        <v>1.3552900000000001</v>
      </c>
      <c r="P299" s="21">
        <v>12.071999999999999</v>
      </c>
      <c r="Q299" s="21">
        <v>-1.33667E-2</v>
      </c>
      <c r="R299" s="21">
        <v>289</v>
      </c>
      <c r="S299" s="21">
        <v>1.3543700000000001</v>
      </c>
      <c r="T299">
        <f t="shared" si="50"/>
        <v>16.502098765432098</v>
      </c>
      <c r="U299">
        <f t="shared" si="51"/>
        <v>22.365129435802469</v>
      </c>
      <c r="X299" s="9"/>
      <c r="Y299" s="21">
        <v>0.344696</v>
      </c>
      <c r="Z299" s="21">
        <v>17.5761</v>
      </c>
      <c r="AA299" s="21">
        <v>-1.4688100000000001E-2</v>
      </c>
      <c r="AB299" s="21">
        <v>289</v>
      </c>
      <c r="AC299" s="21">
        <v>0.34411599999999998</v>
      </c>
      <c r="AD299">
        <f t="shared" si="52"/>
        <v>18.133456790123457</v>
      </c>
      <c r="AE299">
        <f t="shared" si="53"/>
        <v>6.2505300217283954</v>
      </c>
      <c r="AF299" s="9"/>
      <c r="AG299" s="21">
        <v>1.3552900000000001</v>
      </c>
      <c r="AH299" s="21">
        <v>21.395199999999999</v>
      </c>
      <c r="AI299" s="21">
        <v>-1.33087E-2</v>
      </c>
      <c r="AJ299" s="21">
        <v>289</v>
      </c>
      <c r="AK299" s="21">
        <v>1.3546800000000001</v>
      </c>
      <c r="AL299">
        <f t="shared" si="54"/>
        <v>16.430493827160493</v>
      </c>
      <c r="AM299">
        <f t="shared" si="55"/>
        <v>22.268083979012346</v>
      </c>
      <c r="AP299" s="9"/>
      <c r="AQ299" s="21">
        <v>0.344696</v>
      </c>
      <c r="AR299" s="21">
        <v>26.888300000000001</v>
      </c>
      <c r="AS299" s="21">
        <v>-1.4733899999999999E-2</v>
      </c>
      <c r="AT299" s="21">
        <v>289</v>
      </c>
      <c r="AU299" s="21">
        <v>0.344055</v>
      </c>
      <c r="AV299">
        <f t="shared" si="56"/>
        <v>18.189999999999998</v>
      </c>
      <c r="AW299">
        <f t="shared" si="57"/>
        <v>6.2700202399999991</v>
      </c>
      <c r="AX299" s="9"/>
      <c r="AY299" s="21">
        <v>1.3552900000000001</v>
      </c>
      <c r="AZ299" s="21">
        <v>30.707599999999999</v>
      </c>
      <c r="BA299" s="21">
        <v>-1.32874E-2</v>
      </c>
      <c r="BB299" s="21">
        <v>289</v>
      </c>
      <c r="BC299" s="21">
        <v>1.3546800000000001</v>
      </c>
      <c r="BD299">
        <f t="shared" si="58"/>
        <v>16.404197530864195</v>
      </c>
      <c r="BE299">
        <f t="shared" si="59"/>
        <v>22.232444871604937</v>
      </c>
    </row>
    <row r="300" spans="6:57" x14ac:dyDescent="0.25">
      <c r="F300" s="9"/>
      <c r="G300" s="21">
        <v>0.33966099999999999</v>
      </c>
      <c r="H300" s="21">
        <v>8.2629199999999994</v>
      </c>
      <c r="I300" s="21">
        <v>-1.47186E-2</v>
      </c>
      <c r="J300" s="21">
        <v>290</v>
      </c>
      <c r="K300" s="21">
        <v>0.33908100000000002</v>
      </c>
      <c r="L300">
        <f t="shared" si="48"/>
        <v>18.171111111111109</v>
      </c>
      <c r="M300">
        <f t="shared" si="49"/>
        <v>6.1720177711111104</v>
      </c>
      <c r="N300" s="9"/>
      <c r="O300" s="21">
        <v>1.36032</v>
      </c>
      <c r="P300" s="21">
        <v>12.082100000000001</v>
      </c>
      <c r="Q300" s="21">
        <v>-1.33545E-2</v>
      </c>
      <c r="R300" s="21">
        <v>290</v>
      </c>
      <c r="S300" s="21">
        <v>1.3595600000000001</v>
      </c>
      <c r="T300">
        <f t="shared" si="50"/>
        <v>16.487037037037037</v>
      </c>
      <c r="U300">
        <f t="shared" si="51"/>
        <v>22.427646222222222</v>
      </c>
      <c r="X300" s="9"/>
      <c r="Y300" s="21">
        <v>0.33966099999999999</v>
      </c>
      <c r="Z300" s="21">
        <v>17.586099999999998</v>
      </c>
      <c r="AA300" s="21">
        <v>-1.4688100000000001E-2</v>
      </c>
      <c r="AB300" s="21">
        <v>290</v>
      </c>
      <c r="AC300" s="21">
        <v>0.33905000000000002</v>
      </c>
      <c r="AD300">
        <f t="shared" si="52"/>
        <v>18.133456790123457</v>
      </c>
      <c r="AE300">
        <f t="shared" si="53"/>
        <v>6.1592280667901234</v>
      </c>
      <c r="AF300" s="9"/>
      <c r="AG300" s="21">
        <v>1.36032</v>
      </c>
      <c r="AH300" s="21">
        <v>21.4053</v>
      </c>
      <c r="AI300" s="21">
        <v>-1.3284300000000001E-2</v>
      </c>
      <c r="AJ300" s="21">
        <v>290</v>
      </c>
      <c r="AK300" s="21">
        <v>1.3589500000000001</v>
      </c>
      <c r="AL300">
        <f t="shared" si="54"/>
        <v>16.400370370370371</v>
      </c>
      <c r="AM300">
        <f t="shared" si="55"/>
        <v>22.309751822222225</v>
      </c>
      <c r="AP300" s="9"/>
      <c r="AQ300" s="21">
        <v>0.33966099999999999</v>
      </c>
      <c r="AR300" s="21">
        <v>26.898399999999999</v>
      </c>
      <c r="AS300" s="21">
        <v>-1.4733899999999999E-2</v>
      </c>
      <c r="AT300" s="21">
        <v>290</v>
      </c>
      <c r="AU300" s="21">
        <v>0.33905000000000002</v>
      </c>
      <c r="AV300">
        <f t="shared" si="56"/>
        <v>18.189999999999998</v>
      </c>
      <c r="AW300">
        <f t="shared" si="57"/>
        <v>6.1784335899999991</v>
      </c>
      <c r="AX300" s="9"/>
      <c r="AY300" s="21">
        <v>1.36032</v>
      </c>
      <c r="AZ300" s="21">
        <v>30.717600000000001</v>
      </c>
      <c r="BA300" s="21">
        <v>-1.3256799999999999E-2</v>
      </c>
      <c r="BB300" s="21">
        <v>290</v>
      </c>
      <c r="BC300" s="21">
        <v>1.3589500000000001</v>
      </c>
      <c r="BD300">
        <f t="shared" si="58"/>
        <v>16.366419753086415</v>
      </c>
      <c r="BE300">
        <f t="shared" si="59"/>
        <v>22.263568118518513</v>
      </c>
    </row>
    <row r="301" spans="6:57" x14ac:dyDescent="0.25">
      <c r="F301" s="9"/>
      <c r="G301" s="21">
        <v>0.33462500000000001</v>
      </c>
      <c r="H301" s="21">
        <v>8.2729900000000001</v>
      </c>
      <c r="I301" s="21">
        <v>-1.47125E-2</v>
      </c>
      <c r="J301" s="21">
        <v>291</v>
      </c>
      <c r="K301" s="21">
        <v>0.33401500000000001</v>
      </c>
      <c r="L301">
        <f t="shared" si="48"/>
        <v>18.163580246913579</v>
      </c>
      <c r="M301">
        <f t="shared" si="49"/>
        <v>6.0779880401234561</v>
      </c>
      <c r="N301" s="9"/>
      <c r="O301" s="21">
        <v>1.3653599999999999</v>
      </c>
      <c r="P301" s="21">
        <v>12.0922</v>
      </c>
      <c r="Q301" s="21">
        <v>-1.3327E-2</v>
      </c>
      <c r="R301" s="21">
        <v>291</v>
      </c>
      <c r="S301" s="21">
        <v>1.3641399999999999</v>
      </c>
      <c r="T301">
        <f t="shared" si="50"/>
        <v>16.453086419753085</v>
      </c>
      <c r="U301">
        <f t="shared" si="51"/>
        <v>22.464386074074071</v>
      </c>
      <c r="X301" s="9"/>
      <c r="Y301" s="21">
        <v>0.33462500000000001</v>
      </c>
      <c r="Z301" s="21">
        <v>17.5962</v>
      </c>
      <c r="AA301" s="21">
        <v>-1.4688100000000001E-2</v>
      </c>
      <c r="AB301" s="21">
        <v>291</v>
      </c>
      <c r="AC301" s="21">
        <v>0.333984</v>
      </c>
      <c r="AD301">
        <f t="shared" si="52"/>
        <v>18.133456790123457</v>
      </c>
      <c r="AE301">
        <f t="shared" si="53"/>
        <v>6.0679079783950618</v>
      </c>
      <c r="AF301" s="9"/>
      <c r="AG301" s="21">
        <v>1.3653599999999999</v>
      </c>
      <c r="AH301" s="21">
        <v>21.415400000000002</v>
      </c>
      <c r="AI301" s="21">
        <v>-1.3266E-2</v>
      </c>
      <c r="AJ301" s="21">
        <v>291</v>
      </c>
      <c r="AK301" s="21">
        <v>1.3650500000000001</v>
      </c>
      <c r="AL301">
        <f t="shared" si="54"/>
        <v>16.377777777777776</v>
      </c>
      <c r="AM301">
        <f t="shared" si="55"/>
        <v>22.361562666666664</v>
      </c>
      <c r="AP301" s="9"/>
      <c r="AQ301" s="21">
        <v>0.33462500000000001</v>
      </c>
      <c r="AR301" s="21">
        <v>26.9084</v>
      </c>
      <c r="AS301" s="21">
        <v>-1.47461E-2</v>
      </c>
      <c r="AT301" s="21">
        <v>291</v>
      </c>
      <c r="AU301" s="21">
        <v>0.33395399999999997</v>
      </c>
      <c r="AV301">
        <f t="shared" si="56"/>
        <v>18.205061728395062</v>
      </c>
      <c r="AW301">
        <f t="shared" si="57"/>
        <v>6.091868780864198</v>
      </c>
      <c r="AX301" s="9"/>
      <c r="AY301" s="21">
        <v>1.3653599999999999</v>
      </c>
      <c r="AZ301" s="21">
        <v>30.727699999999999</v>
      </c>
      <c r="BA301" s="21">
        <v>-1.32385E-2</v>
      </c>
      <c r="BB301" s="21">
        <v>291</v>
      </c>
      <c r="BC301" s="21">
        <v>1.3644400000000001</v>
      </c>
      <c r="BD301">
        <f t="shared" si="58"/>
        <v>16.343827160493824</v>
      </c>
      <c r="BE301">
        <f t="shared" si="59"/>
        <v>22.315207851851845</v>
      </c>
    </row>
    <row r="302" spans="6:57" x14ac:dyDescent="0.25">
      <c r="F302" s="9"/>
      <c r="G302" s="21">
        <v>0.32958999999999999</v>
      </c>
      <c r="H302" s="21">
        <v>8.2830600000000008</v>
      </c>
      <c r="I302" s="21">
        <v>-1.47125E-2</v>
      </c>
      <c r="J302" s="21">
        <v>292</v>
      </c>
      <c r="K302" s="21">
        <v>0.32888800000000001</v>
      </c>
      <c r="L302">
        <f t="shared" si="48"/>
        <v>18.163580246913579</v>
      </c>
      <c r="M302">
        <f t="shared" si="49"/>
        <v>5.9865344135802463</v>
      </c>
      <c r="N302" s="9"/>
      <c r="O302" s="21">
        <v>1.37039</v>
      </c>
      <c r="P302" s="21">
        <v>12.1023</v>
      </c>
      <c r="Q302" s="21">
        <v>-1.32935E-2</v>
      </c>
      <c r="R302" s="21">
        <v>292</v>
      </c>
      <c r="S302" s="21">
        <v>1.3702399999999999</v>
      </c>
      <c r="T302">
        <f t="shared" si="50"/>
        <v>16.411728395061726</v>
      </c>
      <c r="U302">
        <f t="shared" si="51"/>
        <v>22.490468475308639</v>
      </c>
      <c r="X302" s="9"/>
      <c r="Y302" s="21">
        <v>0.32958999999999999</v>
      </c>
      <c r="Z302" s="21">
        <v>17.606300000000001</v>
      </c>
      <c r="AA302" s="21">
        <v>-1.46851E-2</v>
      </c>
      <c r="AB302" s="21">
        <v>292</v>
      </c>
      <c r="AC302" s="21">
        <v>0.32913199999999998</v>
      </c>
      <c r="AD302">
        <f t="shared" si="52"/>
        <v>18.12975308641975</v>
      </c>
      <c r="AE302">
        <f t="shared" si="53"/>
        <v>5.9753853197530855</v>
      </c>
      <c r="AF302" s="9"/>
      <c r="AG302" s="21">
        <v>1.37039</v>
      </c>
      <c r="AH302" s="21">
        <v>21.4255</v>
      </c>
      <c r="AI302" s="21">
        <v>-1.3250700000000001E-2</v>
      </c>
      <c r="AJ302" s="21">
        <v>292</v>
      </c>
      <c r="AK302" s="21">
        <v>1.3699300000000001</v>
      </c>
      <c r="AL302">
        <f t="shared" si="54"/>
        <v>16.358888888888888</v>
      </c>
      <c r="AM302">
        <f t="shared" si="55"/>
        <v>22.418057744444443</v>
      </c>
      <c r="AP302" s="9"/>
      <c r="AQ302" s="21">
        <v>0.32958999999999999</v>
      </c>
      <c r="AR302" s="21">
        <v>26.918500000000002</v>
      </c>
      <c r="AS302" s="21">
        <v>-1.4749099999999999E-2</v>
      </c>
      <c r="AT302" s="21">
        <v>292</v>
      </c>
      <c r="AU302" s="21">
        <v>0.329071</v>
      </c>
      <c r="AV302">
        <f t="shared" si="56"/>
        <v>18.208765432098765</v>
      </c>
      <c r="AW302">
        <f t="shared" si="57"/>
        <v>6.0014269987654316</v>
      </c>
      <c r="AX302" s="9"/>
      <c r="AY302" s="21">
        <v>1.37039</v>
      </c>
      <c r="AZ302" s="21">
        <v>30.7378</v>
      </c>
      <c r="BA302" s="21">
        <v>-1.32111E-2</v>
      </c>
      <c r="BB302" s="21">
        <v>292</v>
      </c>
      <c r="BC302" s="21">
        <v>1.3702399999999999</v>
      </c>
      <c r="BD302">
        <f t="shared" si="58"/>
        <v>16.309999999999999</v>
      </c>
      <c r="BE302">
        <f t="shared" si="59"/>
        <v>22.351060899999997</v>
      </c>
    </row>
    <row r="303" spans="6:57" x14ac:dyDescent="0.25">
      <c r="F303" s="9"/>
      <c r="G303" s="21">
        <v>0.32455400000000001</v>
      </c>
      <c r="H303" s="21">
        <v>8.2931299999999997</v>
      </c>
      <c r="I303" s="21">
        <v>-1.4721700000000001E-2</v>
      </c>
      <c r="J303" s="21">
        <v>293</v>
      </c>
      <c r="K303" s="21">
        <v>0.32391399999999998</v>
      </c>
      <c r="L303">
        <f t="shared" si="48"/>
        <v>18.174938271604937</v>
      </c>
      <c r="M303">
        <f t="shared" si="49"/>
        <v>5.8987489158024689</v>
      </c>
      <c r="N303" s="9"/>
      <c r="O303" s="21">
        <v>1.3754299999999999</v>
      </c>
      <c r="P303" s="21">
        <v>12.112299999999999</v>
      </c>
      <c r="Q303" s="21">
        <v>-1.3250700000000001E-2</v>
      </c>
      <c r="R303" s="21">
        <v>293</v>
      </c>
      <c r="S303" s="21">
        <v>1.3738999999999999</v>
      </c>
      <c r="T303">
        <f t="shared" si="50"/>
        <v>16.358888888888888</v>
      </c>
      <c r="U303">
        <f t="shared" si="51"/>
        <v>22.500506544444441</v>
      </c>
      <c r="X303" s="9"/>
      <c r="Y303" s="21">
        <v>0.32455400000000001</v>
      </c>
      <c r="Z303" s="21">
        <v>17.616299999999999</v>
      </c>
      <c r="AA303" s="21">
        <v>-1.46851E-2</v>
      </c>
      <c r="AB303" s="21">
        <v>293</v>
      </c>
      <c r="AC303" s="21">
        <v>0.32394400000000001</v>
      </c>
      <c r="AD303">
        <f t="shared" si="52"/>
        <v>18.12975308641975</v>
      </c>
      <c r="AE303">
        <f t="shared" si="53"/>
        <v>5.8840838832098763</v>
      </c>
      <c r="AF303" s="9"/>
      <c r="AG303" s="21">
        <v>1.3754299999999999</v>
      </c>
      <c r="AH303" s="21">
        <v>21.435500000000001</v>
      </c>
      <c r="AI303" s="21">
        <v>-1.32172E-2</v>
      </c>
      <c r="AJ303" s="21">
        <v>293</v>
      </c>
      <c r="AK303" s="21">
        <v>1.3745099999999999</v>
      </c>
      <c r="AL303">
        <f t="shared" si="54"/>
        <v>16.317530864197529</v>
      </c>
      <c r="AM303">
        <f t="shared" si="55"/>
        <v>22.443621476543207</v>
      </c>
      <c r="AP303" s="9"/>
      <c r="AQ303" s="21">
        <v>0.32455400000000001</v>
      </c>
      <c r="AR303" s="21">
        <v>26.928599999999999</v>
      </c>
      <c r="AS303" s="21">
        <v>-1.47522E-2</v>
      </c>
      <c r="AT303" s="21">
        <v>293</v>
      </c>
      <c r="AU303" s="21">
        <v>0.32391399999999998</v>
      </c>
      <c r="AV303">
        <f t="shared" si="56"/>
        <v>18.212592592592593</v>
      </c>
      <c r="AW303">
        <f t="shared" si="57"/>
        <v>5.9109697762962963</v>
      </c>
      <c r="AX303" s="9"/>
      <c r="AY303" s="21">
        <v>1.3754299999999999</v>
      </c>
      <c r="AZ303" s="21">
        <v>30.747800000000002</v>
      </c>
      <c r="BA303" s="21">
        <v>-1.31805E-2</v>
      </c>
      <c r="BB303" s="21">
        <v>293</v>
      </c>
      <c r="BC303" s="21">
        <v>1.3748199999999999</v>
      </c>
      <c r="BD303">
        <f t="shared" si="58"/>
        <v>16.272222222222219</v>
      </c>
      <c r="BE303">
        <f t="shared" si="59"/>
        <v>22.381302611111106</v>
      </c>
    </row>
    <row r="304" spans="6:57" x14ac:dyDescent="0.25">
      <c r="F304" s="9"/>
      <c r="G304" s="21">
        <v>0.319519</v>
      </c>
      <c r="H304" s="21">
        <v>8.3032000000000004</v>
      </c>
      <c r="I304" s="21">
        <v>-1.47247E-2</v>
      </c>
      <c r="J304" s="21">
        <v>294</v>
      </c>
      <c r="K304" s="21">
        <v>0.31893899999999997</v>
      </c>
      <c r="L304">
        <f t="shared" si="48"/>
        <v>18.178641975308643</v>
      </c>
      <c r="M304">
        <f t="shared" si="49"/>
        <v>5.8084215053086421</v>
      </c>
      <c r="N304" s="9"/>
      <c r="O304" s="21">
        <v>1.38046</v>
      </c>
      <c r="P304" s="21">
        <v>12.122400000000001</v>
      </c>
      <c r="Q304" s="21">
        <v>-1.32202E-2</v>
      </c>
      <c r="R304" s="21">
        <v>294</v>
      </c>
      <c r="S304" s="21">
        <v>1.3796999999999999</v>
      </c>
      <c r="T304">
        <f t="shared" si="50"/>
        <v>16.321234567901232</v>
      </c>
      <c r="U304">
        <f t="shared" si="51"/>
        <v>22.530811471604935</v>
      </c>
      <c r="X304" s="9"/>
      <c r="Y304" s="21">
        <v>0.319519</v>
      </c>
      <c r="Z304" s="21">
        <v>17.6264</v>
      </c>
      <c r="AA304" s="21">
        <v>-1.4688100000000001E-2</v>
      </c>
      <c r="AB304" s="21">
        <v>294</v>
      </c>
      <c r="AC304" s="21">
        <v>0.31896999999999998</v>
      </c>
      <c r="AD304">
        <f t="shared" si="52"/>
        <v>18.133456790123457</v>
      </c>
      <c r="AE304">
        <f t="shared" si="53"/>
        <v>5.7939839801234569</v>
      </c>
      <c r="AF304" s="9"/>
      <c r="AG304" s="21">
        <v>1.38046</v>
      </c>
      <c r="AH304" s="21">
        <v>21.445599999999999</v>
      </c>
      <c r="AI304" s="21">
        <v>-1.31805E-2</v>
      </c>
      <c r="AJ304" s="21">
        <v>294</v>
      </c>
      <c r="AK304" s="21">
        <v>1.3796999999999999</v>
      </c>
      <c r="AL304">
        <f t="shared" si="54"/>
        <v>16.272222222222219</v>
      </c>
      <c r="AM304">
        <f t="shared" si="55"/>
        <v>22.463151888888884</v>
      </c>
      <c r="AP304" s="9"/>
      <c r="AQ304" s="21">
        <v>0.319519</v>
      </c>
      <c r="AR304" s="21">
        <v>26.938600000000001</v>
      </c>
      <c r="AS304" s="21">
        <v>-1.4742999999999999E-2</v>
      </c>
      <c r="AT304" s="21">
        <v>294</v>
      </c>
      <c r="AU304" s="21">
        <v>0.31896999999999998</v>
      </c>
      <c r="AV304">
        <f t="shared" si="56"/>
        <v>18.201234567901235</v>
      </c>
      <c r="AW304">
        <f t="shared" si="57"/>
        <v>5.8156402679012347</v>
      </c>
      <c r="AX304" s="9"/>
      <c r="AY304" s="21">
        <v>1.38046</v>
      </c>
      <c r="AZ304" s="21">
        <v>30.757899999999999</v>
      </c>
      <c r="BA304" s="21">
        <v>-1.31439E-2</v>
      </c>
      <c r="BB304" s="21">
        <v>294</v>
      </c>
      <c r="BC304" s="21">
        <v>1.3793899999999999</v>
      </c>
      <c r="BD304">
        <f t="shared" si="58"/>
        <v>16.227037037037036</v>
      </c>
      <c r="BE304">
        <f t="shared" si="59"/>
        <v>22.400775548148147</v>
      </c>
    </row>
    <row r="305" spans="6:57" x14ac:dyDescent="0.25">
      <c r="F305" s="9"/>
      <c r="G305" s="21">
        <v>0.31448399999999999</v>
      </c>
      <c r="H305" s="21">
        <v>8.3132699999999993</v>
      </c>
      <c r="I305" s="21">
        <v>-1.4736900000000001E-2</v>
      </c>
      <c r="J305" s="21">
        <v>295</v>
      </c>
      <c r="K305" s="21">
        <v>0.31390400000000002</v>
      </c>
      <c r="L305">
        <f t="shared" si="48"/>
        <v>18.193703703703704</v>
      </c>
      <c r="M305">
        <f t="shared" si="49"/>
        <v>5.7216287155555552</v>
      </c>
      <c r="N305" s="9"/>
      <c r="O305" s="21">
        <v>1.3855</v>
      </c>
      <c r="P305" s="21">
        <v>12.1325</v>
      </c>
      <c r="Q305" s="21">
        <v>-1.31927E-2</v>
      </c>
      <c r="R305" s="21">
        <v>295</v>
      </c>
      <c r="S305" s="21">
        <v>1.3845799999999999</v>
      </c>
      <c r="T305">
        <f t="shared" si="50"/>
        <v>16.287283950617283</v>
      </c>
      <c r="U305">
        <f t="shared" si="51"/>
        <v>22.566031913580243</v>
      </c>
      <c r="X305" s="9"/>
      <c r="Y305" s="21">
        <v>0.31448399999999999</v>
      </c>
      <c r="Z305" s="21">
        <v>17.636500000000002</v>
      </c>
      <c r="AA305" s="21">
        <v>-1.46912E-2</v>
      </c>
      <c r="AB305" s="21">
        <v>295</v>
      </c>
      <c r="AC305" s="21">
        <v>0.31381199999999998</v>
      </c>
      <c r="AD305">
        <f t="shared" si="52"/>
        <v>18.137283950617284</v>
      </c>
      <c r="AE305">
        <f t="shared" si="53"/>
        <v>5.703885605925926</v>
      </c>
      <c r="AF305" s="9"/>
      <c r="AG305" s="21">
        <v>1.3855</v>
      </c>
      <c r="AH305" s="21">
        <v>21.4557</v>
      </c>
      <c r="AI305" s="21">
        <v>-1.3147000000000001E-2</v>
      </c>
      <c r="AJ305" s="21">
        <v>295</v>
      </c>
      <c r="AK305" s="21">
        <v>1.3851899999999999</v>
      </c>
      <c r="AL305">
        <f t="shared" si="54"/>
        <v>16.230864197530863</v>
      </c>
      <c r="AM305">
        <f t="shared" si="55"/>
        <v>22.487862345679009</v>
      </c>
      <c r="AP305" s="9"/>
      <c r="AQ305" s="21">
        <v>0.31448399999999999</v>
      </c>
      <c r="AR305" s="21">
        <v>26.948699999999999</v>
      </c>
      <c r="AS305" s="21">
        <v>-1.4742999999999999E-2</v>
      </c>
      <c r="AT305" s="21">
        <v>295</v>
      </c>
      <c r="AU305" s="21">
        <v>0.31393399999999999</v>
      </c>
      <c r="AV305">
        <f t="shared" si="56"/>
        <v>18.201234567901235</v>
      </c>
      <c r="AW305">
        <f t="shared" si="57"/>
        <v>5.7239970518518515</v>
      </c>
      <c r="AX305" s="9"/>
      <c r="AY305" s="21">
        <v>1.3855</v>
      </c>
      <c r="AZ305" s="21">
        <v>30.768000000000001</v>
      </c>
      <c r="BA305" s="21">
        <v>-1.3107300000000001E-2</v>
      </c>
      <c r="BB305" s="21">
        <v>295</v>
      </c>
      <c r="BC305" s="21">
        <v>1.38489</v>
      </c>
      <c r="BD305">
        <f t="shared" si="58"/>
        <v>16.181851851851849</v>
      </c>
      <c r="BE305">
        <f t="shared" si="59"/>
        <v>22.419955740740736</v>
      </c>
    </row>
    <row r="306" spans="6:57" x14ac:dyDescent="0.25">
      <c r="F306" s="9"/>
      <c r="G306" s="21">
        <v>0.309448</v>
      </c>
      <c r="H306" s="21">
        <v>8.32334</v>
      </c>
      <c r="I306" s="21">
        <v>-1.47552E-2</v>
      </c>
      <c r="J306" s="21">
        <v>296</v>
      </c>
      <c r="K306" s="21">
        <v>0.30892900000000001</v>
      </c>
      <c r="L306">
        <f t="shared" si="48"/>
        <v>18.216296296296292</v>
      </c>
      <c r="M306">
        <f t="shared" si="49"/>
        <v>5.6369964562962949</v>
      </c>
      <c r="N306" s="9"/>
      <c r="O306" s="21">
        <v>1.39053</v>
      </c>
      <c r="P306" s="21">
        <v>12.1425</v>
      </c>
      <c r="Q306" s="21">
        <v>-1.31714E-2</v>
      </c>
      <c r="R306" s="21">
        <v>296</v>
      </c>
      <c r="S306" s="21">
        <v>1.38947</v>
      </c>
      <c r="T306">
        <f t="shared" si="50"/>
        <v>16.260987654320989</v>
      </c>
      <c r="U306">
        <f t="shared" si="51"/>
        <v>22.611391162962963</v>
      </c>
      <c r="X306" s="9"/>
      <c r="Y306" s="21">
        <v>0.309448</v>
      </c>
      <c r="Z306" s="21">
        <v>17.646599999999999</v>
      </c>
      <c r="AA306" s="21">
        <v>-1.47064E-2</v>
      </c>
      <c r="AB306" s="21">
        <v>296</v>
      </c>
      <c r="AC306" s="21">
        <v>0.308838</v>
      </c>
      <c r="AD306">
        <f t="shared" si="52"/>
        <v>18.156049382716049</v>
      </c>
      <c r="AE306">
        <f t="shared" si="53"/>
        <v>5.6183531693827158</v>
      </c>
      <c r="AF306" s="9"/>
      <c r="AG306" s="21">
        <v>1.39053</v>
      </c>
      <c r="AH306" s="21">
        <v>21.465699999999998</v>
      </c>
      <c r="AI306" s="21">
        <v>-1.31042E-2</v>
      </c>
      <c r="AJ306" s="21">
        <v>296</v>
      </c>
      <c r="AK306" s="21">
        <v>1.38947</v>
      </c>
      <c r="AL306">
        <f t="shared" si="54"/>
        <v>16.178024691358022</v>
      </c>
      <c r="AM306">
        <f t="shared" si="55"/>
        <v>22.496028674074072</v>
      </c>
      <c r="AP306" s="9"/>
      <c r="AQ306" s="21">
        <v>0.309448</v>
      </c>
      <c r="AR306" s="21">
        <v>26.9588</v>
      </c>
      <c r="AS306" s="21">
        <v>-1.47522E-2</v>
      </c>
      <c r="AT306" s="21">
        <v>296</v>
      </c>
      <c r="AU306" s="21">
        <v>0.308807</v>
      </c>
      <c r="AV306">
        <f t="shared" si="56"/>
        <v>18.212592592592593</v>
      </c>
      <c r="AW306">
        <f t="shared" si="57"/>
        <v>5.6358503525925929</v>
      </c>
      <c r="AX306" s="9"/>
      <c r="AY306" s="21">
        <v>1.39053</v>
      </c>
      <c r="AZ306" s="21">
        <v>30.778099999999998</v>
      </c>
      <c r="BA306" s="21">
        <v>-1.3070699999999999E-2</v>
      </c>
      <c r="BB306" s="21">
        <v>296</v>
      </c>
      <c r="BC306" s="21">
        <v>1.3903799999999999</v>
      </c>
      <c r="BD306">
        <f t="shared" si="58"/>
        <v>16.136666666666663</v>
      </c>
      <c r="BE306">
        <f t="shared" si="59"/>
        <v>22.438519099999997</v>
      </c>
    </row>
    <row r="307" spans="6:57" x14ac:dyDescent="0.25">
      <c r="F307" s="9"/>
      <c r="G307" s="21">
        <v>0.30441299999999999</v>
      </c>
      <c r="H307" s="21">
        <v>8.3334100000000007</v>
      </c>
      <c r="I307" s="21">
        <v>-1.47583E-2</v>
      </c>
      <c r="J307" s="21">
        <v>297</v>
      </c>
      <c r="K307" s="21">
        <v>0.303894</v>
      </c>
      <c r="L307">
        <f t="shared" si="48"/>
        <v>18.22012345679012</v>
      </c>
      <c r="M307">
        <f t="shared" si="49"/>
        <v>5.5464424418518501</v>
      </c>
      <c r="N307" s="9"/>
      <c r="O307" s="21">
        <v>1.39557</v>
      </c>
      <c r="P307" s="21">
        <v>12.1526</v>
      </c>
      <c r="Q307" s="21">
        <v>-1.31287E-2</v>
      </c>
      <c r="R307" s="21">
        <v>297</v>
      </c>
      <c r="S307" s="21">
        <v>1.39496</v>
      </c>
      <c r="T307">
        <f t="shared" si="50"/>
        <v>16.208271604938268</v>
      </c>
      <c r="U307">
        <f t="shared" si="51"/>
        <v>22.619777603703699</v>
      </c>
      <c r="X307" s="9"/>
      <c r="Y307" s="21">
        <v>0.30441299999999999</v>
      </c>
      <c r="Z307" s="21">
        <v>17.656600000000001</v>
      </c>
      <c r="AA307" s="21">
        <v>-1.47095E-2</v>
      </c>
      <c r="AB307" s="21">
        <v>297</v>
      </c>
      <c r="AC307" s="21">
        <v>0.30377199999999999</v>
      </c>
      <c r="AD307">
        <f t="shared" si="52"/>
        <v>18.159876543209876</v>
      </c>
      <c r="AE307">
        <f t="shared" si="53"/>
        <v>5.5281024981481481</v>
      </c>
      <c r="AF307" s="9"/>
      <c r="AG307" s="21">
        <v>1.39557</v>
      </c>
      <c r="AH307" s="21">
        <v>21.4758</v>
      </c>
      <c r="AI307" s="21">
        <v>-1.3064600000000001E-2</v>
      </c>
      <c r="AJ307" s="21">
        <v>297</v>
      </c>
      <c r="AK307" s="21">
        <v>1.39435</v>
      </c>
      <c r="AL307">
        <f t="shared" si="54"/>
        <v>16.129135802469136</v>
      </c>
      <c r="AM307">
        <f t="shared" si="55"/>
        <v>22.509338051851852</v>
      </c>
      <c r="AP307" s="9"/>
      <c r="AQ307" s="21">
        <v>0.30441299999999999</v>
      </c>
      <c r="AR307" s="21">
        <v>26.968900000000001</v>
      </c>
      <c r="AS307" s="21">
        <v>-1.4749099999999999E-2</v>
      </c>
      <c r="AT307" s="21">
        <v>297</v>
      </c>
      <c r="AU307" s="21">
        <v>0.303894</v>
      </c>
      <c r="AV307">
        <f t="shared" si="56"/>
        <v>18.208765432098765</v>
      </c>
      <c r="AW307">
        <f t="shared" si="57"/>
        <v>5.5429849114814811</v>
      </c>
      <c r="AX307" s="9"/>
      <c r="AY307" s="21">
        <v>1.39557</v>
      </c>
      <c r="AZ307" s="21">
        <v>30.7881</v>
      </c>
      <c r="BA307" s="21">
        <v>-1.30432E-2</v>
      </c>
      <c r="BB307" s="21">
        <v>297</v>
      </c>
      <c r="BC307" s="21">
        <v>1.39496</v>
      </c>
      <c r="BD307">
        <f t="shared" si="58"/>
        <v>16.102716049382714</v>
      </c>
      <c r="BE307">
        <f t="shared" si="59"/>
        <v>22.472467437037032</v>
      </c>
    </row>
    <row r="308" spans="6:57" x14ac:dyDescent="0.25">
      <c r="F308" s="9"/>
      <c r="G308" s="21">
        <v>0.299377</v>
      </c>
      <c r="H308" s="21">
        <v>8.3434799999999996</v>
      </c>
      <c r="I308" s="21">
        <v>-1.47522E-2</v>
      </c>
      <c r="J308" s="21">
        <v>298</v>
      </c>
      <c r="K308" s="21">
        <v>0.29894999999999999</v>
      </c>
      <c r="L308">
        <f t="shared" si="48"/>
        <v>18.212592592592593</v>
      </c>
      <c r="M308">
        <f t="shared" si="49"/>
        <v>5.4524313325925924</v>
      </c>
      <c r="N308" s="9"/>
      <c r="O308" s="21">
        <v>1.4006000000000001</v>
      </c>
      <c r="P308" s="21">
        <v>12.162699999999999</v>
      </c>
      <c r="Q308" s="21">
        <v>-1.3091999999999999E-2</v>
      </c>
      <c r="R308" s="21">
        <v>298</v>
      </c>
      <c r="S308" s="21">
        <v>1.40015</v>
      </c>
      <c r="T308">
        <f t="shared" si="50"/>
        <v>16.162962962962961</v>
      </c>
      <c r="U308">
        <f t="shared" si="51"/>
        <v>22.637845925925923</v>
      </c>
      <c r="X308" s="9"/>
      <c r="Y308" s="21">
        <v>0.299377</v>
      </c>
      <c r="Z308" s="21">
        <v>17.666699999999999</v>
      </c>
      <c r="AA308" s="21">
        <v>-1.4721700000000001E-2</v>
      </c>
      <c r="AB308" s="21">
        <v>298</v>
      </c>
      <c r="AC308" s="21">
        <v>0.298767</v>
      </c>
      <c r="AD308">
        <f t="shared" si="52"/>
        <v>18.174938271604937</v>
      </c>
      <c r="AE308">
        <f t="shared" si="53"/>
        <v>5.4411584949382714</v>
      </c>
      <c r="AF308" s="9"/>
      <c r="AG308" s="21">
        <v>1.4006000000000001</v>
      </c>
      <c r="AH308" s="21">
        <v>21.485900000000001</v>
      </c>
      <c r="AI308" s="21">
        <v>-1.3018800000000001E-2</v>
      </c>
      <c r="AJ308" s="21">
        <v>298</v>
      </c>
      <c r="AK308" s="21">
        <v>1.39954</v>
      </c>
      <c r="AL308">
        <f t="shared" si="54"/>
        <v>16.072592592592592</v>
      </c>
      <c r="AM308">
        <f t="shared" si="55"/>
        <v>22.511273185185185</v>
      </c>
      <c r="AP308" s="9"/>
      <c r="AQ308" s="21">
        <v>0.299377</v>
      </c>
      <c r="AR308" s="21">
        <v>26.978899999999999</v>
      </c>
      <c r="AS308" s="21">
        <v>-1.47522E-2</v>
      </c>
      <c r="AT308" s="21">
        <v>298</v>
      </c>
      <c r="AU308" s="21">
        <v>0.29873699999999997</v>
      </c>
      <c r="AV308">
        <f t="shared" si="56"/>
        <v>18.212592592592593</v>
      </c>
      <c r="AW308">
        <f t="shared" si="57"/>
        <v>5.4524313325925924</v>
      </c>
      <c r="AX308" s="9"/>
      <c r="AY308" s="21">
        <v>1.4006000000000001</v>
      </c>
      <c r="AZ308" s="21">
        <v>30.798200000000001</v>
      </c>
      <c r="BA308" s="21">
        <v>-1.3021899999999999E-2</v>
      </c>
      <c r="BB308" s="21">
        <v>298</v>
      </c>
      <c r="BC308" s="21">
        <v>1.39954</v>
      </c>
      <c r="BD308">
        <f t="shared" si="58"/>
        <v>16.076419753086416</v>
      </c>
      <c r="BE308">
        <f t="shared" si="59"/>
        <v>22.516633506172834</v>
      </c>
    </row>
    <row r="309" spans="6:57" x14ac:dyDescent="0.25">
      <c r="F309" s="9"/>
      <c r="G309" s="21">
        <v>0.29434199999999999</v>
      </c>
      <c r="H309" s="21">
        <v>8.3535500000000003</v>
      </c>
      <c r="I309" s="21">
        <v>-1.474E-2</v>
      </c>
      <c r="J309" s="21">
        <v>299</v>
      </c>
      <c r="K309" s="21">
        <v>0.29370099999999999</v>
      </c>
      <c r="L309">
        <f t="shared" si="48"/>
        <v>18.197530864197528</v>
      </c>
      <c r="M309">
        <f t="shared" si="49"/>
        <v>5.356297629629629</v>
      </c>
      <c r="N309" s="9"/>
      <c r="O309" s="21">
        <v>1.40564</v>
      </c>
      <c r="P309" s="21">
        <v>12.172700000000001</v>
      </c>
      <c r="Q309" s="21">
        <v>-1.3064600000000001E-2</v>
      </c>
      <c r="R309" s="21">
        <v>299</v>
      </c>
      <c r="S309" s="21">
        <v>1.40503</v>
      </c>
      <c r="T309">
        <f t="shared" si="50"/>
        <v>16.129135802469136</v>
      </c>
      <c r="U309">
        <f t="shared" si="51"/>
        <v>22.671758449382718</v>
      </c>
      <c r="X309" s="9"/>
      <c r="Y309" s="21">
        <v>0.29434199999999999</v>
      </c>
      <c r="Z309" s="21">
        <v>17.6768</v>
      </c>
      <c r="AA309" s="21">
        <v>-1.47186E-2</v>
      </c>
      <c r="AB309" s="21">
        <v>299</v>
      </c>
      <c r="AC309" s="21">
        <v>0.29376200000000002</v>
      </c>
      <c r="AD309">
        <f t="shared" si="52"/>
        <v>18.171111111111109</v>
      </c>
      <c r="AE309">
        <f t="shared" si="53"/>
        <v>5.348521186666666</v>
      </c>
      <c r="AF309" s="9"/>
      <c r="AG309" s="21">
        <v>1.40564</v>
      </c>
      <c r="AH309" s="21">
        <v>21.495999999999999</v>
      </c>
      <c r="AI309" s="21">
        <v>-1.2988299999999999E-2</v>
      </c>
      <c r="AJ309" s="21">
        <v>299</v>
      </c>
      <c r="AK309" s="21">
        <v>1.40442</v>
      </c>
      <c r="AL309">
        <f t="shared" si="54"/>
        <v>16.034938271604936</v>
      </c>
      <c r="AM309">
        <f t="shared" si="55"/>
        <v>22.539350632098763</v>
      </c>
      <c r="AP309" s="9"/>
      <c r="AQ309" s="21">
        <v>0.29434199999999999</v>
      </c>
      <c r="AR309" s="21">
        <v>26.989000000000001</v>
      </c>
      <c r="AS309" s="21">
        <v>-1.47522E-2</v>
      </c>
      <c r="AT309" s="21">
        <v>299</v>
      </c>
      <c r="AU309" s="21">
        <v>0.29373199999999999</v>
      </c>
      <c r="AV309">
        <f t="shared" si="56"/>
        <v>18.212592592592593</v>
      </c>
      <c r="AW309">
        <f t="shared" si="57"/>
        <v>5.3607309288888887</v>
      </c>
      <c r="AX309" s="9"/>
      <c r="AY309" s="21">
        <v>1.40564</v>
      </c>
      <c r="AZ309" s="21">
        <v>30.808299999999999</v>
      </c>
      <c r="BA309" s="21">
        <v>-1.30005E-2</v>
      </c>
      <c r="BB309" s="21">
        <v>299</v>
      </c>
      <c r="BC309" s="21">
        <v>1.40472</v>
      </c>
      <c r="BD309">
        <f t="shared" si="58"/>
        <v>16.049999999999997</v>
      </c>
      <c r="BE309">
        <f t="shared" si="59"/>
        <v>22.560521999999995</v>
      </c>
    </row>
    <row r="310" spans="6:57" x14ac:dyDescent="0.25">
      <c r="F310" s="9"/>
      <c r="G310" s="21">
        <v>0.28930699999999998</v>
      </c>
      <c r="H310" s="21">
        <v>8.3636300000000006</v>
      </c>
      <c r="I310" s="21">
        <v>-1.47308E-2</v>
      </c>
      <c r="J310" s="21">
        <v>300</v>
      </c>
      <c r="K310" s="21">
        <v>0.28872700000000001</v>
      </c>
      <c r="L310">
        <f t="shared" si="48"/>
        <v>18.186172839506174</v>
      </c>
      <c r="M310">
        <f t="shared" si="49"/>
        <v>5.2613871056790122</v>
      </c>
      <c r="N310" s="9"/>
      <c r="O310" s="21">
        <v>1.4106799999999999</v>
      </c>
      <c r="P310" s="21">
        <v>12.1828</v>
      </c>
      <c r="Q310" s="21">
        <v>-1.3021899999999999E-2</v>
      </c>
      <c r="R310" s="21">
        <v>300</v>
      </c>
      <c r="S310" s="21">
        <v>1.41022</v>
      </c>
      <c r="T310">
        <f t="shared" si="50"/>
        <v>16.076419753086416</v>
      </c>
      <c r="U310">
        <f t="shared" si="51"/>
        <v>22.678683817283943</v>
      </c>
      <c r="X310" s="9"/>
      <c r="Y310" s="21">
        <v>0.28930699999999998</v>
      </c>
      <c r="Z310" s="21">
        <v>17.686800000000002</v>
      </c>
      <c r="AA310" s="21">
        <v>-1.47125E-2</v>
      </c>
      <c r="AB310" s="21">
        <v>300</v>
      </c>
      <c r="AC310" s="21">
        <v>0.28878799999999999</v>
      </c>
      <c r="AD310">
        <f t="shared" si="52"/>
        <v>18.163580246913579</v>
      </c>
      <c r="AE310">
        <f t="shared" si="53"/>
        <v>5.2548509104938264</v>
      </c>
      <c r="AF310" s="9"/>
      <c r="AG310" s="21">
        <v>1.4106799999999999</v>
      </c>
      <c r="AH310" s="21">
        <v>21.506</v>
      </c>
      <c r="AI310" s="21">
        <v>-1.29517E-2</v>
      </c>
      <c r="AJ310" s="21">
        <v>300</v>
      </c>
      <c r="AK310" s="21">
        <v>1.40991</v>
      </c>
      <c r="AL310">
        <f t="shared" si="54"/>
        <v>15.989753086419752</v>
      </c>
      <c r="AM310">
        <f t="shared" si="55"/>
        <v>22.556424883950616</v>
      </c>
      <c r="AP310" s="9"/>
      <c r="AQ310" s="21">
        <v>0.28930699999999998</v>
      </c>
      <c r="AR310" s="21">
        <v>26.999099999999999</v>
      </c>
      <c r="AS310" s="21">
        <v>-1.4761399999999999E-2</v>
      </c>
      <c r="AT310" s="21">
        <v>300</v>
      </c>
      <c r="AU310" s="21">
        <v>0.28872700000000001</v>
      </c>
      <c r="AV310">
        <f t="shared" si="56"/>
        <v>18.22395061728395</v>
      </c>
      <c r="AW310">
        <f t="shared" si="57"/>
        <v>5.2723164812345678</v>
      </c>
      <c r="AX310" s="9"/>
      <c r="AY310" s="21">
        <v>1.4106799999999999</v>
      </c>
      <c r="AZ310" s="21">
        <v>30.818300000000001</v>
      </c>
      <c r="BA310" s="21">
        <v>-1.2976100000000001E-2</v>
      </c>
      <c r="BB310" s="21">
        <v>300</v>
      </c>
      <c r="BC310" s="21">
        <v>1.40991</v>
      </c>
      <c r="BD310">
        <f t="shared" si="58"/>
        <v>16.019876543209875</v>
      </c>
      <c r="BE310">
        <f t="shared" si="59"/>
        <v>22.598919441975305</v>
      </c>
    </row>
    <row r="311" spans="6:57" x14ac:dyDescent="0.25">
      <c r="F311" s="9"/>
      <c r="G311" s="21">
        <v>0.284271</v>
      </c>
      <c r="H311" s="21">
        <v>8.3736999999999995</v>
      </c>
      <c r="I311" s="21">
        <v>-1.47247E-2</v>
      </c>
      <c r="J311" s="21">
        <v>301</v>
      </c>
      <c r="K311" s="21">
        <v>0.28381299999999998</v>
      </c>
      <c r="L311">
        <f t="shared" si="48"/>
        <v>18.178641975308643</v>
      </c>
      <c r="M311">
        <f t="shared" si="49"/>
        <v>5.1676607329629629</v>
      </c>
      <c r="N311" s="9"/>
      <c r="O311" s="21">
        <v>1.41571</v>
      </c>
      <c r="P311" s="21">
        <v>12.1929</v>
      </c>
      <c r="Q311" s="21">
        <v>-1.29791E-2</v>
      </c>
      <c r="R311" s="21">
        <v>301</v>
      </c>
      <c r="S311" s="21">
        <v>1.4151</v>
      </c>
      <c r="T311">
        <f t="shared" si="50"/>
        <v>16.023580246913578</v>
      </c>
      <c r="U311">
        <f t="shared" si="51"/>
        <v>22.684742791358023</v>
      </c>
      <c r="X311" s="9"/>
      <c r="Y311" s="21">
        <v>0.284271</v>
      </c>
      <c r="Z311" s="21">
        <v>17.696899999999999</v>
      </c>
      <c r="AA311" s="21">
        <v>-1.47064E-2</v>
      </c>
      <c r="AB311" s="21">
        <v>301</v>
      </c>
      <c r="AC311" s="21">
        <v>0.28356900000000002</v>
      </c>
      <c r="AD311">
        <f t="shared" si="52"/>
        <v>18.156049382716049</v>
      </c>
      <c r="AE311">
        <f t="shared" si="53"/>
        <v>5.1612383140740734</v>
      </c>
      <c r="AF311" s="9"/>
      <c r="AG311" s="21">
        <v>1.41571</v>
      </c>
      <c r="AH311" s="21">
        <v>21.516100000000002</v>
      </c>
      <c r="AI311" s="21">
        <v>-1.2912E-2</v>
      </c>
      <c r="AJ311" s="21">
        <v>301</v>
      </c>
      <c r="AK311" s="21">
        <v>1.4151</v>
      </c>
      <c r="AL311">
        <f t="shared" si="54"/>
        <v>15.940740740740738</v>
      </c>
      <c r="AM311">
        <f t="shared" si="55"/>
        <v>22.567466074074069</v>
      </c>
      <c r="AP311" s="9"/>
      <c r="AQ311" s="21">
        <v>0.284271</v>
      </c>
      <c r="AR311" s="21">
        <v>27.0091</v>
      </c>
      <c r="AS311" s="21">
        <v>-1.4761399999999999E-2</v>
      </c>
      <c r="AT311" s="21">
        <v>301</v>
      </c>
      <c r="AU311" s="21">
        <v>0.28362999999999999</v>
      </c>
      <c r="AV311">
        <f t="shared" si="56"/>
        <v>18.22395061728395</v>
      </c>
      <c r="AW311">
        <f t="shared" si="57"/>
        <v>5.1805406659259257</v>
      </c>
      <c r="AX311" s="9"/>
      <c r="AY311" s="21">
        <v>1.41571</v>
      </c>
      <c r="AZ311" s="21">
        <v>30.828399999999998</v>
      </c>
      <c r="BA311" s="21">
        <v>-1.29333E-2</v>
      </c>
      <c r="BB311" s="21">
        <v>301</v>
      </c>
      <c r="BC311" s="21">
        <v>1.4151</v>
      </c>
      <c r="BD311">
        <f t="shared" si="58"/>
        <v>15.967037037037036</v>
      </c>
      <c r="BE311">
        <f t="shared" si="59"/>
        <v>22.604694003703703</v>
      </c>
    </row>
    <row r="312" spans="6:57" x14ac:dyDescent="0.25">
      <c r="F312" s="9"/>
      <c r="G312" s="21">
        <v>0.27923599999999998</v>
      </c>
      <c r="H312" s="21">
        <v>8.3837700000000002</v>
      </c>
      <c r="I312" s="21">
        <v>-1.4727799999999999E-2</v>
      </c>
      <c r="J312" s="21">
        <v>302</v>
      </c>
      <c r="K312" s="21">
        <v>0.27865600000000001</v>
      </c>
      <c r="L312">
        <f t="shared" si="48"/>
        <v>18.182469135802467</v>
      </c>
      <c r="M312">
        <f t="shared" si="49"/>
        <v>5.0771999516049373</v>
      </c>
      <c r="N312" s="9"/>
      <c r="O312" s="21">
        <v>1.42075</v>
      </c>
      <c r="P312" s="21">
        <v>12.202999999999999</v>
      </c>
      <c r="Q312" s="21">
        <v>-1.29456E-2</v>
      </c>
      <c r="R312" s="21">
        <v>302</v>
      </c>
      <c r="S312" s="21">
        <v>1.4202900000000001</v>
      </c>
      <c r="T312">
        <f t="shared" si="50"/>
        <v>15.982222222222221</v>
      </c>
      <c r="U312">
        <f t="shared" si="51"/>
        <v>22.706742222222221</v>
      </c>
      <c r="X312" s="9"/>
      <c r="Y312" s="21">
        <v>0.27923599999999998</v>
      </c>
      <c r="Z312" s="21">
        <v>17.707000000000001</v>
      </c>
      <c r="AA312" s="21">
        <v>-1.4700299999999999E-2</v>
      </c>
      <c r="AB312" s="21">
        <v>302</v>
      </c>
      <c r="AC312" s="21">
        <v>0.27859499999999998</v>
      </c>
      <c r="AD312">
        <f t="shared" si="52"/>
        <v>18.148518518518514</v>
      </c>
      <c r="AE312">
        <f t="shared" si="53"/>
        <v>5.0677197170370354</v>
      </c>
      <c r="AF312" s="9"/>
      <c r="AG312" s="21">
        <v>1.42075</v>
      </c>
      <c r="AH312" s="21">
        <v>21.526199999999999</v>
      </c>
      <c r="AI312" s="21">
        <v>-1.28571E-2</v>
      </c>
      <c r="AJ312" s="21">
        <v>302</v>
      </c>
      <c r="AK312" s="21">
        <v>1.4202900000000001</v>
      </c>
      <c r="AL312">
        <f t="shared" si="54"/>
        <v>15.87296296296296</v>
      </c>
      <c r="AM312">
        <f t="shared" si="55"/>
        <v>22.551512129629625</v>
      </c>
      <c r="AP312" s="9"/>
      <c r="AQ312" s="21">
        <v>0.27923599999999998</v>
      </c>
      <c r="AR312" s="21">
        <v>27.019200000000001</v>
      </c>
      <c r="AS312" s="21">
        <v>-1.4761399999999999E-2</v>
      </c>
      <c r="AT312" s="21">
        <v>302</v>
      </c>
      <c r="AU312" s="21">
        <v>0.27868700000000002</v>
      </c>
      <c r="AV312">
        <f t="shared" si="56"/>
        <v>18.22395061728395</v>
      </c>
      <c r="AW312">
        <f t="shared" si="57"/>
        <v>5.0887830745679006</v>
      </c>
      <c r="AX312" s="9"/>
      <c r="AY312" s="21">
        <v>1.42075</v>
      </c>
      <c r="AZ312" s="21">
        <v>30.8385</v>
      </c>
      <c r="BA312" s="21">
        <v>-1.2893699999999999E-2</v>
      </c>
      <c r="BB312" s="21">
        <v>302</v>
      </c>
      <c r="BC312" s="21">
        <v>1.4196800000000001</v>
      </c>
      <c r="BD312">
        <f t="shared" si="58"/>
        <v>15.918148148148147</v>
      </c>
      <c r="BE312">
        <f t="shared" si="59"/>
        <v>22.615708981481479</v>
      </c>
    </row>
    <row r="313" spans="6:57" x14ac:dyDescent="0.25">
      <c r="F313" s="9"/>
      <c r="G313" s="21">
        <v>0.2742</v>
      </c>
      <c r="H313" s="21">
        <v>8.3938400000000009</v>
      </c>
      <c r="I313" s="21">
        <v>-1.4733899999999999E-2</v>
      </c>
      <c r="J313" s="21">
        <v>303</v>
      </c>
      <c r="K313" s="21">
        <v>0.273621</v>
      </c>
      <c r="L313">
        <f t="shared" si="48"/>
        <v>18.189999999999998</v>
      </c>
      <c r="M313">
        <f t="shared" si="49"/>
        <v>4.9876979999999991</v>
      </c>
      <c r="N313" s="9"/>
      <c r="O313" s="21">
        <v>1.42578</v>
      </c>
      <c r="P313" s="21">
        <v>12.212999999999999</v>
      </c>
      <c r="Q313" s="21">
        <v>-1.2912E-2</v>
      </c>
      <c r="R313" s="21">
        <v>303</v>
      </c>
      <c r="S313" s="21">
        <v>1.4254800000000001</v>
      </c>
      <c r="T313">
        <f t="shared" si="50"/>
        <v>15.940740740740738</v>
      </c>
      <c r="U313">
        <f t="shared" si="51"/>
        <v>22.72798933333333</v>
      </c>
      <c r="X313" s="9"/>
      <c r="Y313" s="21">
        <v>0.2742</v>
      </c>
      <c r="Z313" s="21">
        <v>17.717099999999999</v>
      </c>
      <c r="AA313" s="21">
        <v>-1.47034E-2</v>
      </c>
      <c r="AB313" s="21">
        <v>303</v>
      </c>
      <c r="AC313" s="21">
        <v>0.273621</v>
      </c>
      <c r="AD313">
        <f t="shared" si="52"/>
        <v>18.152345679012342</v>
      </c>
      <c r="AE313">
        <f t="shared" si="53"/>
        <v>4.9773731851851846</v>
      </c>
      <c r="AF313" s="9"/>
      <c r="AG313" s="21">
        <v>1.42578</v>
      </c>
      <c r="AH313" s="21">
        <v>21.536200000000001</v>
      </c>
      <c r="AI313" s="21">
        <v>-1.2814300000000001E-2</v>
      </c>
      <c r="AJ313" s="21">
        <v>303</v>
      </c>
      <c r="AK313" s="21">
        <v>1.4254800000000001</v>
      </c>
      <c r="AL313">
        <f t="shared" si="54"/>
        <v>15.820123456790125</v>
      </c>
      <c r="AM313">
        <f t="shared" si="55"/>
        <v>22.556015622222226</v>
      </c>
      <c r="AP313" s="9"/>
      <c r="AQ313" s="21">
        <v>0.2742</v>
      </c>
      <c r="AR313" s="21">
        <v>27.029299999999999</v>
      </c>
      <c r="AS313" s="21">
        <v>-1.4761399999999999E-2</v>
      </c>
      <c r="AT313" s="21">
        <v>303</v>
      </c>
      <c r="AU313" s="21">
        <v>0.27359</v>
      </c>
      <c r="AV313">
        <f t="shared" si="56"/>
        <v>18.22395061728395</v>
      </c>
      <c r="AW313">
        <f t="shared" si="57"/>
        <v>4.9970072592592594</v>
      </c>
      <c r="AX313" s="9"/>
      <c r="AY313" s="21">
        <v>1.42578</v>
      </c>
      <c r="AZ313" s="21">
        <v>30.848500000000001</v>
      </c>
      <c r="BA313" s="21">
        <v>-1.2851E-2</v>
      </c>
      <c r="BB313" s="21">
        <v>303</v>
      </c>
      <c r="BC313" s="21">
        <v>1.42456</v>
      </c>
      <c r="BD313">
        <f t="shared" si="58"/>
        <v>15.865432098765432</v>
      </c>
      <c r="BE313">
        <f t="shared" si="59"/>
        <v>22.620615777777779</v>
      </c>
    </row>
    <row r="314" spans="6:57" x14ac:dyDescent="0.25">
      <c r="F314" s="9"/>
      <c r="G314" s="21">
        <v>0.26916499999999999</v>
      </c>
      <c r="H314" s="21">
        <v>8.4039099999999998</v>
      </c>
      <c r="I314" s="21">
        <v>-1.4733899999999999E-2</v>
      </c>
      <c r="J314" s="21">
        <v>304</v>
      </c>
      <c r="K314" s="21">
        <v>0.26858500000000002</v>
      </c>
      <c r="L314">
        <f t="shared" si="48"/>
        <v>18.189999999999998</v>
      </c>
      <c r="M314">
        <f t="shared" si="49"/>
        <v>4.8961113499999991</v>
      </c>
      <c r="N314" s="9"/>
      <c r="O314" s="21">
        <v>1.43082</v>
      </c>
      <c r="P314" s="21">
        <v>12.223100000000001</v>
      </c>
      <c r="Q314" s="21">
        <v>-1.28693E-2</v>
      </c>
      <c r="R314" s="21">
        <v>304</v>
      </c>
      <c r="S314" s="21">
        <v>1.43066</v>
      </c>
      <c r="T314">
        <f t="shared" si="50"/>
        <v>15.888024691358023</v>
      </c>
      <c r="U314">
        <f t="shared" si="51"/>
        <v>22.732903488888887</v>
      </c>
      <c r="X314" s="9"/>
      <c r="Y314" s="21">
        <v>0.26916499999999999</v>
      </c>
      <c r="Z314" s="21">
        <v>17.7271</v>
      </c>
      <c r="AA314" s="21">
        <v>-1.4700299999999999E-2</v>
      </c>
      <c r="AB314" s="21">
        <v>304</v>
      </c>
      <c r="AC314" s="21">
        <v>0.26861600000000002</v>
      </c>
      <c r="AD314">
        <f t="shared" si="52"/>
        <v>18.148518518518514</v>
      </c>
      <c r="AE314">
        <f t="shared" si="53"/>
        <v>4.8849459870370353</v>
      </c>
      <c r="AF314" s="9"/>
      <c r="AG314" s="21">
        <v>1.43082</v>
      </c>
      <c r="AH314" s="21">
        <v>21.546299999999999</v>
      </c>
      <c r="AI314" s="21">
        <v>-1.27625E-2</v>
      </c>
      <c r="AJ314" s="21">
        <v>304</v>
      </c>
      <c r="AK314" s="21">
        <v>1.4297500000000001</v>
      </c>
      <c r="AL314">
        <f t="shared" si="54"/>
        <v>15.756172839506172</v>
      </c>
      <c r="AM314">
        <f t="shared" si="55"/>
        <v>22.544247222222221</v>
      </c>
      <c r="AP314" s="9"/>
      <c r="AQ314" s="21">
        <v>0.26916499999999999</v>
      </c>
      <c r="AR314" s="21">
        <v>27.039400000000001</v>
      </c>
      <c r="AS314" s="21">
        <v>-1.47644E-2</v>
      </c>
      <c r="AT314" s="21">
        <v>304</v>
      </c>
      <c r="AU314" s="21">
        <v>0.26852399999999998</v>
      </c>
      <c r="AV314">
        <f t="shared" si="56"/>
        <v>18.227654320987654</v>
      </c>
      <c r="AW314">
        <f t="shared" si="57"/>
        <v>4.9062465753086419</v>
      </c>
      <c r="AX314" s="9"/>
      <c r="AY314" s="21">
        <v>1.43082</v>
      </c>
      <c r="AZ314" s="21">
        <v>30.858599999999999</v>
      </c>
      <c r="BA314" s="21">
        <v>-1.2811299999999999E-2</v>
      </c>
      <c r="BB314" s="21">
        <v>304</v>
      </c>
      <c r="BC314" s="21">
        <v>1.4297500000000001</v>
      </c>
      <c r="BD314">
        <f t="shared" si="58"/>
        <v>15.816419753086418</v>
      </c>
      <c r="BE314">
        <f t="shared" si="59"/>
        <v>22.630449711111108</v>
      </c>
    </row>
    <row r="315" spans="6:57" x14ac:dyDescent="0.25">
      <c r="F315" s="9"/>
      <c r="G315" s="21">
        <v>0.26412999999999998</v>
      </c>
      <c r="H315" s="21">
        <v>8.4139800000000005</v>
      </c>
      <c r="I315" s="21">
        <v>-1.474E-2</v>
      </c>
      <c r="J315" s="21">
        <v>305</v>
      </c>
      <c r="K315" s="21">
        <v>0.263428</v>
      </c>
      <c r="L315">
        <f t="shared" si="48"/>
        <v>18.197530864197528</v>
      </c>
      <c r="M315">
        <f t="shared" si="49"/>
        <v>4.8065138271604928</v>
      </c>
      <c r="N315" s="9"/>
      <c r="O315" s="21">
        <v>1.4358500000000001</v>
      </c>
      <c r="P315" s="21">
        <v>12.2332</v>
      </c>
      <c r="Q315" s="21">
        <v>-1.2814300000000001E-2</v>
      </c>
      <c r="R315" s="21">
        <v>305</v>
      </c>
      <c r="S315" s="21">
        <v>1.4349400000000001</v>
      </c>
      <c r="T315">
        <f t="shared" si="50"/>
        <v>15.820123456790125</v>
      </c>
      <c r="U315">
        <f t="shared" si="51"/>
        <v>22.715324265432102</v>
      </c>
      <c r="X315" s="9"/>
      <c r="Y315" s="21">
        <v>0.26412999999999998</v>
      </c>
      <c r="Z315" s="21">
        <v>17.737200000000001</v>
      </c>
      <c r="AA315" s="21">
        <v>-1.46973E-2</v>
      </c>
      <c r="AB315" s="21">
        <v>305</v>
      </c>
      <c r="AC315" s="21">
        <v>0.26348899999999997</v>
      </c>
      <c r="AD315">
        <f t="shared" si="52"/>
        <v>18.144814814814815</v>
      </c>
      <c r="AE315">
        <f t="shared" si="53"/>
        <v>4.7925899370370368</v>
      </c>
      <c r="AF315" s="9"/>
      <c r="AG315" s="21">
        <v>1.4358500000000001</v>
      </c>
      <c r="AH315" s="21">
        <v>21.5564</v>
      </c>
      <c r="AI315" s="21">
        <v>-1.2716699999999999E-2</v>
      </c>
      <c r="AJ315" s="21">
        <v>305</v>
      </c>
      <c r="AK315" s="21">
        <v>1.4352400000000001</v>
      </c>
      <c r="AL315">
        <f t="shared" si="54"/>
        <v>15.699629629629626</v>
      </c>
      <c r="AM315">
        <f t="shared" si="55"/>
        <v>22.542313203703699</v>
      </c>
      <c r="AP315" s="9"/>
      <c r="AQ315" s="21">
        <v>0.26412999999999998</v>
      </c>
      <c r="AR315" s="21">
        <v>27.049399999999999</v>
      </c>
      <c r="AS315" s="21">
        <v>-1.4767499999999999E-2</v>
      </c>
      <c r="AT315" s="21">
        <v>305</v>
      </c>
      <c r="AU315" s="21">
        <v>0.263428</v>
      </c>
      <c r="AV315">
        <f t="shared" si="56"/>
        <v>18.231481481481481</v>
      </c>
      <c r="AW315">
        <f t="shared" si="57"/>
        <v>4.8154812037037029</v>
      </c>
      <c r="AX315" s="9"/>
      <c r="AY315" s="21">
        <v>1.4358500000000001</v>
      </c>
      <c r="AZ315" s="21">
        <v>30.8687</v>
      </c>
      <c r="BA315" s="21">
        <v>-1.2771599999999999E-2</v>
      </c>
      <c r="BB315" s="21">
        <v>305</v>
      </c>
      <c r="BC315" s="21">
        <v>1.4352400000000001</v>
      </c>
      <c r="BD315">
        <f t="shared" si="58"/>
        <v>15.767407407407408</v>
      </c>
      <c r="BE315">
        <f t="shared" si="59"/>
        <v>22.639631925925926</v>
      </c>
    </row>
    <row r="316" spans="6:57" x14ac:dyDescent="0.25">
      <c r="F316" s="9"/>
      <c r="G316" s="21">
        <v>0.25909399999999999</v>
      </c>
      <c r="H316" s="21">
        <v>8.4240499999999994</v>
      </c>
      <c r="I316" s="21">
        <v>-1.47461E-2</v>
      </c>
      <c r="J316" s="21">
        <v>306</v>
      </c>
      <c r="K316" s="21">
        <v>0.25851400000000002</v>
      </c>
      <c r="L316">
        <f t="shared" si="48"/>
        <v>18.205061728395062</v>
      </c>
      <c r="M316">
        <f t="shared" si="49"/>
        <v>4.7168222634567902</v>
      </c>
      <c r="N316" s="9"/>
      <c r="O316" s="21">
        <v>1.44089</v>
      </c>
      <c r="P316" s="21">
        <v>12.2432</v>
      </c>
      <c r="Q316" s="21">
        <v>-1.27625E-2</v>
      </c>
      <c r="R316" s="21">
        <v>306</v>
      </c>
      <c r="S316" s="21">
        <v>1.4404300000000001</v>
      </c>
      <c r="T316">
        <f t="shared" si="50"/>
        <v>15.756172839506172</v>
      </c>
      <c r="U316">
        <f t="shared" si="51"/>
        <v>22.702911882716048</v>
      </c>
      <c r="X316" s="9"/>
      <c r="Y316" s="21">
        <v>0.25909399999999999</v>
      </c>
      <c r="Z316" s="21">
        <v>17.747299999999999</v>
      </c>
      <c r="AA316" s="21">
        <v>-1.47034E-2</v>
      </c>
      <c r="AB316" s="21">
        <v>306</v>
      </c>
      <c r="AC316" s="21">
        <v>0.258606</v>
      </c>
      <c r="AD316">
        <f t="shared" si="52"/>
        <v>18.152345679012342</v>
      </c>
      <c r="AE316">
        <f t="shared" si="53"/>
        <v>4.7031638513580232</v>
      </c>
      <c r="AF316" s="9"/>
      <c r="AG316" s="21">
        <v>1.44089</v>
      </c>
      <c r="AH316" s="21">
        <v>21.566500000000001</v>
      </c>
      <c r="AI316" s="21">
        <v>-1.2677000000000001E-2</v>
      </c>
      <c r="AJ316" s="21">
        <v>306</v>
      </c>
      <c r="AK316" s="21">
        <v>1.4410400000000001</v>
      </c>
      <c r="AL316">
        <f t="shared" si="54"/>
        <v>15.650617283950618</v>
      </c>
      <c r="AM316">
        <f t="shared" si="55"/>
        <v>22.550817938271607</v>
      </c>
      <c r="AP316" s="9"/>
      <c r="AQ316" s="21">
        <v>0.25909399999999999</v>
      </c>
      <c r="AR316" s="21">
        <v>27.0595</v>
      </c>
      <c r="AS316" s="21">
        <v>-1.4770500000000001E-2</v>
      </c>
      <c r="AT316" s="21">
        <v>306</v>
      </c>
      <c r="AU316" s="21">
        <v>0.25842300000000001</v>
      </c>
      <c r="AV316">
        <f t="shared" si="56"/>
        <v>18.235185185185184</v>
      </c>
      <c r="AW316">
        <f t="shared" si="57"/>
        <v>4.7246270703703699</v>
      </c>
      <c r="AX316" s="9"/>
      <c r="AY316" s="21">
        <v>1.44089</v>
      </c>
      <c r="AZ316" s="21">
        <v>30.878799999999998</v>
      </c>
      <c r="BA316" s="21">
        <v>-1.2725800000000001E-2</v>
      </c>
      <c r="BB316" s="21">
        <v>306</v>
      </c>
      <c r="BC316" s="21">
        <v>1.4404300000000001</v>
      </c>
      <c r="BD316">
        <f t="shared" si="58"/>
        <v>15.710864197530865</v>
      </c>
      <c r="BE316">
        <f t="shared" si="59"/>
        <v>22.637627113580248</v>
      </c>
    </row>
    <row r="317" spans="6:57" x14ac:dyDescent="0.25">
      <c r="F317" s="9"/>
      <c r="G317" s="21">
        <v>0.25405899999999998</v>
      </c>
      <c r="H317" s="21">
        <v>8.4341200000000001</v>
      </c>
      <c r="I317" s="21">
        <v>-1.47552E-2</v>
      </c>
      <c r="J317" s="21">
        <v>307</v>
      </c>
      <c r="K317" s="21">
        <v>0.25344800000000001</v>
      </c>
      <c r="L317">
        <f t="shared" si="48"/>
        <v>18.216296296296292</v>
      </c>
      <c r="M317">
        <f t="shared" si="49"/>
        <v>4.6280140207407392</v>
      </c>
      <c r="N317" s="9"/>
      <c r="O317" s="21">
        <v>1.4459200000000001</v>
      </c>
      <c r="P317" s="21">
        <v>12.253299999999999</v>
      </c>
      <c r="Q317" s="21">
        <v>-1.27136E-2</v>
      </c>
      <c r="R317" s="21">
        <v>307</v>
      </c>
      <c r="S317" s="21">
        <v>1.4447000000000001</v>
      </c>
      <c r="T317">
        <f t="shared" si="50"/>
        <v>15.695802469135801</v>
      </c>
      <c r="U317">
        <f t="shared" si="51"/>
        <v>22.69487470617284</v>
      </c>
      <c r="X317" s="9"/>
      <c r="Y317" s="21">
        <v>0.25405899999999998</v>
      </c>
      <c r="Z317" s="21">
        <v>17.757300000000001</v>
      </c>
      <c r="AA317" s="21">
        <v>-1.4715600000000001E-2</v>
      </c>
      <c r="AB317" s="21">
        <v>307</v>
      </c>
      <c r="AC317" s="21">
        <v>0.25347900000000001</v>
      </c>
      <c r="AD317">
        <f t="shared" si="52"/>
        <v>18.167407407407406</v>
      </c>
      <c r="AE317">
        <f t="shared" si="53"/>
        <v>4.6155933585185176</v>
      </c>
      <c r="AF317" s="9"/>
      <c r="AG317" s="21">
        <v>1.4459200000000001</v>
      </c>
      <c r="AH317" s="21">
        <v>21.576499999999999</v>
      </c>
      <c r="AI317" s="21">
        <v>-1.2634299999999999E-2</v>
      </c>
      <c r="AJ317" s="21">
        <v>307</v>
      </c>
      <c r="AK317" s="21">
        <v>1.4453100000000001</v>
      </c>
      <c r="AL317">
        <f t="shared" si="54"/>
        <v>15.5979012345679</v>
      </c>
      <c r="AM317">
        <f t="shared" si="55"/>
        <v>22.55331735308642</v>
      </c>
      <c r="AP317" s="9"/>
      <c r="AQ317" s="21">
        <v>0.25405899999999998</v>
      </c>
      <c r="AR317" s="21">
        <v>27.069600000000001</v>
      </c>
      <c r="AS317" s="21">
        <v>-1.47736E-2</v>
      </c>
      <c r="AT317" s="21">
        <v>307</v>
      </c>
      <c r="AU317" s="21">
        <v>0.25347900000000001</v>
      </c>
      <c r="AV317">
        <f t="shared" si="56"/>
        <v>18.239012345679011</v>
      </c>
      <c r="AW317">
        <f t="shared" si="57"/>
        <v>4.6337852375308639</v>
      </c>
      <c r="AX317" s="9"/>
      <c r="AY317" s="21">
        <v>1.4459200000000001</v>
      </c>
      <c r="AZ317" s="21">
        <v>30.8888</v>
      </c>
      <c r="BA317" s="21">
        <v>-1.2683099999999999E-2</v>
      </c>
      <c r="BB317" s="21">
        <v>307</v>
      </c>
      <c r="BC317" s="21">
        <v>1.4456199999999999</v>
      </c>
      <c r="BD317">
        <f t="shared" si="58"/>
        <v>15.658148148148147</v>
      </c>
      <c r="BE317">
        <f t="shared" si="59"/>
        <v>22.640429570370369</v>
      </c>
    </row>
    <row r="318" spans="6:57" x14ac:dyDescent="0.25">
      <c r="F318" s="9"/>
      <c r="G318" s="21">
        <v>0.24902299999999999</v>
      </c>
      <c r="H318" s="21">
        <v>8.4441900000000008</v>
      </c>
      <c r="I318" s="21">
        <v>-1.4767499999999999E-2</v>
      </c>
      <c r="J318" s="21">
        <v>308</v>
      </c>
      <c r="K318" s="21">
        <v>0.24838299999999999</v>
      </c>
      <c r="L318">
        <f t="shared" si="48"/>
        <v>18.231481481481481</v>
      </c>
      <c r="M318">
        <f t="shared" si="49"/>
        <v>4.540058212962963</v>
      </c>
      <c r="N318" s="9"/>
      <c r="O318" s="21">
        <v>1.45096</v>
      </c>
      <c r="P318" s="21">
        <v>12.263400000000001</v>
      </c>
      <c r="Q318" s="21">
        <v>-1.26617E-2</v>
      </c>
      <c r="R318" s="21">
        <v>308</v>
      </c>
      <c r="S318" s="21">
        <v>1.4508099999999999</v>
      </c>
      <c r="T318">
        <f t="shared" si="50"/>
        <v>15.631728395061728</v>
      </c>
      <c r="U318">
        <f t="shared" si="51"/>
        <v>22.681012632098767</v>
      </c>
      <c r="X318" s="9"/>
      <c r="Y318" s="21">
        <v>0.24902299999999999</v>
      </c>
      <c r="Z318" s="21">
        <v>17.767399999999999</v>
      </c>
      <c r="AA318" s="21">
        <v>-1.4721700000000001E-2</v>
      </c>
      <c r="AB318" s="21">
        <v>308</v>
      </c>
      <c r="AC318" s="21">
        <v>0.24838299999999999</v>
      </c>
      <c r="AD318">
        <f t="shared" si="52"/>
        <v>18.174938271604937</v>
      </c>
      <c r="AE318">
        <f t="shared" si="53"/>
        <v>4.5259776532098757</v>
      </c>
      <c r="AF318" s="9"/>
      <c r="AG318" s="21">
        <v>1.45096</v>
      </c>
      <c r="AH318" s="21">
        <v>21.586600000000001</v>
      </c>
      <c r="AI318" s="21">
        <v>-1.2588500000000001E-2</v>
      </c>
      <c r="AJ318" s="21">
        <v>308</v>
      </c>
      <c r="AK318" s="21">
        <v>1.4504999999999999</v>
      </c>
      <c r="AL318">
        <f t="shared" si="54"/>
        <v>15.541358024691359</v>
      </c>
      <c r="AM318">
        <f t="shared" si="55"/>
        <v>22.549888839506174</v>
      </c>
      <c r="AP318" s="9"/>
      <c r="AQ318" s="21">
        <v>0.24902299999999999</v>
      </c>
      <c r="AR318" s="21">
        <v>27.079599999999999</v>
      </c>
      <c r="AS318" s="21">
        <v>-1.4782699999999999E-2</v>
      </c>
      <c r="AT318" s="21">
        <v>308</v>
      </c>
      <c r="AU318" s="21">
        <v>0.248444</v>
      </c>
      <c r="AV318">
        <f t="shared" si="56"/>
        <v>18.250246913580245</v>
      </c>
      <c r="AW318">
        <f t="shared" si="57"/>
        <v>4.5447312371604935</v>
      </c>
      <c r="AX318" s="9"/>
      <c r="AY318" s="21">
        <v>1.45096</v>
      </c>
      <c r="AZ318" s="21">
        <v>30.898900000000001</v>
      </c>
      <c r="BA318" s="21">
        <v>-1.26404E-2</v>
      </c>
      <c r="BB318" s="21">
        <v>308</v>
      </c>
      <c r="BC318" s="21">
        <v>1.4498899999999999</v>
      </c>
      <c r="BD318">
        <f t="shared" si="58"/>
        <v>15.60543209876543</v>
      </c>
      <c r="BE318">
        <f t="shared" si="59"/>
        <v>22.642857758024689</v>
      </c>
    </row>
    <row r="319" spans="6:57" x14ac:dyDescent="0.25">
      <c r="F319" s="9"/>
      <c r="G319" s="21">
        <v>0.24398800000000001</v>
      </c>
      <c r="H319" s="21">
        <v>8.4542599999999997</v>
      </c>
      <c r="I319" s="21">
        <v>-1.47797E-2</v>
      </c>
      <c r="J319" s="21">
        <v>309</v>
      </c>
      <c r="K319" s="21">
        <v>0.24331700000000001</v>
      </c>
      <c r="L319">
        <f t="shared" si="48"/>
        <v>18.246543209876542</v>
      </c>
      <c r="M319">
        <f t="shared" si="49"/>
        <v>4.4519375846913576</v>
      </c>
      <c r="N319" s="9"/>
      <c r="O319" s="21">
        <v>1.4559899999999999</v>
      </c>
      <c r="P319" s="21">
        <v>12.2735</v>
      </c>
      <c r="Q319" s="21">
        <v>-1.26129E-2</v>
      </c>
      <c r="R319" s="21">
        <v>309</v>
      </c>
      <c r="S319" s="21">
        <v>1.4550799999999999</v>
      </c>
      <c r="T319">
        <f t="shared" si="50"/>
        <v>15.571481481481479</v>
      </c>
      <c r="U319">
        <f t="shared" si="51"/>
        <v>22.671921322222218</v>
      </c>
      <c r="X319" s="9"/>
      <c r="Y319" s="21">
        <v>0.24398800000000001</v>
      </c>
      <c r="Z319" s="21">
        <v>17.7775</v>
      </c>
      <c r="AA319" s="21">
        <v>-1.4727799999999999E-2</v>
      </c>
      <c r="AB319" s="21">
        <v>309</v>
      </c>
      <c r="AC319" s="21">
        <v>0.24346899999999999</v>
      </c>
      <c r="AD319">
        <f t="shared" si="52"/>
        <v>18.182469135802467</v>
      </c>
      <c r="AE319">
        <f t="shared" si="53"/>
        <v>4.4363042795061727</v>
      </c>
      <c r="AF319" s="9"/>
      <c r="AG319" s="21">
        <v>1.4559899999999999</v>
      </c>
      <c r="AH319" s="21">
        <v>21.596699999999998</v>
      </c>
      <c r="AI319" s="21">
        <v>-1.25427E-2</v>
      </c>
      <c r="AJ319" s="21">
        <v>309</v>
      </c>
      <c r="AK319" s="21">
        <v>1.4553799999999999</v>
      </c>
      <c r="AL319">
        <f t="shared" si="54"/>
        <v>15.484814814814815</v>
      </c>
      <c r="AM319">
        <f t="shared" si="55"/>
        <v>22.54573552222222</v>
      </c>
      <c r="AP319" s="9"/>
      <c r="AQ319" s="21">
        <v>0.24398800000000001</v>
      </c>
      <c r="AR319" s="21">
        <v>27.089700000000001</v>
      </c>
      <c r="AS319" s="21">
        <v>-1.47888E-2</v>
      </c>
      <c r="AT319" s="21">
        <v>309</v>
      </c>
      <c r="AU319" s="21">
        <v>0.24343899999999999</v>
      </c>
      <c r="AV319">
        <f t="shared" si="56"/>
        <v>18.257777777777775</v>
      </c>
      <c r="AW319">
        <f t="shared" si="57"/>
        <v>4.4546786844444437</v>
      </c>
      <c r="AX319" s="9"/>
      <c r="AY319" s="21">
        <v>1.4559899999999999</v>
      </c>
      <c r="AZ319" s="21">
        <v>30.908999999999999</v>
      </c>
      <c r="BA319" s="21">
        <v>-1.2588500000000001E-2</v>
      </c>
      <c r="BB319" s="21">
        <v>309</v>
      </c>
      <c r="BC319" s="21">
        <v>1.4550799999999999</v>
      </c>
      <c r="BD319">
        <f t="shared" si="58"/>
        <v>15.541358024691359</v>
      </c>
      <c r="BE319">
        <f t="shared" si="59"/>
        <v>22.62806187037037</v>
      </c>
    </row>
    <row r="320" spans="6:57" x14ac:dyDescent="0.25">
      <c r="F320" s="9"/>
      <c r="G320" s="21">
        <v>0.238953</v>
      </c>
      <c r="H320" s="21">
        <v>8.46434</v>
      </c>
      <c r="I320" s="21">
        <v>-1.47888E-2</v>
      </c>
      <c r="J320" s="21">
        <v>310</v>
      </c>
      <c r="K320" s="21">
        <v>0.23843400000000001</v>
      </c>
      <c r="L320">
        <f t="shared" si="48"/>
        <v>18.257777777777775</v>
      </c>
      <c r="M320">
        <f t="shared" si="49"/>
        <v>4.3627507733333326</v>
      </c>
      <c r="N320" s="9"/>
      <c r="O320" s="21">
        <v>1.4610300000000001</v>
      </c>
      <c r="P320" s="21">
        <v>12.2835</v>
      </c>
      <c r="Q320" s="21">
        <v>-1.2554900000000001E-2</v>
      </c>
      <c r="R320" s="21">
        <v>310</v>
      </c>
      <c r="S320" s="21">
        <v>1.46088</v>
      </c>
      <c r="T320">
        <f t="shared" si="50"/>
        <v>15.499876543209876</v>
      </c>
      <c r="U320">
        <f t="shared" si="51"/>
        <v>22.645784625925927</v>
      </c>
      <c r="X320" s="9"/>
      <c r="Y320" s="21">
        <v>0.238953</v>
      </c>
      <c r="Z320" s="21">
        <v>17.787500000000001</v>
      </c>
      <c r="AA320" s="21">
        <v>-1.4736900000000001E-2</v>
      </c>
      <c r="AB320" s="21">
        <v>310</v>
      </c>
      <c r="AC320" s="21">
        <v>0.23849500000000001</v>
      </c>
      <c r="AD320">
        <f t="shared" si="52"/>
        <v>18.193703703703704</v>
      </c>
      <c r="AE320">
        <f t="shared" si="53"/>
        <v>4.3474400811111114</v>
      </c>
      <c r="AF320" s="9"/>
      <c r="AG320" s="21">
        <v>1.4610300000000001</v>
      </c>
      <c r="AH320" s="21">
        <v>21.6067</v>
      </c>
      <c r="AI320" s="21">
        <v>-1.2500000000000001E-2</v>
      </c>
      <c r="AJ320" s="21">
        <v>310</v>
      </c>
      <c r="AK320" s="21">
        <v>1.46027</v>
      </c>
      <c r="AL320">
        <f t="shared" si="54"/>
        <v>15.432098765432098</v>
      </c>
      <c r="AM320">
        <f t="shared" si="55"/>
        <v>22.546759259259257</v>
      </c>
      <c r="AP320" s="9"/>
      <c r="AQ320" s="21">
        <v>0.238953</v>
      </c>
      <c r="AR320" s="21">
        <v>27.099799999999998</v>
      </c>
      <c r="AS320" s="21">
        <v>-1.47919E-2</v>
      </c>
      <c r="AT320" s="21">
        <v>310</v>
      </c>
      <c r="AU320" s="21">
        <v>0.23828099999999999</v>
      </c>
      <c r="AV320">
        <f t="shared" si="56"/>
        <v>18.261604938271603</v>
      </c>
      <c r="AW320">
        <f t="shared" si="57"/>
        <v>4.3636652848148145</v>
      </c>
      <c r="AX320" s="9"/>
      <c r="AY320" s="21">
        <v>1.4610300000000001</v>
      </c>
      <c r="AZ320" s="21">
        <v>30.919</v>
      </c>
      <c r="BA320" s="21">
        <v>-1.25275E-2</v>
      </c>
      <c r="BB320" s="21">
        <v>310</v>
      </c>
      <c r="BC320" s="21">
        <v>1.46027</v>
      </c>
      <c r="BD320">
        <f t="shared" si="58"/>
        <v>15.466049382716049</v>
      </c>
      <c r="BE320">
        <f t="shared" si="59"/>
        <v>22.596362129629629</v>
      </c>
    </row>
    <row r="321" spans="6:57" x14ac:dyDescent="0.25">
      <c r="F321" s="9"/>
      <c r="G321" s="21">
        <v>0.23391700000000001</v>
      </c>
      <c r="H321" s="21">
        <v>8.4744100000000007</v>
      </c>
      <c r="I321" s="21">
        <v>-1.47919E-2</v>
      </c>
      <c r="J321" s="21">
        <v>311</v>
      </c>
      <c r="K321" s="21">
        <v>0.23333699999999999</v>
      </c>
      <c r="L321">
        <f t="shared" si="48"/>
        <v>18.261604938271603</v>
      </c>
      <c r="M321">
        <f t="shared" si="49"/>
        <v>4.2716998423456785</v>
      </c>
      <c r="N321" s="9"/>
      <c r="O321" s="21">
        <v>1.4660599999999999</v>
      </c>
      <c r="P321" s="21">
        <v>12.2936</v>
      </c>
      <c r="Q321" s="21">
        <v>-1.2500000000000001E-2</v>
      </c>
      <c r="R321" s="21">
        <v>311</v>
      </c>
      <c r="S321" s="21">
        <v>1.4654499999999999</v>
      </c>
      <c r="T321">
        <f t="shared" si="50"/>
        <v>15.432098765432098</v>
      </c>
      <c r="U321">
        <f t="shared" si="51"/>
        <v>22.624382716049379</v>
      </c>
      <c r="X321" s="9"/>
      <c r="Y321" s="21">
        <v>0.23391700000000001</v>
      </c>
      <c r="Z321" s="21">
        <v>17.797599999999999</v>
      </c>
      <c r="AA321" s="21">
        <v>-1.47461E-2</v>
      </c>
      <c r="AB321" s="21">
        <v>311</v>
      </c>
      <c r="AC321" s="21">
        <v>0.23339799999999999</v>
      </c>
      <c r="AD321">
        <f t="shared" si="52"/>
        <v>18.205061728395062</v>
      </c>
      <c r="AE321">
        <f t="shared" si="53"/>
        <v>4.2584734243209876</v>
      </c>
      <c r="AF321" s="9"/>
      <c r="AG321" s="21">
        <v>1.4660599999999999</v>
      </c>
      <c r="AH321" s="21">
        <v>21.616800000000001</v>
      </c>
      <c r="AI321" s="21">
        <v>-1.24542E-2</v>
      </c>
      <c r="AJ321" s="21">
        <v>311</v>
      </c>
      <c r="AK321" s="21">
        <v>1.4654499999999999</v>
      </c>
      <c r="AL321">
        <f t="shared" si="54"/>
        <v>15.375555555555556</v>
      </c>
      <c r="AM321">
        <f t="shared" si="55"/>
        <v>22.541486977777776</v>
      </c>
      <c r="AP321" s="9"/>
      <c r="AQ321" s="21">
        <v>0.23391700000000001</v>
      </c>
      <c r="AR321" s="21">
        <v>27.1098</v>
      </c>
      <c r="AS321" s="21">
        <v>-1.4776600000000001E-2</v>
      </c>
      <c r="AT321" s="21">
        <v>311</v>
      </c>
      <c r="AU321" s="21">
        <v>0.23339799999999999</v>
      </c>
      <c r="AV321">
        <f t="shared" si="56"/>
        <v>18.242716049382715</v>
      </c>
      <c r="AW321">
        <f t="shared" si="57"/>
        <v>4.2672814101234566</v>
      </c>
      <c r="AX321" s="9"/>
      <c r="AY321" s="21">
        <v>1.4660599999999999</v>
      </c>
      <c r="AZ321" s="21">
        <v>30.929099999999998</v>
      </c>
      <c r="BA321" s="21">
        <v>-1.24542E-2</v>
      </c>
      <c r="BB321" s="21">
        <v>311</v>
      </c>
      <c r="BC321" s="21">
        <v>1.46515</v>
      </c>
      <c r="BD321">
        <f t="shared" si="58"/>
        <v>15.375555555555556</v>
      </c>
      <c r="BE321">
        <f t="shared" si="59"/>
        <v>22.541486977777776</v>
      </c>
    </row>
    <row r="322" spans="6:57" x14ac:dyDescent="0.25">
      <c r="F322" s="9"/>
      <c r="G322" s="21">
        <v>0.228882</v>
      </c>
      <c r="H322" s="21">
        <v>8.4844799999999996</v>
      </c>
      <c r="I322" s="21">
        <v>-1.4801E-2</v>
      </c>
      <c r="J322" s="21">
        <v>312</v>
      </c>
      <c r="K322" s="21">
        <v>0.22842399999999999</v>
      </c>
      <c r="L322">
        <f t="shared" si="48"/>
        <v>18.27283950617284</v>
      </c>
      <c r="M322">
        <f t="shared" si="49"/>
        <v>4.1823240518518521</v>
      </c>
      <c r="N322" s="9"/>
      <c r="O322" s="21">
        <v>1.4711000000000001</v>
      </c>
      <c r="P322" s="21">
        <v>12.303699999999999</v>
      </c>
      <c r="Q322" s="21">
        <v>-1.2442E-2</v>
      </c>
      <c r="R322" s="21">
        <v>312</v>
      </c>
      <c r="S322" s="21">
        <v>1.47034</v>
      </c>
      <c r="T322">
        <f t="shared" si="50"/>
        <v>15.360493827160493</v>
      </c>
      <c r="U322">
        <f t="shared" si="51"/>
        <v>22.596822469135802</v>
      </c>
      <c r="X322" s="9"/>
      <c r="Y322" s="21">
        <v>0.228882</v>
      </c>
      <c r="Z322" s="21">
        <v>17.807700000000001</v>
      </c>
      <c r="AA322" s="21">
        <v>-1.4736900000000001E-2</v>
      </c>
      <c r="AB322" s="21">
        <v>312</v>
      </c>
      <c r="AC322" s="21">
        <v>0.22836300000000001</v>
      </c>
      <c r="AD322">
        <f t="shared" si="52"/>
        <v>18.193703703703704</v>
      </c>
      <c r="AE322">
        <f t="shared" si="53"/>
        <v>4.1642112911111111</v>
      </c>
      <c r="AF322" s="9"/>
      <c r="AG322" s="21">
        <v>1.4711000000000001</v>
      </c>
      <c r="AH322" s="21">
        <v>21.626899999999999</v>
      </c>
      <c r="AI322" s="21">
        <v>-1.23962E-2</v>
      </c>
      <c r="AJ322" s="21">
        <v>312</v>
      </c>
      <c r="AK322" s="21">
        <v>1.4700299999999999</v>
      </c>
      <c r="AL322">
        <f t="shared" si="54"/>
        <v>15.303950617283951</v>
      </c>
      <c r="AM322">
        <f t="shared" si="55"/>
        <v>22.513641753086421</v>
      </c>
      <c r="AP322" s="9"/>
      <c r="AQ322" s="21">
        <v>0.228882</v>
      </c>
      <c r="AR322" s="21">
        <v>27.119900000000001</v>
      </c>
      <c r="AS322" s="21">
        <v>-1.47736E-2</v>
      </c>
      <c r="AT322" s="21">
        <v>312</v>
      </c>
      <c r="AU322" s="21">
        <v>0.22833300000000001</v>
      </c>
      <c r="AV322">
        <f t="shared" si="56"/>
        <v>18.239012345679011</v>
      </c>
      <c r="AW322">
        <f t="shared" si="57"/>
        <v>4.1745816237037037</v>
      </c>
      <c r="AX322" s="9"/>
      <c r="AY322" s="21">
        <v>1.4711000000000001</v>
      </c>
      <c r="AZ322" s="21">
        <v>30.9392</v>
      </c>
      <c r="BA322" s="21">
        <v>-1.2377900000000001E-2</v>
      </c>
      <c r="BB322" s="21">
        <v>312</v>
      </c>
      <c r="BC322" s="21">
        <v>1.47034</v>
      </c>
      <c r="BD322">
        <f t="shared" si="58"/>
        <v>15.281358024691359</v>
      </c>
      <c r="BE322">
        <f t="shared" si="59"/>
        <v>22.480405790123459</v>
      </c>
    </row>
    <row r="323" spans="6:57" x14ac:dyDescent="0.25">
      <c r="F323" s="9"/>
      <c r="G323" s="21">
        <v>0.22384599999999999</v>
      </c>
      <c r="H323" s="21">
        <v>8.4945500000000003</v>
      </c>
      <c r="I323" s="21">
        <v>-1.48071E-2</v>
      </c>
      <c r="J323" s="21">
        <v>313</v>
      </c>
      <c r="K323" s="21">
        <v>0.223297</v>
      </c>
      <c r="L323">
        <f t="shared" si="48"/>
        <v>18.28037037037037</v>
      </c>
      <c r="M323">
        <f t="shared" si="49"/>
        <v>4.0919877859259257</v>
      </c>
      <c r="N323" s="9"/>
      <c r="O323" s="21">
        <v>1.47614</v>
      </c>
      <c r="P323" s="21">
        <v>12.313700000000001</v>
      </c>
      <c r="Q323" s="21">
        <v>-1.2377900000000001E-2</v>
      </c>
      <c r="R323" s="21">
        <v>313</v>
      </c>
      <c r="S323" s="21">
        <v>1.47522</v>
      </c>
      <c r="T323">
        <f t="shared" si="50"/>
        <v>15.281358024691359</v>
      </c>
      <c r="U323">
        <f t="shared" si="51"/>
        <v>22.557423834567903</v>
      </c>
      <c r="X323" s="9"/>
      <c r="Y323" s="21">
        <v>0.22384599999999999</v>
      </c>
      <c r="Z323" s="21">
        <v>17.817799999999998</v>
      </c>
      <c r="AA323" s="21">
        <v>-1.4727799999999999E-2</v>
      </c>
      <c r="AB323" s="21">
        <v>313</v>
      </c>
      <c r="AC323" s="21">
        <v>0.22341900000000001</v>
      </c>
      <c r="AD323">
        <f t="shared" si="52"/>
        <v>18.182469135802467</v>
      </c>
      <c r="AE323">
        <f t="shared" si="53"/>
        <v>4.0700729861728391</v>
      </c>
      <c r="AF323" s="9"/>
      <c r="AG323" s="21">
        <v>1.47614</v>
      </c>
      <c r="AH323" s="21">
        <v>21.637</v>
      </c>
      <c r="AI323" s="21">
        <v>-1.23383E-2</v>
      </c>
      <c r="AJ323" s="21">
        <v>313</v>
      </c>
      <c r="AK323" s="21">
        <v>1.47522</v>
      </c>
      <c r="AL323">
        <f t="shared" si="54"/>
        <v>15.232469135802468</v>
      </c>
      <c r="AM323">
        <f t="shared" si="55"/>
        <v>22.485256990123457</v>
      </c>
      <c r="AP323" s="9"/>
      <c r="AQ323" s="21">
        <v>0.22384599999999999</v>
      </c>
      <c r="AR323" s="21">
        <v>27.13</v>
      </c>
      <c r="AS323" s="21">
        <v>-1.4770500000000001E-2</v>
      </c>
      <c r="AT323" s="21">
        <v>313</v>
      </c>
      <c r="AU323" s="21">
        <v>0.223297</v>
      </c>
      <c r="AV323">
        <f t="shared" si="56"/>
        <v>18.235185185185184</v>
      </c>
      <c r="AW323">
        <f t="shared" si="57"/>
        <v>4.0818732629629624</v>
      </c>
      <c r="AX323" s="9"/>
      <c r="AY323" s="21">
        <v>1.47614</v>
      </c>
      <c r="AZ323" s="21">
        <v>30.949300000000001</v>
      </c>
      <c r="BA323" s="21">
        <v>-1.23077E-2</v>
      </c>
      <c r="BB323" s="21">
        <v>313</v>
      </c>
      <c r="BC323" s="21">
        <v>1.4755199999999999</v>
      </c>
      <c r="BD323">
        <f t="shared" si="58"/>
        <v>15.19469135802469</v>
      </c>
      <c r="BE323">
        <f t="shared" si="59"/>
        <v>22.429491701234564</v>
      </c>
    </row>
    <row r="324" spans="6:57" x14ac:dyDescent="0.25">
      <c r="F324" s="9"/>
      <c r="G324" s="21">
        <v>0.21881100000000001</v>
      </c>
      <c r="H324" s="21">
        <v>8.5046199999999992</v>
      </c>
      <c r="I324" s="21">
        <v>-1.48071E-2</v>
      </c>
      <c r="J324" s="21">
        <v>314</v>
      </c>
      <c r="K324" s="21">
        <v>0.21832299999999999</v>
      </c>
      <c r="L324">
        <f t="shared" si="48"/>
        <v>18.28037037037037</v>
      </c>
      <c r="M324">
        <f t="shared" si="49"/>
        <v>3.9999461211111114</v>
      </c>
      <c r="N324" s="9"/>
      <c r="O324" s="21">
        <v>1.4811700000000001</v>
      </c>
      <c r="P324" s="21">
        <v>12.3238</v>
      </c>
      <c r="Q324" s="21">
        <v>-1.23138E-2</v>
      </c>
      <c r="R324" s="21">
        <v>314</v>
      </c>
      <c r="S324" s="21">
        <v>1.48071</v>
      </c>
      <c r="T324">
        <f t="shared" si="50"/>
        <v>15.202222222222222</v>
      </c>
      <c r="U324">
        <f t="shared" si="51"/>
        <v>22.517075488888889</v>
      </c>
      <c r="X324" s="9"/>
      <c r="Y324" s="21">
        <v>0.21881100000000001</v>
      </c>
      <c r="Z324" s="21">
        <v>17.8278</v>
      </c>
      <c r="AA324" s="21">
        <v>-1.4727799999999999E-2</v>
      </c>
      <c r="AB324" s="21">
        <v>314</v>
      </c>
      <c r="AC324" s="21">
        <v>0.21820100000000001</v>
      </c>
      <c r="AD324">
        <f t="shared" si="52"/>
        <v>18.182469135802467</v>
      </c>
      <c r="AE324">
        <f t="shared" si="53"/>
        <v>3.978524254074074</v>
      </c>
      <c r="AF324" s="9"/>
      <c r="AG324" s="21">
        <v>1.4811700000000001</v>
      </c>
      <c r="AH324" s="21">
        <v>21.646999999999998</v>
      </c>
      <c r="AI324" s="21">
        <v>-1.2274200000000001E-2</v>
      </c>
      <c r="AJ324" s="21">
        <v>314</v>
      </c>
      <c r="AK324" s="21">
        <v>1.4801</v>
      </c>
      <c r="AL324">
        <f t="shared" si="54"/>
        <v>15.153333333333332</v>
      </c>
      <c r="AM324">
        <f t="shared" si="55"/>
        <v>22.444662733333335</v>
      </c>
      <c r="AP324" s="9"/>
      <c r="AQ324" s="21">
        <v>0.21881100000000001</v>
      </c>
      <c r="AR324" s="21">
        <v>27.1401</v>
      </c>
      <c r="AS324" s="21">
        <v>-1.4767499999999999E-2</v>
      </c>
      <c r="AT324" s="21">
        <v>314</v>
      </c>
      <c r="AU324" s="21">
        <v>0.21835299999999999</v>
      </c>
      <c r="AV324">
        <f t="shared" si="56"/>
        <v>18.231481481481481</v>
      </c>
      <c r="AW324">
        <f t="shared" si="57"/>
        <v>3.9892486944444445</v>
      </c>
      <c r="AX324" s="9"/>
      <c r="AY324" s="21">
        <v>1.4811700000000001</v>
      </c>
      <c r="AZ324" s="21">
        <v>30.959299999999999</v>
      </c>
      <c r="BA324" s="21">
        <v>-1.2246699999999999E-2</v>
      </c>
      <c r="BB324" s="21">
        <v>314</v>
      </c>
      <c r="BC324" s="21">
        <v>1.4798</v>
      </c>
      <c r="BD324">
        <f t="shared" si="58"/>
        <v>15.11938271604938</v>
      </c>
      <c r="BE324">
        <f t="shared" si="59"/>
        <v>22.394376097530863</v>
      </c>
    </row>
    <row r="325" spans="6:57" x14ac:dyDescent="0.25">
      <c r="F325" s="9"/>
      <c r="G325" s="21">
        <v>0.21377599999999999</v>
      </c>
      <c r="H325" s="21">
        <v>8.5146899999999999</v>
      </c>
      <c r="I325" s="21">
        <v>-1.4801E-2</v>
      </c>
      <c r="J325" s="21">
        <v>315</v>
      </c>
      <c r="K325" s="21">
        <v>0.213287</v>
      </c>
      <c r="L325">
        <f t="shared" si="48"/>
        <v>18.27283950617284</v>
      </c>
      <c r="M325">
        <f t="shared" si="49"/>
        <v>3.906294538271605</v>
      </c>
      <c r="N325" s="9"/>
      <c r="O325" s="21">
        <v>1.48621</v>
      </c>
      <c r="P325" s="21">
        <v>12.3339</v>
      </c>
      <c r="Q325" s="21">
        <v>-1.22559E-2</v>
      </c>
      <c r="R325" s="21">
        <v>315</v>
      </c>
      <c r="S325" s="21">
        <v>1.4856</v>
      </c>
      <c r="T325">
        <f t="shared" si="50"/>
        <v>15.130740740740739</v>
      </c>
      <c r="U325">
        <f t="shared" si="51"/>
        <v>22.487458196296295</v>
      </c>
      <c r="X325" s="9"/>
      <c r="Y325" s="21">
        <v>0.21377599999999999</v>
      </c>
      <c r="Z325" s="21">
        <v>17.837900000000001</v>
      </c>
      <c r="AA325" s="21">
        <v>-1.4727799999999999E-2</v>
      </c>
      <c r="AB325" s="21">
        <v>315</v>
      </c>
      <c r="AC325" s="21">
        <v>0.213287</v>
      </c>
      <c r="AD325">
        <f t="shared" si="52"/>
        <v>18.182469135802467</v>
      </c>
      <c r="AE325">
        <f t="shared" si="53"/>
        <v>3.8869755219753079</v>
      </c>
      <c r="AF325" s="9"/>
      <c r="AG325" s="21">
        <v>1.48621</v>
      </c>
      <c r="AH325" s="21">
        <v>21.6571</v>
      </c>
      <c r="AI325" s="21">
        <v>-1.21948E-2</v>
      </c>
      <c r="AJ325" s="21">
        <v>315</v>
      </c>
      <c r="AK325" s="21">
        <v>1.48499</v>
      </c>
      <c r="AL325">
        <f t="shared" si="54"/>
        <v>15.055308641975309</v>
      </c>
      <c r="AM325">
        <f t="shared" si="55"/>
        <v>22.375350256790124</v>
      </c>
      <c r="AP325" s="9"/>
      <c r="AQ325" s="21">
        <v>0.21377599999999999</v>
      </c>
      <c r="AR325" s="21">
        <v>27.150099999999998</v>
      </c>
      <c r="AS325" s="21">
        <v>-1.47583E-2</v>
      </c>
      <c r="AT325" s="21">
        <v>315</v>
      </c>
      <c r="AU325" s="21">
        <v>0.21331800000000001</v>
      </c>
      <c r="AV325">
        <f t="shared" si="56"/>
        <v>18.22012345679012</v>
      </c>
      <c r="AW325">
        <f t="shared" si="57"/>
        <v>3.8950251120987645</v>
      </c>
      <c r="AX325" s="9"/>
      <c r="AY325" s="21">
        <v>1.48621</v>
      </c>
      <c r="AZ325" s="21">
        <v>30.9694</v>
      </c>
      <c r="BA325" s="21">
        <v>-1.2185700000000001E-2</v>
      </c>
      <c r="BB325" s="21">
        <v>315</v>
      </c>
      <c r="BC325" s="21">
        <v>1.4859</v>
      </c>
      <c r="BD325">
        <f t="shared" si="58"/>
        <v>15.044074074074075</v>
      </c>
      <c r="BE325">
        <f t="shared" si="59"/>
        <v>22.358653329629632</v>
      </c>
    </row>
    <row r="326" spans="6:57" x14ac:dyDescent="0.25">
      <c r="F326" s="9"/>
      <c r="G326" s="21">
        <v>0.20874000000000001</v>
      </c>
      <c r="H326" s="21">
        <v>8.5247600000000006</v>
      </c>
      <c r="I326" s="21">
        <v>-1.4776600000000001E-2</v>
      </c>
      <c r="J326" s="21">
        <v>316</v>
      </c>
      <c r="K326" s="21">
        <v>0.20822099999999999</v>
      </c>
      <c r="L326">
        <f t="shared" si="48"/>
        <v>18.242716049382715</v>
      </c>
      <c r="M326">
        <f t="shared" si="49"/>
        <v>3.807984548148148</v>
      </c>
      <c r="N326" s="9"/>
      <c r="O326" s="21">
        <v>1.4912399999999999</v>
      </c>
      <c r="P326" s="21">
        <v>12.343999999999999</v>
      </c>
      <c r="Q326" s="21">
        <v>-1.21887E-2</v>
      </c>
      <c r="R326" s="21">
        <v>316</v>
      </c>
      <c r="S326" s="21">
        <v>1.49078</v>
      </c>
      <c r="T326">
        <f t="shared" si="50"/>
        <v>15.047777777777776</v>
      </c>
      <c r="U326">
        <f t="shared" si="51"/>
        <v>22.439848133333328</v>
      </c>
      <c r="X326" s="9"/>
      <c r="Y326" s="21">
        <v>0.20874000000000001</v>
      </c>
      <c r="Z326" s="21">
        <v>17.847999999999999</v>
      </c>
      <c r="AA326" s="21">
        <v>-1.4733899999999999E-2</v>
      </c>
      <c r="AB326" s="21">
        <v>316</v>
      </c>
      <c r="AC326" s="21">
        <v>0.20819099999999999</v>
      </c>
      <c r="AD326">
        <f t="shared" si="52"/>
        <v>18.189999999999998</v>
      </c>
      <c r="AE326">
        <f t="shared" si="53"/>
        <v>3.7969805999999995</v>
      </c>
      <c r="AF326" s="9"/>
      <c r="AG326" s="21">
        <v>1.4912399999999999</v>
      </c>
      <c r="AH326" s="21">
        <v>21.667200000000001</v>
      </c>
      <c r="AI326" s="21">
        <v>-1.21155E-2</v>
      </c>
      <c r="AJ326" s="21">
        <v>316</v>
      </c>
      <c r="AK326" s="21">
        <v>1.49017</v>
      </c>
      <c r="AL326">
        <f t="shared" si="54"/>
        <v>14.957407407407405</v>
      </c>
      <c r="AM326">
        <f t="shared" si="55"/>
        <v>22.305084222222217</v>
      </c>
      <c r="AP326" s="9"/>
      <c r="AQ326" s="21">
        <v>0.20874000000000001</v>
      </c>
      <c r="AR326" s="21">
        <v>27.1602</v>
      </c>
      <c r="AS326" s="21">
        <v>-1.47583E-2</v>
      </c>
      <c r="AT326" s="21">
        <v>316</v>
      </c>
      <c r="AU326" s="21">
        <v>0.20822099999999999</v>
      </c>
      <c r="AV326">
        <f t="shared" si="56"/>
        <v>18.22012345679012</v>
      </c>
      <c r="AW326">
        <f t="shared" si="57"/>
        <v>3.8032685703703697</v>
      </c>
      <c r="AX326" s="9"/>
      <c r="AY326" s="21">
        <v>1.4912399999999999</v>
      </c>
      <c r="AZ326" s="21">
        <v>30.979500000000002</v>
      </c>
      <c r="BA326" s="21">
        <v>-1.21277E-2</v>
      </c>
      <c r="BB326" s="21">
        <v>316</v>
      </c>
      <c r="BC326" s="21">
        <v>1.49048</v>
      </c>
      <c r="BD326">
        <f t="shared" si="58"/>
        <v>14.972469135802468</v>
      </c>
      <c r="BE326">
        <f t="shared" si="59"/>
        <v>22.327544874074071</v>
      </c>
    </row>
    <row r="327" spans="6:57" x14ac:dyDescent="0.25">
      <c r="F327" s="9"/>
      <c r="G327" s="21">
        <v>0.203705</v>
      </c>
      <c r="H327" s="21">
        <v>8.5348299999999995</v>
      </c>
      <c r="I327" s="21">
        <v>-1.4776600000000001E-2</v>
      </c>
      <c r="J327" s="21">
        <v>317</v>
      </c>
      <c r="K327" s="21">
        <v>0.203125</v>
      </c>
      <c r="L327">
        <f t="shared" si="48"/>
        <v>18.242716049382715</v>
      </c>
      <c r="M327">
        <f t="shared" si="49"/>
        <v>3.7161324728395058</v>
      </c>
      <c r="N327" s="9"/>
      <c r="O327" s="21">
        <v>1.4962800000000001</v>
      </c>
      <c r="P327" s="21">
        <v>12.353999999999999</v>
      </c>
      <c r="Q327" s="21">
        <v>-1.2109399999999999E-2</v>
      </c>
      <c r="R327" s="21">
        <v>317</v>
      </c>
      <c r="S327" s="21">
        <v>1.4956700000000001</v>
      </c>
      <c r="T327">
        <f t="shared" si="50"/>
        <v>14.949876543209875</v>
      </c>
      <c r="U327">
        <f t="shared" si="51"/>
        <v>22.369201274074072</v>
      </c>
      <c r="X327" s="9"/>
      <c r="Y327" s="21">
        <v>0.203705</v>
      </c>
      <c r="Z327" s="21">
        <v>17.858000000000001</v>
      </c>
      <c r="AA327" s="21">
        <v>-1.4721700000000001E-2</v>
      </c>
      <c r="AB327" s="21">
        <v>317</v>
      </c>
      <c r="AC327" s="21">
        <v>0.203156</v>
      </c>
      <c r="AD327">
        <f t="shared" si="52"/>
        <v>18.174938271604937</v>
      </c>
      <c r="AE327">
        <f t="shared" si="53"/>
        <v>3.7023258006172837</v>
      </c>
      <c r="AF327" s="9"/>
      <c r="AG327" s="21">
        <v>1.4962800000000001</v>
      </c>
      <c r="AH327" s="21">
        <v>21.677199999999999</v>
      </c>
      <c r="AI327" s="21">
        <v>-1.20483E-2</v>
      </c>
      <c r="AJ327" s="21">
        <v>317</v>
      </c>
      <c r="AK327" s="21">
        <v>1.4950600000000001</v>
      </c>
      <c r="AL327">
        <f t="shared" si="54"/>
        <v>14.874444444444444</v>
      </c>
      <c r="AM327">
        <f t="shared" si="55"/>
        <v>22.256333733333335</v>
      </c>
      <c r="AP327" s="9"/>
      <c r="AQ327" s="21">
        <v>0.203705</v>
      </c>
      <c r="AR327" s="21">
        <v>27.170300000000001</v>
      </c>
      <c r="AS327" s="21">
        <v>-1.47552E-2</v>
      </c>
      <c r="AT327" s="21">
        <v>317</v>
      </c>
      <c r="AU327" s="21">
        <v>0.20327799999999999</v>
      </c>
      <c r="AV327">
        <f t="shared" si="56"/>
        <v>18.216296296296292</v>
      </c>
      <c r="AW327">
        <f t="shared" si="57"/>
        <v>3.710750637037036</v>
      </c>
      <c r="AX327" s="9"/>
      <c r="AY327" s="21">
        <v>1.4962800000000001</v>
      </c>
      <c r="AZ327" s="21">
        <v>30.9895</v>
      </c>
      <c r="BA327" s="21">
        <v>-1.20544E-2</v>
      </c>
      <c r="BB327" s="21">
        <v>317</v>
      </c>
      <c r="BC327" s="21">
        <v>1.4950600000000001</v>
      </c>
      <c r="BD327">
        <f t="shared" si="58"/>
        <v>14.881975308641973</v>
      </c>
      <c r="BE327">
        <f t="shared" si="59"/>
        <v>22.267602014814813</v>
      </c>
    </row>
    <row r="328" spans="6:57" x14ac:dyDescent="0.25">
      <c r="F328" s="9"/>
      <c r="G328" s="21">
        <v>0.19866900000000001</v>
      </c>
      <c r="H328" s="21">
        <v>8.5449000000000002</v>
      </c>
      <c r="I328" s="21">
        <v>-1.47858E-2</v>
      </c>
      <c r="J328" s="21">
        <v>318</v>
      </c>
      <c r="K328" s="21">
        <v>0.19811999999999999</v>
      </c>
      <c r="L328">
        <f t="shared" si="48"/>
        <v>18.254074074074072</v>
      </c>
      <c r="M328">
        <f t="shared" si="49"/>
        <v>3.626518642222222</v>
      </c>
      <c r="N328" s="9"/>
      <c r="O328" s="21">
        <v>1.5013099999999999</v>
      </c>
      <c r="P328" s="21">
        <v>12.364100000000001</v>
      </c>
      <c r="Q328" s="21">
        <v>-1.2036099999999999E-2</v>
      </c>
      <c r="R328" s="21">
        <v>318</v>
      </c>
      <c r="S328" s="21">
        <v>1.5005500000000001</v>
      </c>
      <c r="T328">
        <f t="shared" si="50"/>
        <v>14.85938271604938</v>
      </c>
      <c r="U328">
        <f t="shared" si="51"/>
        <v>22.308539865432092</v>
      </c>
      <c r="X328" s="9"/>
      <c r="Y328" s="21">
        <v>0.19866900000000001</v>
      </c>
      <c r="Z328" s="21">
        <v>17.868099999999998</v>
      </c>
      <c r="AA328" s="21">
        <v>-1.47247E-2</v>
      </c>
      <c r="AB328" s="21">
        <v>318</v>
      </c>
      <c r="AC328" s="21">
        <v>0.198212</v>
      </c>
      <c r="AD328">
        <f t="shared" si="52"/>
        <v>18.178641975308643</v>
      </c>
      <c r="AE328">
        <f t="shared" si="53"/>
        <v>3.611532622592593</v>
      </c>
      <c r="AF328" s="9"/>
      <c r="AG328" s="21">
        <v>1.5013099999999999</v>
      </c>
      <c r="AH328" s="21">
        <v>21.6873</v>
      </c>
      <c r="AI328" s="21">
        <v>-1.1981199999999999E-2</v>
      </c>
      <c r="AJ328" s="21">
        <v>318</v>
      </c>
      <c r="AK328" s="21">
        <v>1.5005500000000001</v>
      </c>
      <c r="AL328">
        <f t="shared" si="54"/>
        <v>14.791604938271602</v>
      </c>
      <c r="AM328">
        <f t="shared" si="55"/>
        <v>22.206784409876537</v>
      </c>
      <c r="AP328" s="9"/>
      <c r="AQ328" s="21">
        <v>0.19866900000000001</v>
      </c>
      <c r="AR328" s="21">
        <v>27.180299999999999</v>
      </c>
      <c r="AS328" s="21">
        <v>-1.47583E-2</v>
      </c>
      <c r="AT328" s="21">
        <v>318</v>
      </c>
      <c r="AU328" s="21">
        <v>0.19815099999999999</v>
      </c>
      <c r="AV328">
        <f t="shared" si="56"/>
        <v>18.22012345679012</v>
      </c>
      <c r="AW328">
        <f t="shared" si="57"/>
        <v>3.6197737070370364</v>
      </c>
      <c r="AX328" s="9"/>
      <c r="AY328" s="21">
        <v>1.5013099999999999</v>
      </c>
      <c r="AZ328" s="21">
        <v>30.999600000000001</v>
      </c>
      <c r="BA328" s="21">
        <v>-1.1972E-2</v>
      </c>
      <c r="BB328" s="21">
        <v>318</v>
      </c>
      <c r="BC328" s="21">
        <v>1.50085</v>
      </c>
      <c r="BD328">
        <f t="shared" si="58"/>
        <v>14.780246913580246</v>
      </c>
      <c r="BE328">
        <f t="shared" si="59"/>
        <v>22.189732493827158</v>
      </c>
    </row>
    <row r="329" spans="6:57" x14ac:dyDescent="0.25">
      <c r="F329" s="9"/>
      <c r="G329" s="21">
        <v>0.193634</v>
      </c>
      <c r="H329" s="21">
        <v>8.5549700000000009</v>
      </c>
      <c r="I329" s="21">
        <v>-1.47919E-2</v>
      </c>
      <c r="J329" s="21">
        <v>319</v>
      </c>
      <c r="K329" s="21">
        <v>0.193024</v>
      </c>
      <c r="L329">
        <f t="shared" si="48"/>
        <v>18.261604938271603</v>
      </c>
      <c r="M329">
        <f t="shared" si="49"/>
        <v>3.5360676106172835</v>
      </c>
      <c r="N329" s="9"/>
      <c r="O329" s="21">
        <v>1.5063500000000001</v>
      </c>
      <c r="P329" s="21">
        <v>12.3742</v>
      </c>
      <c r="Q329" s="21">
        <v>-1.19659E-2</v>
      </c>
      <c r="R329" s="21">
        <v>319</v>
      </c>
      <c r="S329" s="21">
        <v>1.5057400000000001</v>
      </c>
      <c r="T329">
        <f t="shared" si="50"/>
        <v>14.772716049382716</v>
      </c>
      <c r="U329">
        <f t="shared" si="51"/>
        <v>22.252880820987656</v>
      </c>
      <c r="X329" s="9"/>
      <c r="Y329" s="21">
        <v>0.193634</v>
      </c>
      <c r="Z329" s="21">
        <v>17.8782</v>
      </c>
      <c r="AA329" s="21">
        <v>-1.47308E-2</v>
      </c>
      <c r="AB329" s="21">
        <v>319</v>
      </c>
      <c r="AC329" s="21">
        <v>0.19308500000000001</v>
      </c>
      <c r="AD329">
        <f t="shared" si="52"/>
        <v>18.186172839506174</v>
      </c>
      <c r="AE329">
        <f t="shared" si="53"/>
        <v>3.5214613916049387</v>
      </c>
      <c r="AF329" s="9"/>
      <c r="AG329" s="21">
        <v>1.5063500000000001</v>
      </c>
      <c r="AH329" s="21">
        <v>21.697399999999998</v>
      </c>
      <c r="AI329" s="21">
        <v>-1.19019E-2</v>
      </c>
      <c r="AJ329" s="21">
        <v>319</v>
      </c>
      <c r="AK329" s="21">
        <v>1.5057400000000001</v>
      </c>
      <c r="AL329">
        <f t="shared" si="54"/>
        <v>14.693703703703703</v>
      </c>
      <c r="AM329">
        <f t="shared" si="55"/>
        <v>22.133860574074074</v>
      </c>
      <c r="AP329" s="9"/>
      <c r="AQ329" s="21">
        <v>0.193634</v>
      </c>
      <c r="AR329" s="21">
        <v>27.1904</v>
      </c>
      <c r="AS329" s="21">
        <v>-1.4767499999999999E-2</v>
      </c>
      <c r="AT329" s="21">
        <v>319</v>
      </c>
      <c r="AU329" s="21">
        <v>0.19308500000000001</v>
      </c>
      <c r="AV329">
        <f t="shared" si="56"/>
        <v>18.231481481481481</v>
      </c>
      <c r="AW329">
        <f t="shared" si="57"/>
        <v>3.5302346851851851</v>
      </c>
      <c r="AX329" s="9"/>
      <c r="AY329" s="21">
        <v>1.5063500000000001</v>
      </c>
      <c r="AZ329" s="21">
        <v>31.009699999999999</v>
      </c>
      <c r="BA329" s="21">
        <v>-1.1892700000000001E-2</v>
      </c>
      <c r="BB329" s="21">
        <v>319</v>
      </c>
      <c r="BC329" s="21">
        <v>1.5057400000000001</v>
      </c>
      <c r="BD329">
        <f t="shared" si="58"/>
        <v>14.682345679012347</v>
      </c>
      <c r="BE329">
        <f t="shared" si="59"/>
        <v>22.11675141358025</v>
      </c>
    </row>
    <row r="330" spans="6:57" x14ac:dyDescent="0.25">
      <c r="F330" s="9"/>
      <c r="G330" s="21">
        <v>0.18859899999999999</v>
      </c>
      <c r="H330" s="21">
        <v>8.5650499999999994</v>
      </c>
      <c r="I330" s="21">
        <v>-1.4801E-2</v>
      </c>
      <c r="J330" s="21">
        <v>320</v>
      </c>
      <c r="K330" s="21">
        <v>0.18811</v>
      </c>
      <c r="L330">
        <f t="shared" si="48"/>
        <v>18.27283950617284</v>
      </c>
      <c r="M330">
        <f t="shared" si="49"/>
        <v>3.4462392580246912</v>
      </c>
      <c r="N330" s="9"/>
      <c r="O330" s="21">
        <v>1.5113799999999999</v>
      </c>
      <c r="P330" s="21">
        <v>12.3842</v>
      </c>
      <c r="Q330" s="21">
        <v>-1.18958E-2</v>
      </c>
      <c r="R330" s="21">
        <v>320</v>
      </c>
      <c r="S330" s="21">
        <v>1.5106200000000001</v>
      </c>
      <c r="T330">
        <f t="shared" si="50"/>
        <v>14.686172839506172</v>
      </c>
      <c r="U330">
        <f t="shared" si="51"/>
        <v>22.196387906172838</v>
      </c>
      <c r="X330" s="9"/>
      <c r="Y330" s="21">
        <v>0.18859899999999999</v>
      </c>
      <c r="Z330" s="21">
        <v>17.888300000000001</v>
      </c>
      <c r="AA330" s="21">
        <v>-1.47461E-2</v>
      </c>
      <c r="AB330" s="21">
        <v>320</v>
      </c>
      <c r="AC330" s="21">
        <v>0.18811</v>
      </c>
      <c r="AD330">
        <f t="shared" si="52"/>
        <v>18.205061728395062</v>
      </c>
      <c r="AE330">
        <f t="shared" si="53"/>
        <v>3.43345643691358</v>
      </c>
      <c r="AF330" s="9"/>
      <c r="AG330" s="21">
        <v>1.5113799999999999</v>
      </c>
      <c r="AH330" s="21">
        <v>21.7075</v>
      </c>
      <c r="AI330" s="21">
        <v>-1.18286E-2</v>
      </c>
      <c r="AJ330" s="21">
        <v>320</v>
      </c>
      <c r="AK330" s="21">
        <v>1.51031</v>
      </c>
      <c r="AL330">
        <f t="shared" si="54"/>
        <v>14.603209876543209</v>
      </c>
      <c r="AM330">
        <f t="shared" si="55"/>
        <v>22.070999343209873</v>
      </c>
      <c r="AP330" s="9"/>
      <c r="AQ330" s="21">
        <v>0.18859899999999999</v>
      </c>
      <c r="AR330" s="21">
        <v>27.200500000000002</v>
      </c>
      <c r="AS330" s="21">
        <v>-1.47797E-2</v>
      </c>
      <c r="AT330" s="21">
        <v>320</v>
      </c>
      <c r="AU330" s="21">
        <v>0.18801899999999999</v>
      </c>
      <c r="AV330">
        <f t="shared" si="56"/>
        <v>18.246543209876542</v>
      </c>
      <c r="AW330">
        <f t="shared" si="57"/>
        <v>3.4412798028395057</v>
      </c>
      <c r="AX330" s="9"/>
      <c r="AY330" s="21">
        <v>1.5113799999999999</v>
      </c>
      <c r="AZ330" s="21">
        <v>31.0198</v>
      </c>
      <c r="BA330" s="21">
        <v>-1.18134E-2</v>
      </c>
      <c r="BB330" s="21">
        <v>320</v>
      </c>
      <c r="BC330" s="21">
        <v>1.5109300000000001</v>
      </c>
      <c r="BD330">
        <f t="shared" si="58"/>
        <v>14.584444444444443</v>
      </c>
      <c r="BE330">
        <f t="shared" si="59"/>
        <v>22.042637644444444</v>
      </c>
    </row>
    <row r="331" spans="6:57" x14ac:dyDescent="0.25">
      <c r="F331" s="9"/>
      <c r="G331" s="21">
        <v>0.183563</v>
      </c>
      <c r="H331" s="21">
        <v>8.5751200000000001</v>
      </c>
      <c r="I331" s="21">
        <v>-1.4810200000000001E-2</v>
      </c>
      <c r="J331" s="21">
        <v>321</v>
      </c>
      <c r="K331" s="21">
        <v>0.182953</v>
      </c>
      <c r="L331">
        <f t="shared" si="48"/>
        <v>18.284197530864198</v>
      </c>
      <c r="M331">
        <f t="shared" si="49"/>
        <v>3.3563021513580247</v>
      </c>
      <c r="N331" s="9"/>
      <c r="O331" s="21">
        <v>1.5164200000000001</v>
      </c>
      <c r="P331" s="21">
        <v>12.394299999999999</v>
      </c>
      <c r="Q331" s="21">
        <v>-1.18134E-2</v>
      </c>
      <c r="R331" s="21">
        <v>321</v>
      </c>
      <c r="S331" s="21">
        <v>1.5161100000000001</v>
      </c>
      <c r="T331">
        <f t="shared" si="50"/>
        <v>14.584444444444443</v>
      </c>
      <c r="U331">
        <f t="shared" si="51"/>
        <v>22.116143244444444</v>
      </c>
      <c r="X331" s="9"/>
      <c r="Y331" s="21">
        <v>0.183563</v>
      </c>
      <c r="Z331" s="21">
        <v>17.898299999999999</v>
      </c>
      <c r="AA331" s="21">
        <v>-1.47552E-2</v>
      </c>
      <c r="AB331" s="21">
        <v>321</v>
      </c>
      <c r="AC331" s="21">
        <v>0.182922</v>
      </c>
      <c r="AD331">
        <f t="shared" si="52"/>
        <v>18.216296296296292</v>
      </c>
      <c r="AE331">
        <f t="shared" si="53"/>
        <v>3.3438379970370362</v>
      </c>
      <c r="AF331" s="9"/>
      <c r="AG331" s="21">
        <v>1.5164200000000001</v>
      </c>
      <c r="AH331" s="21">
        <v>21.717500000000001</v>
      </c>
      <c r="AI331" s="21">
        <v>-1.17523E-2</v>
      </c>
      <c r="AJ331" s="21">
        <v>321</v>
      </c>
      <c r="AK331" s="21">
        <v>1.5152000000000001</v>
      </c>
      <c r="AL331">
        <f t="shared" si="54"/>
        <v>14.509012345679011</v>
      </c>
      <c r="AM331">
        <f t="shared" si="55"/>
        <v>22.001756501234567</v>
      </c>
      <c r="AP331" s="9"/>
      <c r="AQ331" s="21">
        <v>0.183563</v>
      </c>
      <c r="AR331" s="21">
        <v>27.210599999999999</v>
      </c>
      <c r="AS331" s="21">
        <v>-1.47919E-2</v>
      </c>
      <c r="AT331" s="21">
        <v>321</v>
      </c>
      <c r="AU331" s="21">
        <v>0.18298300000000001</v>
      </c>
      <c r="AV331">
        <f t="shared" si="56"/>
        <v>18.261604938271603</v>
      </c>
      <c r="AW331">
        <f t="shared" si="57"/>
        <v>3.3521549872839502</v>
      </c>
      <c r="AX331" s="9"/>
      <c r="AY331" s="21">
        <v>1.5164200000000001</v>
      </c>
      <c r="AZ331" s="21">
        <v>31.029800000000002</v>
      </c>
      <c r="BA331" s="21">
        <v>-1.1727899999999999E-2</v>
      </c>
      <c r="BB331" s="21">
        <v>321</v>
      </c>
      <c r="BC331" s="21">
        <v>1.5155000000000001</v>
      </c>
      <c r="BD331">
        <f t="shared" si="58"/>
        <v>14.478888888888887</v>
      </c>
      <c r="BE331">
        <f t="shared" si="59"/>
        <v>21.956076688888889</v>
      </c>
    </row>
    <row r="332" spans="6:57" x14ac:dyDescent="0.25">
      <c r="F332" s="9"/>
      <c r="G332" s="21">
        <v>0.17852799999999999</v>
      </c>
      <c r="H332" s="21">
        <v>8.5851900000000008</v>
      </c>
      <c r="I332" s="21">
        <v>-1.48132E-2</v>
      </c>
      <c r="J332" s="21">
        <v>322</v>
      </c>
      <c r="K332" s="21">
        <v>0.177948</v>
      </c>
      <c r="L332">
        <f t="shared" ref="L332:L388" si="60">-I332/$F$2*1000</f>
        <v>18.287901234567901</v>
      </c>
      <c r="M332">
        <f t="shared" ref="M332:M388" si="61">L332*G332</f>
        <v>3.2649024316049382</v>
      </c>
      <c r="N332" s="9"/>
      <c r="O332" s="21">
        <v>1.52145</v>
      </c>
      <c r="P332" s="21">
        <v>12.404400000000001</v>
      </c>
      <c r="Q332" s="21">
        <v>-1.17249E-2</v>
      </c>
      <c r="R332" s="21">
        <v>322</v>
      </c>
      <c r="S332" s="21">
        <v>1.5203899999999999</v>
      </c>
      <c r="T332">
        <f t="shared" ref="T332:T388" si="62">-Q332/$F$2*1000</f>
        <v>14.475185185185184</v>
      </c>
      <c r="U332">
        <f t="shared" ref="U332:U388" si="63">T332*O332</f>
        <v>22.023270499999999</v>
      </c>
      <c r="X332" s="9"/>
      <c r="Y332" s="21">
        <v>0.17852799999999999</v>
      </c>
      <c r="Z332" s="21">
        <v>17.9084</v>
      </c>
      <c r="AA332" s="21">
        <v>-1.47583E-2</v>
      </c>
      <c r="AB332" s="21">
        <v>322</v>
      </c>
      <c r="AC332" s="21">
        <v>0.177979</v>
      </c>
      <c r="AD332">
        <f t="shared" ref="AD332:AD388" si="64">-AA332/$F$2*1000</f>
        <v>18.22012345679012</v>
      </c>
      <c r="AE332">
        <f t="shared" ref="AE332:AE388" si="65">AD332*Y332</f>
        <v>3.2528022004938264</v>
      </c>
      <c r="AF332" s="9"/>
      <c r="AG332" s="21">
        <v>1.52145</v>
      </c>
      <c r="AH332" s="21">
        <v>21.727599999999999</v>
      </c>
      <c r="AI332" s="21">
        <v>-1.1660800000000001E-2</v>
      </c>
      <c r="AJ332" s="21">
        <v>322</v>
      </c>
      <c r="AK332" s="21">
        <v>1.5206900000000001</v>
      </c>
      <c r="AL332">
        <f t="shared" ref="AL332:AL388" si="66">-AI332/$F$2*1000</f>
        <v>14.396049382716049</v>
      </c>
      <c r="AM332">
        <f t="shared" ref="AM332:AM388" si="67">AL332*AG332</f>
        <v>21.902869333333332</v>
      </c>
      <c r="AP332" s="9"/>
      <c r="AQ332" s="21">
        <v>0.17852799999999999</v>
      </c>
      <c r="AR332" s="21">
        <v>27.220600000000001</v>
      </c>
      <c r="AS332" s="21">
        <v>-1.47888E-2</v>
      </c>
      <c r="AT332" s="21">
        <v>322</v>
      </c>
      <c r="AU332" s="21">
        <v>0.177948</v>
      </c>
      <c r="AV332">
        <f t="shared" ref="AV332:AV388" si="68">-AS332/$F$2*1000</f>
        <v>18.257777777777775</v>
      </c>
      <c r="AW332">
        <f t="shared" ref="AW332:AW388" si="69">AV332*AQ332</f>
        <v>3.2595245511111104</v>
      </c>
      <c r="AX332" s="9"/>
      <c r="AY332" s="21">
        <v>1.52145</v>
      </c>
      <c r="AZ332" s="21">
        <v>31.039899999999999</v>
      </c>
      <c r="BA332" s="21">
        <v>-1.16455E-2</v>
      </c>
      <c r="BB332" s="21">
        <v>322</v>
      </c>
      <c r="BC332" s="21">
        <v>1.5203899999999999</v>
      </c>
      <c r="BD332">
        <f t="shared" ref="BD332:BD388" si="70">-BA332/$F$2*1000</f>
        <v>14.37716049382716</v>
      </c>
      <c r="BE332">
        <f t="shared" ref="BE332:BE388" si="71">BD332*AY332</f>
        <v>21.874130833333332</v>
      </c>
    </row>
    <row r="333" spans="6:57" x14ac:dyDescent="0.25">
      <c r="F333" s="9"/>
      <c r="G333" s="21">
        <v>0.17349200000000001</v>
      </c>
      <c r="H333" s="21">
        <v>8.5952599999999997</v>
      </c>
      <c r="I333" s="21">
        <v>-1.48132E-2</v>
      </c>
      <c r="J333" s="21">
        <v>323</v>
      </c>
      <c r="K333" s="21">
        <v>0.17294300000000001</v>
      </c>
      <c r="L333">
        <f t="shared" si="60"/>
        <v>18.287901234567901</v>
      </c>
      <c r="M333">
        <f t="shared" si="61"/>
        <v>3.1728045609876543</v>
      </c>
      <c r="N333" s="9"/>
      <c r="O333" s="21">
        <v>1.5264899999999999</v>
      </c>
      <c r="P333" s="21">
        <v>12.4145</v>
      </c>
      <c r="Q333" s="21">
        <v>-1.1639399999999999E-2</v>
      </c>
      <c r="R333" s="21">
        <v>323</v>
      </c>
      <c r="S333" s="21">
        <v>1.5255700000000001</v>
      </c>
      <c r="T333">
        <f t="shared" si="62"/>
        <v>14.369629629629628</v>
      </c>
      <c r="U333">
        <f t="shared" si="63"/>
        <v>21.935095933333329</v>
      </c>
      <c r="X333" s="9"/>
      <c r="Y333" s="21">
        <v>0.17349200000000001</v>
      </c>
      <c r="Z333" s="21">
        <v>17.918500000000002</v>
      </c>
      <c r="AA333" s="21">
        <v>-1.47644E-2</v>
      </c>
      <c r="AB333" s="21">
        <v>323</v>
      </c>
      <c r="AC333" s="21">
        <v>0.17303499999999999</v>
      </c>
      <c r="AD333">
        <f t="shared" si="64"/>
        <v>18.227654320987654</v>
      </c>
      <c r="AE333">
        <f t="shared" si="65"/>
        <v>3.1623522034567899</v>
      </c>
      <c r="AF333" s="9"/>
      <c r="AG333" s="21">
        <v>1.5264899999999999</v>
      </c>
      <c r="AH333" s="21">
        <v>21.7377</v>
      </c>
      <c r="AI333" s="21">
        <v>-1.15662E-2</v>
      </c>
      <c r="AJ333" s="21">
        <v>323</v>
      </c>
      <c r="AK333" s="21">
        <v>1.5255700000000001</v>
      </c>
      <c r="AL333">
        <f t="shared" si="66"/>
        <v>14.279259259259259</v>
      </c>
      <c r="AM333">
        <f t="shared" si="67"/>
        <v>21.797146466666664</v>
      </c>
      <c r="AP333" s="9"/>
      <c r="AQ333" s="21">
        <v>0.17349200000000001</v>
      </c>
      <c r="AR333" s="21">
        <v>27.230699999999999</v>
      </c>
      <c r="AS333" s="21">
        <v>-1.4782699999999999E-2</v>
      </c>
      <c r="AT333" s="21">
        <v>323</v>
      </c>
      <c r="AU333" s="21">
        <v>0.17288200000000001</v>
      </c>
      <c r="AV333">
        <f t="shared" si="68"/>
        <v>18.250246913580245</v>
      </c>
      <c r="AW333">
        <f t="shared" si="69"/>
        <v>3.1662718375308638</v>
      </c>
      <c r="AX333" s="9"/>
      <c r="AY333" s="21">
        <v>1.5264899999999999</v>
      </c>
      <c r="AZ333" s="21">
        <v>31.05</v>
      </c>
      <c r="BA333" s="21">
        <v>-1.15601E-2</v>
      </c>
      <c r="BB333" s="21">
        <v>323</v>
      </c>
      <c r="BC333" s="21">
        <v>1.5252699999999999</v>
      </c>
      <c r="BD333">
        <f t="shared" si="70"/>
        <v>14.271728395061727</v>
      </c>
      <c r="BE333">
        <f t="shared" si="71"/>
        <v>21.785650677777774</v>
      </c>
    </row>
    <row r="334" spans="6:57" x14ac:dyDescent="0.25">
      <c r="F334" s="9"/>
      <c r="G334" s="21">
        <v>0.168457</v>
      </c>
      <c r="H334" s="21">
        <v>8.6053300000000004</v>
      </c>
      <c r="I334" s="21">
        <v>-1.4810200000000001E-2</v>
      </c>
      <c r="J334" s="21">
        <v>324</v>
      </c>
      <c r="K334" s="21">
        <v>0.167908</v>
      </c>
      <c r="L334">
        <f t="shared" si="60"/>
        <v>18.284197530864198</v>
      </c>
      <c r="M334">
        <f t="shared" si="61"/>
        <v>3.08010106345679</v>
      </c>
      <c r="N334" s="9"/>
      <c r="O334" s="21">
        <v>1.53152</v>
      </c>
      <c r="P334" s="21">
        <v>12.4245</v>
      </c>
      <c r="Q334" s="21">
        <v>-1.1544799999999999E-2</v>
      </c>
      <c r="R334" s="21">
        <v>324</v>
      </c>
      <c r="S334" s="21">
        <v>1.5307599999999999</v>
      </c>
      <c r="T334">
        <f t="shared" si="62"/>
        <v>14.252839506172839</v>
      </c>
      <c r="U334">
        <f t="shared" si="63"/>
        <v>21.828508760493825</v>
      </c>
      <c r="X334" s="9"/>
      <c r="Y334" s="21">
        <v>0.168457</v>
      </c>
      <c r="Z334" s="21">
        <v>17.9285</v>
      </c>
      <c r="AA334" s="21">
        <v>-1.4767499999999999E-2</v>
      </c>
      <c r="AB334" s="21">
        <v>324</v>
      </c>
      <c r="AC334" s="21">
        <v>0.16796900000000001</v>
      </c>
      <c r="AD334">
        <f t="shared" si="64"/>
        <v>18.231481481481481</v>
      </c>
      <c r="AE334">
        <f t="shared" si="65"/>
        <v>3.0712206759259257</v>
      </c>
      <c r="AF334" s="9"/>
      <c r="AG334" s="21">
        <v>1.53152</v>
      </c>
      <c r="AH334" s="21">
        <v>21.747699999999998</v>
      </c>
      <c r="AI334" s="21">
        <v>-1.14746E-2</v>
      </c>
      <c r="AJ334" s="21">
        <v>324</v>
      </c>
      <c r="AK334" s="21">
        <v>1.5310699999999999</v>
      </c>
      <c r="AL334">
        <f t="shared" si="66"/>
        <v>14.166172839506173</v>
      </c>
      <c r="AM334">
        <f t="shared" si="67"/>
        <v>21.695777027160492</v>
      </c>
      <c r="AP334" s="9"/>
      <c r="AQ334" s="21">
        <v>0.168457</v>
      </c>
      <c r="AR334" s="21">
        <v>27.2408</v>
      </c>
      <c r="AS334" s="21">
        <v>-1.4782699999999999E-2</v>
      </c>
      <c r="AT334" s="21">
        <v>324</v>
      </c>
      <c r="AU334" s="21">
        <v>0.16799900000000001</v>
      </c>
      <c r="AV334">
        <f t="shared" si="68"/>
        <v>18.250246913580245</v>
      </c>
      <c r="AW334">
        <f t="shared" si="69"/>
        <v>3.0743818443209872</v>
      </c>
      <c r="AX334" s="9"/>
      <c r="AY334" s="21">
        <v>1.53152</v>
      </c>
      <c r="AZ334" s="21">
        <v>31.06</v>
      </c>
      <c r="BA334" s="21">
        <v>-1.14746E-2</v>
      </c>
      <c r="BB334" s="21">
        <v>324</v>
      </c>
      <c r="BC334" s="21">
        <v>1.5307599999999999</v>
      </c>
      <c r="BD334">
        <f t="shared" si="70"/>
        <v>14.166172839506173</v>
      </c>
      <c r="BE334">
        <f t="shared" si="71"/>
        <v>21.695777027160492</v>
      </c>
    </row>
    <row r="335" spans="6:57" x14ac:dyDescent="0.25">
      <c r="F335" s="9"/>
      <c r="G335" s="21">
        <v>0.16342200000000001</v>
      </c>
      <c r="H335" s="21">
        <v>8.6153999999999993</v>
      </c>
      <c r="I335" s="21">
        <v>-1.4810200000000001E-2</v>
      </c>
      <c r="J335" s="21">
        <v>325</v>
      </c>
      <c r="K335" s="21">
        <v>0.16275000000000001</v>
      </c>
      <c r="L335">
        <f t="shared" si="60"/>
        <v>18.284197530864198</v>
      </c>
      <c r="M335">
        <f t="shared" si="61"/>
        <v>2.9880401288888891</v>
      </c>
      <c r="N335" s="9"/>
      <c r="O335" s="21">
        <v>1.5365599999999999</v>
      </c>
      <c r="P335" s="21">
        <v>12.4346</v>
      </c>
      <c r="Q335" s="21">
        <v>-1.14319E-2</v>
      </c>
      <c r="R335" s="21">
        <v>325</v>
      </c>
      <c r="S335" s="21">
        <v>1.5353399999999999</v>
      </c>
      <c r="T335">
        <f t="shared" si="62"/>
        <v>14.113456790123456</v>
      </c>
      <c r="U335">
        <f t="shared" si="63"/>
        <v>21.686173165432095</v>
      </c>
      <c r="X335" s="9"/>
      <c r="Y335" s="21">
        <v>0.16342200000000001</v>
      </c>
      <c r="Z335" s="21">
        <v>17.938600000000001</v>
      </c>
      <c r="AA335" s="21">
        <v>-1.4782699999999999E-2</v>
      </c>
      <c r="AB335" s="21">
        <v>325</v>
      </c>
      <c r="AC335" s="21">
        <v>0.16278100000000001</v>
      </c>
      <c r="AD335">
        <f t="shared" si="64"/>
        <v>18.250246913580245</v>
      </c>
      <c r="AE335">
        <f t="shared" si="65"/>
        <v>2.9824918511111109</v>
      </c>
      <c r="AF335" s="9"/>
      <c r="AG335" s="21">
        <v>1.5365599999999999</v>
      </c>
      <c r="AH335" s="21">
        <v>21.7578</v>
      </c>
      <c r="AI335" s="21">
        <v>-1.13831E-2</v>
      </c>
      <c r="AJ335" s="21">
        <v>325</v>
      </c>
      <c r="AK335" s="21">
        <v>1.5362499999999999</v>
      </c>
      <c r="AL335">
        <f t="shared" si="66"/>
        <v>14.053209876543209</v>
      </c>
      <c r="AM335">
        <f t="shared" si="67"/>
        <v>21.593600167901233</v>
      </c>
      <c r="AP335" s="9"/>
      <c r="AQ335" s="21">
        <v>0.16342200000000001</v>
      </c>
      <c r="AR335" s="21">
        <v>27.250800000000002</v>
      </c>
      <c r="AS335" s="21">
        <v>-1.47888E-2</v>
      </c>
      <c r="AT335" s="21">
        <v>325</v>
      </c>
      <c r="AU335" s="21">
        <v>0.16293299999999999</v>
      </c>
      <c r="AV335">
        <f t="shared" si="68"/>
        <v>18.257777777777775</v>
      </c>
      <c r="AW335">
        <f t="shared" si="69"/>
        <v>2.9837225599999999</v>
      </c>
      <c r="AX335" s="9"/>
      <c r="AY335" s="21">
        <v>1.5365599999999999</v>
      </c>
      <c r="AZ335" s="21">
        <v>31.0701</v>
      </c>
      <c r="BA335" s="21">
        <v>-1.1373899999999999E-2</v>
      </c>
      <c r="BB335" s="21">
        <v>325</v>
      </c>
      <c r="BC335" s="21">
        <v>1.5359499999999999</v>
      </c>
      <c r="BD335">
        <f t="shared" si="70"/>
        <v>14.041851851851851</v>
      </c>
      <c r="BE335">
        <f t="shared" si="71"/>
        <v>21.576147881481479</v>
      </c>
    </row>
    <row r="336" spans="6:57" x14ac:dyDescent="0.25">
      <c r="F336" s="9"/>
      <c r="G336" s="21">
        <v>0.158386</v>
      </c>
      <c r="H336" s="21">
        <v>8.62547</v>
      </c>
      <c r="I336" s="21">
        <v>-1.4810200000000001E-2</v>
      </c>
      <c r="J336" s="21">
        <v>326</v>
      </c>
      <c r="K336" s="21">
        <v>0.15786700000000001</v>
      </c>
      <c r="L336">
        <f t="shared" si="60"/>
        <v>18.284197530864198</v>
      </c>
      <c r="M336">
        <f t="shared" si="61"/>
        <v>2.8959609101234567</v>
      </c>
      <c r="N336" s="9"/>
      <c r="O336" s="21">
        <v>1.5416000000000001</v>
      </c>
      <c r="P336" s="21">
        <v>12.444699999999999</v>
      </c>
      <c r="Q336" s="21">
        <v>-1.1334199999999999E-2</v>
      </c>
      <c r="R336" s="21">
        <v>326</v>
      </c>
      <c r="S336" s="21">
        <v>1.54114</v>
      </c>
      <c r="T336">
        <f t="shared" si="62"/>
        <v>13.992839506172839</v>
      </c>
      <c r="U336">
        <f t="shared" si="63"/>
        <v>21.571361382716049</v>
      </c>
      <c r="X336" s="9"/>
      <c r="Y336" s="21">
        <v>0.158386</v>
      </c>
      <c r="Z336" s="21">
        <v>17.948699999999999</v>
      </c>
      <c r="AA336" s="21">
        <v>-1.47888E-2</v>
      </c>
      <c r="AB336" s="21">
        <v>326</v>
      </c>
      <c r="AC336" s="21">
        <v>0.15786700000000001</v>
      </c>
      <c r="AD336">
        <f t="shared" si="64"/>
        <v>18.257777777777775</v>
      </c>
      <c r="AE336">
        <f t="shared" si="65"/>
        <v>2.8917763911111107</v>
      </c>
      <c r="AF336" s="9"/>
      <c r="AG336" s="21">
        <v>1.5416000000000001</v>
      </c>
      <c r="AH336" s="21">
        <v>21.767900000000001</v>
      </c>
      <c r="AI336" s="21">
        <v>-1.1279300000000001E-2</v>
      </c>
      <c r="AJ336" s="21">
        <v>326</v>
      </c>
      <c r="AK336" s="21">
        <v>1.54114</v>
      </c>
      <c r="AL336">
        <f t="shared" si="66"/>
        <v>13.925061728395063</v>
      </c>
      <c r="AM336">
        <f t="shared" si="67"/>
        <v>21.466875160493831</v>
      </c>
      <c r="AP336" s="9"/>
      <c r="AQ336" s="21">
        <v>0.158386</v>
      </c>
      <c r="AR336" s="21">
        <v>27.260899999999999</v>
      </c>
      <c r="AS336" s="21">
        <v>-1.47949E-2</v>
      </c>
      <c r="AT336" s="21">
        <v>326</v>
      </c>
      <c r="AU336" s="21">
        <v>0.157776</v>
      </c>
      <c r="AV336">
        <f t="shared" si="68"/>
        <v>18.265308641975306</v>
      </c>
      <c r="AW336">
        <f t="shared" si="69"/>
        <v>2.8929691745679009</v>
      </c>
      <c r="AX336" s="9"/>
      <c r="AY336" s="21">
        <v>1.5416000000000001</v>
      </c>
      <c r="AZ336" s="21">
        <v>31.080200000000001</v>
      </c>
      <c r="BA336" s="21">
        <v>-1.1261E-2</v>
      </c>
      <c r="BB336" s="21">
        <v>326</v>
      </c>
      <c r="BC336" s="21">
        <v>1.54053</v>
      </c>
      <c r="BD336">
        <f t="shared" si="70"/>
        <v>13.90246913580247</v>
      </c>
      <c r="BE336">
        <f t="shared" si="71"/>
        <v>21.432046419753089</v>
      </c>
    </row>
    <row r="337" spans="6:57" x14ac:dyDescent="0.25">
      <c r="F337" s="9"/>
      <c r="G337" s="21">
        <v>0.15335099999999999</v>
      </c>
      <c r="H337" s="21">
        <v>8.6355400000000007</v>
      </c>
      <c r="I337" s="21">
        <v>-1.4816299999999999E-2</v>
      </c>
      <c r="J337" s="21">
        <v>327</v>
      </c>
      <c r="K337" s="21">
        <v>0.15273999999999999</v>
      </c>
      <c r="L337">
        <f t="shared" si="60"/>
        <v>18.291728395061728</v>
      </c>
      <c r="M337">
        <f t="shared" si="61"/>
        <v>2.8050548411111107</v>
      </c>
      <c r="N337" s="9"/>
      <c r="O337" s="21">
        <v>1.5466299999999999</v>
      </c>
      <c r="P337" s="21">
        <v>12.454700000000001</v>
      </c>
      <c r="Q337" s="21">
        <v>-1.12213E-2</v>
      </c>
      <c r="R337" s="21">
        <v>327</v>
      </c>
      <c r="S337" s="21">
        <v>1.5460199999999999</v>
      </c>
      <c r="T337">
        <f t="shared" si="62"/>
        <v>13.853456790123456</v>
      </c>
      <c r="U337">
        <f t="shared" si="63"/>
        <v>21.42617187530864</v>
      </c>
      <c r="X337" s="9"/>
      <c r="Y337" s="21">
        <v>0.15335099999999999</v>
      </c>
      <c r="Z337" s="21">
        <v>17.9588</v>
      </c>
      <c r="AA337" s="21">
        <v>-1.4798E-2</v>
      </c>
      <c r="AB337" s="21">
        <v>327</v>
      </c>
      <c r="AC337" s="21">
        <v>0.15277099999999999</v>
      </c>
      <c r="AD337">
        <f t="shared" si="64"/>
        <v>18.269135802469137</v>
      </c>
      <c r="AE337">
        <f t="shared" si="65"/>
        <v>2.8015902444444443</v>
      </c>
      <c r="AF337" s="9"/>
      <c r="AG337" s="21">
        <v>1.5466299999999999</v>
      </c>
      <c r="AH337" s="21">
        <v>21.777899999999999</v>
      </c>
      <c r="AI337" s="21">
        <v>-1.11603E-2</v>
      </c>
      <c r="AJ337" s="21">
        <v>327</v>
      </c>
      <c r="AK337" s="21">
        <v>1.54572</v>
      </c>
      <c r="AL337">
        <f t="shared" si="66"/>
        <v>13.778148148148148</v>
      </c>
      <c r="AM337">
        <f t="shared" si="67"/>
        <v>21.309697270370368</v>
      </c>
      <c r="AP337" s="9"/>
      <c r="AQ337" s="21">
        <v>0.15335099999999999</v>
      </c>
      <c r="AR337" s="21">
        <v>27.271000000000001</v>
      </c>
      <c r="AS337" s="21">
        <v>-1.48071E-2</v>
      </c>
      <c r="AT337" s="21">
        <v>327</v>
      </c>
      <c r="AU337" s="21">
        <v>0.15304599999999999</v>
      </c>
      <c r="AV337">
        <f t="shared" si="68"/>
        <v>18.28037037037037</v>
      </c>
      <c r="AW337">
        <f t="shared" si="69"/>
        <v>2.8033130766666665</v>
      </c>
      <c r="AX337" s="9"/>
      <c r="AY337" s="21">
        <v>1.5466299999999999</v>
      </c>
      <c r="AZ337" s="21">
        <v>31.090299999999999</v>
      </c>
      <c r="BA337" s="21">
        <v>-1.11542E-2</v>
      </c>
      <c r="BB337" s="21">
        <v>327</v>
      </c>
      <c r="BC337" s="21">
        <v>1.54572</v>
      </c>
      <c r="BD337">
        <f t="shared" si="70"/>
        <v>13.770617283950616</v>
      </c>
      <c r="BE337">
        <f t="shared" si="71"/>
        <v>21.298049809876542</v>
      </c>
    </row>
    <row r="338" spans="6:57" x14ac:dyDescent="0.25">
      <c r="F338" s="9"/>
      <c r="G338" s="21">
        <v>0.148315</v>
      </c>
      <c r="H338" s="21">
        <v>8.6456099999999996</v>
      </c>
      <c r="I338" s="21">
        <v>-1.4819300000000001E-2</v>
      </c>
      <c r="J338" s="21">
        <v>328</v>
      </c>
      <c r="K338" s="21">
        <v>0.14779700000000001</v>
      </c>
      <c r="L338">
        <f t="shared" si="60"/>
        <v>18.295432098765431</v>
      </c>
      <c r="M338">
        <f t="shared" si="61"/>
        <v>2.7134870117283949</v>
      </c>
      <c r="N338" s="9"/>
      <c r="O338" s="21">
        <v>1.5516700000000001</v>
      </c>
      <c r="P338" s="21">
        <v>12.4648</v>
      </c>
      <c r="Q338" s="21">
        <v>-1.1114499999999999E-2</v>
      </c>
      <c r="R338" s="21">
        <v>328</v>
      </c>
      <c r="S338" s="21">
        <v>1.55121</v>
      </c>
      <c r="T338">
        <f t="shared" si="62"/>
        <v>13.721604938271604</v>
      </c>
      <c r="U338">
        <f t="shared" si="63"/>
        <v>21.2914027345679</v>
      </c>
      <c r="X338" s="9"/>
      <c r="Y338" s="21">
        <v>0.148315</v>
      </c>
      <c r="Z338" s="21">
        <v>17.968800000000002</v>
      </c>
      <c r="AA338" s="21">
        <v>-1.47949E-2</v>
      </c>
      <c r="AB338" s="21">
        <v>328</v>
      </c>
      <c r="AC338" s="21">
        <v>0.14779700000000001</v>
      </c>
      <c r="AD338">
        <f t="shared" si="64"/>
        <v>18.265308641975306</v>
      </c>
      <c r="AE338">
        <f t="shared" si="65"/>
        <v>2.7090192512345674</v>
      </c>
      <c r="AF338" s="9"/>
      <c r="AG338" s="21">
        <v>1.5516700000000001</v>
      </c>
      <c r="AH338" s="21">
        <v>21.788</v>
      </c>
      <c r="AI338" s="21">
        <v>-1.10382E-2</v>
      </c>
      <c r="AJ338" s="21">
        <v>328</v>
      </c>
      <c r="AK338" s="21">
        <v>1.55121</v>
      </c>
      <c r="AL338">
        <f t="shared" si="66"/>
        <v>13.627407407407405</v>
      </c>
      <c r="AM338">
        <f t="shared" si="67"/>
        <v>21.145239251851851</v>
      </c>
      <c r="AP338" s="9"/>
      <c r="AQ338" s="21">
        <v>0.148315</v>
      </c>
      <c r="AR338" s="21">
        <v>27.281099999999999</v>
      </c>
      <c r="AS338" s="21">
        <v>-1.4816299999999999E-2</v>
      </c>
      <c r="AT338" s="21">
        <v>328</v>
      </c>
      <c r="AU338" s="21">
        <v>0.14779700000000001</v>
      </c>
      <c r="AV338">
        <f t="shared" si="68"/>
        <v>18.291728395061728</v>
      </c>
      <c r="AW338">
        <f t="shared" si="69"/>
        <v>2.7129376969135803</v>
      </c>
      <c r="AX338" s="9"/>
      <c r="AY338" s="21">
        <v>1.5516700000000001</v>
      </c>
      <c r="AZ338" s="21">
        <v>31.100300000000001</v>
      </c>
      <c r="BA338" s="21">
        <v>-1.10382E-2</v>
      </c>
      <c r="BB338" s="21">
        <v>328</v>
      </c>
      <c r="BC338" s="21">
        <v>1.5506</v>
      </c>
      <c r="BD338">
        <f t="shared" si="70"/>
        <v>13.627407407407405</v>
      </c>
      <c r="BE338">
        <f t="shared" si="71"/>
        <v>21.145239251851851</v>
      </c>
    </row>
    <row r="339" spans="6:57" x14ac:dyDescent="0.25">
      <c r="F339" s="9"/>
      <c r="G339" s="21">
        <v>0.14327999999999999</v>
      </c>
      <c r="H339" s="21">
        <v>8.6556800000000003</v>
      </c>
      <c r="I339" s="21">
        <v>-1.4819300000000001E-2</v>
      </c>
      <c r="J339" s="21">
        <v>329</v>
      </c>
      <c r="K339" s="21">
        <v>0.142761</v>
      </c>
      <c r="L339">
        <f t="shared" si="60"/>
        <v>18.295432098765431</v>
      </c>
      <c r="M339">
        <f t="shared" si="61"/>
        <v>2.6213695111111108</v>
      </c>
      <c r="N339" s="9"/>
      <c r="O339" s="21">
        <v>1.5567</v>
      </c>
      <c r="P339" s="21">
        <v>12.4749</v>
      </c>
      <c r="Q339" s="21">
        <v>-1.09985E-2</v>
      </c>
      <c r="R339" s="21">
        <v>329</v>
      </c>
      <c r="S339" s="21">
        <v>1.55609</v>
      </c>
      <c r="T339">
        <f t="shared" si="62"/>
        <v>13.578395061728394</v>
      </c>
      <c r="U339">
        <f t="shared" si="63"/>
        <v>21.137487592592588</v>
      </c>
      <c r="X339" s="9"/>
      <c r="Y339" s="21">
        <v>0.14327999999999999</v>
      </c>
      <c r="Z339" s="21">
        <v>17.978899999999999</v>
      </c>
      <c r="AA339" s="21">
        <v>-1.47858E-2</v>
      </c>
      <c r="AB339" s="21">
        <v>329</v>
      </c>
      <c r="AC339" s="21">
        <v>0.14269999999999999</v>
      </c>
      <c r="AD339">
        <f t="shared" si="64"/>
        <v>18.254074074074072</v>
      </c>
      <c r="AE339">
        <f t="shared" si="65"/>
        <v>2.6154437333333331</v>
      </c>
      <c r="AF339" s="9"/>
      <c r="AG339" s="21">
        <v>1.5567</v>
      </c>
      <c r="AH339" s="21">
        <v>21.798100000000002</v>
      </c>
      <c r="AI339" s="21">
        <v>-1.09131E-2</v>
      </c>
      <c r="AJ339" s="21">
        <v>329</v>
      </c>
      <c r="AK339" s="21">
        <v>1.55609</v>
      </c>
      <c r="AL339">
        <f t="shared" si="66"/>
        <v>13.472962962962963</v>
      </c>
      <c r="AM339">
        <f t="shared" si="67"/>
        <v>20.973361444444446</v>
      </c>
      <c r="AP339" s="9"/>
      <c r="AQ339" s="21">
        <v>0.14327999999999999</v>
      </c>
      <c r="AR339" s="21">
        <v>27.2911</v>
      </c>
      <c r="AS339" s="21">
        <v>-1.4816299999999999E-2</v>
      </c>
      <c r="AT339" s="21">
        <v>329</v>
      </c>
      <c r="AU339" s="21">
        <v>0.142731</v>
      </c>
      <c r="AV339">
        <f t="shared" si="68"/>
        <v>18.291728395061728</v>
      </c>
      <c r="AW339">
        <f t="shared" si="69"/>
        <v>2.6208388444444441</v>
      </c>
      <c r="AX339" s="9"/>
      <c r="AY339" s="21">
        <v>1.5567</v>
      </c>
      <c r="AZ339" s="21">
        <v>31.110399999999998</v>
      </c>
      <c r="BA339" s="21">
        <v>-1.09222E-2</v>
      </c>
      <c r="BB339" s="21">
        <v>329</v>
      </c>
      <c r="BC339" s="21">
        <v>1.55609</v>
      </c>
      <c r="BD339">
        <f t="shared" si="70"/>
        <v>13.484197530864197</v>
      </c>
      <c r="BE339">
        <f t="shared" si="71"/>
        <v>20.990850296296294</v>
      </c>
    </row>
    <row r="340" spans="6:57" x14ac:dyDescent="0.25">
      <c r="F340" s="9"/>
      <c r="G340" s="21">
        <v>0.13824500000000001</v>
      </c>
      <c r="H340" s="21">
        <v>8.6657600000000006</v>
      </c>
      <c r="I340" s="21">
        <v>-1.4822399999999999E-2</v>
      </c>
      <c r="J340" s="21">
        <v>330</v>
      </c>
      <c r="K340" s="21">
        <v>0.13772599999999999</v>
      </c>
      <c r="L340">
        <f t="shared" si="60"/>
        <v>18.299259259259259</v>
      </c>
      <c r="M340">
        <f t="shared" si="61"/>
        <v>2.5297810962962965</v>
      </c>
      <c r="N340" s="9"/>
      <c r="O340" s="21">
        <v>1.5617399999999999</v>
      </c>
      <c r="P340" s="21">
        <v>12.4849</v>
      </c>
      <c r="Q340" s="21">
        <v>-1.08673E-2</v>
      </c>
      <c r="R340" s="21">
        <v>330</v>
      </c>
      <c r="S340" s="21">
        <v>1.56128</v>
      </c>
      <c r="T340">
        <f t="shared" si="62"/>
        <v>13.416419753086419</v>
      </c>
      <c r="U340">
        <f t="shared" si="63"/>
        <v>20.952959385185185</v>
      </c>
      <c r="X340" s="9"/>
      <c r="Y340" s="21">
        <v>0.13824500000000001</v>
      </c>
      <c r="Z340" s="21">
        <v>17.989000000000001</v>
      </c>
      <c r="AA340" s="21">
        <v>-1.47919E-2</v>
      </c>
      <c r="AB340" s="21">
        <v>330</v>
      </c>
      <c r="AC340" s="21">
        <v>0.13778699999999999</v>
      </c>
      <c r="AD340">
        <f t="shared" si="64"/>
        <v>18.261604938271603</v>
      </c>
      <c r="AE340">
        <f t="shared" si="65"/>
        <v>2.5245755746913581</v>
      </c>
      <c r="AF340" s="9"/>
      <c r="AG340" s="21">
        <v>1.5617399999999999</v>
      </c>
      <c r="AH340" s="21">
        <v>21.808199999999999</v>
      </c>
      <c r="AI340" s="21">
        <v>-1.0791E-2</v>
      </c>
      <c r="AJ340" s="21">
        <v>330</v>
      </c>
      <c r="AK340" s="21">
        <v>1.56128</v>
      </c>
      <c r="AL340">
        <f t="shared" si="66"/>
        <v>13.322222222222221</v>
      </c>
      <c r="AM340">
        <f t="shared" si="67"/>
        <v>20.805847333333329</v>
      </c>
      <c r="AP340" s="9"/>
      <c r="AQ340" s="21">
        <v>0.13824500000000001</v>
      </c>
      <c r="AR340" s="21">
        <v>27.301200000000001</v>
      </c>
      <c r="AS340" s="21">
        <v>-1.4822399999999999E-2</v>
      </c>
      <c r="AT340" s="21">
        <v>330</v>
      </c>
      <c r="AU340" s="21">
        <v>0.13769500000000001</v>
      </c>
      <c r="AV340">
        <f t="shared" si="68"/>
        <v>18.299259259259259</v>
      </c>
      <c r="AW340">
        <f t="shared" si="69"/>
        <v>2.5297810962962965</v>
      </c>
      <c r="AX340" s="9"/>
      <c r="AY340" s="21">
        <v>1.5617399999999999</v>
      </c>
      <c r="AZ340" s="21">
        <v>31.1205</v>
      </c>
      <c r="BA340" s="21">
        <v>-1.0791E-2</v>
      </c>
      <c r="BB340" s="21">
        <v>330</v>
      </c>
      <c r="BC340" s="21">
        <v>1.56097</v>
      </c>
      <c r="BD340">
        <f t="shared" si="70"/>
        <v>13.322222222222221</v>
      </c>
      <c r="BE340">
        <f t="shared" si="71"/>
        <v>20.805847333333329</v>
      </c>
    </row>
    <row r="341" spans="6:57" x14ac:dyDescent="0.25">
      <c r="F341" s="9"/>
      <c r="G341" s="21">
        <v>0.13320899999999999</v>
      </c>
      <c r="H341" s="21">
        <v>8.6758299999999995</v>
      </c>
      <c r="I341" s="21">
        <v>-1.4825400000000001E-2</v>
      </c>
      <c r="J341" s="21">
        <v>331</v>
      </c>
      <c r="K341" s="21">
        <v>0.13272100000000001</v>
      </c>
      <c r="L341">
        <f t="shared" si="60"/>
        <v>18.302962962962962</v>
      </c>
      <c r="M341">
        <f t="shared" si="61"/>
        <v>2.4381193933333329</v>
      </c>
      <c r="N341" s="9"/>
      <c r="O341" s="21">
        <v>1.56677</v>
      </c>
      <c r="P341" s="21">
        <v>12.494999999999999</v>
      </c>
      <c r="Q341" s="21">
        <v>-1.0732999999999999E-2</v>
      </c>
      <c r="R341" s="21">
        <v>331</v>
      </c>
      <c r="S341" s="21">
        <v>1.56647</v>
      </c>
      <c r="T341">
        <f t="shared" si="62"/>
        <v>13.250617283950616</v>
      </c>
      <c r="U341">
        <f t="shared" si="63"/>
        <v>20.760669641975305</v>
      </c>
      <c r="X341" s="9"/>
      <c r="Y341" s="21">
        <v>0.13320899999999999</v>
      </c>
      <c r="Z341" s="21">
        <v>17.998999999999999</v>
      </c>
      <c r="AA341" s="21">
        <v>-1.47797E-2</v>
      </c>
      <c r="AB341" s="21">
        <v>331</v>
      </c>
      <c r="AC341" s="21">
        <v>0.132629</v>
      </c>
      <c r="AD341">
        <f t="shared" si="64"/>
        <v>18.246543209876542</v>
      </c>
      <c r="AE341">
        <f t="shared" si="65"/>
        <v>2.4306037744444442</v>
      </c>
      <c r="AF341" s="9"/>
      <c r="AG341" s="21">
        <v>1.56677</v>
      </c>
      <c r="AH341" s="21">
        <v>21.818200000000001</v>
      </c>
      <c r="AI341" s="21">
        <v>-1.06415E-2</v>
      </c>
      <c r="AJ341" s="21">
        <v>331</v>
      </c>
      <c r="AK341" s="21">
        <v>1.56616</v>
      </c>
      <c r="AL341">
        <f t="shared" si="66"/>
        <v>13.137654320987654</v>
      </c>
      <c r="AM341">
        <f t="shared" si="67"/>
        <v>20.583682660493825</v>
      </c>
      <c r="AP341" s="9"/>
      <c r="AQ341" s="21">
        <v>0.13320899999999999</v>
      </c>
      <c r="AR341" s="21">
        <v>27.311299999999999</v>
      </c>
      <c r="AS341" s="21">
        <v>-1.4825400000000001E-2</v>
      </c>
      <c r="AT341" s="21">
        <v>331</v>
      </c>
      <c r="AU341" s="21">
        <v>0.13269</v>
      </c>
      <c r="AV341">
        <f t="shared" si="68"/>
        <v>18.302962962962962</v>
      </c>
      <c r="AW341">
        <f t="shared" si="69"/>
        <v>2.4381193933333329</v>
      </c>
      <c r="AX341" s="9"/>
      <c r="AY341" s="21">
        <v>1.56677</v>
      </c>
      <c r="AZ341" s="21">
        <v>31.130500000000001</v>
      </c>
      <c r="BA341" s="21">
        <v>-1.06476E-2</v>
      </c>
      <c r="BB341" s="21">
        <v>331</v>
      </c>
      <c r="BC341" s="21">
        <v>1.56647</v>
      </c>
      <c r="BD341">
        <f t="shared" si="70"/>
        <v>13.145185185185186</v>
      </c>
      <c r="BE341">
        <f t="shared" si="71"/>
        <v>20.595481792592594</v>
      </c>
    </row>
    <row r="342" spans="6:57" x14ac:dyDescent="0.25">
      <c r="F342" s="9"/>
      <c r="G342" s="21">
        <v>0.12817400000000001</v>
      </c>
      <c r="H342" s="21">
        <v>8.6859000000000002</v>
      </c>
      <c r="I342" s="21">
        <v>-1.4819300000000001E-2</v>
      </c>
      <c r="J342" s="21">
        <v>332</v>
      </c>
      <c r="K342" s="21">
        <v>0.12765499999999999</v>
      </c>
      <c r="L342">
        <f t="shared" si="60"/>
        <v>18.295432098765431</v>
      </c>
      <c r="M342">
        <f t="shared" si="61"/>
        <v>2.3449987138271604</v>
      </c>
      <c r="N342" s="9"/>
      <c r="O342" s="21">
        <v>1.5718099999999999</v>
      </c>
      <c r="P342" s="21">
        <v>12.505100000000001</v>
      </c>
      <c r="Q342" s="21">
        <v>-1.0589599999999999E-2</v>
      </c>
      <c r="R342" s="21">
        <v>332</v>
      </c>
      <c r="S342" s="21">
        <v>1.5716600000000001</v>
      </c>
      <c r="T342">
        <f t="shared" si="62"/>
        <v>13.073580246913579</v>
      </c>
      <c r="U342">
        <f t="shared" si="63"/>
        <v>20.549184167901231</v>
      </c>
      <c r="X342" s="9"/>
      <c r="Y342" s="21">
        <v>0.12817400000000001</v>
      </c>
      <c r="Z342" s="21">
        <v>18.0091</v>
      </c>
      <c r="AA342" s="21">
        <v>-1.4776600000000001E-2</v>
      </c>
      <c r="AB342" s="21">
        <v>332</v>
      </c>
      <c r="AC342" s="21">
        <v>0.12753300000000001</v>
      </c>
      <c r="AD342">
        <f t="shared" si="64"/>
        <v>18.242716049382715</v>
      </c>
      <c r="AE342">
        <f t="shared" si="65"/>
        <v>2.3382418869135804</v>
      </c>
      <c r="AF342" s="9"/>
      <c r="AG342" s="21">
        <v>1.5718099999999999</v>
      </c>
      <c r="AH342" s="21">
        <v>21.828299999999999</v>
      </c>
      <c r="AI342" s="21">
        <v>-1.05042E-2</v>
      </c>
      <c r="AJ342" s="21">
        <v>332</v>
      </c>
      <c r="AK342" s="21">
        <v>1.57074</v>
      </c>
      <c r="AL342">
        <f t="shared" si="66"/>
        <v>12.968148148148147</v>
      </c>
      <c r="AM342">
        <f t="shared" si="67"/>
        <v>20.383464940740737</v>
      </c>
      <c r="AP342" s="9"/>
      <c r="AQ342" s="21">
        <v>0.12817400000000001</v>
      </c>
      <c r="AR342" s="21">
        <v>27.321300000000001</v>
      </c>
      <c r="AS342" s="21">
        <v>-1.4819300000000001E-2</v>
      </c>
      <c r="AT342" s="21">
        <v>332</v>
      </c>
      <c r="AU342" s="21">
        <v>0.12765499999999999</v>
      </c>
      <c r="AV342">
        <f t="shared" si="68"/>
        <v>18.295432098765431</v>
      </c>
      <c r="AW342">
        <f t="shared" si="69"/>
        <v>2.3449987138271604</v>
      </c>
      <c r="AX342" s="9"/>
      <c r="AY342" s="21">
        <v>1.5718099999999999</v>
      </c>
      <c r="AZ342" s="21">
        <v>31.140599999999999</v>
      </c>
      <c r="BA342" s="21">
        <v>-1.0498E-2</v>
      </c>
      <c r="BB342" s="21">
        <v>332</v>
      </c>
      <c r="BC342" s="21">
        <v>1.57135</v>
      </c>
      <c r="BD342">
        <f t="shared" si="70"/>
        <v>12.960493827160493</v>
      </c>
      <c r="BE342">
        <f t="shared" si="71"/>
        <v>20.371433802469134</v>
      </c>
    </row>
    <row r="343" spans="6:57" x14ac:dyDescent="0.25">
      <c r="F343" s="9"/>
      <c r="G343" s="21">
        <v>0.123138</v>
      </c>
      <c r="H343" s="21">
        <v>8.6959700000000009</v>
      </c>
      <c r="I343" s="21">
        <v>-1.4825400000000001E-2</v>
      </c>
      <c r="J343" s="21">
        <v>333</v>
      </c>
      <c r="K343" s="21">
        <v>0.12265</v>
      </c>
      <c r="L343">
        <f t="shared" si="60"/>
        <v>18.302962962962962</v>
      </c>
      <c r="M343">
        <f t="shared" si="61"/>
        <v>2.2537902533333329</v>
      </c>
      <c r="N343" s="9"/>
      <c r="O343" s="21">
        <v>1.57684</v>
      </c>
      <c r="P343" s="21">
        <v>12.5152</v>
      </c>
      <c r="Q343" s="21">
        <v>-1.0434000000000001E-2</v>
      </c>
      <c r="R343" s="21">
        <v>333</v>
      </c>
      <c r="S343" s="21">
        <v>1.5765400000000001</v>
      </c>
      <c r="T343">
        <f t="shared" si="62"/>
        <v>12.881481481481481</v>
      </c>
      <c r="U343">
        <f t="shared" si="63"/>
        <v>20.312035259259261</v>
      </c>
      <c r="X343" s="9"/>
      <c r="Y343" s="21">
        <v>0.123138</v>
      </c>
      <c r="Z343" s="21">
        <v>18.019200000000001</v>
      </c>
      <c r="AA343" s="21">
        <v>-1.47644E-2</v>
      </c>
      <c r="AB343" s="21">
        <v>333</v>
      </c>
      <c r="AC343" s="21">
        <v>0.122589</v>
      </c>
      <c r="AD343">
        <f t="shared" si="64"/>
        <v>18.227654320987654</v>
      </c>
      <c r="AE343">
        <f t="shared" si="65"/>
        <v>2.2445168977777779</v>
      </c>
      <c r="AF343" s="9"/>
      <c r="AG343" s="21">
        <v>1.57684</v>
      </c>
      <c r="AH343" s="21">
        <v>21.8384</v>
      </c>
      <c r="AI343" s="21">
        <v>-1.0351600000000001E-2</v>
      </c>
      <c r="AJ343" s="21">
        <v>333</v>
      </c>
      <c r="AK343" s="21">
        <v>1.5759300000000001</v>
      </c>
      <c r="AL343">
        <f t="shared" si="66"/>
        <v>12.779753086419753</v>
      </c>
      <c r="AM343">
        <f t="shared" si="67"/>
        <v>20.151625856790123</v>
      </c>
      <c r="AP343" s="9"/>
      <c r="AQ343" s="21">
        <v>0.123138</v>
      </c>
      <c r="AR343" s="21">
        <v>27.331399999999999</v>
      </c>
      <c r="AS343" s="21">
        <v>-1.4819300000000001E-2</v>
      </c>
      <c r="AT343" s="21">
        <v>333</v>
      </c>
      <c r="AU343" s="21">
        <v>0.12262000000000001</v>
      </c>
      <c r="AV343">
        <f t="shared" si="68"/>
        <v>18.295432098765431</v>
      </c>
      <c r="AW343">
        <f t="shared" si="69"/>
        <v>2.2528629177777777</v>
      </c>
      <c r="AX343" s="9"/>
      <c r="AY343" s="21">
        <v>1.57684</v>
      </c>
      <c r="AZ343" s="21">
        <v>31.150700000000001</v>
      </c>
      <c r="BA343" s="21">
        <v>-1.03424E-2</v>
      </c>
      <c r="BB343" s="21">
        <v>333</v>
      </c>
      <c r="BC343" s="21">
        <v>1.5765400000000001</v>
      </c>
      <c r="BD343">
        <f t="shared" si="70"/>
        <v>12.768395061728393</v>
      </c>
      <c r="BE343">
        <f t="shared" si="71"/>
        <v>20.133716069135801</v>
      </c>
    </row>
    <row r="344" spans="6:57" x14ac:dyDescent="0.25">
      <c r="F344" s="9"/>
      <c r="G344" s="21">
        <v>0.118103</v>
      </c>
      <c r="H344" s="21">
        <v>8.7060399999999998</v>
      </c>
      <c r="I344" s="21">
        <v>-1.48285E-2</v>
      </c>
      <c r="J344" s="21">
        <v>334</v>
      </c>
      <c r="K344" s="21">
        <v>0.11755400000000001</v>
      </c>
      <c r="L344">
        <f t="shared" si="60"/>
        <v>18.306790123456789</v>
      </c>
      <c r="M344">
        <f t="shared" si="61"/>
        <v>2.162086833950617</v>
      </c>
      <c r="N344" s="9"/>
      <c r="O344" s="21">
        <v>1.58188</v>
      </c>
      <c r="P344" s="21">
        <v>12.5252</v>
      </c>
      <c r="Q344" s="21">
        <v>-1.02875E-2</v>
      </c>
      <c r="R344" s="21">
        <v>334</v>
      </c>
      <c r="S344" s="21">
        <v>1.5811200000000001</v>
      </c>
      <c r="T344">
        <f t="shared" si="62"/>
        <v>12.700617283950615</v>
      </c>
      <c r="U344">
        <f t="shared" si="63"/>
        <v>20.0908524691358</v>
      </c>
      <c r="X344" s="9"/>
      <c r="Y344" s="21">
        <v>0.118103</v>
      </c>
      <c r="Z344" s="21">
        <v>18.029299999999999</v>
      </c>
      <c r="AA344" s="21">
        <v>-1.47644E-2</v>
      </c>
      <c r="AB344" s="21">
        <v>334</v>
      </c>
      <c r="AC344" s="21">
        <v>0.117615</v>
      </c>
      <c r="AD344">
        <f t="shared" si="64"/>
        <v>18.227654320987654</v>
      </c>
      <c r="AE344">
        <f t="shared" si="65"/>
        <v>2.1527406582716049</v>
      </c>
      <c r="AF344" s="9"/>
      <c r="AG344" s="21">
        <v>1.58188</v>
      </c>
      <c r="AH344" s="21">
        <v>21.848400000000002</v>
      </c>
      <c r="AI344" s="21">
        <v>-1.01929E-2</v>
      </c>
      <c r="AJ344" s="21">
        <v>334</v>
      </c>
      <c r="AK344" s="21">
        <v>1.5811200000000001</v>
      </c>
      <c r="AL344">
        <f t="shared" si="66"/>
        <v>12.583827160493826</v>
      </c>
      <c r="AM344">
        <f t="shared" si="67"/>
        <v>19.906104508641974</v>
      </c>
      <c r="AP344" s="9"/>
      <c r="AQ344" s="21">
        <v>0.118103</v>
      </c>
      <c r="AR344" s="21">
        <v>27.3415</v>
      </c>
      <c r="AS344" s="21">
        <v>-1.4825400000000001E-2</v>
      </c>
      <c r="AT344" s="21">
        <v>334</v>
      </c>
      <c r="AU344" s="21">
        <v>0.11743199999999999</v>
      </c>
      <c r="AV344">
        <f t="shared" si="68"/>
        <v>18.302962962962962</v>
      </c>
      <c r="AW344">
        <f t="shared" si="69"/>
        <v>2.1616348348148149</v>
      </c>
      <c r="AX344" s="9"/>
      <c r="AY344" s="21">
        <v>1.58188</v>
      </c>
      <c r="AZ344" s="21">
        <v>31.160699999999999</v>
      </c>
      <c r="BA344" s="21">
        <v>-1.0180700000000001E-2</v>
      </c>
      <c r="BB344" s="21">
        <v>334</v>
      </c>
      <c r="BC344" s="21">
        <v>1.5805100000000001</v>
      </c>
      <c r="BD344">
        <f t="shared" si="70"/>
        <v>12.568765432098765</v>
      </c>
      <c r="BE344">
        <f t="shared" si="71"/>
        <v>19.882278661728392</v>
      </c>
    </row>
    <row r="345" spans="6:57" x14ac:dyDescent="0.25">
      <c r="F345" s="9"/>
      <c r="G345" s="21">
        <v>0.113068</v>
      </c>
      <c r="H345" s="21">
        <v>8.7161100000000005</v>
      </c>
      <c r="I345" s="21">
        <v>-1.48407E-2</v>
      </c>
      <c r="J345" s="21">
        <v>335</v>
      </c>
      <c r="K345" s="21">
        <v>0.11251800000000001</v>
      </c>
      <c r="L345">
        <f t="shared" si="60"/>
        <v>18.32185185185185</v>
      </c>
      <c r="M345">
        <f t="shared" si="61"/>
        <v>2.0716151451851852</v>
      </c>
      <c r="N345" s="9"/>
      <c r="O345" s="21">
        <v>1.58691</v>
      </c>
      <c r="P345" s="21">
        <v>12.535299999999999</v>
      </c>
      <c r="Q345" s="21">
        <v>-1.01166E-2</v>
      </c>
      <c r="R345" s="21">
        <v>335</v>
      </c>
      <c r="S345" s="21">
        <v>1.5866100000000001</v>
      </c>
      <c r="T345">
        <f t="shared" si="62"/>
        <v>12.489629629629629</v>
      </c>
      <c r="U345">
        <f t="shared" si="63"/>
        <v>19.819918155555555</v>
      </c>
      <c r="X345" s="9"/>
      <c r="Y345" s="21">
        <v>0.113068</v>
      </c>
      <c r="Z345" s="21">
        <v>18.039300000000001</v>
      </c>
      <c r="AA345" s="21">
        <v>-1.4776600000000001E-2</v>
      </c>
      <c r="AB345" s="21">
        <v>335</v>
      </c>
      <c r="AC345" s="21">
        <v>0.11261</v>
      </c>
      <c r="AD345">
        <f t="shared" si="64"/>
        <v>18.242716049382715</v>
      </c>
      <c r="AE345">
        <f t="shared" si="65"/>
        <v>2.0626674182716047</v>
      </c>
      <c r="AF345" s="9"/>
      <c r="AG345" s="21">
        <v>1.58691</v>
      </c>
      <c r="AH345" s="21">
        <v>21.858499999999999</v>
      </c>
      <c r="AI345" s="21">
        <v>-1.0015899999999999E-2</v>
      </c>
      <c r="AJ345" s="21">
        <v>335</v>
      </c>
      <c r="AK345" s="21">
        <v>1.5860000000000001</v>
      </c>
      <c r="AL345">
        <f t="shared" si="66"/>
        <v>12.365308641975307</v>
      </c>
      <c r="AM345">
        <f t="shared" si="67"/>
        <v>19.622631937037035</v>
      </c>
      <c r="AP345" s="9"/>
      <c r="AQ345" s="21">
        <v>0.113068</v>
      </c>
      <c r="AR345" s="21">
        <v>27.351600000000001</v>
      </c>
      <c r="AS345" s="21">
        <v>-1.4837599999999999E-2</v>
      </c>
      <c r="AT345" s="21">
        <v>335</v>
      </c>
      <c r="AU345" s="21">
        <v>0.112579</v>
      </c>
      <c r="AV345">
        <f t="shared" si="68"/>
        <v>18.318024691358023</v>
      </c>
      <c r="AW345">
        <f t="shared" si="69"/>
        <v>2.0711824158024688</v>
      </c>
      <c r="AX345" s="9"/>
      <c r="AY345" s="21">
        <v>1.58691</v>
      </c>
      <c r="AZ345" s="21">
        <v>31.1708</v>
      </c>
      <c r="BA345" s="21">
        <v>-9.9975600000000008E-3</v>
      </c>
      <c r="BB345" s="21">
        <v>335</v>
      </c>
      <c r="BC345" s="21">
        <v>1.5860000000000001</v>
      </c>
      <c r="BD345">
        <f t="shared" si="70"/>
        <v>12.342666666666666</v>
      </c>
      <c r="BE345">
        <f t="shared" si="71"/>
        <v>19.58670116</v>
      </c>
    </row>
    <row r="346" spans="6:57" x14ac:dyDescent="0.25">
      <c r="F346" s="9"/>
      <c r="G346" s="21">
        <v>0.108032</v>
      </c>
      <c r="H346" s="21">
        <v>8.7261799999999994</v>
      </c>
      <c r="I346" s="21">
        <v>-1.4865099999999999E-2</v>
      </c>
      <c r="J346" s="21">
        <v>336</v>
      </c>
      <c r="K346" s="21">
        <v>0.107513</v>
      </c>
      <c r="L346">
        <f t="shared" si="60"/>
        <v>18.351975308641972</v>
      </c>
      <c r="M346">
        <f t="shared" si="61"/>
        <v>1.9826005965432096</v>
      </c>
      <c r="N346" s="9"/>
      <c r="O346" s="21">
        <v>1.59195</v>
      </c>
      <c r="P346" s="21">
        <v>12.545400000000001</v>
      </c>
      <c r="Q346" s="21">
        <v>-9.9487299999999994E-3</v>
      </c>
      <c r="R346" s="21">
        <v>336</v>
      </c>
      <c r="S346" s="21">
        <v>1.5918000000000001</v>
      </c>
      <c r="T346">
        <f t="shared" si="62"/>
        <v>12.282382716049382</v>
      </c>
      <c r="U346">
        <f t="shared" si="63"/>
        <v>19.552939164814813</v>
      </c>
      <c r="X346" s="9"/>
      <c r="Y346" s="21">
        <v>0.108032</v>
      </c>
      <c r="Z346" s="21">
        <v>18.049399999999999</v>
      </c>
      <c r="AA346" s="21">
        <v>-1.47919E-2</v>
      </c>
      <c r="AB346" s="21">
        <v>336</v>
      </c>
      <c r="AC346" s="21">
        <v>0.107483</v>
      </c>
      <c r="AD346">
        <f t="shared" si="64"/>
        <v>18.261604938271603</v>
      </c>
      <c r="AE346">
        <f t="shared" si="65"/>
        <v>1.9728377046913579</v>
      </c>
      <c r="AF346" s="9"/>
      <c r="AG346" s="21">
        <v>1.59195</v>
      </c>
      <c r="AH346" s="21">
        <v>21.868600000000001</v>
      </c>
      <c r="AI346" s="21">
        <v>-9.8388699999999996E-3</v>
      </c>
      <c r="AJ346" s="21">
        <v>336</v>
      </c>
      <c r="AK346" s="21">
        <v>1.5911900000000001</v>
      </c>
      <c r="AL346">
        <f t="shared" si="66"/>
        <v>12.146753086419752</v>
      </c>
      <c r="AM346">
        <f t="shared" si="67"/>
        <v>19.337023575925922</v>
      </c>
      <c r="AP346" s="9"/>
      <c r="AQ346" s="21">
        <v>0.108032</v>
      </c>
      <c r="AR346" s="21">
        <v>27.361599999999999</v>
      </c>
      <c r="AS346" s="21">
        <v>-1.48407E-2</v>
      </c>
      <c r="AT346" s="21">
        <v>336</v>
      </c>
      <c r="AU346" s="21">
        <v>0.10745200000000001</v>
      </c>
      <c r="AV346">
        <f t="shared" si="68"/>
        <v>18.32185185185185</v>
      </c>
      <c r="AW346">
        <f t="shared" si="69"/>
        <v>1.9793462992592592</v>
      </c>
      <c r="AX346" s="9"/>
      <c r="AY346" s="21">
        <v>1.59195</v>
      </c>
      <c r="AZ346" s="21">
        <v>31.180900000000001</v>
      </c>
      <c r="BA346" s="21">
        <v>-9.8297100000000002E-3</v>
      </c>
      <c r="BB346" s="21">
        <v>336</v>
      </c>
      <c r="BC346" s="21">
        <v>1.5911900000000001</v>
      </c>
      <c r="BD346">
        <f t="shared" si="70"/>
        <v>12.135444444444444</v>
      </c>
      <c r="BE346">
        <f t="shared" si="71"/>
        <v>19.319020783333333</v>
      </c>
    </row>
    <row r="347" spans="6:57" x14ac:dyDescent="0.25">
      <c r="F347" s="9"/>
      <c r="G347" s="21">
        <v>0.10299700000000001</v>
      </c>
      <c r="H347" s="21">
        <v>8.7362500000000001</v>
      </c>
      <c r="I347" s="21">
        <v>-1.48804E-2</v>
      </c>
      <c r="J347" s="21">
        <v>337</v>
      </c>
      <c r="K347" s="21">
        <v>0.102478</v>
      </c>
      <c r="L347">
        <f t="shared" si="60"/>
        <v>18.370864197530864</v>
      </c>
      <c r="M347">
        <f t="shared" si="61"/>
        <v>1.8921438997530864</v>
      </c>
      <c r="N347" s="9"/>
      <c r="O347" s="21">
        <v>1.5969800000000001</v>
      </c>
      <c r="P347" s="21">
        <v>12.555400000000001</v>
      </c>
      <c r="Q347" s="21">
        <v>-9.7625699999999999E-3</v>
      </c>
      <c r="R347" s="21">
        <v>337</v>
      </c>
      <c r="S347" s="21">
        <v>1.5963700000000001</v>
      </c>
      <c r="T347">
        <f t="shared" si="62"/>
        <v>12.052555555555553</v>
      </c>
      <c r="U347">
        <f t="shared" si="63"/>
        <v>19.24769017111111</v>
      </c>
      <c r="X347" s="9"/>
      <c r="Y347" s="21">
        <v>0.10299700000000001</v>
      </c>
      <c r="Z347" s="21">
        <v>18.0595</v>
      </c>
      <c r="AA347" s="21">
        <v>-1.48071E-2</v>
      </c>
      <c r="AB347" s="21">
        <v>337</v>
      </c>
      <c r="AC347" s="21">
        <v>0.102478</v>
      </c>
      <c r="AD347">
        <f t="shared" si="64"/>
        <v>18.28037037037037</v>
      </c>
      <c r="AE347">
        <f t="shared" si="65"/>
        <v>1.882823307037037</v>
      </c>
      <c r="AF347" s="9"/>
      <c r="AG347" s="21">
        <v>1.5969800000000001</v>
      </c>
      <c r="AH347" s="21">
        <v>21.878699999999998</v>
      </c>
      <c r="AI347" s="21">
        <v>-9.6527100000000001E-3</v>
      </c>
      <c r="AJ347" s="21">
        <v>337</v>
      </c>
      <c r="AK347" s="21">
        <v>1.5960700000000001</v>
      </c>
      <c r="AL347">
        <f t="shared" si="66"/>
        <v>11.916925925925925</v>
      </c>
      <c r="AM347">
        <f t="shared" si="67"/>
        <v>19.031092365185184</v>
      </c>
      <c r="AP347" s="9"/>
      <c r="AQ347" s="21">
        <v>0.10299700000000001</v>
      </c>
      <c r="AR347" s="21">
        <v>27.371700000000001</v>
      </c>
      <c r="AS347" s="21">
        <v>-1.4837599999999999E-2</v>
      </c>
      <c r="AT347" s="21">
        <v>337</v>
      </c>
      <c r="AU347" s="21">
        <v>0.10241699999999999</v>
      </c>
      <c r="AV347">
        <f t="shared" si="68"/>
        <v>18.318024691358023</v>
      </c>
      <c r="AW347">
        <f t="shared" si="69"/>
        <v>1.8867015891358023</v>
      </c>
      <c r="AX347" s="9"/>
      <c r="AY347" s="21">
        <v>1.5969800000000001</v>
      </c>
      <c r="AZ347" s="21">
        <v>31.190999999999999</v>
      </c>
      <c r="BA347" s="21">
        <v>-9.6466099999999999E-3</v>
      </c>
      <c r="BB347" s="21">
        <v>337</v>
      </c>
      <c r="BC347" s="21">
        <v>1.5969800000000001</v>
      </c>
      <c r="BD347">
        <f t="shared" si="70"/>
        <v>11.909395061728395</v>
      </c>
      <c r="BE347">
        <f t="shared" si="71"/>
        <v>19.019065725679013</v>
      </c>
    </row>
    <row r="348" spans="6:57" x14ac:dyDescent="0.25">
      <c r="F348" s="9"/>
      <c r="G348" s="21">
        <v>9.7961400000000004E-2</v>
      </c>
      <c r="H348" s="21">
        <v>8.7463200000000008</v>
      </c>
      <c r="I348" s="21">
        <v>-1.48834E-2</v>
      </c>
      <c r="J348" s="21">
        <v>338</v>
      </c>
      <c r="K348" s="21">
        <v>9.7381599999999999E-2</v>
      </c>
      <c r="L348">
        <f t="shared" si="60"/>
        <v>18.374567901234567</v>
      </c>
      <c r="M348">
        <f t="shared" si="61"/>
        <v>1.7999983959999999</v>
      </c>
      <c r="N348" s="9"/>
      <c r="O348" s="21">
        <v>1.60202</v>
      </c>
      <c r="P348" s="21">
        <v>12.5655</v>
      </c>
      <c r="Q348" s="21">
        <v>-9.5611600000000008E-3</v>
      </c>
      <c r="R348" s="21">
        <v>338</v>
      </c>
      <c r="S348" s="21">
        <v>1.6015600000000001</v>
      </c>
      <c r="T348">
        <f t="shared" si="62"/>
        <v>11.803901234567903</v>
      </c>
      <c r="U348">
        <f t="shared" si="63"/>
        <v>18.910085855802471</v>
      </c>
      <c r="X348" s="9"/>
      <c r="Y348" s="21">
        <v>9.7961400000000004E-2</v>
      </c>
      <c r="Z348" s="21">
        <v>18.069500000000001</v>
      </c>
      <c r="AA348" s="21">
        <v>-1.4810200000000001E-2</v>
      </c>
      <c r="AB348" s="21">
        <v>338</v>
      </c>
      <c r="AC348" s="21">
        <v>9.7412100000000001E-2</v>
      </c>
      <c r="AD348">
        <f t="shared" si="64"/>
        <v>18.284197530864198</v>
      </c>
      <c r="AE348">
        <f t="shared" si="65"/>
        <v>1.791145588</v>
      </c>
      <c r="AF348" s="9"/>
      <c r="AG348" s="21">
        <v>1.60202</v>
      </c>
      <c r="AH348" s="21">
        <v>21.8887</v>
      </c>
      <c r="AI348" s="21">
        <v>-9.4573999999999995E-3</v>
      </c>
      <c r="AJ348" s="21">
        <v>338</v>
      </c>
      <c r="AK348" s="21">
        <v>1.6006499999999999</v>
      </c>
      <c r="AL348">
        <f t="shared" si="66"/>
        <v>11.6758024691358</v>
      </c>
      <c r="AM348">
        <f t="shared" si="67"/>
        <v>18.704869071604932</v>
      </c>
      <c r="AP348" s="9"/>
      <c r="AQ348" s="21">
        <v>9.7961400000000004E-2</v>
      </c>
      <c r="AR348" s="21">
        <v>27.381799999999998</v>
      </c>
      <c r="AS348" s="21">
        <v>-1.4837599999999999E-2</v>
      </c>
      <c r="AT348" s="21">
        <v>338</v>
      </c>
      <c r="AU348" s="21">
        <v>9.7351099999999996E-2</v>
      </c>
      <c r="AV348">
        <f t="shared" si="68"/>
        <v>18.318024691358023</v>
      </c>
      <c r="AW348">
        <f t="shared" si="69"/>
        <v>1.7944593439999998</v>
      </c>
      <c r="AX348" s="9"/>
      <c r="AY348" s="21">
        <v>1.60202</v>
      </c>
      <c r="AZ348" s="21">
        <v>31.201000000000001</v>
      </c>
      <c r="BA348" s="21">
        <v>-9.4512899999999993E-3</v>
      </c>
      <c r="BB348" s="21">
        <v>338</v>
      </c>
      <c r="BC348" s="21">
        <v>1.6012599999999999</v>
      </c>
      <c r="BD348">
        <f t="shared" si="70"/>
        <v>11.668259259259258</v>
      </c>
      <c r="BE348">
        <f t="shared" si="71"/>
        <v>18.692784698518516</v>
      </c>
    </row>
    <row r="349" spans="6:57" x14ac:dyDescent="0.25">
      <c r="F349" s="9"/>
      <c r="G349" s="21">
        <v>9.2925999999999995E-2</v>
      </c>
      <c r="H349" s="21">
        <v>8.7563899999999997</v>
      </c>
      <c r="I349" s="21">
        <v>-1.48804E-2</v>
      </c>
      <c r="J349" s="21">
        <v>339</v>
      </c>
      <c r="K349" s="21">
        <v>9.2407199999999995E-2</v>
      </c>
      <c r="L349">
        <f t="shared" si="60"/>
        <v>18.370864197530864</v>
      </c>
      <c r="M349">
        <f t="shared" si="61"/>
        <v>1.7071309264197529</v>
      </c>
      <c r="N349" s="9"/>
      <c r="O349" s="21">
        <v>1.6070599999999999</v>
      </c>
      <c r="P349" s="21">
        <v>12.5756</v>
      </c>
      <c r="Q349" s="21">
        <v>-9.3444800000000005E-3</v>
      </c>
      <c r="R349" s="21">
        <v>339</v>
      </c>
      <c r="S349" s="21">
        <v>1.6064499999999999</v>
      </c>
      <c r="T349">
        <f t="shared" si="62"/>
        <v>11.536395061728395</v>
      </c>
      <c r="U349">
        <f t="shared" si="63"/>
        <v>18.539679047901235</v>
      </c>
      <c r="X349" s="9"/>
      <c r="Y349" s="21">
        <v>9.2925999999999995E-2</v>
      </c>
      <c r="Z349" s="21">
        <v>18.079599999999999</v>
      </c>
      <c r="AA349" s="21">
        <v>-1.4810200000000001E-2</v>
      </c>
      <c r="AB349" s="21">
        <v>339</v>
      </c>
      <c r="AC349" s="21">
        <v>9.2407199999999995E-2</v>
      </c>
      <c r="AD349">
        <f t="shared" si="64"/>
        <v>18.284197530864198</v>
      </c>
      <c r="AE349">
        <f t="shared" si="65"/>
        <v>1.6990773397530863</v>
      </c>
      <c r="AF349" s="9"/>
      <c r="AG349" s="21">
        <v>1.6070599999999999</v>
      </c>
      <c r="AH349" s="21">
        <v>21.898800000000001</v>
      </c>
      <c r="AI349" s="21">
        <v>-9.2559800000000005E-3</v>
      </c>
      <c r="AJ349" s="21">
        <v>339</v>
      </c>
      <c r="AK349" s="21">
        <v>1.6064499999999999</v>
      </c>
      <c r="AL349">
        <f t="shared" si="66"/>
        <v>11.427135802469136</v>
      </c>
      <c r="AM349">
        <f t="shared" si="67"/>
        <v>18.364092862716049</v>
      </c>
      <c r="AP349" s="9"/>
      <c r="AQ349" s="21">
        <v>9.2925999999999995E-2</v>
      </c>
      <c r="AR349" s="21">
        <v>27.3918</v>
      </c>
      <c r="AS349" s="21">
        <v>-1.48407E-2</v>
      </c>
      <c r="AT349" s="21">
        <v>339</v>
      </c>
      <c r="AU349" s="21">
        <v>9.2315700000000001E-2</v>
      </c>
      <c r="AV349">
        <f t="shared" si="68"/>
        <v>18.32185185185185</v>
      </c>
      <c r="AW349">
        <f t="shared" si="69"/>
        <v>1.7025764051851848</v>
      </c>
      <c r="AX349" s="9"/>
      <c r="AY349" s="21">
        <v>1.6070599999999999</v>
      </c>
      <c r="AZ349" s="21">
        <v>31.211099999999998</v>
      </c>
      <c r="BA349" s="21">
        <v>-9.2468299999999993E-3</v>
      </c>
      <c r="BB349" s="21">
        <v>339</v>
      </c>
      <c r="BC349" s="21">
        <v>1.6061399999999999</v>
      </c>
      <c r="BD349">
        <f t="shared" si="70"/>
        <v>11.415839506172839</v>
      </c>
      <c r="BE349">
        <f t="shared" si="71"/>
        <v>18.345939036790121</v>
      </c>
    </row>
    <row r="350" spans="6:57" x14ac:dyDescent="0.25">
      <c r="F350" s="9"/>
      <c r="G350" s="21">
        <v>8.7890599999999999E-2</v>
      </c>
      <c r="H350" s="21">
        <v>8.76647</v>
      </c>
      <c r="I350" s="21">
        <v>-1.48834E-2</v>
      </c>
      <c r="J350" s="21">
        <v>340</v>
      </c>
      <c r="K350" s="21">
        <v>8.7371799999999999E-2</v>
      </c>
      <c r="L350">
        <f t="shared" si="60"/>
        <v>18.374567901234567</v>
      </c>
      <c r="M350">
        <f t="shared" si="61"/>
        <v>1.6149517975802468</v>
      </c>
      <c r="N350" s="9"/>
      <c r="O350" s="21">
        <v>1.61209</v>
      </c>
      <c r="P350" s="21">
        <v>12.585699999999999</v>
      </c>
      <c r="Q350" s="21">
        <v>-9.1155999999999997E-3</v>
      </c>
      <c r="R350" s="21">
        <v>340</v>
      </c>
      <c r="S350" s="21">
        <v>1.6110199999999999</v>
      </c>
      <c r="T350">
        <f t="shared" si="62"/>
        <v>11.253827160493826</v>
      </c>
      <c r="U350">
        <f t="shared" si="63"/>
        <v>18.142182227160493</v>
      </c>
      <c r="X350" s="9"/>
      <c r="Y350" s="21">
        <v>8.7890599999999999E-2</v>
      </c>
      <c r="Z350" s="21">
        <v>18.089700000000001</v>
      </c>
      <c r="AA350" s="21">
        <v>-1.48132E-2</v>
      </c>
      <c r="AB350" s="21">
        <v>340</v>
      </c>
      <c r="AC350" s="21">
        <v>8.7371799999999999E-2</v>
      </c>
      <c r="AD350">
        <f t="shared" si="64"/>
        <v>18.287901234567901</v>
      </c>
      <c r="AE350">
        <f t="shared" si="65"/>
        <v>1.6073346122469134</v>
      </c>
      <c r="AF350" s="9"/>
      <c r="AG350" s="21">
        <v>1.61209</v>
      </c>
      <c r="AH350" s="21">
        <v>21.908899999999999</v>
      </c>
      <c r="AI350" s="21">
        <v>-9.0270999999999997E-3</v>
      </c>
      <c r="AJ350" s="21">
        <v>340</v>
      </c>
      <c r="AK350" s="21">
        <v>1.6110199999999999</v>
      </c>
      <c r="AL350">
        <f t="shared" si="66"/>
        <v>11.144567901234566</v>
      </c>
      <c r="AM350">
        <f t="shared" si="67"/>
        <v>17.966046467901233</v>
      </c>
      <c r="AP350" s="9"/>
      <c r="AQ350" s="21">
        <v>8.7890599999999999E-2</v>
      </c>
      <c r="AR350" s="21">
        <v>27.401900000000001</v>
      </c>
      <c r="AS350" s="21">
        <v>-1.4837599999999999E-2</v>
      </c>
      <c r="AT350" s="21">
        <v>340</v>
      </c>
      <c r="AU350" s="21">
        <v>8.7371799999999999E-2</v>
      </c>
      <c r="AV350">
        <f t="shared" si="68"/>
        <v>18.318024691358023</v>
      </c>
      <c r="AW350">
        <f t="shared" si="69"/>
        <v>1.6099821809382715</v>
      </c>
      <c r="AX350" s="9"/>
      <c r="AY350" s="21">
        <v>1.61209</v>
      </c>
      <c r="AZ350" s="21">
        <v>31.2212</v>
      </c>
      <c r="BA350" s="21">
        <v>-9.0118400000000001E-3</v>
      </c>
      <c r="BB350" s="21">
        <v>340</v>
      </c>
      <c r="BC350" s="21">
        <v>1.6116299999999999</v>
      </c>
      <c r="BD350">
        <f t="shared" si="70"/>
        <v>11.125728395061728</v>
      </c>
      <c r="BE350">
        <f t="shared" si="71"/>
        <v>17.935675488395059</v>
      </c>
    </row>
    <row r="351" spans="6:57" x14ac:dyDescent="0.25">
      <c r="F351" s="9"/>
      <c r="G351" s="21">
        <v>8.2855200000000004E-2</v>
      </c>
      <c r="H351" s="21">
        <v>8.7765400000000007</v>
      </c>
      <c r="I351" s="21">
        <v>-1.48773E-2</v>
      </c>
      <c r="J351" s="21">
        <v>341</v>
      </c>
      <c r="K351" s="21">
        <v>8.2397499999999999E-2</v>
      </c>
      <c r="L351">
        <f t="shared" si="60"/>
        <v>18.367037037037036</v>
      </c>
      <c r="M351">
        <f t="shared" si="61"/>
        <v>1.5218045271111111</v>
      </c>
      <c r="N351" s="9"/>
      <c r="O351" s="21">
        <v>1.61713</v>
      </c>
      <c r="P351" s="21">
        <v>12.595700000000001</v>
      </c>
      <c r="Q351" s="21">
        <v>-8.88977E-3</v>
      </c>
      <c r="R351" s="21">
        <v>341</v>
      </c>
      <c r="S351" s="21">
        <v>1.61652</v>
      </c>
      <c r="T351">
        <f t="shared" si="62"/>
        <v>10.975024691358024</v>
      </c>
      <c r="U351">
        <f t="shared" si="63"/>
        <v>17.748041679135802</v>
      </c>
      <c r="X351" s="9"/>
      <c r="Y351" s="21">
        <v>8.2855200000000004E-2</v>
      </c>
      <c r="Z351" s="21">
        <v>18.099799999999998</v>
      </c>
      <c r="AA351" s="21">
        <v>-1.4819300000000001E-2</v>
      </c>
      <c r="AB351" s="21">
        <v>341</v>
      </c>
      <c r="AC351" s="21">
        <v>8.2336400000000004E-2</v>
      </c>
      <c r="AD351">
        <f t="shared" si="64"/>
        <v>18.295432098765431</v>
      </c>
      <c r="AE351">
        <f t="shared" si="65"/>
        <v>1.5158716856296297</v>
      </c>
      <c r="AF351" s="9"/>
      <c r="AG351" s="21">
        <v>1.61713</v>
      </c>
      <c r="AH351" s="21">
        <v>21.918900000000001</v>
      </c>
      <c r="AI351" s="21">
        <v>-8.7707500000000008E-3</v>
      </c>
      <c r="AJ351" s="21">
        <v>341</v>
      </c>
      <c r="AK351" s="21">
        <v>1.6162099999999999</v>
      </c>
      <c r="AL351">
        <f t="shared" si="66"/>
        <v>10.828086419753086</v>
      </c>
      <c r="AM351">
        <f t="shared" si="67"/>
        <v>17.510423391975309</v>
      </c>
      <c r="AP351" s="9"/>
      <c r="AQ351" s="21">
        <v>8.2855200000000004E-2</v>
      </c>
      <c r="AR351" s="21">
        <v>27.411999999999999</v>
      </c>
      <c r="AS351" s="21">
        <v>-1.4837599999999999E-2</v>
      </c>
      <c r="AT351" s="21">
        <v>341</v>
      </c>
      <c r="AU351" s="21">
        <v>8.2244899999999996E-2</v>
      </c>
      <c r="AV351">
        <f t="shared" si="68"/>
        <v>18.318024691358023</v>
      </c>
      <c r="AW351">
        <f t="shared" si="69"/>
        <v>1.5177435994074073</v>
      </c>
      <c r="AX351" s="9"/>
      <c r="AY351" s="21">
        <v>1.61713</v>
      </c>
      <c r="AZ351" s="21">
        <v>31.231200000000001</v>
      </c>
      <c r="BA351" s="21">
        <v>-8.7738E-3</v>
      </c>
      <c r="BB351" s="21">
        <v>341</v>
      </c>
      <c r="BC351" s="21">
        <v>1.61652</v>
      </c>
      <c r="BD351">
        <f t="shared" si="70"/>
        <v>10.831851851851852</v>
      </c>
      <c r="BE351">
        <f t="shared" si="71"/>
        <v>17.516512585185183</v>
      </c>
    </row>
    <row r="352" spans="6:57" x14ac:dyDescent="0.25">
      <c r="F352" s="9"/>
      <c r="G352" s="21">
        <v>7.7819799999999995E-2</v>
      </c>
      <c r="H352" s="21">
        <v>8.7866099999999996</v>
      </c>
      <c r="I352" s="21">
        <v>-1.48743E-2</v>
      </c>
      <c r="J352" s="21">
        <v>342</v>
      </c>
      <c r="K352" s="21">
        <v>7.72095E-2</v>
      </c>
      <c r="L352">
        <f t="shared" si="60"/>
        <v>18.363333333333333</v>
      </c>
      <c r="M352">
        <f t="shared" si="61"/>
        <v>1.4290309273333333</v>
      </c>
      <c r="N352" s="9"/>
      <c r="O352" s="21">
        <v>1.62216</v>
      </c>
      <c r="P352" s="21">
        <v>12.6058</v>
      </c>
      <c r="Q352" s="21">
        <v>-8.6364700000000003E-3</v>
      </c>
      <c r="R352" s="21">
        <v>342</v>
      </c>
      <c r="S352" s="21">
        <v>1.6214</v>
      </c>
      <c r="T352">
        <f t="shared" si="62"/>
        <v>10.662308641975308</v>
      </c>
      <c r="U352">
        <f t="shared" si="63"/>
        <v>17.295970586666666</v>
      </c>
      <c r="X352" s="9"/>
      <c r="Y352" s="21">
        <v>7.7819799999999995E-2</v>
      </c>
      <c r="Z352" s="21">
        <v>18.1098</v>
      </c>
      <c r="AA352" s="21">
        <v>-1.4822399999999999E-2</v>
      </c>
      <c r="AB352" s="21">
        <v>342</v>
      </c>
      <c r="AC352" s="21">
        <v>7.7300999999999995E-2</v>
      </c>
      <c r="AD352">
        <f t="shared" si="64"/>
        <v>18.299259259259259</v>
      </c>
      <c r="AE352">
        <f t="shared" si="65"/>
        <v>1.4240446957037036</v>
      </c>
      <c r="AF352" s="9"/>
      <c r="AG352" s="21">
        <v>1.62216</v>
      </c>
      <c r="AH352" s="21">
        <v>21.928999999999998</v>
      </c>
      <c r="AI352" s="21">
        <v>-8.5113500000000009E-3</v>
      </c>
      <c r="AJ352" s="21">
        <v>342</v>
      </c>
      <c r="AK352" s="21">
        <v>1.6216999999999999</v>
      </c>
      <c r="AL352">
        <f t="shared" si="66"/>
        <v>10.507839506172839</v>
      </c>
      <c r="AM352">
        <f t="shared" si="67"/>
        <v>17.045396933333333</v>
      </c>
      <c r="AP352" s="9"/>
      <c r="AQ352" s="21">
        <v>7.7819799999999995E-2</v>
      </c>
      <c r="AR352" s="21">
        <v>27.422000000000001</v>
      </c>
      <c r="AS352" s="21">
        <v>-1.4843800000000001E-2</v>
      </c>
      <c r="AT352" s="21">
        <v>342</v>
      </c>
      <c r="AU352" s="21">
        <v>7.7331499999999997E-2</v>
      </c>
      <c r="AV352">
        <f t="shared" si="68"/>
        <v>18.325679012345677</v>
      </c>
      <c r="AW352">
        <f t="shared" si="69"/>
        <v>1.4261006756049381</v>
      </c>
      <c r="AX352" s="9"/>
      <c r="AY352" s="21">
        <v>1.62216</v>
      </c>
      <c r="AZ352" s="21">
        <v>31.241299999999999</v>
      </c>
      <c r="BA352" s="21">
        <v>-8.5205100000000002E-3</v>
      </c>
      <c r="BB352" s="21">
        <v>342</v>
      </c>
      <c r="BC352" s="21">
        <v>1.6210899999999999</v>
      </c>
      <c r="BD352">
        <f t="shared" si="70"/>
        <v>10.519148148148147</v>
      </c>
      <c r="BE352">
        <f t="shared" si="71"/>
        <v>17.063741359999998</v>
      </c>
    </row>
    <row r="353" spans="6:57" x14ac:dyDescent="0.25">
      <c r="F353" s="9"/>
      <c r="G353" s="21">
        <v>7.2784399999999999E-2</v>
      </c>
      <c r="H353" s="21">
        <v>8.7966800000000003</v>
      </c>
      <c r="I353" s="21">
        <v>-1.4871199999999999E-2</v>
      </c>
      <c r="J353" s="21">
        <v>343</v>
      </c>
      <c r="K353" s="21">
        <v>7.2174100000000005E-2</v>
      </c>
      <c r="L353">
        <f t="shared" si="60"/>
        <v>18.359506172839506</v>
      </c>
      <c r="M353">
        <f t="shared" si="61"/>
        <v>1.3362856410864197</v>
      </c>
      <c r="N353" s="9"/>
      <c r="O353" s="21">
        <v>1.6272</v>
      </c>
      <c r="P353" s="21">
        <v>12.6159</v>
      </c>
      <c r="Q353" s="21">
        <v>-8.3648699999999999E-3</v>
      </c>
      <c r="R353" s="21">
        <v>343</v>
      </c>
      <c r="S353" s="21">
        <v>1.62659</v>
      </c>
      <c r="T353">
        <f t="shared" si="62"/>
        <v>10.327</v>
      </c>
      <c r="U353">
        <f t="shared" si="63"/>
        <v>16.8040944</v>
      </c>
      <c r="X353" s="9"/>
      <c r="Y353" s="21">
        <v>7.2784399999999999E-2</v>
      </c>
      <c r="Z353" s="21">
        <v>18.119900000000001</v>
      </c>
      <c r="AA353" s="21">
        <v>-1.4816299999999999E-2</v>
      </c>
      <c r="AB353" s="21">
        <v>343</v>
      </c>
      <c r="AC353" s="21">
        <v>7.2296100000000002E-2</v>
      </c>
      <c r="AD353">
        <f t="shared" si="64"/>
        <v>18.291728395061728</v>
      </c>
      <c r="AE353">
        <f t="shared" si="65"/>
        <v>1.3313524761975308</v>
      </c>
      <c r="AF353" s="9"/>
      <c r="AG353" s="21">
        <v>1.6272</v>
      </c>
      <c r="AH353" s="21">
        <v>21.9391</v>
      </c>
      <c r="AI353" s="21">
        <v>-8.2244899999999992E-3</v>
      </c>
      <c r="AJ353" s="21">
        <v>343</v>
      </c>
      <c r="AK353" s="21">
        <v>1.6262799999999999</v>
      </c>
      <c r="AL353">
        <f t="shared" si="66"/>
        <v>10.153691358024689</v>
      </c>
      <c r="AM353">
        <f t="shared" si="67"/>
        <v>16.522086577777774</v>
      </c>
      <c r="AP353" s="9"/>
      <c r="AQ353" s="21">
        <v>7.2784399999999999E-2</v>
      </c>
      <c r="AR353" s="21">
        <v>27.432099999999998</v>
      </c>
      <c r="AS353" s="21">
        <v>-1.48407E-2</v>
      </c>
      <c r="AT353" s="21">
        <v>343</v>
      </c>
      <c r="AU353" s="21">
        <v>7.2296100000000002E-2</v>
      </c>
      <c r="AV353">
        <f t="shared" si="68"/>
        <v>18.32185185185185</v>
      </c>
      <c r="AW353">
        <f t="shared" si="69"/>
        <v>1.3335449939259258</v>
      </c>
      <c r="AX353" s="9"/>
      <c r="AY353" s="21">
        <v>1.6272</v>
      </c>
      <c r="AZ353" s="21">
        <v>31.2514</v>
      </c>
      <c r="BA353" s="21">
        <v>-8.2366899999999996E-3</v>
      </c>
      <c r="BB353" s="21">
        <v>343</v>
      </c>
      <c r="BC353" s="21">
        <v>1.62598</v>
      </c>
      <c r="BD353">
        <f t="shared" si="70"/>
        <v>10.168753086419752</v>
      </c>
      <c r="BE353">
        <f t="shared" si="71"/>
        <v>16.54659502222222</v>
      </c>
    </row>
    <row r="354" spans="6:57" x14ac:dyDescent="0.25">
      <c r="F354" s="9"/>
      <c r="G354" s="21">
        <v>6.7749000000000004E-2</v>
      </c>
      <c r="H354" s="21">
        <v>8.8067499999999992</v>
      </c>
      <c r="I354" s="21">
        <v>-1.4871199999999999E-2</v>
      </c>
      <c r="J354" s="21">
        <v>344</v>
      </c>
      <c r="K354" s="21">
        <v>6.7138699999999996E-2</v>
      </c>
      <c r="L354">
        <f t="shared" si="60"/>
        <v>18.359506172839506</v>
      </c>
      <c r="M354">
        <f t="shared" si="61"/>
        <v>1.2438381837037038</v>
      </c>
      <c r="N354" s="9"/>
      <c r="O354" s="21">
        <v>1.6322300000000001</v>
      </c>
      <c r="P354" s="21">
        <v>12.6259</v>
      </c>
      <c r="Q354" s="21">
        <v>-8.0749499999999991E-3</v>
      </c>
      <c r="R354" s="21">
        <v>344</v>
      </c>
      <c r="S354" s="21">
        <v>1.6311599999999999</v>
      </c>
      <c r="T354">
        <f t="shared" si="62"/>
        <v>9.9690740740740722</v>
      </c>
      <c r="U354">
        <f t="shared" si="63"/>
        <v>16.271821775925922</v>
      </c>
      <c r="X354" s="9"/>
      <c r="Y354" s="21">
        <v>6.7749000000000004E-2</v>
      </c>
      <c r="Z354" s="21">
        <v>18.13</v>
      </c>
      <c r="AA354" s="21">
        <v>-1.4810200000000001E-2</v>
      </c>
      <c r="AB354" s="21">
        <v>344</v>
      </c>
      <c r="AC354" s="21">
        <v>6.7199700000000001E-2</v>
      </c>
      <c r="AD354">
        <f t="shared" si="64"/>
        <v>18.284197530864198</v>
      </c>
      <c r="AE354">
        <f t="shared" si="65"/>
        <v>1.2387360985185185</v>
      </c>
      <c r="AF354" s="9"/>
      <c r="AG354" s="21">
        <v>1.6322300000000001</v>
      </c>
      <c r="AH354" s="21">
        <v>21.949200000000001</v>
      </c>
      <c r="AI354" s="21">
        <v>-7.9315199999999992E-3</v>
      </c>
      <c r="AJ354" s="21">
        <v>344</v>
      </c>
      <c r="AK354" s="21">
        <v>1.63208</v>
      </c>
      <c r="AL354">
        <f t="shared" si="66"/>
        <v>9.791999999999998</v>
      </c>
      <c r="AM354">
        <f t="shared" si="67"/>
        <v>15.982796159999998</v>
      </c>
      <c r="AP354" s="9"/>
      <c r="AQ354" s="21">
        <v>6.7749000000000004E-2</v>
      </c>
      <c r="AR354" s="21">
        <v>27.4422</v>
      </c>
      <c r="AS354" s="21">
        <v>-1.4843800000000001E-2</v>
      </c>
      <c r="AT354" s="21">
        <v>344</v>
      </c>
      <c r="AU354" s="21">
        <v>6.7230200000000004E-2</v>
      </c>
      <c r="AV354">
        <f t="shared" si="68"/>
        <v>18.325679012345677</v>
      </c>
      <c r="AW354">
        <f t="shared" si="69"/>
        <v>1.2415464274074073</v>
      </c>
      <c r="AX354" s="9"/>
      <c r="AY354" s="21">
        <v>1.6322300000000001</v>
      </c>
      <c r="AZ354" s="21">
        <v>31.261500000000002</v>
      </c>
      <c r="BA354" s="21">
        <v>-7.9315199999999992E-3</v>
      </c>
      <c r="BB354" s="21">
        <v>344</v>
      </c>
      <c r="BC354" s="21">
        <v>1.63086</v>
      </c>
      <c r="BD354">
        <f t="shared" si="70"/>
        <v>9.791999999999998</v>
      </c>
      <c r="BE354">
        <f t="shared" si="71"/>
        <v>15.982796159999998</v>
      </c>
    </row>
    <row r="355" spans="6:57" x14ac:dyDescent="0.25">
      <c r="F355" s="9"/>
      <c r="G355" s="21">
        <v>6.2713599999999994E-2</v>
      </c>
      <c r="H355" s="21">
        <v>8.8168199999999999</v>
      </c>
      <c r="I355" s="21">
        <v>-1.48743E-2</v>
      </c>
      <c r="J355" s="21">
        <v>345</v>
      </c>
      <c r="K355" s="21">
        <v>6.2225299999999997E-2</v>
      </c>
      <c r="L355">
        <f t="shared" si="60"/>
        <v>18.363333333333333</v>
      </c>
      <c r="M355">
        <f t="shared" si="61"/>
        <v>1.1516307413333333</v>
      </c>
      <c r="N355" s="9"/>
      <c r="O355" s="21">
        <v>1.63727</v>
      </c>
      <c r="P355" s="21">
        <v>12.635999999999999</v>
      </c>
      <c r="Q355" s="21">
        <v>-7.7484099999999998E-3</v>
      </c>
      <c r="R355" s="21">
        <v>345</v>
      </c>
      <c r="S355" s="21">
        <v>1.63635</v>
      </c>
      <c r="T355">
        <f t="shared" si="62"/>
        <v>9.5659382716049386</v>
      </c>
      <c r="U355">
        <f t="shared" si="63"/>
        <v>15.662023753950617</v>
      </c>
      <c r="X355" s="9"/>
      <c r="Y355" s="21">
        <v>6.2713599999999994E-2</v>
      </c>
      <c r="Z355" s="21">
        <v>18.14</v>
      </c>
      <c r="AA355" s="21">
        <v>-1.48132E-2</v>
      </c>
      <c r="AB355" s="21">
        <v>345</v>
      </c>
      <c r="AC355" s="21">
        <v>6.2225299999999997E-2</v>
      </c>
      <c r="AD355">
        <f t="shared" si="64"/>
        <v>18.287901234567901</v>
      </c>
      <c r="AE355">
        <f t="shared" si="65"/>
        <v>1.1469001228641975</v>
      </c>
      <c r="AF355" s="9"/>
      <c r="AG355" s="21">
        <v>1.63727</v>
      </c>
      <c r="AH355" s="21">
        <v>21.959199999999999</v>
      </c>
      <c r="AI355" s="21">
        <v>-7.60803E-3</v>
      </c>
      <c r="AJ355" s="21">
        <v>345</v>
      </c>
      <c r="AK355" s="21">
        <v>1.63666</v>
      </c>
      <c r="AL355">
        <f t="shared" si="66"/>
        <v>9.3926296296296297</v>
      </c>
      <c r="AM355">
        <f t="shared" si="67"/>
        <v>15.378270713703703</v>
      </c>
      <c r="AP355" s="9"/>
      <c r="AQ355" s="21">
        <v>6.2713599999999994E-2</v>
      </c>
      <c r="AR355" s="21">
        <v>27.452300000000001</v>
      </c>
      <c r="AS355" s="21">
        <v>-1.48529E-2</v>
      </c>
      <c r="AT355" s="21">
        <v>345</v>
      </c>
      <c r="AU355" s="21">
        <v>6.2255900000000003E-2</v>
      </c>
      <c r="AV355">
        <f t="shared" si="68"/>
        <v>18.336913580246915</v>
      </c>
      <c r="AW355">
        <f t="shared" si="69"/>
        <v>1.1499738635061727</v>
      </c>
      <c r="AX355" s="9"/>
      <c r="AY355" s="21">
        <v>1.63727</v>
      </c>
      <c r="AZ355" s="21">
        <v>31.2715</v>
      </c>
      <c r="BA355" s="21">
        <v>-7.6049799999999999E-3</v>
      </c>
      <c r="BB355" s="21">
        <v>345</v>
      </c>
      <c r="BC355" s="21">
        <v>1.63696</v>
      </c>
      <c r="BD355">
        <f t="shared" si="70"/>
        <v>9.3888641975308627</v>
      </c>
      <c r="BE355">
        <f t="shared" si="71"/>
        <v>15.372105684691356</v>
      </c>
    </row>
    <row r="356" spans="6:57" x14ac:dyDescent="0.25">
      <c r="F356" s="9"/>
      <c r="G356" s="21">
        <v>5.7678199999999999E-2</v>
      </c>
      <c r="H356" s="21">
        <v>8.8268900000000006</v>
      </c>
      <c r="I356" s="21">
        <v>-1.48865E-2</v>
      </c>
      <c r="J356" s="21">
        <v>346</v>
      </c>
      <c r="K356" s="21">
        <v>5.7037400000000002E-2</v>
      </c>
      <c r="L356">
        <f t="shared" si="60"/>
        <v>18.378395061728394</v>
      </c>
      <c r="M356">
        <f t="shared" si="61"/>
        <v>1.0600327460493826</v>
      </c>
      <c r="N356" s="9"/>
      <c r="O356" s="21">
        <v>1.6423000000000001</v>
      </c>
      <c r="P356" s="21">
        <v>12.646100000000001</v>
      </c>
      <c r="Q356" s="21">
        <v>-7.4188199999999996E-3</v>
      </c>
      <c r="R356" s="21">
        <v>346</v>
      </c>
      <c r="S356" s="21">
        <v>1.64154</v>
      </c>
      <c r="T356">
        <f t="shared" si="62"/>
        <v>9.1590370370370362</v>
      </c>
      <c r="U356">
        <f t="shared" si="63"/>
        <v>15.041886525925925</v>
      </c>
      <c r="X356" s="9"/>
      <c r="Y356" s="21">
        <v>5.7678199999999999E-2</v>
      </c>
      <c r="Z356" s="21">
        <v>18.150099999999998</v>
      </c>
      <c r="AA356" s="21">
        <v>-1.4825400000000001E-2</v>
      </c>
      <c r="AB356" s="21">
        <v>346</v>
      </c>
      <c r="AC356" s="21">
        <v>5.7159399999999999E-2</v>
      </c>
      <c r="AD356">
        <f t="shared" si="64"/>
        <v>18.302962962962962</v>
      </c>
      <c r="AE356">
        <f t="shared" si="65"/>
        <v>1.0556819583703703</v>
      </c>
      <c r="AF356" s="9"/>
      <c r="AG356" s="21">
        <v>1.6423000000000001</v>
      </c>
      <c r="AH356" s="21">
        <v>21.9693</v>
      </c>
      <c r="AI356" s="21">
        <v>-7.2753899999999996E-3</v>
      </c>
      <c r="AJ356" s="21">
        <v>346</v>
      </c>
      <c r="AK356" s="21">
        <v>1.64185</v>
      </c>
      <c r="AL356">
        <f t="shared" si="66"/>
        <v>8.981962962962962</v>
      </c>
      <c r="AM356">
        <f t="shared" si="67"/>
        <v>14.751077774074073</v>
      </c>
      <c r="AP356" s="9"/>
      <c r="AQ356" s="21">
        <v>5.7678199999999999E-2</v>
      </c>
      <c r="AR356" s="21">
        <v>27.462299999999999</v>
      </c>
      <c r="AS356" s="21">
        <v>-1.4865099999999999E-2</v>
      </c>
      <c r="AT356" s="21">
        <v>346</v>
      </c>
      <c r="AU356" s="21">
        <v>5.7159399999999999E-2</v>
      </c>
      <c r="AV356">
        <f t="shared" si="68"/>
        <v>18.351975308641972</v>
      </c>
      <c r="AW356">
        <f t="shared" si="69"/>
        <v>1.0585089022469134</v>
      </c>
      <c r="AX356" s="9"/>
      <c r="AY356" s="21">
        <v>1.6423000000000001</v>
      </c>
      <c r="AZ356" s="21">
        <v>31.281600000000001</v>
      </c>
      <c r="BA356" s="21">
        <v>-7.2601300000000001E-3</v>
      </c>
      <c r="BB356" s="21">
        <v>346</v>
      </c>
      <c r="BC356" s="21">
        <v>1.64154</v>
      </c>
      <c r="BD356">
        <f t="shared" si="70"/>
        <v>8.9631234567901235</v>
      </c>
      <c r="BE356">
        <f t="shared" si="71"/>
        <v>14.72013765308642</v>
      </c>
    </row>
    <row r="357" spans="6:57" x14ac:dyDescent="0.25">
      <c r="F357" s="9"/>
      <c r="G357" s="21">
        <v>5.2642799999999997E-2</v>
      </c>
      <c r="H357" s="21">
        <v>8.8369599999999995</v>
      </c>
      <c r="I357" s="21">
        <v>-1.4892600000000001E-2</v>
      </c>
      <c r="J357" s="21">
        <v>347</v>
      </c>
      <c r="K357" s="21">
        <v>5.2246099999999997E-2</v>
      </c>
      <c r="L357">
        <f t="shared" si="60"/>
        <v>18.385925925925928</v>
      </c>
      <c r="M357">
        <f t="shared" si="61"/>
        <v>0.96788662133333336</v>
      </c>
      <c r="N357" s="9"/>
      <c r="O357" s="21">
        <v>1.64734</v>
      </c>
      <c r="P357" s="21">
        <v>12.6562</v>
      </c>
      <c r="Q357" s="21">
        <v>-7.0312500000000002E-3</v>
      </c>
      <c r="R357" s="21">
        <v>347</v>
      </c>
      <c r="S357" s="21">
        <v>1.64642</v>
      </c>
      <c r="T357">
        <f t="shared" si="62"/>
        <v>8.6805555555555554</v>
      </c>
      <c r="U357">
        <f t="shared" si="63"/>
        <v>14.299826388888889</v>
      </c>
      <c r="X357" s="9"/>
      <c r="Y357" s="21">
        <v>5.2642799999999997E-2</v>
      </c>
      <c r="Z357" s="21">
        <v>18.1602</v>
      </c>
      <c r="AA357" s="21">
        <v>-1.48346E-2</v>
      </c>
      <c r="AB357" s="21">
        <v>347</v>
      </c>
      <c r="AC357" s="21">
        <v>5.2154499999999999E-2</v>
      </c>
      <c r="AD357">
        <f t="shared" si="64"/>
        <v>18.31432098765432</v>
      </c>
      <c r="AE357">
        <f t="shared" si="65"/>
        <v>0.96411713688888878</v>
      </c>
      <c r="AF357" s="9"/>
      <c r="AG357" s="21">
        <v>1.64734</v>
      </c>
      <c r="AH357" s="21">
        <v>21.979399999999998</v>
      </c>
      <c r="AI357" s="21">
        <v>-6.9061299999999999E-3</v>
      </c>
      <c r="AJ357" s="21">
        <v>347</v>
      </c>
      <c r="AK357" s="21">
        <v>1.64673</v>
      </c>
      <c r="AL357">
        <f t="shared" si="66"/>
        <v>8.526086419753085</v>
      </c>
      <c r="AM357">
        <f t="shared" si="67"/>
        <v>14.045363202716047</v>
      </c>
      <c r="AP357" s="9"/>
      <c r="AQ357" s="21">
        <v>5.2642799999999997E-2</v>
      </c>
      <c r="AR357" s="21">
        <v>27.4724</v>
      </c>
      <c r="AS357" s="21">
        <v>-1.4871199999999999E-2</v>
      </c>
      <c r="AT357" s="21">
        <v>347</v>
      </c>
      <c r="AU357" s="21">
        <v>5.2123999999999997E-2</v>
      </c>
      <c r="AV357">
        <f t="shared" si="68"/>
        <v>18.359506172839506</v>
      </c>
      <c r="AW357">
        <f t="shared" si="69"/>
        <v>0.96649581155555553</v>
      </c>
      <c r="AX357" s="9"/>
      <c r="AY357" s="21">
        <v>1.64734</v>
      </c>
      <c r="AZ357" s="21">
        <v>31.291699999999999</v>
      </c>
      <c r="BA357" s="21">
        <v>-6.8969699999999997E-3</v>
      </c>
      <c r="BB357" s="21">
        <v>347</v>
      </c>
      <c r="BC357" s="21">
        <v>1.64673</v>
      </c>
      <c r="BD357">
        <f t="shared" si="70"/>
        <v>8.5147777777777769</v>
      </c>
      <c r="BE357">
        <f t="shared" si="71"/>
        <v>14.026734024444444</v>
      </c>
    </row>
    <row r="358" spans="6:57" x14ac:dyDescent="0.25">
      <c r="F358" s="9"/>
      <c r="G358" s="21">
        <v>4.7607400000000001E-2</v>
      </c>
      <c r="H358" s="21">
        <v>8.8470300000000002</v>
      </c>
      <c r="I358" s="21">
        <v>-1.48956E-2</v>
      </c>
      <c r="J358" s="21">
        <v>348</v>
      </c>
      <c r="K358" s="21">
        <v>4.7470100000000001E-2</v>
      </c>
      <c r="L358">
        <f t="shared" si="60"/>
        <v>18.389629629629628</v>
      </c>
      <c r="M358">
        <f t="shared" si="61"/>
        <v>0.87548245362962951</v>
      </c>
      <c r="N358" s="9"/>
      <c r="O358" s="21">
        <v>1.6523699999999999</v>
      </c>
      <c r="P358" s="21">
        <v>12.6662</v>
      </c>
      <c r="Q358" s="21">
        <v>-6.6345199999999997E-3</v>
      </c>
      <c r="R358" s="21">
        <v>348</v>
      </c>
      <c r="S358" s="21">
        <v>1.6519200000000001</v>
      </c>
      <c r="T358">
        <f t="shared" si="62"/>
        <v>8.1907654320987646</v>
      </c>
      <c r="U358">
        <f t="shared" si="63"/>
        <v>13.534175077037036</v>
      </c>
      <c r="X358" s="9"/>
      <c r="Y358" s="21">
        <v>4.7607400000000001E-2</v>
      </c>
      <c r="Z358" s="21">
        <v>18.170200000000001</v>
      </c>
      <c r="AA358" s="21">
        <v>-1.4843800000000001E-2</v>
      </c>
      <c r="AB358" s="21">
        <v>348</v>
      </c>
      <c r="AC358" s="21">
        <v>4.75159E-2</v>
      </c>
      <c r="AD358">
        <f t="shared" si="64"/>
        <v>18.325679012345677</v>
      </c>
      <c r="AE358">
        <f t="shared" si="65"/>
        <v>0.87243793101234557</v>
      </c>
      <c r="AF358" s="9"/>
      <c r="AG358" s="21">
        <v>1.6523699999999999</v>
      </c>
      <c r="AH358" s="21">
        <v>21.9894</v>
      </c>
      <c r="AI358" s="21">
        <v>-6.5094000000000003E-3</v>
      </c>
      <c r="AJ358" s="21">
        <v>348</v>
      </c>
      <c r="AK358" s="21">
        <v>1.6513100000000001</v>
      </c>
      <c r="AL358">
        <f t="shared" si="66"/>
        <v>8.036296296296296</v>
      </c>
      <c r="AM358">
        <f t="shared" si="67"/>
        <v>13.27893491111111</v>
      </c>
      <c r="AP358" s="9"/>
      <c r="AQ358" s="21">
        <v>4.7607400000000001E-2</v>
      </c>
      <c r="AR358" s="21">
        <v>27.482500000000002</v>
      </c>
      <c r="AS358" s="21">
        <v>-1.48773E-2</v>
      </c>
      <c r="AT358" s="21">
        <v>348</v>
      </c>
      <c r="AU358" s="21">
        <v>4.7589100000000002E-2</v>
      </c>
      <c r="AV358">
        <f t="shared" si="68"/>
        <v>18.367037037037036</v>
      </c>
      <c r="AW358">
        <f t="shared" si="69"/>
        <v>0.87440687903703707</v>
      </c>
      <c r="AX358" s="9"/>
      <c r="AY358" s="21">
        <v>1.6523699999999999</v>
      </c>
      <c r="AZ358" s="21">
        <v>31.3017</v>
      </c>
      <c r="BA358" s="21">
        <v>-6.5124500000000004E-3</v>
      </c>
      <c r="BB358" s="21">
        <v>348</v>
      </c>
      <c r="BC358" s="21">
        <v>1.6513100000000001</v>
      </c>
      <c r="BD358">
        <f t="shared" si="70"/>
        <v>8.0400617283950631</v>
      </c>
      <c r="BE358">
        <f t="shared" si="71"/>
        <v>13.285156798148149</v>
      </c>
    </row>
    <row r="359" spans="6:57" x14ac:dyDescent="0.25">
      <c r="F359" s="9"/>
      <c r="G359" s="21">
        <v>4.2571999999999999E-2</v>
      </c>
      <c r="H359" s="21">
        <v>8.8571000000000009</v>
      </c>
      <c r="I359" s="21">
        <v>-1.48956E-2</v>
      </c>
      <c r="J359" s="21">
        <v>349</v>
      </c>
      <c r="K359" s="21">
        <v>4.2450000000000002E-2</v>
      </c>
      <c r="L359">
        <f t="shared" si="60"/>
        <v>18.389629629629628</v>
      </c>
      <c r="M359">
        <f t="shared" si="61"/>
        <v>0.78288331259259247</v>
      </c>
      <c r="N359" s="9"/>
      <c r="O359" s="21">
        <v>1.65741</v>
      </c>
      <c r="P359" s="21">
        <v>12.676299999999999</v>
      </c>
      <c r="Q359" s="21">
        <v>-6.1920200000000003E-3</v>
      </c>
      <c r="R359" s="21">
        <v>349</v>
      </c>
      <c r="S359" s="21">
        <v>1.65649</v>
      </c>
      <c r="T359">
        <f t="shared" si="62"/>
        <v>7.6444691358024688</v>
      </c>
      <c r="U359">
        <f t="shared" si="63"/>
        <v>12.670019590370369</v>
      </c>
      <c r="X359" s="9"/>
      <c r="Y359" s="21">
        <v>4.2571999999999999E-2</v>
      </c>
      <c r="Z359" s="21">
        <v>18.180299999999999</v>
      </c>
      <c r="AA359" s="21">
        <v>-1.48468E-2</v>
      </c>
      <c r="AB359" s="21">
        <v>349</v>
      </c>
      <c r="AC359" s="21">
        <v>4.2446900000000003E-2</v>
      </c>
      <c r="AD359">
        <f t="shared" si="64"/>
        <v>18.329382716049381</v>
      </c>
      <c r="AE359">
        <f t="shared" si="65"/>
        <v>0.78031848098765422</v>
      </c>
      <c r="AF359" s="9"/>
      <c r="AG359" s="21">
        <v>1.65741</v>
      </c>
      <c r="AH359" s="21">
        <v>21.999500000000001</v>
      </c>
      <c r="AI359" s="21">
        <v>-6.0668900000000001E-3</v>
      </c>
      <c r="AJ359" s="21">
        <v>349</v>
      </c>
      <c r="AK359" s="21">
        <v>1.6561900000000001</v>
      </c>
      <c r="AL359">
        <f t="shared" si="66"/>
        <v>7.4899876543209869</v>
      </c>
      <c r="AM359">
        <f t="shared" si="67"/>
        <v>12.413980438148148</v>
      </c>
      <c r="AP359" s="9"/>
      <c r="AQ359" s="21">
        <v>4.2571999999999999E-2</v>
      </c>
      <c r="AR359" s="21">
        <v>27.4925</v>
      </c>
      <c r="AS359" s="21">
        <v>-1.48773E-2</v>
      </c>
      <c r="AT359" s="21">
        <v>349</v>
      </c>
      <c r="AU359" s="21">
        <v>4.24683E-2</v>
      </c>
      <c r="AV359">
        <f t="shared" si="68"/>
        <v>18.367037037037036</v>
      </c>
      <c r="AW359">
        <f t="shared" si="69"/>
        <v>0.78192150074074074</v>
      </c>
      <c r="AX359" s="9"/>
      <c r="AY359" s="21">
        <v>1.65741</v>
      </c>
      <c r="AZ359" s="21">
        <v>31.311800000000002</v>
      </c>
      <c r="BA359" s="21">
        <v>-6.0790999999999996E-3</v>
      </c>
      <c r="BB359" s="21">
        <v>349</v>
      </c>
      <c r="BC359" s="21">
        <v>1.65649</v>
      </c>
      <c r="BD359">
        <f t="shared" si="70"/>
        <v>7.5050617283950611</v>
      </c>
      <c r="BE359">
        <f t="shared" si="71"/>
        <v>12.438964359259259</v>
      </c>
    </row>
    <row r="360" spans="6:57" x14ac:dyDescent="0.25">
      <c r="F360" s="9"/>
      <c r="G360" s="21">
        <v>3.7536600000000003E-2</v>
      </c>
      <c r="H360" s="21">
        <v>8.8671799999999994</v>
      </c>
      <c r="I360" s="21">
        <v>-1.4892600000000001E-2</v>
      </c>
      <c r="J360" s="21">
        <v>350</v>
      </c>
      <c r="K360" s="21">
        <v>3.7435900000000001E-2</v>
      </c>
      <c r="L360">
        <f t="shared" si="60"/>
        <v>18.385925925925928</v>
      </c>
      <c r="M360">
        <f t="shared" si="61"/>
        <v>0.6901451471111113</v>
      </c>
      <c r="N360" s="9"/>
      <c r="O360" s="21">
        <v>1.66245</v>
      </c>
      <c r="P360" s="21">
        <v>12.686400000000001</v>
      </c>
      <c r="Q360" s="21">
        <v>-5.7220500000000002E-3</v>
      </c>
      <c r="R360" s="21">
        <v>350</v>
      </c>
      <c r="S360" s="21">
        <v>1.66107</v>
      </c>
      <c r="T360">
        <f t="shared" si="62"/>
        <v>7.0642592592592592</v>
      </c>
      <c r="U360">
        <f t="shared" si="63"/>
        <v>11.743977805555556</v>
      </c>
      <c r="X360" s="9"/>
      <c r="Y360" s="21">
        <v>3.7536600000000003E-2</v>
      </c>
      <c r="Z360" s="21">
        <v>18.1904</v>
      </c>
      <c r="AA360" s="21">
        <v>-1.4849899999999999E-2</v>
      </c>
      <c r="AB360" s="21">
        <v>350</v>
      </c>
      <c r="AC360" s="21">
        <v>3.7390100000000003E-2</v>
      </c>
      <c r="AD360">
        <f t="shared" si="64"/>
        <v>18.333209876543208</v>
      </c>
      <c r="AE360">
        <f t="shared" si="65"/>
        <v>0.68816636585185187</v>
      </c>
      <c r="AF360" s="9"/>
      <c r="AG360" s="21">
        <v>1.66245</v>
      </c>
      <c r="AH360" s="21">
        <v>22.009599999999999</v>
      </c>
      <c r="AI360" s="21">
        <v>-5.5847199999999996E-3</v>
      </c>
      <c r="AJ360" s="21">
        <v>350</v>
      </c>
      <c r="AK360" s="21">
        <v>1.66168</v>
      </c>
      <c r="AL360">
        <f t="shared" si="66"/>
        <v>6.8947160493827155</v>
      </c>
      <c r="AM360">
        <f t="shared" si="67"/>
        <v>11.462120696296296</v>
      </c>
      <c r="AP360" s="9"/>
      <c r="AQ360" s="21">
        <v>3.7536600000000003E-2</v>
      </c>
      <c r="AR360" s="21">
        <v>27.502600000000001</v>
      </c>
      <c r="AS360" s="21">
        <v>-1.48743E-2</v>
      </c>
      <c r="AT360" s="21">
        <v>350</v>
      </c>
      <c r="AU360" s="21">
        <v>3.7503099999999998E-2</v>
      </c>
      <c r="AV360">
        <f t="shared" si="68"/>
        <v>18.363333333333333</v>
      </c>
      <c r="AW360">
        <f t="shared" si="69"/>
        <v>0.68929709800000005</v>
      </c>
      <c r="AX360" s="9"/>
      <c r="AY360" s="21">
        <v>1.66245</v>
      </c>
      <c r="AZ360" s="21">
        <v>31.321899999999999</v>
      </c>
      <c r="BA360" s="21">
        <v>-5.5938699999999999E-3</v>
      </c>
      <c r="BB360" s="21">
        <v>350</v>
      </c>
      <c r="BC360" s="21">
        <v>1.66168</v>
      </c>
      <c r="BD360">
        <f t="shared" si="70"/>
        <v>6.9060123456790121</v>
      </c>
      <c r="BE360">
        <f t="shared" si="71"/>
        <v>11.480900224074073</v>
      </c>
    </row>
    <row r="361" spans="6:57" x14ac:dyDescent="0.25">
      <c r="F361" s="9"/>
      <c r="G361" s="21">
        <v>3.2501200000000001E-2</v>
      </c>
      <c r="H361" s="21">
        <v>8.8772500000000001</v>
      </c>
      <c r="I361" s="21">
        <v>-1.48865E-2</v>
      </c>
      <c r="J361" s="21">
        <v>351</v>
      </c>
      <c r="K361" s="21">
        <v>3.2452399999999999E-2</v>
      </c>
      <c r="L361">
        <f t="shared" si="60"/>
        <v>18.378395061728394</v>
      </c>
      <c r="M361">
        <f t="shared" si="61"/>
        <v>0.59731989358024695</v>
      </c>
      <c r="N361" s="9"/>
      <c r="O361" s="21">
        <v>1.6674800000000001</v>
      </c>
      <c r="P361" s="21">
        <v>12.696400000000001</v>
      </c>
      <c r="Q361" s="21">
        <v>-5.1696800000000003E-3</v>
      </c>
      <c r="R361" s="21">
        <v>351</v>
      </c>
      <c r="S361" s="21">
        <v>1.6671800000000001</v>
      </c>
      <c r="T361">
        <f t="shared" si="62"/>
        <v>6.382320987654321</v>
      </c>
      <c r="U361">
        <f t="shared" si="63"/>
        <v>10.642392600493828</v>
      </c>
      <c r="X361" s="9"/>
      <c r="Y361" s="21">
        <v>3.2501200000000001E-2</v>
      </c>
      <c r="Z361" s="21">
        <v>18.200500000000002</v>
      </c>
      <c r="AA361" s="21">
        <v>-1.4855999999999999E-2</v>
      </c>
      <c r="AB361" s="21">
        <v>351</v>
      </c>
      <c r="AC361" s="21">
        <v>3.2391400000000001E-2</v>
      </c>
      <c r="AD361">
        <f t="shared" si="64"/>
        <v>18.340740740740738</v>
      </c>
      <c r="AE361">
        <f t="shared" si="65"/>
        <v>0.5960960829629629</v>
      </c>
      <c r="AF361" s="9"/>
      <c r="AG361" s="21">
        <v>1.6674800000000001</v>
      </c>
      <c r="AH361" s="21">
        <v>22.0197</v>
      </c>
      <c r="AI361" s="21">
        <v>-5.0323499999999997E-3</v>
      </c>
      <c r="AJ361" s="21">
        <v>351</v>
      </c>
      <c r="AK361" s="21">
        <v>1.6662600000000001</v>
      </c>
      <c r="AL361">
        <f t="shared" si="66"/>
        <v>6.2127777777777773</v>
      </c>
      <c r="AM361">
        <f t="shared" si="67"/>
        <v>10.359682688888888</v>
      </c>
      <c r="AP361" s="9"/>
      <c r="AQ361" s="21">
        <v>3.2501200000000001E-2</v>
      </c>
      <c r="AR361" s="21">
        <v>27.512699999999999</v>
      </c>
      <c r="AS361" s="21">
        <v>-1.48834E-2</v>
      </c>
      <c r="AT361" s="21">
        <v>351</v>
      </c>
      <c r="AU361" s="21">
        <v>3.2394399999999997E-2</v>
      </c>
      <c r="AV361">
        <f t="shared" si="68"/>
        <v>18.374567901234567</v>
      </c>
      <c r="AW361">
        <f t="shared" si="69"/>
        <v>0.59719550627160489</v>
      </c>
      <c r="AX361" s="9"/>
      <c r="AY361" s="21">
        <v>1.6674800000000001</v>
      </c>
      <c r="AZ361" s="21">
        <v>31.332000000000001</v>
      </c>
      <c r="BA361" s="21">
        <v>-5.0537100000000003E-3</v>
      </c>
      <c r="BB361" s="21">
        <v>351</v>
      </c>
      <c r="BC361" s="21">
        <v>1.6671800000000001</v>
      </c>
      <c r="BD361">
        <f t="shared" si="70"/>
        <v>6.2391481481481481</v>
      </c>
      <c r="BE361">
        <f t="shared" si="71"/>
        <v>10.403654754074074</v>
      </c>
    </row>
    <row r="362" spans="6:57" x14ac:dyDescent="0.25">
      <c r="F362" s="9"/>
      <c r="G362" s="21">
        <v>2.7465799999999999E-2</v>
      </c>
      <c r="H362" s="21">
        <v>8.8873200000000008</v>
      </c>
      <c r="I362" s="21">
        <v>-1.48834E-2</v>
      </c>
      <c r="J362" s="21">
        <v>352</v>
      </c>
      <c r="K362" s="21">
        <v>2.7380399999999999E-2</v>
      </c>
      <c r="L362">
        <f t="shared" si="60"/>
        <v>18.374567901234567</v>
      </c>
      <c r="M362">
        <f t="shared" si="61"/>
        <v>0.50467220706172833</v>
      </c>
      <c r="N362" s="9"/>
      <c r="O362" s="21">
        <v>1.67252</v>
      </c>
      <c r="P362" s="21">
        <v>12.7065</v>
      </c>
      <c r="Q362" s="21">
        <v>-4.5959499999999997E-3</v>
      </c>
      <c r="R362" s="21">
        <v>352</v>
      </c>
      <c r="S362" s="21">
        <v>1.6717500000000001</v>
      </c>
      <c r="T362">
        <f t="shared" si="62"/>
        <v>5.674012345679011</v>
      </c>
      <c r="U362">
        <f t="shared" si="63"/>
        <v>9.4898991283950593</v>
      </c>
      <c r="X362" s="9"/>
      <c r="Y362" s="21">
        <v>2.7465799999999999E-2</v>
      </c>
      <c r="Z362" s="21">
        <v>18.2105</v>
      </c>
      <c r="AA362" s="21">
        <v>-1.4849899999999999E-2</v>
      </c>
      <c r="AB362" s="21">
        <v>352</v>
      </c>
      <c r="AC362" s="21">
        <v>2.7331500000000002E-2</v>
      </c>
      <c r="AD362">
        <f t="shared" si="64"/>
        <v>18.333209876543208</v>
      </c>
      <c r="AE362">
        <f t="shared" si="65"/>
        <v>0.50353627582716043</v>
      </c>
      <c r="AF362" s="9"/>
      <c r="AG362" s="21">
        <v>1.67252</v>
      </c>
      <c r="AH362" s="21">
        <v>22.029699999999998</v>
      </c>
      <c r="AI362" s="21">
        <v>-4.4564799999999996E-3</v>
      </c>
      <c r="AJ362" s="21">
        <v>352</v>
      </c>
      <c r="AK362" s="21">
        <v>1.6714500000000001</v>
      </c>
      <c r="AL362">
        <f t="shared" si="66"/>
        <v>5.5018271604938267</v>
      </c>
      <c r="AM362">
        <f t="shared" si="67"/>
        <v>9.2019159624691351</v>
      </c>
      <c r="AP362" s="9"/>
      <c r="AQ362" s="21">
        <v>2.7465799999999999E-2</v>
      </c>
      <c r="AR362" s="21">
        <v>27.5228</v>
      </c>
      <c r="AS362" s="21">
        <v>-1.48743E-2</v>
      </c>
      <c r="AT362" s="21">
        <v>352</v>
      </c>
      <c r="AU362" s="21">
        <v>2.7374300000000001E-2</v>
      </c>
      <c r="AV362">
        <f t="shared" si="68"/>
        <v>18.363333333333333</v>
      </c>
      <c r="AW362">
        <f t="shared" si="69"/>
        <v>0.50436364066666661</v>
      </c>
      <c r="AX362" s="9"/>
      <c r="AY362" s="21">
        <v>1.67252</v>
      </c>
      <c r="AZ362" s="21">
        <v>31.341999999999999</v>
      </c>
      <c r="BA362" s="21">
        <v>-4.4689899999999999E-3</v>
      </c>
      <c r="BB362" s="21">
        <v>352</v>
      </c>
      <c r="BC362" s="21">
        <v>1.6714500000000001</v>
      </c>
      <c r="BD362">
        <f t="shared" si="70"/>
        <v>5.5172716049382711</v>
      </c>
      <c r="BE362">
        <f t="shared" si="71"/>
        <v>9.2277471046913568</v>
      </c>
    </row>
    <row r="363" spans="6:57" x14ac:dyDescent="0.25">
      <c r="F363" s="9"/>
      <c r="G363" s="21">
        <v>2.24304E-2</v>
      </c>
      <c r="H363" s="21">
        <v>8.8973899999999997</v>
      </c>
      <c r="I363" s="21">
        <v>-1.48865E-2</v>
      </c>
      <c r="J363" s="21">
        <v>353</v>
      </c>
      <c r="K363" s="21">
        <v>2.2320599999999999E-2</v>
      </c>
      <c r="L363">
        <f t="shared" si="60"/>
        <v>18.378395061728394</v>
      </c>
      <c r="M363">
        <f t="shared" si="61"/>
        <v>0.41223475259259257</v>
      </c>
      <c r="N363" s="9"/>
      <c r="O363" s="21">
        <v>1.6775500000000001</v>
      </c>
      <c r="P363" s="21">
        <v>12.7166</v>
      </c>
      <c r="Q363" s="21">
        <v>-3.9154100000000002E-3</v>
      </c>
      <c r="R363" s="21">
        <v>353</v>
      </c>
      <c r="S363" s="21">
        <v>1.6763300000000001</v>
      </c>
      <c r="T363">
        <f t="shared" si="62"/>
        <v>4.833839506172839</v>
      </c>
      <c r="U363">
        <f t="shared" si="63"/>
        <v>8.1090074635802463</v>
      </c>
      <c r="X363" s="9"/>
      <c r="Y363" s="21">
        <v>2.24304E-2</v>
      </c>
      <c r="Z363" s="21">
        <v>18.220600000000001</v>
      </c>
      <c r="AA363" s="21">
        <v>-1.4843800000000001E-2</v>
      </c>
      <c r="AB363" s="21">
        <v>353</v>
      </c>
      <c r="AC363" s="21">
        <v>2.2280899999999999E-2</v>
      </c>
      <c r="AD363">
        <f t="shared" si="64"/>
        <v>18.325679012345677</v>
      </c>
      <c r="AE363">
        <f t="shared" si="65"/>
        <v>0.41105231051851848</v>
      </c>
      <c r="AF363" s="9"/>
      <c r="AG363" s="21">
        <v>1.6775500000000001</v>
      </c>
      <c r="AH363" s="21">
        <v>22.0398</v>
      </c>
      <c r="AI363" s="21">
        <v>-3.7905899999999999E-3</v>
      </c>
      <c r="AJ363" s="21">
        <v>353</v>
      </c>
      <c r="AK363" s="21">
        <v>1.6772499999999999</v>
      </c>
      <c r="AL363">
        <f t="shared" si="66"/>
        <v>4.6797407407407405</v>
      </c>
      <c r="AM363">
        <f t="shared" si="67"/>
        <v>7.8504990796296301</v>
      </c>
      <c r="AP363" s="9"/>
      <c r="AQ363" s="21">
        <v>2.24304E-2</v>
      </c>
      <c r="AR363" s="21">
        <v>27.532800000000002</v>
      </c>
      <c r="AS363" s="21">
        <v>-1.48743E-2</v>
      </c>
      <c r="AT363" s="21">
        <v>353</v>
      </c>
      <c r="AU363" s="21">
        <v>2.2354099999999998E-2</v>
      </c>
      <c r="AV363">
        <f t="shared" si="68"/>
        <v>18.363333333333333</v>
      </c>
      <c r="AW363">
        <f t="shared" si="69"/>
        <v>0.411896912</v>
      </c>
      <c r="AX363" s="9"/>
      <c r="AY363" s="21">
        <v>1.6775500000000001</v>
      </c>
      <c r="AZ363" s="21">
        <v>31.3521</v>
      </c>
      <c r="BA363" s="21">
        <v>-3.8058499999999999E-3</v>
      </c>
      <c r="BB363" s="21">
        <v>353</v>
      </c>
      <c r="BC363" s="21">
        <v>1.6766399999999999</v>
      </c>
      <c r="BD363">
        <f t="shared" si="70"/>
        <v>4.69858024691358</v>
      </c>
      <c r="BE363">
        <f t="shared" si="71"/>
        <v>7.8821032932098767</v>
      </c>
    </row>
    <row r="364" spans="6:57" x14ac:dyDescent="0.25">
      <c r="F364" s="9"/>
      <c r="G364" s="21">
        <v>1.7395000000000001E-2</v>
      </c>
      <c r="H364" s="21">
        <v>8.9074600000000004</v>
      </c>
      <c r="I364" s="21">
        <v>-1.48895E-2</v>
      </c>
      <c r="J364" s="21">
        <v>354</v>
      </c>
      <c r="K364" s="21">
        <v>1.72882E-2</v>
      </c>
      <c r="L364">
        <f t="shared" si="60"/>
        <v>18.382098765432101</v>
      </c>
      <c r="M364">
        <f t="shared" si="61"/>
        <v>0.31975660802469141</v>
      </c>
      <c r="N364" s="9"/>
      <c r="O364" s="21">
        <v>1.68259</v>
      </c>
      <c r="P364" s="21">
        <v>12.726699999999999</v>
      </c>
      <c r="Q364" s="21">
        <v>-3.1970200000000001E-3</v>
      </c>
      <c r="R364" s="21">
        <v>354</v>
      </c>
      <c r="S364" s="21">
        <v>1.6821299999999999</v>
      </c>
      <c r="T364">
        <f t="shared" si="62"/>
        <v>3.9469382716049379</v>
      </c>
      <c r="U364">
        <f t="shared" si="63"/>
        <v>6.6410788664197522</v>
      </c>
      <c r="X364" s="9"/>
      <c r="Y364" s="21">
        <v>1.7395000000000001E-2</v>
      </c>
      <c r="Z364" s="21">
        <v>18.230699999999999</v>
      </c>
      <c r="AA364" s="21">
        <v>-1.4837599999999999E-2</v>
      </c>
      <c r="AB364" s="21">
        <v>354</v>
      </c>
      <c r="AC364" s="21">
        <v>1.7282100000000002E-2</v>
      </c>
      <c r="AD364">
        <f t="shared" si="64"/>
        <v>18.318024691358023</v>
      </c>
      <c r="AE364">
        <f t="shared" si="65"/>
        <v>0.31864203950617281</v>
      </c>
      <c r="AF364" s="9"/>
      <c r="AG364" s="21">
        <v>1.68259</v>
      </c>
      <c r="AH364" s="21">
        <v>22.049900000000001</v>
      </c>
      <c r="AI364" s="21">
        <v>-3.0825800000000001E-3</v>
      </c>
      <c r="AJ364" s="21">
        <v>354</v>
      </c>
      <c r="AK364" s="21">
        <v>1.6815199999999999</v>
      </c>
      <c r="AL364">
        <f t="shared" si="66"/>
        <v>3.8056543209876543</v>
      </c>
      <c r="AM364">
        <f t="shared" si="67"/>
        <v>6.4033559039506178</v>
      </c>
      <c r="AP364" s="9"/>
      <c r="AQ364" s="21">
        <v>1.7395000000000001E-2</v>
      </c>
      <c r="AR364" s="21">
        <v>27.542899999999999</v>
      </c>
      <c r="AS364" s="21">
        <v>-1.48773E-2</v>
      </c>
      <c r="AT364" s="21">
        <v>354</v>
      </c>
      <c r="AU364" s="21">
        <v>1.7291299999999999E-2</v>
      </c>
      <c r="AV364">
        <f t="shared" si="68"/>
        <v>18.367037037037036</v>
      </c>
      <c r="AW364">
        <f t="shared" si="69"/>
        <v>0.31949460925925927</v>
      </c>
      <c r="AX364" s="9"/>
      <c r="AY364" s="21">
        <v>1.68259</v>
      </c>
      <c r="AZ364" s="21">
        <v>31.362200000000001</v>
      </c>
      <c r="BA364" s="21">
        <v>-3.08472E-3</v>
      </c>
      <c r="BB364" s="21">
        <v>354</v>
      </c>
      <c r="BC364" s="21">
        <v>1.6815199999999999</v>
      </c>
      <c r="BD364">
        <f t="shared" si="70"/>
        <v>3.8082962962962963</v>
      </c>
      <c r="BE364">
        <f t="shared" si="71"/>
        <v>6.407801265185185</v>
      </c>
    </row>
    <row r="365" spans="6:57" x14ac:dyDescent="0.25">
      <c r="F365" s="9"/>
      <c r="G365" s="21">
        <v>1.23596E-2</v>
      </c>
      <c r="H365" s="21">
        <v>8.9175299999999993</v>
      </c>
      <c r="I365" s="21">
        <v>-1.49017E-2</v>
      </c>
      <c r="J365" s="21">
        <v>355</v>
      </c>
      <c r="K365" s="21">
        <v>1.22437E-2</v>
      </c>
      <c r="L365">
        <f t="shared" si="60"/>
        <v>18.397160493827158</v>
      </c>
      <c r="M365">
        <f t="shared" si="61"/>
        <v>0.22738154483950615</v>
      </c>
      <c r="N365" s="9"/>
      <c r="O365" s="21">
        <v>1.6876199999999999</v>
      </c>
      <c r="P365" s="21">
        <v>12.736700000000001</v>
      </c>
      <c r="Q365" s="21">
        <v>-2.3852499999999998E-3</v>
      </c>
      <c r="R365" s="21">
        <v>355</v>
      </c>
      <c r="S365" s="21">
        <v>1.6873199999999999</v>
      </c>
      <c r="T365">
        <f t="shared" si="62"/>
        <v>2.9447530864197526</v>
      </c>
      <c r="U365">
        <f t="shared" si="63"/>
        <v>4.9696242037037024</v>
      </c>
      <c r="X365" s="9"/>
      <c r="Y365" s="21">
        <v>1.23596E-2</v>
      </c>
      <c r="Z365" s="21">
        <v>18.2407</v>
      </c>
      <c r="AA365" s="21">
        <v>-1.48407E-2</v>
      </c>
      <c r="AB365" s="21">
        <v>355</v>
      </c>
      <c r="AC365" s="21">
        <v>1.22162E-2</v>
      </c>
      <c r="AD365">
        <f t="shared" si="64"/>
        <v>18.32185185185185</v>
      </c>
      <c r="AE365">
        <f t="shared" si="65"/>
        <v>0.22645076014814813</v>
      </c>
      <c r="AF365" s="9"/>
      <c r="AG365" s="21">
        <v>1.6876199999999999</v>
      </c>
      <c r="AH365" s="21">
        <v>22.059899999999999</v>
      </c>
      <c r="AI365" s="21">
        <v>-2.2692900000000002E-3</v>
      </c>
      <c r="AJ365" s="21">
        <v>355</v>
      </c>
      <c r="AK365" s="21">
        <v>1.6867099999999999</v>
      </c>
      <c r="AL365">
        <f t="shared" si="66"/>
        <v>2.8015925925925926</v>
      </c>
      <c r="AM365">
        <f t="shared" si="67"/>
        <v>4.7280236911111109</v>
      </c>
      <c r="AP365" s="9"/>
      <c r="AQ365" s="21">
        <v>1.23596E-2</v>
      </c>
      <c r="AR365" s="21">
        <v>27.553000000000001</v>
      </c>
      <c r="AS365" s="21">
        <v>-1.48895E-2</v>
      </c>
      <c r="AT365" s="21">
        <v>355</v>
      </c>
      <c r="AU365" s="21">
        <v>1.22711E-2</v>
      </c>
      <c r="AV365">
        <f t="shared" si="68"/>
        <v>18.382098765432101</v>
      </c>
      <c r="AW365">
        <f t="shared" si="69"/>
        <v>0.22719538790123459</v>
      </c>
      <c r="AX365" s="9"/>
      <c r="AY365" s="21">
        <v>1.6876199999999999</v>
      </c>
      <c r="AZ365" s="21">
        <v>31.372199999999999</v>
      </c>
      <c r="BA365" s="21">
        <v>-2.2723399999999999E-3</v>
      </c>
      <c r="BB365" s="21">
        <v>355</v>
      </c>
      <c r="BC365" s="21">
        <v>1.6867099999999999</v>
      </c>
      <c r="BD365">
        <f t="shared" si="70"/>
        <v>2.8053580246913579</v>
      </c>
      <c r="BE365">
        <f t="shared" si="71"/>
        <v>4.734378309629629</v>
      </c>
    </row>
    <row r="366" spans="6:57" x14ac:dyDescent="0.25">
      <c r="F366" s="9"/>
      <c r="G366" s="21">
        <v>7.3242200000000002E-3</v>
      </c>
      <c r="H366" s="21">
        <v>8.9276</v>
      </c>
      <c r="I366" s="21">
        <v>-1.4904799999999999E-2</v>
      </c>
      <c r="J366" s="21">
        <v>356</v>
      </c>
      <c r="K366" s="21">
        <v>7.0892300000000002E-3</v>
      </c>
      <c r="L366">
        <f t="shared" si="60"/>
        <v>18.400987654320986</v>
      </c>
      <c r="M366">
        <f t="shared" si="61"/>
        <v>0.13477288179753086</v>
      </c>
      <c r="N366" s="9"/>
      <c r="O366" s="21">
        <v>1.6926600000000001</v>
      </c>
      <c r="P366" s="21">
        <v>12.7468</v>
      </c>
      <c r="Q366" s="21">
        <v>-1.48956E-3</v>
      </c>
      <c r="R366" s="21">
        <v>356</v>
      </c>
      <c r="S366" s="21">
        <v>1.6918899999999999</v>
      </c>
      <c r="T366">
        <f t="shared" si="62"/>
        <v>1.8389629629629629</v>
      </c>
      <c r="U366">
        <f t="shared" si="63"/>
        <v>3.1127390488888889</v>
      </c>
      <c r="X366" s="9"/>
      <c r="Y366" s="21">
        <v>7.3242200000000002E-3</v>
      </c>
      <c r="Z366" s="21">
        <v>18.250800000000002</v>
      </c>
      <c r="AA366" s="21">
        <v>-1.48346E-2</v>
      </c>
      <c r="AB366" s="21">
        <v>356</v>
      </c>
      <c r="AC366" s="21">
        <v>7.2357200000000002E-3</v>
      </c>
      <c r="AD366">
        <f t="shared" si="64"/>
        <v>18.31432098765432</v>
      </c>
      <c r="AE366">
        <f t="shared" si="65"/>
        <v>0.13413811606419754</v>
      </c>
      <c r="AF366" s="9"/>
      <c r="AG366" s="21">
        <v>1.6926600000000001</v>
      </c>
      <c r="AH366" s="21">
        <v>22.07</v>
      </c>
      <c r="AI366" s="21">
        <v>-1.3848899999999999E-3</v>
      </c>
      <c r="AJ366" s="21">
        <v>356</v>
      </c>
      <c r="AK366" s="21">
        <v>1.6918899999999999</v>
      </c>
      <c r="AL366">
        <f t="shared" si="66"/>
        <v>1.7097407407407406</v>
      </c>
      <c r="AM366">
        <f t="shared" si="67"/>
        <v>2.8940097622222218</v>
      </c>
      <c r="AP366" s="9"/>
      <c r="AQ366" s="21">
        <v>7.3242200000000002E-3</v>
      </c>
      <c r="AR366" s="21">
        <v>27.562999999999999</v>
      </c>
      <c r="AS366" s="21">
        <v>-1.4898700000000001E-2</v>
      </c>
      <c r="AT366" s="21">
        <v>356</v>
      </c>
      <c r="AU366" s="21">
        <v>7.1563699999999996E-3</v>
      </c>
      <c r="AV366">
        <f t="shared" si="68"/>
        <v>18.393456790123455</v>
      </c>
      <c r="AW366">
        <f t="shared" si="69"/>
        <v>0.13471772409135802</v>
      </c>
      <c r="AX366" s="9"/>
      <c r="AY366" s="21">
        <v>1.6926600000000001</v>
      </c>
      <c r="AZ366" s="21">
        <v>31.382300000000001</v>
      </c>
      <c r="BA366" s="21">
        <v>-1.37177E-3</v>
      </c>
      <c r="BB366" s="21">
        <v>356</v>
      </c>
      <c r="BC366" s="21">
        <v>1.6921999999999999</v>
      </c>
      <c r="BD366">
        <f t="shared" si="70"/>
        <v>1.6935432098765431</v>
      </c>
      <c r="BE366">
        <f t="shared" si="71"/>
        <v>2.8665928496296296</v>
      </c>
    </row>
    <row r="367" spans="6:57" x14ac:dyDescent="0.25">
      <c r="F367" s="9"/>
      <c r="G367" s="21">
        <v>2.28882E-3</v>
      </c>
      <c r="H367" s="21">
        <v>8.9376700000000007</v>
      </c>
      <c r="I367" s="21">
        <v>-1.4907800000000001E-2</v>
      </c>
      <c r="J367" s="21">
        <v>357</v>
      </c>
      <c r="K367" s="21">
        <v>2.13013E-3</v>
      </c>
      <c r="L367">
        <f t="shared" si="60"/>
        <v>18.404691358024692</v>
      </c>
      <c r="M367">
        <f t="shared" si="61"/>
        <v>4.2125025674074078E-2</v>
      </c>
      <c r="N367" s="9"/>
      <c r="O367" s="21">
        <v>1.6976899999999999</v>
      </c>
      <c r="P367" s="21">
        <v>12.7569</v>
      </c>
      <c r="Q367" s="21">
        <v>-4.23187E-4</v>
      </c>
      <c r="R367" s="21">
        <v>357</v>
      </c>
      <c r="S367" s="21">
        <v>1.69678</v>
      </c>
      <c r="T367">
        <f t="shared" si="62"/>
        <v>0.52245308641975308</v>
      </c>
      <c r="U367">
        <f t="shared" si="63"/>
        <v>0.88696338028395061</v>
      </c>
      <c r="X367" s="9"/>
      <c r="Y367" s="21">
        <v>2.28882E-3</v>
      </c>
      <c r="Z367" s="21">
        <v>18.260899999999999</v>
      </c>
      <c r="AA367" s="21">
        <v>-1.48285E-2</v>
      </c>
      <c r="AB367" s="21">
        <v>357</v>
      </c>
      <c r="AC367" s="21">
        <v>2.1667499999999998E-3</v>
      </c>
      <c r="AD367">
        <f t="shared" si="64"/>
        <v>18.306790123456789</v>
      </c>
      <c r="AE367">
        <f t="shared" si="65"/>
        <v>4.1900947370370367E-2</v>
      </c>
      <c r="AF367" s="9"/>
      <c r="AG367" s="21">
        <v>1.6976899999999999</v>
      </c>
      <c r="AH367" s="21">
        <v>22.080100000000002</v>
      </c>
      <c r="AI367" s="21">
        <v>-3.6618000000000002E-4</v>
      </c>
      <c r="AJ367" s="21">
        <v>357</v>
      </c>
      <c r="AK367" s="21">
        <v>1.69678</v>
      </c>
      <c r="AL367">
        <f t="shared" si="66"/>
        <v>0.45207407407407407</v>
      </c>
      <c r="AM367">
        <f t="shared" si="67"/>
        <v>0.76748163481481479</v>
      </c>
      <c r="AP367" s="9"/>
      <c r="AQ367" s="21">
        <v>2.28882E-3</v>
      </c>
      <c r="AR367" s="21">
        <v>27.5731</v>
      </c>
      <c r="AS367" s="21">
        <v>-1.4898700000000001E-2</v>
      </c>
      <c r="AT367" s="21">
        <v>357</v>
      </c>
      <c r="AU367" s="21">
        <v>2.0782499999999998E-3</v>
      </c>
      <c r="AV367">
        <f t="shared" si="68"/>
        <v>18.393456790123455</v>
      </c>
      <c r="AW367">
        <f t="shared" si="69"/>
        <v>4.2099311770370365E-2</v>
      </c>
      <c r="AX367" s="9"/>
      <c r="AY367" s="21">
        <v>1.6976899999999999</v>
      </c>
      <c r="AZ367" s="21">
        <v>31.392399999999999</v>
      </c>
      <c r="BA367" s="21">
        <v>-3.2452400000000003E-4</v>
      </c>
      <c r="BB367" s="21">
        <v>357</v>
      </c>
      <c r="BC367" s="21">
        <v>1.69678</v>
      </c>
      <c r="BD367">
        <f t="shared" si="70"/>
        <v>0.40064691358024696</v>
      </c>
      <c r="BE367">
        <f t="shared" si="71"/>
        <v>0.68017425871604942</v>
      </c>
    </row>
    <row r="368" spans="6:57" x14ac:dyDescent="0.25">
      <c r="F368" s="9"/>
      <c r="G368" s="21">
        <v>-2.7465800000000002E-3</v>
      </c>
      <c r="H368" s="21">
        <v>8.9477399999999996</v>
      </c>
      <c r="I368" s="21">
        <v>-1.49109E-2</v>
      </c>
      <c r="J368" s="21">
        <v>358</v>
      </c>
      <c r="K368" s="21">
        <v>-2.9480000000000001E-3</v>
      </c>
      <c r="L368">
        <f t="shared" si="60"/>
        <v>18.408518518518516</v>
      </c>
      <c r="M368">
        <f t="shared" si="61"/>
        <v>-5.0560468792592593E-2</v>
      </c>
      <c r="N368" s="9"/>
      <c r="O368" s="21">
        <v>1.7027300000000001</v>
      </c>
      <c r="P368" s="21">
        <v>12.7669</v>
      </c>
      <c r="Q368" s="21">
        <v>7.3791500000000001E-4</v>
      </c>
      <c r="R368" s="21">
        <v>358</v>
      </c>
      <c r="S368" s="21">
        <v>1.70197</v>
      </c>
      <c r="T368">
        <f t="shared" si="62"/>
        <v>-0.91100617283950613</v>
      </c>
      <c r="U368">
        <f t="shared" si="63"/>
        <v>-1.5511975406790124</v>
      </c>
      <c r="X368" s="9"/>
      <c r="Y368" s="21">
        <v>-2.7465800000000002E-3</v>
      </c>
      <c r="Z368" s="21">
        <v>18.271000000000001</v>
      </c>
      <c r="AA368" s="21">
        <v>-1.4831499999999999E-2</v>
      </c>
      <c r="AB368" s="21">
        <v>358</v>
      </c>
      <c r="AC368" s="21">
        <v>-2.94189E-3</v>
      </c>
      <c r="AD368">
        <f t="shared" si="64"/>
        <v>18.310493827160489</v>
      </c>
      <c r="AE368">
        <f t="shared" si="65"/>
        <v>-5.0291236135802456E-2</v>
      </c>
      <c r="AF368" s="9"/>
      <c r="AG368" s="21">
        <v>1.7027300000000001</v>
      </c>
      <c r="AH368" s="21">
        <v>22.0901</v>
      </c>
      <c r="AI368" s="21">
        <v>7.4523899999999997E-4</v>
      </c>
      <c r="AJ368" s="21">
        <v>358</v>
      </c>
      <c r="AK368" s="21">
        <v>1.7022699999999999</v>
      </c>
      <c r="AL368">
        <f t="shared" si="66"/>
        <v>-0.92004814814814806</v>
      </c>
      <c r="AM368">
        <f t="shared" si="67"/>
        <v>-1.5665935832962963</v>
      </c>
      <c r="AP368" s="9"/>
      <c r="AQ368" s="21">
        <v>-2.7465800000000002E-3</v>
      </c>
      <c r="AR368" s="21">
        <v>27.583200000000001</v>
      </c>
      <c r="AS368" s="21">
        <v>-1.4904799999999999E-2</v>
      </c>
      <c r="AT368" s="21">
        <v>358</v>
      </c>
      <c r="AU368" s="21">
        <v>-3.04565E-3</v>
      </c>
      <c r="AV368">
        <f t="shared" si="68"/>
        <v>18.400987654320986</v>
      </c>
      <c r="AW368">
        <f t="shared" si="69"/>
        <v>-5.0539784671604936E-2</v>
      </c>
      <c r="AX368" s="9"/>
      <c r="AY368" s="21">
        <v>1.7027300000000001</v>
      </c>
      <c r="AZ368" s="21">
        <v>31.4025</v>
      </c>
      <c r="BA368" s="21">
        <v>7.7178999999999995E-4</v>
      </c>
      <c r="BB368" s="21">
        <v>358</v>
      </c>
      <c r="BC368" s="21">
        <v>1.70166</v>
      </c>
      <c r="BD368">
        <f t="shared" si="70"/>
        <v>-0.9528271604938271</v>
      </c>
      <c r="BE368">
        <f t="shared" si="71"/>
        <v>-1.6224073909876542</v>
      </c>
    </row>
    <row r="369" spans="6:57" x14ac:dyDescent="0.25">
      <c r="F369" s="9"/>
      <c r="G369" s="21">
        <v>-7.78198E-3</v>
      </c>
      <c r="H369" s="21">
        <v>8.9578100000000003</v>
      </c>
      <c r="I369" s="21">
        <v>-1.4913900000000001E-2</v>
      </c>
      <c r="J369" s="21">
        <v>359</v>
      </c>
      <c r="K369" s="21">
        <v>-7.901E-3</v>
      </c>
      <c r="L369">
        <f t="shared" si="60"/>
        <v>18.412222222222223</v>
      </c>
      <c r="M369">
        <f t="shared" si="61"/>
        <v>-0.14328354508888888</v>
      </c>
      <c r="N369" s="9"/>
      <c r="O369" s="21">
        <v>1.7077599999999999</v>
      </c>
      <c r="P369" s="21">
        <v>12.776999999999999</v>
      </c>
      <c r="Q369" s="21">
        <v>2.0696999999999998E-3</v>
      </c>
      <c r="R369" s="21">
        <v>359</v>
      </c>
      <c r="S369" s="21">
        <v>1.70746</v>
      </c>
      <c r="T369">
        <f t="shared" si="62"/>
        <v>-2.5551851851851848</v>
      </c>
      <c r="U369">
        <f t="shared" si="63"/>
        <v>-4.3636430518518514</v>
      </c>
      <c r="X369" s="9"/>
      <c r="Y369" s="21">
        <v>-7.78198E-3</v>
      </c>
      <c r="Z369" s="21">
        <v>18.280999999999999</v>
      </c>
      <c r="AA369" s="21">
        <v>-1.48285E-2</v>
      </c>
      <c r="AB369" s="21">
        <v>359</v>
      </c>
      <c r="AC369" s="21">
        <v>-8.0352800000000005E-3</v>
      </c>
      <c r="AD369">
        <f t="shared" si="64"/>
        <v>18.306790123456789</v>
      </c>
      <c r="AE369">
        <f t="shared" si="65"/>
        <v>-0.14246307460493826</v>
      </c>
      <c r="AF369" s="9"/>
      <c r="AG369" s="21">
        <v>1.7077599999999999</v>
      </c>
      <c r="AH369" s="21">
        <v>22.100200000000001</v>
      </c>
      <c r="AI369" s="21">
        <v>2.02454E-3</v>
      </c>
      <c r="AJ369" s="21">
        <v>359</v>
      </c>
      <c r="AK369" s="21">
        <v>1.70746</v>
      </c>
      <c r="AL369">
        <f t="shared" si="66"/>
        <v>-2.4994320987654319</v>
      </c>
      <c r="AM369">
        <f t="shared" si="67"/>
        <v>-4.2684301609876538</v>
      </c>
      <c r="AP369" s="9"/>
      <c r="AQ369" s="21">
        <v>-7.78198E-3</v>
      </c>
      <c r="AR369" s="21">
        <v>27.593299999999999</v>
      </c>
      <c r="AS369" s="21">
        <v>-1.4907800000000001E-2</v>
      </c>
      <c r="AT369" s="21">
        <v>359</v>
      </c>
      <c r="AU369" s="21">
        <v>-7.9895000000000001E-3</v>
      </c>
      <c r="AV369">
        <f t="shared" si="68"/>
        <v>18.404691358024692</v>
      </c>
      <c r="AW369">
        <f t="shared" si="69"/>
        <v>-0.14322494005432099</v>
      </c>
      <c r="AX369" s="9"/>
      <c r="AY369" s="21">
        <v>1.7077599999999999</v>
      </c>
      <c r="AZ369" s="21">
        <v>31.412500000000001</v>
      </c>
      <c r="BA369" s="21">
        <v>2.0404099999999999E-3</v>
      </c>
      <c r="BB369" s="21">
        <v>359</v>
      </c>
      <c r="BC369" s="21">
        <v>1.70685</v>
      </c>
      <c r="BD369">
        <f t="shared" si="70"/>
        <v>-2.5190246913580245</v>
      </c>
      <c r="BE369">
        <f t="shared" si="71"/>
        <v>-4.3018896069135799</v>
      </c>
    </row>
    <row r="370" spans="6:57" x14ac:dyDescent="0.25">
      <c r="F370" s="9"/>
      <c r="G370" s="21">
        <v>-1.28174E-2</v>
      </c>
      <c r="H370" s="21">
        <v>8.9678900000000006</v>
      </c>
      <c r="I370" s="21">
        <v>-1.49231E-2</v>
      </c>
      <c r="J370" s="21">
        <v>360</v>
      </c>
      <c r="K370" s="21">
        <v>-1.2973E-2</v>
      </c>
      <c r="L370">
        <f t="shared" si="60"/>
        <v>18.423580246913577</v>
      </c>
      <c r="M370">
        <f t="shared" si="61"/>
        <v>-0.23614239745679008</v>
      </c>
      <c r="N370" s="9"/>
      <c r="O370" s="21">
        <v>1.7128000000000001</v>
      </c>
      <c r="P370" s="21">
        <v>12.787100000000001</v>
      </c>
      <c r="Q370" s="21">
        <v>3.4643600000000001E-3</v>
      </c>
      <c r="R370" s="21">
        <v>360</v>
      </c>
      <c r="S370" s="21">
        <v>1.71173</v>
      </c>
      <c r="T370">
        <f t="shared" si="62"/>
        <v>-4.2769876543209877</v>
      </c>
      <c r="U370">
        <f t="shared" si="63"/>
        <v>-7.3256244543209883</v>
      </c>
      <c r="X370" s="9"/>
      <c r="Y370" s="21">
        <v>-1.28174E-2</v>
      </c>
      <c r="Z370" s="21">
        <v>18.2911</v>
      </c>
      <c r="AA370" s="21">
        <v>-1.48346E-2</v>
      </c>
      <c r="AB370" s="21">
        <v>360</v>
      </c>
      <c r="AC370" s="21">
        <v>-1.30524E-2</v>
      </c>
      <c r="AD370">
        <f t="shared" si="64"/>
        <v>18.31432098765432</v>
      </c>
      <c r="AE370">
        <f t="shared" si="65"/>
        <v>-0.23474197782716047</v>
      </c>
      <c r="AF370" s="9"/>
      <c r="AG370" s="21">
        <v>1.7128000000000001</v>
      </c>
      <c r="AH370" s="21">
        <v>22.110299999999999</v>
      </c>
      <c r="AI370" s="21">
        <v>3.3804299999999998E-3</v>
      </c>
      <c r="AJ370" s="21">
        <v>360</v>
      </c>
      <c r="AK370" s="21">
        <v>1.71204</v>
      </c>
      <c r="AL370">
        <f t="shared" si="66"/>
        <v>-4.1733703703703702</v>
      </c>
      <c r="AM370">
        <f t="shared" si="67"/>
        <v>-7.1481487703703701</v>
      </c>
      <c r="AP370" s="9"/>
      <c r="AQ370" s="21">
        <v>-1.28174E-2</v>
      </c>
      <c r="AR370" s="21">
        <v>27.603300000000001</v>
      </c>
      <c r="AS370" s="21">
        <v>-1.4907800000000001E-2</v>
      </c>
      <c r="AT370" s="21">
        <v>360</v>
      </c>
      <c r="AU370" s="21">
        <v>-1.30402E-2</v>
      </c>
      <c r="AV370">
        <f t="shared" si="68"/>
        <v>18.404691358024692</v>
      </c>
      <c r="AW370">
        <f t="shared" si="69"/>
        <v>-0.23590029101234569</v>
      </c>
      <c r="AX370" s="9"/>
      <c r="AY370" s="21">
        <v>1.7128000000000001</v>
      </c>
      <c r="AZ370" s="21">
        <v>31.422599999999999</v>
      </c>
      <c r="BA370" s="21">
        <v>3.41217E-3</v>
      </c>
      <c r="BB370" s="21">
        <v>360</v>
      </c>
      <c r="BC370" s="21">
        <v>1.71143</v>
      </c>
      <c r="BD370">
        <f t="shared" si="70"/>
        <v>-4.2125555555555554</v>
      </c>
      <c r="BE370">
        <f t="shared" si="71"/>
        <v>-7.2152651555555556</v>
      </c>
    </row>
    <row r="371" spans="6:57" x14ac:dyDescent="0.25">
      <c r="F371" s="9"/>
      <c r="G371" s="21">
        <v>-1.7852799999999999E-2</v>
      </c>
      <c r="H371" s="21">
        <v>8.9779599999999995</v>
      </c>
      <c r="I371" s="21">
        <v>-1.49231E-2</v>
      </c>
      <c r="J371" s="21">
        <v>361</v>
      </c>
      <c r="K371" s="21">
        <v>-1.79413E-2</v>
      </c>
      <c r="L371">
        <f t="shared" si="60"/>
        <v>18.423580246913577</v>
      </c>
      <c r="M371">
        <f t="shared" si="61"/>
        <v>-0.32891249343209866</v>
      </c>
      <c r="N371" s="9"/>
      <c r="O371" s="21">
        <v>1.71783</v>
      </c>
      <c r="P371" s="21">
        <v>12.7971</v>
      </c>
      <c r="Q371" s="21">
        <v>5.1055900000000001E-3</v>
      </c>
      <c r="R371" s="21">
        <v>361</v>
      </c>
      <c r="S371" s="21">
        <v>1.71722</v>
      </c>
      <c r="T371">
        <f t="shared" si="62"/>
        <v>-6.303197530864197</v>
      </c>
      <c r="U371">
        <f t="shared" si="63"/>
        <v>-10.827821814444443</v>
      </c>
      <c r="X371" s="9"/>
      <c r="Y371" s="21">
        <v>-1.7852799999999999E-2</v>
      </c>
      <c r="Z371" s="21">
        <v>18.301200000000001</v>
      </c>
      <c r="AA371" s="21">
        <v>-1.4837599999999999E-2</v>
      </c>
      <c r="AB371" s="21">
        <v>361</v>
      </c>
      <c r="AC371" s="21">
        <v>-1.80511E-2</v>
      </c>
      <c r="AD371">
        <f t="shared" si="64"/>
        <v>18.318024691358023</v>
      </c>
      <c r="AE371">
        <f t="shared" si="65"/>
        <v>-0.3270280312098765</v>
      </c>
      <c r="AF371" s="9"/>
      <c r="AG371" s="21">
        <v>1.71783</v>
      </c>
      <c r="AH371" s="21">
        <v>22.1204</v>
      </c>
      <c r="AI371" s="21">
        <v>4.9346900000000003E-3</v>
      </c>
      <c r="AJ371" s="21">
        <v>361</v>
      </c>
      <c r="AK371" s="21">
        <v>1.71753</v>
      </c>
      <c r="AL371">
        <f t="shared" si="66"/>
        <v>-6.09220987654321</v>
      </c>
      <c r="AM371">
        <f t="shared" si="67"/>
        <v>-10.465380892222223</v>
      </c>
      <c r="AP371" s="9"/>
      <c r="AQ371" s="21">
        <v>-1.7852799999999999E-2</v>
      </c>
      <c r="AR371" s="21">
        <v>27.613399999999999</v>
      </c>
      <c r="AS371" s="21">
        <v>-1.4913900000000001E-2</v>
      </c>
      <c r="AT371" s="21">
        <v>361</v>
      </c>
      <c r="AU371" s="21">
        <v>-1.81488E-2</v>
      </c>
      <c r="AV371">
        <f t="shared" si="68"/>
        <v>18.412222222222223</v>
      </c>
      <c r="AW371">
        <f t="shared" si="69"/>
        <v>-0.32870972088888889</v>
      </c>
      <c r="AX371" s="9"/>
      <c r="AY371" s="21">
        <v>1.71783</v>
      </c>
      <c r="AZ371" s="21">
        <v>31.432700000000001</v>
      </c>
      <c r="BA371" s="21">
        <v>4.9713099999999996E-3</v>
      </c>
      <c r="BB371" s="21">
        <v>361</v>
      </c>
      <c r="BC371" s="21">
        <v>1.71722</v>
      </c>
      <c r="BD371">
        <f t="shared" si="70"/>
        <v>-6.1374197530864185</v>
      </c>
      <c r="BE371">
        <f t="shared" si="71"/>
        <v>-10.543043774444442</v>
      </c>
    </row>
    <row r="372" spans="6:57" x14ac:dyDescent="0.25">
      <c r="F372" s="9"/>
      <c r="G372" s="21">
        <v>-2.2888200000000001E-2</v>
      </c>
      <c r="H372" s="21">
        <v>8.9880300000000002</v>
      </c>
      <c r="I372" s="21">
        <v>-1.4917E-2</v>
      </c>
      <c r="J372" s="21">
        <v>362</v>
      </c>
      <c r="K372" s="21">
        <v>-2.3153699999999999E-2</v>
      </c>
      <c r="L372">
        <f t="shared" si="60"/>
        <v>18.416049382716047</v>
      </c>
      <c r="M372">
        <f t="shared" si="61"/>
        <v>-0.42151022148148143</v>
      </c>
      <c r="N372" s="9"/>
      <c r="O372" s="21">
        <v>1.7228699999999999</v>
      </c>
      <c r="P372" s="21">
        <v>12.8072</v>
      </c>
      <c r="Q372" s="21">
        <v>6.8298300000000003E-3</v>
      </c>
      <c r="R372" s="21">
        <v>362</v>
      </c>
      <c r="S372" s="21">
        <v>1.72241</v>
      </c>
      <c r="T372">
        <f t="shared" si="62"/>
        <v>-8.4318888888888885</v>
      </c>
      <c r="U372">
        <f t="shared" si="63"/>
        <v>-14.527048409999999</v>
      </c>
      <c r="X372" s="9"/>
      <c r="Y372" s="21">
        <v>-2.2888200000000001E-2</v>
      </c>
      <c r="Z372" s="21">
        <v>18.311199999999999</v>
      </c>
      <c r="AA372" s="21">
        <v>-1.48468E-2</v>
      </c>
      <c r="AB372" s="21">
        <v>362</v>
      </c>
      <c r="AC372" s="21">
        <v>-2.31903E-2</v>
      </c>
      <c r="AD372">
        <f t="shared" si="64"/>
        <v>18.329382716049381</v>
      </c>
      <c r="AE372">
        <f t="shared" si="65"/>
        <v>-0.41952657748148142</v>
      </c>
      <c r="AF372" s="9"/>
      <c r="AG372" s="21">
        <v>1.7228699999999999</v>
      </c>
      <c r="AH372" s="21">
        <v>22.130400000000002</v>
      </c>
      <c r="AI372" s="21">
        <v>6.5918000000000001E-3</v>
      </c>
      <c r="AJ372" s="21">
        <v>362</v>
      </c>
      <c r="AK372" s="21">
        <v>1.72211</v>
      </c>
      <c r="AL372">
        <f t="shared" si="66"/>
        <v>-8.138024691358023</v>
      </c>
      <c r="AM372">
        <f t="shared" si="67"/>
        <v>-14.020758599999997</v>
      </c>
      <c r="AP372" s="9"/>
      <c r="AQ372" s="21">
        <v>-2.2888200000000001E-2</v>
      </c>
      <c r="AR372" s="21">
        <v>27.6235</v>
      </c>
      <c r="AS372" s="21">
        <v>-1.4913900000000001E-2</v>
      </c>
      <c r="AT372" s="21">
        <v>362</v>
      </c>
      <c r="AU372" s="21">
        <v>-2.31354E-2</v>
      </c>
      <c r="AV372">
        <f t="shared" si="68"/>
        <v>18.412222222222223</v>
      </c>
      <c r="AW372">
        <f t="shared" si="69"/>
        <v>-0.42142262466666669</v>
      </c>
      <c r="AX372" s="9"/>
      <c r="AY372" s="21">
        <v>1.7228699999999999</v>
      </c>
      <c r="AZ372" s="21">
        <v>31.442699999999999</v>
      </c>
      <c r="BA372" s="21">
        <v>6.6528300000000002E-3</v>
      </c>
      <c r="BB372" s="21">
        <v>362</v>
      </c>
      <c r="BC372" s="21">
        <v>1.72241</v>
      </c>
      <c r="BD372">
        <f t="shared" si="70"/>
        <v>-8.2133703703703702</v>
      </c>
      <c r="BE372">
        <f t="shared" si="71"/>
        <v>-14.150569409999999</v>
      </c>
    </row>
    <row r="373" spans="6:57" x14ac:dyDescent="0.25">
      <c r="F373" s="9"/>
      <c r="G373" s="21">
        <v>-2.79236E-2</v>
      </c>
      <c r="H373" s="21">
        <v>8.9981000000000009</v>
      </c>
      <c r="I373" s="21">
        <v>-1.4913900000000001E-2</v>
      </c>
      <c r="J373" s="21">
        <v>363</v>
      </c>
      <c r="K373" s="21">
        <v>-2.8192100000000001E-2</v>
      </c>
      <c r="L373">
        <f t="shared" si="60"/>
        <v>18.412222222222223</v>
      </c>
      <c r="M373">
        <f t="shared" si="61"/>
        <v>-0.51413552844444443</v>
      </c>
      <c r="N373" s="9"/>
      <c r="O373" s="21">
        <v>1.7279100000000001</v>
      </c>
      <c r="P373" s="21">
        <v>12.817299999999999</v>
      </c>
      <c r="Q373" s="21">
        <v>8.7921100000000005E-3</v>
      </c>
      <c r="R373" s="21">
        <v>363</v>
      </c>
      <c r="S373" s="21">
        <v>1.72699</v>
      </c>
      <c r="T373">
        <f t="shared" si="62"/>
        <v>-10.854456790123457</v>
      </c>
      <c r="U373">
        <f t="shared" si="63"/>
        <v>-18.755524432222224</v>
      </c>
      <c r="X373" s="9"/>
      <c r="Y373" s="21">
        <v>-2.79236E-2</v>
      </c>
      <c r="Z373" s="21">
        <v>18.321300000000001</v>
      </c>
      <c r="AA373" s="21">
        <v>-1.4855999999999999E-2</v>
      </c>
      <c r="AB373" s="21">
        <v>363</v>
      </c>
      <c r="AC373" s="21">
        <v>-2.81555E-2</v>
      </c>
      <c r="AD373">
        <f t="shared" si="64"/>
        <v>18.340740740740738</v>
      </c>
      <c r="AE373">
        <f t="shared" si="65"/>
        <v>-0.51213950814814813</v>
      </c>
      <c r="AF373" s="9"/>
      <c r="AG373" s="21">
        <v>1.7279100000000001</v>
      </c>
      <c r="AH373" s="21">
        <v>22.140499999999999</v>
      </c>
      <c r="AI373" s="21">
        <v>8.4777800000000007E-3</v>
      </c>
      <c r="AJ373" s="21">
        <v>363</v>
      </c>
      <c r="AK373" s="21">
        <v>1.72699</v>
      </c>
      <c r="AL373">
        <f t="shared" si="66"/>
        <v>-10.466395061728395</v>
      </c>
      <c r="AM373">
        <f t="shared" si="67"/>
        <v>-18.084988691111111</v>
      </c>
      <c r="AP373" s="9"/>
      <c r="AQ373" s="21">
        <v>-2.79236E-2</v>
      </c>
      <c r="AR373" s="21">
        <v>27.633500000000002</v>
      </c>
      <c r="AS373" s="21">
        <v>-1.4917E-2</v>
      </c>
      <c r="AT373" s="21">
        <v>363</v>
      </c>
      <c r="AU373" s="21">
        <v>-2.8256199999999999E-2</v>
      </c>
      <c r="AV373">
        <f t="shared" si="68"/>
        <v>18.416049382716047</v>
      </c>
      <c r="AW373">
        <f t="shared" si="69"/>
        <v>-0.5142423965432098</v>
      </c>
      <c r="AX373" s="9"/>
      <c r="AY373" s="21">
        <v>1.7279100000000001</v>
      </c>
      <c r="AZ373" s="21">
        <v>31.4528</v>
      </c>
      <c r="BA373" s="21">
        <v>8.5113500000000009E-3</v>
      </c>
      <c r="BB373" s="21">
        <v>363</v>
      </c>
      <c r="BC373" s="21">
        <v>1.72729</v>
      </c>
      <c r="BD373">
        <f t="shared" si="70"/>
        <v>-10.507839506172839</v>
      </c>
      <c r="BE373">
        <f t="shared" si="71"/>
        <v>-18.15660096111111</v>
      </c>
    </row>
    <row r="374" spans="6:57" x14ac:dyDescent="0.25">
      <c r="F374" s="9"/>
      <c r="G374" s="21">
        <v>-3.2959000000000002E-2</v>
      </c>
      <c r="H374" s="21">
        <v>9.0081699999999998</v>
      </c>
      <c r="I374" s="21">
        <v>-1.4917E-2</v>
      </c>
      <c r="J374" s="21">
        <v>364</v>
      </c>
      <c r="K374" s="21">
        <v>-3.3200100000000003E-2</v>
      </c>
      <c r="L374">
        <f t="shared" si="60"/>
        <v>18.416049382716047</v>
      </c>
      <c r="M374">
        <f t="shared" si="61"/>
        <v>-0.60697457160493817</v>
      </c>
      <c r="N374" s="9"/>
      <c r="O374" s="21">
        <v>1.7329399999999999</v>
      </c>
      <c r="P374" s="21">
        <v>12.827400000000001</v>
      </c>
      <c r="Q374" s="21">
        <v>1.0876500000000001E-2</v>
      </c>
      <c r="R374" s="21">
        <v>364</v>
      </c>
      <c r="S374" s="21">
        <v>1.73187</v>
      </c>
      <c r="T374">
        <f t="shared" si="62"/>
        <v>-13.427777777777779</v>
      </c>
      <c r="U374">
        <f t="shared" si="63"/>
        <v>-23.269533222222222</v>
      </c>
      <c r="X374" s="9"/>
      <c r="Y374" s="21">
        <v>-3.2959000000000002E-2</v>
      </c>
      <c r="Z374" s="21">
        <v>18.331399999999999</v>
      </c>
      <c r="AA374" s="21">
        <v>-1.4859000000000001E-2</v>
      </c>
      <c r="AB374" s="21">
        <v>364</v>
      </c>
      <c r="AC374" s="21">
        <v>-3.3291599999999998E-2</v>
      </c>
      <c r="AD374">
        <f t="shared" si="64"/>
        <v>18.344444444444445</v>
      </c>
      <c r="AE374">
        <f t="shared" si="65"/>
        <v>-0.60461454444444451</v>
      </c>
      <c r="AF374" s="9"/>
      <c r="AG374" s="21">
        <v>1.7329399999999999</v>
      </c>
      <c r="AH374" s="21">
        <v>22.150600000000001</v>
      </c>
      <c r="AI374" s="21">
        <v>1.04828E-2</v>
      </c>
      <c r="AJ374" s="21">
        <v>364</v>
      </c>
      <c r="AK374" s="21">
        <v>1.73248</v>
      </c>
      <c r="AL374">
        <f t="shared" si="66"/>
        <v>-12.941728395061729</v>
      </c>
      <c r="AM374">
        <f t="shared" si="67"/>
        <v>-22.42723880493827</v>
      </c>
      <c r="AP374" s="9"/>
      <c r="AQ374" s="21">
        <v>-3.2959000000000002E-2</v>
      </c>
      <c r="AR374" s="21">
        <v>27.643599999999999</v>
      </c>
      <c r="AS374" s="21">
        <v>-1.4917E-2</v>
      </c>
      <c r="AT374" s="21">
        <v>364</v>
      </c>
      <c r="AU374" s="21">
        <v>-3.3209200000000001E-2</v>
      </c>
      <c r="AV374">
        <f t="shared" si="68"/>
        <v>18.416049382716047</v>
      </c>
      <c r="AW374">
        <f t="shared" si="69"/>
        <v>-0.60697457160493817</v>
      </c>
      <c r="AX374" s="9"/>
      <c r="AY374" s="21">
        <v>1.7329399999999999</v>
      </c>
      <c r="AZ374" s="21">
        <v>31.462900000000001</v>
      </c>
      <c r="BA374" s="21">
        <v>1.0553E-2</v>
      </c>
      <c r="BB374" s="21">
        <v>364</v>
      </c>
      <c r="BC374" s="21">
        <v>1.73248</v>
      </c>
      <c r="BD374">
        <f t="shared" si="70"/>
        <v>-13.028395061728395</v>
      </c>
      <c r="BE374">
        <f t="shared" si="71"/>
        <v>-22.577426938271604</v>
      </c>
    </row>
    <row r="375" spans="6:57" x14ac:dyDescent="0.25">
      <c r="F375" s="9"/>
      <c r="G375" s="21">
        <v>-3.7994399999999998E-2</v>
      </c>
      <c r="H375" s="21">
        <v>9.0182400000000005</v>
      </c>
      <c r="I375" s="21">
        <v>-1.4919999999999999E-2</v>
      </c>
      <c r="J375" s="21">
        <v>365</v>
      </c>
      <c r="K375" s="21">
        <v>-3.8238500000000002E-2</v>
      </c>
      <c r="L375">
        <f t="shared" si="60"/>
        <v>18.41975308641975</v>
      </c>
      <c r="M375">
        <f t="shared" si="61"/>
        <v>-0.69984746666666653</v>
      </c>
      <c r="N375" s="9"/>
      <c r="O375" s="21">
        <v>1.7379800000000001</v>
      </c>
      <c r="P375" s="21">
        <v>12.837400000000001</v>
      </c>
      <c r="Q375" s="21">
        <v>1.31653E-2</v>
      </c>
      <c r="R375" s="21">
        <v>365</v>
      </c>
      <c r="S375" s="21">
        <v>1.73706</v>
      </c>
      <c r="T375">
        <f t="shared" si="62"/>
        <v>-16.253456790123455</v>
      </c>
      <c r="U375">
        <f t="shared" si="63"/>
        <v>-28.248182832098763</v>
      </c>
      <c r="X375" s="9"/>
      <c r="Y375" s="21">
        <v>-3.7994399999999998E-2</v>
      </c>
      <c r="Z375" s="21">
        <v>18.3415</v>
      </c>
      <c r="AA375" s="21">
        <v>-1.48621E-2</v>
      </c>
      <c r="AB375" s="21">
        <v>365</v>
      </c>
      <c r="AC375" s="21">
        <v>-3.8278199999999998E-2</v>
      </c>
      <c r="AD375">
        <f t="shared" si="64"/>
        <v>18.348271604938269</v>
      </c>
      <c r="AE375">
        <f t="shared" si="65"/>
        <v>-0.69713157066666653</v>
      </c>
      <c r="AF375" s="9"/>
      <c r="AG375" s="21">
        <v>1.7379800000000001</v>
      </c>
      <c r="AH375" s="21">
        <v>22.160599999999999</v>
      </c>
      <c r="AI375" s="21">
        <v>1.26801E-2</v>
      </c>
      <c r="AJ375" s="21">
        <v>365</v>
      </c>
      <c r="AK375" s="21">
        <v>1.7367600000000001</v>
      </c>
      <c r="AL375">
        <f t="shared" si="66"/>
        <v>-15.654444444444444</v>
      </c>
      <c r="AM375">
        <f t="shared" si="67"/>
        <v>-27.207111355555554</v>
      </c>
      <c r="AP375" s="9"/>
      <c r="AQ375" s="21">
        <v>-3.7994399999999998E-2</v>
      </c>
      <c r="AR375" s="21">
        <v>27.653700000000001</v>
      </c>
      <c r="AS375" s="21">
        <v>-1.4926099999999999E-2</v>
      </c>
      <c r="AT375" s="21">
        <v>365</v>
      </c>
      <c r="AU375" s="21">
        <v>-3.8296499999999997E-2</v>
      </c>
      <c r="AV375">
        <f t="shared" si="68"/>
        <v>18.427283950617284</v>
      </c>
      <c r="AW375">
        <f t="shared" si="69"/>
        <v>-0.70013359733333325</v>
      </c>
      <c r="AX375" s="9"/>
      <c r="AY375" s="21">
        <v>1.7379800000000001</v>
      </c>
      <c r="AZ375" s="21">
        <v>31.472899999999999</v>
      </c>
      <c r="BA375" s="21">
        <v>1.2814300000000001E-2</v>
      </c>
      <c r="BB375" s="21">
        <v>365</v>
      </c>
      <c r="BC375" s="21">
        <v>1.7367600000000001</v>
      </c>
      <c r="BD375">
        <f t="shared" si="70"/>
        <v>-15.820123456790125</v>
      </c>
      <c r="BE375">
        <f t="shared" si="71"/>
        <v>-27.495058165432102</v>
      </c>
    </row>
    <row r="376" spans="6:57" x14ac:dyDescent="0.25">
      <c r="F376" s="9"/>
      <c r="G376" s="21">
        <v>-4.30298E-2</v>
      </c>
      <c r="H376" s="21">
        <v>9.0283099999999994</v>
      </c>
      <c r="I376" s="21">
        <v>-1.49231E-2</v>
      </c>
      <c r="J376" s="21">
        <v>366</v>
      </c>
      <c r="K376" s="21">
        <v>-4.33411E-2</v>
      </c>
      <c r="L376">
        <f t="shared" si="60"/>
        <v>18.423580246913577</v>
      </c>
      <c r="M376">
        <f t="shared" si="61"/>
        <v>-0.79276297330864187</v>
      </c>
      <c r="N376" s="9"/>
      <c r="O376" s="21">
        <v>1.7430099999999999</v>
      </c>
      <c r="P376" s="21">
        <v>12.8475</v>
      </c>
      <c r="Q376" s="21">
        <v>1.5545700000000001E-2</v>
      </c>
      <c r="R376" s="21">
        <v>366</v>
      </c>
      <c r="S376" s="21">
        <v>1.7422500000000001</v>
      </c>
      <c r="T376">
        <f t="shared" si="62"/>
        <v>-19.19222222222222</v>
      </c>
      <c r="U376">
        <f t="shared" si="63"/>
        <v>-33.45223525555555</v>
      </c>
      <c r="X376" s="9"/>
      <c r="Y376" s="21">
        <v>-4.30298E-2</v>
      </c>
      <c r="Z376" s="21">
        <v>18.351500000000001</v>
      </c>
      <c r="AA376" s="21">
        <v>-1.48621E-2</v>
      </c>
      <c r="AB376" s="21">
        <v>366</v>
      </c>
      <c r="AC376" s="21">
        <v>-4.3197600000000003E-2</v>
      </c>
      <c r="AD376">
        <f t="shared" si="64"/>
        <v>18.348271604938269</v>
      </c>
      <c r="AE376">
        <f t="shared" si="65"/>
        <v>-0.78952245750617267</v>
      </c>
      <c r="AF376" s="9"/>
      <c r="AG376" s="21">
        <v>1.7430099999999999</v>
      </c>
      <c r="AH376" s="21">
        <v>22.1707</v>
      </c>
      <c r="AI376" s="21">
        <v>1.5026899999999999E-2</v>
      </c>
      <c r="AJ376" s="21">
        <v>366</v>
      </c>
      <c r="AK376" s="21">
        <v>1.7422500000000001</v>
      </c>
      <c r="AL376">
        <f t="shared" si="66"/>
        <v>-18.551728395061726</v>
      </c>
      <c r="AM376">
        <f t="shared" si="67"/>
        <v>-32.335848109876537</v>
      </c>
      <c r="AP376" s="9"/>
      <c r="AQ376" s="21">
        <v>-4.30298E-2</v>
      </c>
      <c r="AR376" s="21">
        <v>27.663799999999998</v>
      </c>
      <c r="AS376" s="21">
        <v>-1.49292E-2</v>
      </c>
      <c r="AT376" s="21">
        <v>366</v>
      </c>
      <c r="AU376" s="21">
        <v>-4.3359399999999999E-2</v>
      </c>
      <c r="AV376">
        <f t="shared" si="68"/>
        <v>18.431111111111111</v>
      </c>
      <c r="AW376">
        <f t="shared" si="69"/>
        <v>-0.79308702488888894</v>
      </c>
      <c r="AX376" s="9"/>
      <c r="AY376" s="21">
        <v>1.7430099999999999</v>
      </c>
      <c r="AZ376" s="21">
        <v>31.483000000000001</v>
      </c>
      <c r="BA376" s="21">
        <v>1.5130599999999999E-2</v>
      </c>
      <c r="BB376" s="21">
        <v>366</v>
      </c>
      <c r="BC376" s="21">
        <v>1.7428600000000001</v>
      </c>
      <c r="BD376">
        <f t="shared" si="70"/>
        <v>-18.679753086419751</v>
      </c>
      <c r="BE376">
        <f t="shared" si="71"/>
        <v>-32.558996427160487</v>
      </c>
    </row>
    <row r="377" spans="6:57" x14ac:dyDescent="0.25">
      <c r="F377" s="9"/>
      <c r="G377" s="21">
        <v>-4.8065200000000002E-2</v>
      </c>
      <c r="H377" s="21">
        <v>9.0383800000000001</v>
      </c>
      <c r="I377" s="21">
        <v>-1.4926099999999999E-2</v>
      </c>
      <c r="J377" s="21">
        <v>367</v>
      </c>
      <c r="K377" s="21">
        <v>-4.8306300000000003E-2</v>
      </c>
      <c r="L377">
        <f t="shared" si="60"/>
        <v>18.427283950617284</v>
      </c>
      <c r="M377">
        <f t="shared" si="61"/>
        <v>-0.8857110885432099</v>
      </c>
      <c r="N377" s="9"/>
      <c r="O377" s="21">
        <v>1.7480500000000001</v>
      </c>
      <c r="P377" s="21">
        <v>12.8576</v>
      </c>
      <c r="Q377" s="21">
        <v>1.8179299999999999E-2</v>
      </c>
      <c r="R377" s="21">
        <v>367</v>
      </c>
      <c r="S377" s="21">
        <v>1.7474400000000001</v>
      </c>
      <c r="T377">
        <f t="shared" si="62"/>
        <v>-22.443580246913577</v>
      </c>
      <c r="U377">
        <f t="shared" si="63"/>
        <v>-39.23250045061728</v>
      </c>
      <c r="X377" s="9"/>
      <c r="Y377" s="21">
        <v>-4.8065200000000002E-2</v>
      </c>
      <c r="Z377" s="21">
        <v>18.361599999999999</v>
      </c>
      <c r="AA377" s="21">
        <v>-1.48621E-2</v>
      </c>
      <c r="AB377" s="21">
        <v>367</v>
      </c>
      <c r="AC377" s="21">
        <v>-4.8391700000000003E-2</v>
      </c>
      <c r="AD377">
        <f t="shared" si="64"/>
        <v>18.348271604938269</v>
      </c>
      <c r="AE377">
        <f t="shared" si="65"/>
        <v>-0.88191334434567892</v>
      </c>
      <c r="AF377" s="9"/>
      <c r="AG377" s="21">
        <v>1.7480500000000001</v>
      </c>
      <c r="AH377" s="21">
        <v>22.180800000000001</v>
      </c>
      <c r="AI377" s="21">
        <v>1.7556800000000001E-2</v>
      </c>
      <c r="AJ377" s="21">
        <v>367</v>
      </c>
      <c r="AK377" s="21">
        <v>1.7474400000000001</v>
      </c>
      <c r="AL377">
        <f t="shared" si="66"/>
        <v>-21.675061728395061</v>
      </c>
      <c r="AM377">
        <f t="shared" si="67"/>
        <v>-37.889091654320985</v>
      </c>
      <c r="AP377" s="9"/>
      <c r="AQ377" s="21">
        <v>-4.8065200000000002E-2</v>
      </c>
      <c r="AR377" s="21">
        <v>27.6738</v>
      </c>
      <c r="AS377" s="21">
        <v>-1.4919999999999999E-2</v>
      </c>
      <c r="AT377" s="21">
        <v>367</v>
      </c>
      <c r="AU377" s="21">
        <v>-4.8397799999999998E-2</v>
      </c>
      <c r="AV377">
        <f t="shared" si="68"/>
        <v>18.41975308641975</v>
      </c>
      <c r="AW377">
        <f t="shared" si="69"/>
        <v>-0.8853491160493826</v>
      </c>
      <c r="AX377" s="9"/>
      <c r="AY377" s="21">
        <v>1.7480500000000001</v>
      </c>
      <c r="AZ377" s="21">
        <v>31.493099999999998</v>
      </c>
      <c r="BA377" s="21">
        <v>1.76819E-2</v>
      </c>
      <c r="BB377" s="21">
        <v>367</v>
      </c>
      <c r="BC377" s="21">
        <v>1.7477400000000001</v>
      </c>
      <c r="BD377">
        <f t="shared" si="70"/>
        <v>-21.829506172839505</v>
      </c>
      <c r="BE377">
        <f t="shared" si="71"/>
        <v>-38.159068265432097</v>
      </c>
    </row>
    <row r="378" spans="6:57" x14ac:dyDescent="0.25">
      <c r="F378" s="9"/>
      <c r="G378" s="21">
        <v>-5.3100599999999998E-2</v>
      </c>
      <c r="H378" s="21">
        <v>9.0484500000000008</v>
      </c>
      <c r="I378" s="21">
        <v>-1.49292E-2</v>
      </c>
      <c r="J378" s="21">
        <v>368</v>
      </c>
      <c r="K378" s="21">
        <v>-5.3619399999999998E-2</v>
      </c>
      <c r="L378">
        <f t="shared" si="60"/>
        <v>18.431111111111111</v>
      </c>
      <c r="M378">
        <f t="shared" si="61"/>
        <v>-0.97870305866666663</v>
      </c>
      <c r="N378" s="9"/>
      <c r="O378" s="21">
        <v>1.75308</v>
      </c>
      <c r="P378" s="21">
        <v>12.867599999999999</v>
      </c>
      <c r="Q378" s="21">
        <v>2.0745799999999998E-2</v>
      </c>
      <c r="R378" s="21">
        <v>368</v>
      </c>
      <c r="S378" s="21">
        <v>1.7523200000000001</v>
      </c>
      <c r="T378">
        <f t="shared" si="62"/>
        <v>-25.612098765432098</v>
      </c>
      <c r="U378">
        <f t="shared" si="63"/>
        <v>-44.900058103703699</v>
      </c>
      <c r="X378" s="9"/>
      <c r="Y378" s="21">
        <v>-5.3100599999999998E-2</v>
      </c>
      <c r="Z378" s="21">
        <v>18.371700000000001</v>
      </c>
      <c r="AA378" s="21">
        <v>-1.4859000000000001E-2</v>
      </c>
      <c r="AB378" s="21">
        <v>368</v>
      </c>
      <c r="AC378" s="21">
        <v>-5.3588900000000002E-2</v>
      </c>
      <c r="AD378">
        <f t="shared" si="64"/>
        <v>18.344444444444445</v>
      </c>
      <c r="AE378">
        <f t="shared" si="65"/>
        <v>-0.97410100666666666</v>
      </c>
      <c r="AF378" s="9"/>
      <c r="AG378" s="21">
        <v>1.75308</v>
      </c>
      <c r="AH378" s="21">
        <v>22.190899999999999</v>
      </c>
      <c r="AI378" s="21">
        <v>2.01935E-2</v>
      </c>
      <c r="AJ378" s="21">
        <v>368</v>
      </c>
      <c r="AK378" s="21">
        <v>1.7529300000000001</v>
      </c>
      <c r="AL378">
        <f t="shared" si="66"/>
        <v>-24.930246913580245</v>
      </c>
      <c r="AM378">
        <f t="shared" si="67"/>
        <v>-43.704717259259255</v>
      </c>
      <c r="AP378" s="9"/>
      <c r="AQ378" s="21">
        <v>-5.3100599999999998E-2</v>
      </c>
      <c r="AR378" s="21">
        <v>27.683900000000001</v>
      </c>
      <c r="AS378" s="21">
        <v>-1.4917E-2</v>
      </c>
      <c r="AT378" s="21">
        <v>368</v>
      </c>
      <c r="AU378" s="21">
        <v>-5.36499E-2</v>
      </c>
      <c r="AV378">
        <f t="shared" si="68"/>
        <v>18.416049382716047</v>
      </c>
      <c r="AW378">
        <f t="shared" si="69"/>
        <v>-0.97790327185185166</v>
      </c>
      <c r="AX378" s="9"/>
      <c r="AY378" s="21">
        <v>1.75308</v>
      </c>
      <c r="AZ378" s="21">
        <v>31.5032</v>
      </c>
      <c r="BA378" s="21">
        <v>2.0343E-2</v>
      </c>
      <c r="BB378" s="21">
        <v>368</v>
      </c>
      <c r="BC378" s="21">
        <v>1.7523200000000001</v>
      </c>
      <c r="BD378">
        <f t="shared" si="70"/>
        <v>-25.114814814814814</v>
      </c>
      <c r="BE378">
        <f t="shared" si="71"/>
        <v>-44.028279555555557</v>
      </c>
    </row>
    <row r="379" spans="6:57" x14ac:dyDescent="0.25">
      <c r="F379" s="9"/>
      <c r="G379" s="21">
        <v>-5.8136E-2</v>
      </c>
      <c r="H379" s="21">
        <v>9.0585199999999997</v>
      </c>
      <c r="I379" s="21">
        <v>-1.4926099999999999E-2</v>
      </c>
      <c r="J379" s="21">
        <v>369</v>
      </c>
      <c r="K379" s="21">
        <v>-5.8715799999999999E-2</v>
      </c>
      <c r="L379">
        <f t="shared" si="60"/>
        <v>18.427283950617284</v>
      </c>
      <c r="M379">
        <f t="shared" si="61"/>
        <v>-1.0712885797530864</v>
      </c>
      <c r="N379" s="9"/>
      <c r="O379" s="21">
        <v>1.7581199999999999</v>
      </c>
      <c r="P379" s="21">
        <v>12.877700000000001</v>
      </c>
      <c r="Q379" s="21">
        <v>2.35748E-2</v>
      </c>
      <c r="R379" s="21">
        <v>369</v>
      </c>
      <c r="S379" s="21">
        <v>1.7572000000000001</v>
      </c>
      <c r="T379">
        <f t="shared" si="62"/>
        <v>-29.104691358024688</v>
      </c>
      <c r="U379">
        <f t="shared" si="63"/>
        <v>-51.169539970370359</v>
      </c>
      <c r="X379" s="9"/>
      <c r="Y379" s="21">
        <v>-5.8136E-2</v>
      </c>
      <c r="Z379" s="21">
        <v>18.381699999999999</v>
      </c>
      <c r="AA379" s="21">
        <v>-1.48621E-2</v>
      </c>
      <c r="AB379" s="21">
        <v>369</v>
      </c>
      <c r="AC379" s="21">
        <v>-5.8563200000000003E-2</v>
      </c>
      <c r="AD379">
        <f t="shared" si="64"/>
        <v>18.348271604938269</v>
      </c>
      <c r="AE379">
        <f t="shared" si="65"/>
        <v>-1.0666951180246913</v>
      </c>
      <c r="AF379" s="9"/>
      <c r="AG379" s="21">
        <v>1.7581199999999999</v>
      </c>
      <c r="AH379" s="21">
        <v>22.200900000000001</v>
      </c>
      <c r="AI379" s="21">
        <v>2.30408E-2</v>
      </c>
      <c r="AJ379" s="21">
        <v>369</v>
      </c>
      <c r="AK379" s="21">
        <v>1.7572000000000001</v>
      </c>
      <c r="AL379">
        <f t="shared" si="66"/>
        <v>-28.44543209876543</v>
      </c>
      <c r="AM379">
        <f t="shared" si="67"/>
        <v>-50.010483081481475</v>
      </c>
      <c r="AP379" s="9"/>
      <c r="AQ379" s="21">
        <v>-5.8136E-2</v>
      </c>
      <c r="AR379" s="21">
        <v>27.693999999999999</v>
      </c>
      <c r="AS379" s="21">
        <v>-1.4913900000000001E-2</v>
      </c>
      <c r="AT379" s="21">
        <v>369</v>
      </c>
      <c r="AU379" s="21">
        <v>-5.85327E-2</v>
      </c>
      <c r="AV379">
        <f t="shared" si="68"/>
        <v>18.412222222222223</v>
      </c>
      <c r="AW379">
        <f t="shared" si="69"/>
        <v>-1.0704129511111111</v>
      </c>
      <c r="AX379" s="9"/>
      <c r="AY379" s="21">
        <v>1.7581199999999999</v>
      </c>
      <c r="AZ379" s="21">
        <v>31.513200000000001</v>
      </c>
      <c r="BA379" s="21">
        <v>2.3233E-2</v>
      </c>
      <c r="BB379" s="21">
        <v>369</v>
      </c>
      <c r="BC379" s="21">
        <v>1.7572000000000001</v>
      </c>
      <c r="BD379">
        <f t="shared" si="70"/>
        <v>-28.682716049382712</v>
      </c>
      <c r="BE379">
        <f t="shared" si="71"/>
        <v>-50.42765674074073</v>
      </c>
    </row>
    <row r="380" spans="6:57" x14ac:dyDescent="0.25">
      <c r="F380" s="9"/>
      <c r="G380" s="21">
        <v>-6.3171400000000003E-2</v>
      </c>
      <c r="H380" s="21">
        <v>9.0686</v>
      </c>
      <c r="I380" s="21">
        <v>-1.4932300000000001E-2</v>
      </c>
      <c r="J380" s="21">
        <v>370</v>
      </c>
      <c r="K380" s="21">
        <v>-6.3598600000000005E-2</v>
      </c>
      <c r="L380">
        <f t="shared" si="60"/>
        <v>18.434938271604938</v>
      </c>
      <c r="M380">
        <f t="shared" si="61"/>
        <v>-1.1645608595308643</v>
      </c>
      <c r="N380" s="9"/>
      <c r="O380" s="21">
        <v>1.76315</v>
      </c>
      <c r="P380" s="21">
        <v>12.8878</v>
      </c>
      <c r="Q380" s="21">
        <v>2.66144E-2</v>
      </c>
      <c r="R380" s="21">
        <v>370</v>
      </c>
      <c r="S380" s="21">
        <v>1.7620800000000001</v>
      </c>
      <c r="T380">
        <f t="shared" si="62"/>
        <v>-32.85728395061728</v>
      </c>
      <c r="U380">
        <f t="shared" si="63"/>
        <v>-57.932320197530856</v>
      </c>
      <c r="X380" s="9"/>
      <c r="Y380" s="21">
        <v>-6.3171400000000003E-2</v>
      </c>
      <c r="Z380" s="21">
        <v>18.3918</v>
      </c>
      <c r="AA380" s="21">
        <v>-1.4865099999999999E-2</v>
      </c>
      <c r="AB380" s="21">
        <v>370</v>
      </c>
      <c r="AC380" s="21">
        <v>-6.36597E-2</v>
      </c>
      <c r="AD380">
        <f t="shared" si="64"/>
        <v>18.351975308641972</v>
      </c>
      <c r="AE380">
        <f t="shared" si="65"/>
        <v>-1.1593199730123456</v>
      </c>
      <c r="AF380" s="9"/>
      <c r="AG380" s="21">
        <v>1.76315</v>
      </c>
      <c r="AH380" s="21">
        <v>22.210999999999999</v>
      </c>
      <c r="AI380" s="21">
        <v>2.5976599999999999E-2</v>
      </c>
      <c r="AJ380" s="21">
        <v>370</v>
      </c>
      <c r="AK380" s="21">
        <v>1.7629999999999999</v>
      </c>
      <c r="AL380">
        <f t="shared" si="66"/>
        <v>-32.069876543209872</v>
      </c>
      <c r="AM380">
        <f t="shared" si="67"/>
        <v>-56.544002827160483</v>
      </c>
      <c r="AP380" s="9"/>
      <c r="AQ380" s="21">
        <v>-6.3171400000000003E-2</v>
      </c>
      <c r="AR380" s="21">
        <v>27.704000000000001</v>
      </c>
      <c r="AS380" s="21">
        <v>-1.4913900000000001E-2</v>
      </c>
      <c r="AT380" s="21">
        <v>370</v>
      </c>
      <c r="AU380" s="21">
        <v>-6.3690200000000002E-2</v>
      </c>
      <c r="AV380">
        <f t="shared" si="68"/>
        <v>18.412222222222223</v>
      </c>
      <c r="AW380">
        <f t="shared" si="69"/>
        <v>-1.163125854888889</v>
      </c>
      <c r="AX380" s="9"/>
      <c r="AY380" s="21">
        <v>1.76315</v>
      </c>
      <c r="AZ380" s="21">
        <v>31.523299999999999</v>
      </c>
      <c r="BA380" s="21">
        <v>2.62329E-2</v>
      </c>
      <c r="BB380" s="21">
        <v>370</v>
      </c>
      <c r="BC380" s="21">
        <v>1.7623899999999999</v>
      </c>
      <c r="BD380">
        <f t="shared" si="70"/>
        <v>-32.386296296296294</v>
      </c>
      <c r="BE380">
        <f t="shared" si="71"/>
        <v>-57.101898314814811</v>
      </c>
    </row>
    <row r="381" spans="6:57" x14ac:dyDescent="0.25">
      <c r="F381" s="9"/>
      <c r="G381" s="21">
        <v>-6.8206799999999998E-2</v>
      </c>
      <c r="H381" s="21">
        <v>9.0786700000000007</v>
      </c>
      <c r="I381" s="21">
        <v>-1.4944499999999999E-2</v>
      </c>
      <c r="J381" s="21">
        <v>371</v>
      </c>
      <c r="K381" s="21">
        <v>-6.8664600000000006E-2</v>
      </c>
      <c r="L381">
        <f t="shared" si="60"/>
        <v>18.45</v>
      </c>
      <c r="M381">
        <f t="shared" si="61"/>
        <v>-1.2584154599999999</v>
      </c>
      <c r="N381" s="9"/>
      <c r="O381" s="21">
        <v>1.7681899999999999</v>
      </c>
      <c r="P381" s="21">
        <v>12.8979</v>
      </c>
      <c r="Q381" s="21">
        <v>2.9946899999999999E-2</v>
      </c>
      <c r="R381" s="21">
        <v>371</v>
      </c>
      <c r="S381" s="21">
        <v>1.7672699999999999</v>
      </c>
      <c r="T381">
        <f t="shared" si="62"/>
        <v>-36.971481481481483</v>
      </c>
      <c r="U381">
        <f t="shared" si="63"/>
        <v>-65.372603840740737</v>
      </c>
      <c r="X381" s="9"/>
      <c r="Y381" s="21">
        <v>-6.8206799999999998E-2</v>
      </c>
      <c r="Z381" s="21">
        <v>18.401900000000001</v>
      </c>
      <c r="AA381" s="21">
        <v>-1.4865099999999999E-2</v>
      </c>
      <c r="AB381" s="21">
        <v>371</v>
      </c>
      <c r="AC381" s="21">
        <v>-6.8634000000000001E-2</v>
      </c>
      <c r="AD381">
        <f t="shared" si="64"/>
        <v>18.351975308641972</v>
      </c>
      <c r="AE381">
        <f t="shared" si="65"/>
        <v>-1.2517295094814813</v>
      </c>
      <c r="AF381" s="9"/>
      <c r="AG381" s="21">
        <v>1.7681899999999999</v>
      </c>
      <c r="AH381" s="21">
        <v>22.2211</v>
      </c>
      <c r="AI381" s="21">
        <v>2.9168699999999999E-2</v>
      </c>
      <c r="AJ381" s="21">
        <v>371</v>
      </c>
      <c r="AK381" s="21">
        <v>1.7672699999999999</v>
      </c>
      <c r="AL381">
        <f t="shared" si="66"/>
        <v>-36.010740740740736</v>
      </c>
      <c r="AM381">
        <f t="shared" si="67"/>
        <v>-63.673831670370362</v>
      </c>
      <c r="AP381" s="9"/>
      <c r="AQ381" s="21">
        <v>-6.8206799999999998E-2</v>
      </c>
      <c r="AR381" s="21">
        <v>27.714099999999998</v>
      </c>
      <c r="AS381" s="21">
        <v>-1.49017E-2</v>
      </c>
      <c r="AT381" s="21">
        <v>371</v>
      </c>
      <c r="AU381" s="21">
        <v>-6.8664600000000006E-2</v>
      </c>
      <c r="AV381">
        <f t="shared" si="68"/>
        <v>18.397160493827158</v>
      </c>
      <c r="AW381">
        <f t="shared" si="69"/>
        <v>-1.2548114463703701</v>
      </c>
      <c r="AX381" s="9"/>
      <c r="AY381" s="21">
        <v>1.7681899999999999</v>
      </c>
      <c r="AZ381" s="21">
        <v>31.5334</v>
      </c>
      <c r="BA381" s="21">
        <v>2.9467799999999999E-2</v>
      </c>
      <c r="BB381" s="21">
        <v>371</v>
      </c>
      <c r="BC381" s="21">
        <v>1.7675799999999999</v>
      </c>
      <c r="BD381">
        <f t="shared" si="70"/>
        <v>-36.379999999999995</v>
      </c>
      <c r="BE381">
        <f t="shared" si="71"/>
        <v>-64.326752199999987</v>
      </c>
    </row>
    <row r="382" spans="6:57" x14ac:dyDescent="0.25">
      <c r="F382" s="9"/>
      <c r="G382" s="21">
        <v>-7.3242199999999993E-2</v>
      </c>
      <c r="H382" s="21">
        <v>9.0887399999999996</v>
      </c>
      <c r="I382" s="21">
        <v>-1.49567E-2</v>
      </c>
      <c r="J382" s="21">
        <v>372</v>
      </c>
      <c r="K382" s="21">
        <v>-7.3730500000000004E-2</v>
      </c>
      <c r="L382">
        <f t="shared" si="60"/>
        <v>18.46506172839506</v>
      </c>
      <c r="M382">
        <f t="shared" si="61"/>
        <v>-1.3524217441234565</v>
      </c>
      <c r="N382" s="9"/>
      <c r="O382" s="21">
        <v>1.77322</v>
      </c>
      <c r="P382" s="21">
        <v>12.9079</v>
      </c>
      <c r="Q382" s="21">
        <v>3.3291599999999998E-2</v>
      </c>
      <c r="R382" s="21">
        <v>372</v>
      </c>
      <c r="S382" s="21">
        <v>1.77277</v>
      </c>
      <c r="T382">
        <f t="shared" si="62"/>
        <v>-41.100740740740733</v>
      </c>
      <c r="U382">
        <f t="shared" si="63"/>
        <v>-72.880655496296285</v>
      </c>
      <c r="X382" s="9"/>
      <c r="Y382" s="21">
        <v>-7.3242199999999993E-2</v>
      </c>
      <c r="Z382" s="21">
        <v>18.411999999999999</v>
      </c>
      <c r="AA382" s="21">
        <v>-1.48682E-2</v>
      </c>
      <c r="AB382" s="21">
        <v>372</v>
      </c>
      <c r="AC382" s="21">
        <v>-7.3669399999999996E-2</v>
      </c>
      <c r="AD382">
        <f t="shared" si="64"/>
        <v>18.355802469135799</v>
      </c>
      <c r="AE382">
        <f t="shared" si="65"/>
        <v>-1.344419355604938</v>
      </c>
      <c r="AF382" s="9"/>
      <c r="AG382" s="21">
        <v>1.77322</v>
      </c>
      <c r="AH382" s="21">
        <v>22.231100000000001</v>
      </c>
      <c r="AI382" s="21">
        <v>3.2421899999999997E-2</v>
      </c>
      <c r="AJ382" s="21">
        <v>372</v>
      </c>
      <c r="AK382" s="21">
        <v>1.77277</v>
      </c>
      <c r="AL382">
        <f t="shared" si="66"/>
        <v>-40.027037037037026</v>
      </c>
      <c r="AM382">
        <f t="shared" si="67"/>
        <v>-70.976742614814796</v>
      </c>
      <c r="AP382" s="9"/>
      <c r="AQ382" s="21">
        <v>-7.3242199999999993E-2</v>
      </c>
      <c r="AR382" s="21">
        <v>27.7242</v>
      </c>
      <c r="AS382" s="21">
        <v>-1.4904799999999999E-2</v>
      </c>
      <c r="AT382" s="21">
        <v>372</v>
      </c>
      <c r="AU382" s="21">
        <v>-7.3791499999999996E-2</v>
      </c>
      <c r="AV382">
        <f t="shared" si="68"/>
        <v>18.400987654320986</v>
      </c>
      <c r="AW382">
        <f t="shared" si="69"/>
        <v>-1.3477288179753084</v>
      </c>
      <c r="AX382" s="9"/>
      <c r="AY382" s="21">
        <v>1.77322</v>
      </c>
      <c r="AZ382" s="21">
        <v>31.543399999999998</v>
      </c>
      <c r="BA382" s="21">
        <v>3.2803300000000001E-2</v>
      </c>
      <c r="BB382" s="21">
        <v>372</v>
      </c>
      <c r="BC382" s="21">
        <v>1.77277</v>
      </c>
      <c r="BD382">
        <f t="shared" si="70"/>
        <v>-40.497901234567905</v>
      </c>
      <c r="BE382">
        <f t="shared" si="71"/>
        <v>-71.811688427160504</v>
      </c>
    </row>
    <row r="383" spans="6:57" x14ac:dyDescent="0.25">
      <c r="F383" s="9"/>
      <c r="G383" s="21">
        <v>-7.8277600000000003E-2</v>
      </c>
      <c r="H383" s="21">
        <v>9.0988100000000003</v>
      </c>
      <c r="I383" s="21">
        <v>-1.49689E-2</v>
      </c>
      <c r="J383" s="21">
        <v>373</v>
      </c>
      <c r="K383" s="21">
        <v>-7.8735399999999997E-2</v>
      </c>
      <c r="L383">
        <f t="shared" si="60"/>
        <v>18.480123456790125</v>
      </c>
      <c r="M383">
        <f t="shared" si="61"/>
        <v>-1.4465797119012347</v>
      </c>
      <c r="N383" s="9"/>
      <c r="O383" s="21">
        <v>1.77826</v>
      </c>
      <c r="P383" s="21">
        <v>12.917999999999999</v>
      </c>
      <c r="Q383" s="21">
        <v>3.6895799999999999E-2</v>
      </c>
      <c r="R383" s="21">
        <v>373</v>
      </c>
      <c r="S383" s="21">
        <v>1.77765</v>
      </c>
      <c r="T383">
        <f t="shared" si="62"/>
        <v>-45.550370370370366</v>
      </c>
      <c r="U383">
        <f t="shared" si="63"/>
        <v>-81.000401614814805</v>
      </c>
      <c r="X383" s="9"/>
      <c r="Y383" s="21">
        <v>-7.8277600000000003E-2</v>
      </c>
      <c r="Z383" s="21">
        <v>18.422000000000001</v>
      </c>
      <c r="AA383" s="21">
        <v>-1.4871199999999999E-2</v>
      </c>
      <c r="AB383" s="21">
        <v>373</v>
      </c>
      <c r="AC383" s="21">
        <v>-7.8857399999999994E-2</v>
      </c>
      <c r="AD383">
        <f t="shared" si="64"/>
        <v>18.359506172839506</v>
      </c>
      <c r="AE383">
        <f t="shared" si="65"/>
        <v>-1.4371380803950617</v>
      </c>
      <c r="AF383" s="9"/>
      <c r="AG383" s="21">
        <v>1.77826</v>
      </c>
      <c r="AH383" s="21">
        <v>22.241199999999999</v>
      </c>
      <c r="AI383" s="21">
        <v>3.5891699999999999E-2</v>
      </c>
      <c r="AJ383" s="21">
        <v>373</v>
      </c>
      <c r="AK383" s="21">
        <v>1.7767299999999999</v>
      </c>
      <c r="AL383">
        <f t="shared" si="66"/>
        <v>-44.310740740740734</v>
      </c>
      <c r="AM383">
        <f t="shared" si="67"/>
        <v>-78.796017829629619</v>
      </c>
      <c r="AP383" s="9"/>
      <c r="AQ383" s="21">
        <v>-7.8277600000000003E-2</v>
      </c>
      <c r="AR383" s="21">
        <v>27.734300000000001</v>
      </c>
      <c r="AS383" s="21">
        <v>-1.4907800000000001E-2</v>
      </c>
      <c r="AT383" s="21">
        <v>373</v>
      </c>
      <c r="AU383" s="21">
        <v>-7.8796400000000003E-2</v>
      </c>
      <c r="AV383">
        <f t="shared" si="68"/>
        <v>18.404691358024692</v>
      </c>
      <c r="AW383">
        <f t="shared" si="69"/>
        <v>-1.4406750682469136</v>
      </c>
      <c r="AX383" s="9"/>
      <c r="AY383" s="21">
        <v>1.77826</v>
      </c>
      <c r="AZ383" s="21">
        <v>31.5535</v>
      </c>
      <c r="BA383" s="21">
        <v>3.6361699999999997E-2</v>
      </c>
      <c r="BB383" s="21">
        <v>373</v>
      </c>
      <c r="BC383" s="21">
        <v>1.7773399999999999</v>
      </c>
      <c r="BD383">
        <f t="shared" si="70"/>
        <v>-44.89098765432098</v>
      </c>
      <c r="BE383">
        <f t="shared" si="71"/>
        <v>-79.827847706172818</v>
      </c>
    </row>
    <row r="384" spans="6:57" x14ac:dyDescent="0.25">
      <c r="F384" s="9"/>
      <c r="G384" s="21">
        <v>-8.3312999999999998E-2</v>
      </c>
      <c r="H384" s="21">
        <v>9.1088799999999992</v>
      </c>
      <c r="I384" s="21">
        <v>-1.49689E-2</v>
      </c>
      <c r="J384" s="21">
        <v>374</v>
      </c>
      <c r="K384" s="21">
        <v>-8.3831799999999998E-2</v>
      </c>
      <c r="L384">
        <f t="shared" si="60"/>
        <v>18.480123456790125</v>
      </c>
      <c r="M384">
        <f t="shared" si="61"/>
        <v>-1.5396345255555557</v>
      </c>
      <c r="N384" s="9"/>
      <c r="O384" s="21">
        <v>1.78329</v>
      </c>
      <c r="P384" s="21">
        <v>12.928100000000001</v>
      </c>
      <c r="Q384" s="21">
        <v>4.0475499999999998E-2</v>
      </c>
      <c r="R384" s="21">
        <v>374</v>
      </c>
      <c r="S384" s="21">
        <v>1.7825299999999999</v>
      </c>
      <c r="T384">
        <f t="shared" si="62"/>
        <v>-49.969753086419743</v>
      </c>
      <c r="U384">
        <f t="shared" si="63"/>
        <v>-89.11056098148147</v>
      </c>
      <c r="X384" s="9"/>
      <c r="Y384" s="21">
        <v>-8.3312999999999998E-2</v>
      </c>
      <c r="Z384" s="21">
        <v>18.432099999999998</v>
      </c>
      <c r="AA384" s="21">
        <v>-1.48804E-2</v>
      </c>
      <c r="AB384" s="21">
        <v>374</v>
      </c>
      <c r="AC384" s="21">
        <v>-8.3770800000000006E-2</v>
      </c>
      <c r="AD384">
        <f t="shared" si="64"/>
        <v>18.370864197530864</v>
      </c>
      <c r="AE384">
        <f t="shared" si="65"/>
        <v>-1.5305318088888888</v>
      </c>
      <c r="AF384" s="9"/>
      <c r="AG384" s="21">
        <v>1.78329</v>
      </c>
      <c r="AH384" s="21">
        <v>22.251300000000001</v>
      </c>
      <c r="AI384" s="21">
        <v>3.9440900000000001E-2</v>
      </c>
      <c r="AJ384" s="21">
        <v>374</v>
      </c>
      <c r="AK384" s="21">
        <v>1.78223</v>
      </c>
      <c r="AL384">
        <f t="shared" si="66"/>
        <v>-48.692469135802469</v>
      </c>
      <c r="AM384">
        <f t="shared" si="67"/>
        <v>-86.83279328518519</v>
      </c>
      <c r="AP384" s="9"/>
      <c r="AQ384" s="21">
        <v>-8.3312999999999998E-2</v>
      </c>
      <c r="AR384" s="21">
        <v>27.744299999999999</v>
      </c>
      <c r="AS384" s="21">
        <v>-1.49109E-2</v>
      </c>
      <c r="AT384" s="21">
        <v>374</v>
      </c>
      <c r="AU384" s="21">
        <v>-8.3801299999999995E-2</v>
      </c>
      <c r="AV384">
        <f t="shared" si="68"/>
        <v>18.408518518518516</v>
      </c>
      <c r="AW384">
        <f t="shared" si="69"/>
        <v>-1.5336689033333331</v>
      </c>
      <c r="AX384" s="9"/>
      <c r="AY384" s="21">
        <v>1.78329</v>
      </c>
      <c r="AZ384" s="21">
        <v>31.563600000000001</v>
      </c>
      <c r="BA384" s="21">
        <v>3.9913900000000002E-2</v>
      </c>
      <c r="BB384" s="21">
        <v>374</v>
      </c>
      <c r="BC384" s="21">
        <v>1.7831399999999999</v>
      </c>
      <c r="BD384">
        <f t="shared" si="70"/>
        <v>-49.276419753086422</v>
      </c>
      <c r="BE384">
        <f t="shared" si="71"/>
        <v>-87.874146581481483</v>
      </c>
    </row>
    <row r="385" spans="6:57" x14ac:dyDescent="0.25">
      <c r="F385" s="9"/>
      <c r="G385" s="21">
        <v>-8.8348399999999994E-2</v>
      </c>
      <c r="H385" s="21">
        <v>9.1189499999999999</v>
      </c>
      <c r="I385" s="21">
        <v>-1.4978E-2</v>
      </c>
      <c r="J385" s="21">
        <v>375</v>
      </c>
      <c r="K385" s="21">
        <v>-8.8958700000000002E-2</v>
      </c>
      <c r="L385">
        <f t="shared" si="60"/>
        <v>18.491358024691355</v>
      </c>
      <c r="M385">
        <f t="shared" si="61"/>
        <v>-1.6336818953086416</v>
      </c>
      <c r="N385" s="9"/>
      <c r="O385" s="21">
        <v>1.78833</v>
      </c>
      <c r="P385" s="21">
        <v>12.9381</v>
      </c>
      <c r="Q385" s="21">
        <v>4.4329800000000003E-2</v>
      </c>
      <c r="R385" s="21">
        <v>375</v>
      </c>
      <c r="S385" s="21">
        <v>1.7880199999999999</v>
      </c>
      <c r="T385">
        <f t="shared" si="62"/>
        <v>-54.728148148148151</v>
      </c>
      <c r="U385">
        <f t="shared" si="63"/>
        <v>-97.871989177777778</v>
      </c>
      <c r="X385" s="9"/>
      <c r="Y385" s="21">
        <v>-8.8348399999999994E-2</v>
      </c>
      <c r="Z385" s="21">
        <v>18.4422</v>
      </c>
      <c r="AA385" s="21">
        <v>-1.4898700000000001E-2</v>
      </c>
      <c r="AB385" s="21">
        <v>375</v>
      </c>
      <c r="AC385" s="21">
        <v>-8.8806200000000002E-2</v>
      </c>
      <c r="AD385">
        <f t="shared" si="64"/>
        <v>18.393456790123455</v>
      </c>
      <c r="AE385">
        <f t="shared" si="65"/>
        <v>-1.625032477876543</v>
      </c>
      <c r="AF385" s="9"/>
      <c r="AG385" s="21">
        <v>1.78833</v>
      </c>
      <c r="AH385" s="21">
        <v>22.261399999999998</v>
      </c>
      <c r="AI385" s="21">
        <v>4.31519E-2</v>
      </c>
      <c r="AJ385" s="21">
        <v>375</v>
      </c>
      <c r="AK385" s="21">
        <v>1.7874099999999999</v>
      </c>
      <c r="AL385">
        <f t="shared" si="66"/>
        <v>-53.273950617283944</v>
      </c>
      <c r="AM385">
        <f t="shared" si="67"/>
        <v>-95.271404107407392</v>
      </c>
      <c r="AP385" s="9"/>
      <c r="AQ385" s="21">
        <v>-8.8348399999999994E-2</v>
      </c>
      <c r="AR385" s="21">
        <v>27.7544</v>
      </c>
      <c r="AS385" s="21">
        <v>-1.4917E-2</v>
      </c>
      <c r="AT385" s="21">
        <v>375</v>
      </c>
      <c r="AU385" s="21">
        <v>-8.8806200000000002E-2</v>
      </c>
      <c r="AV385">
        <f t="shared" si="68"/>
        <v>18.416049382716047</v>
      </c>
      <c r="AW385">
        <f t="shared" si="69"/>
        <v>-1.6270284972839502</v>
      </c>
      <c r="AX385" s="9"/>
      <c r="AY385" s="21">
        <v>1.78833</v>
      </c>
      <c r="AZ385" s="21">
        <v>31.573699999999999</v>
      </c>
      <c r="BA385" s="21">
        <v>4.3771400000000002E-2</v>
      </c>
      <c r="BB385" s="21">
        <v>375</v>
      </c>
      <c r="BC385" s="21">
        <v>1.78772</v>
      </c>
      <c r="BD385">
        <f t="shared" si="70"/>
        <v>-54.038765432098764</v>
      </c>
      <c r="BE385">
        <f t="shared" si="71"/>
        <v>-96.639145385185174</v>
      </c>
    </row>
    <row r="386" spans="6:57" x14ac:dyDescent="0.25">
      <c r="F386" s="9"/>
      <c r="G386" s="21">
        <v>-9.3383800000000003E-2</v>
      </c>
      <c r="H386" s="21">
        <v>9.1290200000000006</v>
      </c>
      <c r="I386" s="21">
        <v>-1.49719E-2</v>
      </c>
      <c r="J386" s="21">
        <v>376</v>
      </c>
      <c r="K386" s="21">
        <v>-9.3780500000000003E-2</v>
      </c>
      <c r="L386">
        <f t="shared" si="60"/>
        <v>18.483827160493824</v>
      </c>
      <c r="M386">
        <f t="shared" si="61"/>
        <v>-1.7260900187901231</v>
      </c>
      <c r="N386" s="9"/>
      <c r="O386" s="21">
        <v>1.7933699999999999</v>
      </c>
      <c r="P386" s="21">
        <v>12.9482</v>
      </c>
      <c r="Q386" s="21">
        <v>4.8162799999999999E-2</v>
      </c>
      <c r="R386" s="21">
        <v>376</v>
      </c>
      <c r="S386" s="21">
        <v>1.7926</v>
      </c>
      <c r="T386">
        <f t="shared" si="62"/>
        <v>-59.460246913580242</v>
      </c>
      <c r="U386">
        <f t="shared" si="63"/>
        <v>-106.6342230074074</v>
      </c>
      <c r="X386" s="9"/>
      <c r="Y386" s="21">
        <v>-9.3383800000000003E-2</v>
      </c>
      <c r="Z386" s="21">
        <v>18.452200000000001</v>
      </c>
      <c r="AA386" s="21">
        <v>-1.49109E-2</v>
      </c>
      <c r="AB386" s="21">
        <v>376</v>
      </c>
      <c r="AC386" s="21">
        <v>-9.3902600000000003E-2</v>
      </c>
      <c r="AD386">
        <f t="shared" si="64"/>
        <v>18.408518518518516</v>
      </c>
      <c r="AE386">
        <f t="shared" si="65"/>
        <v>-1.7190574116296296</v>
      </c>
      <c r="AF386" s="9"/>
      <c r="AG386" s="21">
        <v>1.7933699999999999</v>
      </c>
      <c r="AH386" s="21">
        <v>22.2714</v>
      </c>
      <c r="AI386" s="21">
        <v>4.6951300000000001E-2</v>
      </c>
      <c r="AJ386" s="21">
        <v>376</v>
      </c>
      <c r="AK386" s="21">
        <v>1.79291</v>
      </c>
      <c r="AL386">
        <f t="shared" si="66"/>
        <v>-57.964567901234567</v>
      </c>
      <c r="AM386">
        <f t="shared" si="67"/>
        <v>-103.95191713703703</v>
      </c>
      <c r="AP386" s="9"/>
      <c r="AQ386" s="21">
        <v>-9.3383800000000003E-2</v>
      </c>
      <c r="AR386" s="21">
        <v>27.764500000000002</v>
      </c>
      <c r="AS386" s="21">
        <v>-1.4926099999999999E-2</v>
      </c>
      <c r="AT386" s="21">
        <v>376</v>
      </c>
      <c r="AU386" s="21">
        <v>-9.3841599999999997E-2</v>
      </c>
      <c r="AV386">
        <f t="shared" si="68"/>
        <v>18.427283950617284</v>
      </c>
      <c r="AW386">
        <f t="shared" si="69"/>
        <v>-1.7208097989876543</v>
      </c>
      <c r="AX386" s="9"/>
      <c r="AY386" s="21">
        <v>1.7933699999999999</v>
      </c>
      <c r="AZ386" s="21">
        <v>31.5837</v>
      </c>
      <c r="BA386" s="21">
        <v>4.7567699999999997E-2</v>
      </c>
      <c r="BB386" s="21">
        <v>376</v>
      </c>
      <c r="BC386" s="21">
        <v>1.79291</v>
      </c>
      <c r="BD386">
        <f t="shared" si="70"/>
        <v>-58.725555555555552</v>
      </c>
      <c r="BE386">
        <f t="shared" si="71"/>
        <v>-105.31664956666665</v>
      </c>
    </row>
    <row r="387" spans="6:57" x14ac:dyDescent="0.25">
      <c r="F387" s="9"/>
      <c r="G387" s="21">
        <v>-9.8419199999999998E-2</v>
      </c>
      <c r="H387" s="21">
        <v>9.1390899999999995</v>
      </c>
      <c r="I387" s="21">
        <v>-1.49719E-2</v>
      </c>
      <c r="J387" s="21">
        <v>377</v>
      </c>
      <c r="K387" s="21">
        <v>-9.8877000000000007E-2</v>
      </c>
      <c r="L387">
        <f t="shared" si="60"/>
        <v>18.483827160493824</v>
      </c>
      <c r="M387">
        <f t="shared" si="61"/>
        <v>-1.8191634820740739</v>
      </c>
      <c r="N387" s="9"/>
      <c r="O387" s="21">
        <v>1.7984</v>
      </c>
      <c r="P387" s="21">
        <v>12.958299999999999</v>
      </c>
      <c r="Q387" s="21">
        <v>5.22491E-2</v>
      </c>
      <c r="R387" s="21">
        <v>377</v>
      </c>
      <c r="S387" s="21">
        <v>1.79779</v>
      </c>
      <c r="T387">
        <f t="shared" si="62"/>
        <v>-64.505061728395049</v>
      </c>
      <c r="U387">
        <f t="shared" si="63"/>
        <v>-116.00590301234566</v>
      </c>
      <c r="X387" s="9"/>
      <c r="Y387" s="21">
        <v>-9.8419199999999998E-2</v>
      </c>
      <c r="Z387" s="21">
        <v>18.462299999999999</v>
      </c>
      <c r="AA387" s="21">
        <v>-1.49109E-2</v>
      </c>
      <c r="AB387" s="21">
        <v>377</v>
      </c>
      <c r="AC387" s="21">
        <v>-9.8815899999999998E-2</v>
      </c>
      <c r="AD387">
        <f t="shared" si="64"/>
        <v>18.408518518518516</v>
      </c>
      <c r="AE387">
        <f t="shared" si="65"/>
        <v>-1.8117516657777775</v>
      </c>
      <c r="AF387" s="9"/>
      <c r="AG387" s="21">
        <v>1.7984</v>
      </c>
      <c r="AH387" s="21">
        <v>22.281500000000001</v>
      </c>
      <c r="AI387" s="21">
        <v>5.0885E-2</v>
      </c>
      <c r="AJ387" s="21">
        <v>377</v>
      </c>
      <c r="AK387" s="21">
        <v>1.7981</v>
      </c>
      <c r="AL387">
        <f t="shared" si="66"/>
        <v>-62.82098765432098</v>
      </c>
      <c r="AM387">
        <f t="shared" si="67"/>
        <v>-112.97726419753086</v>
      </c>
      <c r="AP387" s="9"/>
      <c r="AQ387" s="21">
        <v>-9.8419199999999998E-2</v>
      </c>
      <c r="AR387" s="21">
        <v>27.7745</v>
      </c>
      <c r="AS387" s="21">
        <v>-1.4932300000000001E-2</v>
      </c>
      <c r="AT387" s="21">
        <v>377</v>
      </c>
      <c r="AU387" s="21">
        <v>-9.8968500000000001E-2</v>
      </c>
      <c r="AV387">
        <f t="shared" si="68"/>
        <v>18.434938271604938</v>
      </c>
      <c r="AW387">
        <f t="shared" si="69"/>
        <v>-1.8143518767407407</v>
      </c>
      <c r="AX387" s="9"/>
      <c r="AY387" s="21">
        <v>1.7984</v>
      </c>
      <c r="AZ387" s="21">
        <v>31.593800000000002</v>
      </c>
      <c r="BA387" s="21">
        <v>5.1644900000000001E-2</v>
      </c>
      <c r="BB387" s="21">
        <v>377</v>
      </c>
      <c r="BC387" s="21">
        <v>1.79779</v>
      </c>
      <c r="BD387">
        <f t="shared" si="70"/>
        <v>-63.759135802469125</v>
      </c>
      <c r="BE387">
        <f t="shared" si="71"/>
        <v>-114.66442982716048</v>
      </c>
    </row>
    <row r="388" spans="6:57" x14ac:dyDescent="0.25">
      <c r="F388" s="9"/>
      <c r="G388" s="21">
        <v>-0.10345500000000001</v>
      </c>
      <c r="H388" s="21">
        <v>9.1491600000000002</v>
      </c>
      <c r="I388" s="21">
        <v>-1.4978E-2</v>
      </c>
      <c r="J388" s="21">
        <v>378</v>
      </c>
      <c r="K388" s="21">
        <v>-0.10394299999999999</v>
      </c>
      <c r="L388">
        <f t="shared" si="60"/>
        <v>18.491358024691355</v>
      </c>
      <c r="M388">
        <f t="shared" si="61"/>
        <v>-1.9130234444444443</v>
      </c>
      <c r="N388" s="9"/>
      <c r="O388" s="21">
        <v>1.8034399999999999</v>
      </c>
      <c r="P388" s="21">
        <v>12.968400000000001</v>
      </c>
      <c r="Q388" s="21">
        <v>5.6323199999999997E-2</v>
      </c>
      <c r="R388" s="21">
        <v>378</v>
      </c>
      <c r="S388" s="21">
        <v>1.80206</v>
      </c>
      <c r="T388">
        <f t="shared" si="62"/>
        <v>-69.534814814814808</v>
      </c>
      <c r="U388">
        <f t="shared" si="63"/>
        <v>-125.40186642962961</v>
      </c>
      <c r="X388" s="9"/>
      <c r="Y388" s="21">
        <v>-0.10345500000000001</v>
      </c>
      <c r="Z388" s="21">
        <v>18.4724</v>
      </c>
      <c r="AA388" s="21">
        <v>-1.49109E-2</v>
      </c>
      <c r="AB388" s="21">
        <v>378</v>
      </c>
      <c r="AC388" s="21">
        <v>-0.103882</v>
      </c>
      <c r="AD388">
        <f t="shared" si="64"/>
        <v>18.408518518518516</v>
      </c>
      <c r="AE388">
        <f t="shared" si="65"/>
        <v>-1.9044532833333332</v>
      </c>
      <c r="AF388" s="9"/>
      <c r="AG388" s="21">
        <v>1.8034399999999999</v>
      </c>
      <c r="AH388" s="21">
        <v>22.291599999999999</v>
      </c>
      <c r="AI388" s="21">
        <v>5.4870599999999999E-2</v>
      </c>
      <c r="AJ388" s="21">
        <v>378</v>
      </c>
      <c r="AK388" s="21">
        <v>1.80267</v>
      </c>
      <c r="AL388">
        <f t="shared" si="66"/>
        <v>-67.741481481481472</v>
      </c>
      <c r="AM388">
        <f t="shared" si="67"/>
        <v>-122.16769736296294</v>
      </c>
      <c r="AP388" s="9"/>
      <c r="AQ388" s="21">
        <v>-0.10345500000000001</v>
      </c>
      <c r="AR388" s="21">
        <v>27.784600000000001</v>
      </c>
      <c r="AS388" s="21">
        <v>-1.49292E-2</v>
      </c>
      <c r="AT388" s="21">
        <v>378</v>
      </c>
      <c r="AU388" s="21">
        <v>-0.103912</v>
      </c>
      <c r="AV388">
        <f t="shared" si="68"/>
        <v>18.431111111111111</v>
      </c>
      <c r="AW388">
        <f t="shared" si="69"/>
        <v>-1.9067906000000001</v>
      </c>
      <c r="AX388" s="9"/>
      <c r="AY388" s="21">
        <v>1.8034399999999999</v>
      </c>
      <c r="AZ388" s="21">
        <v>31.603899999999999</v>
      </c>
      <c r="BA388" s="21">
        <v>5.5694599999999997E-2</v>
      </c>
      <c r="BB388" s="21">
        <v>378</v>
      </c>
      <c r="BC388" s="21">
        <v>1.80328</v>
      </c>
      <c r="BD388">
        <f t="shared" si="70"/>
        <v>-68.758765432098755</v>
      </c>
      <c r="BE388">
        <f t="shared" si="71"/>
        <v>-124.00230793086418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0CF66-8B00-4486-A0A2-CCE60B449DC4}">
  <dimension ref="A1:FH394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22.185093074074075</v>
      </c>
      <c r="M2" s="8" t="s">
        <v>14</v>
      </c>
      <c r="N2" s="9"/>
      <c r="O2" s="2">
        <f>ABS(S7-S6)/ABS(T7-T6)*1000</f>
        <v>677.55026065577397</v>
      </c>
      <c r="P2" s="2"/>
      <c r="Q2" s="6" t="s">
        <v>15</v>
      </c>
      <c r="R2" s="2"/>
      <c r="S2" s="7" t="s">
        <v>13</v>
      </c>
      <c r="T2" s="3">
        <f>T4*Q6*T9/100*100</f>
        <v>17.553670044444441</v>
      </c>
      <c r="U2" s="8" t="s">
        <v>14</v>
      </c>
      <c r="X2" s="9"/>
      <c r="Y2" s="2">
        <f>ABS(AC7-AC6)/ABS(AD7-AD6)*1000</f>
        <v>14538.888580657882</v>
      </c>
      <c r="Z2" s="2"/>
      <c r="AA2" s="6" t="s">
        <v>12</v>
      </c>
      <c r="AB2" s="2"/>
      <c r="AC2" s="7" t="s">
        <v>13</v>
      </c>
      <c r="AD2" s="3">
        <f>AD4*AA6*AD9/100*100</f>
        <v>21.252743251851854</v>
      </c>
      <c r="AE2" s="8" t="s">
        <v>14</v>
      </c>
      <c r="AF2" s="9"/>
      <c r="AG2" s="2">
        <f>ABS(AK7-AK6)/ABS(AL7-AL6)*1000</f>
        <v>1351.3173299989248</v>
      </c>
      <c r="AH2" s="2"/>
      <c r="AI2" s="6" t="s">
        <v>15</v>
      </c>
      <c r="AJ2" s="2"/>
      <c r="AK2" s="7" t="s">
        <v>13</v>
      </c>
      <c r="AL2" s="3">
        <f>AL4*AI6*AL9/100*100</f>
        <v>17.011423074074074</v>
      </c>
      <c r="AM2" s="8" t="s">
        <v>14</v>
      </c>
      <c r="AP2" s="9"/>
      <c r="AQ2" s="2">
        <f>ABS(AU7-AU6)/ABS(AV7-AV6)*1000</f>
        <v>16400.686304353243</v>
      </c>
      <c r="AR2" s="2"/>
      <c r="AS2" s="6" t="s">
        <v>12</v>
      </c>
      <c r="AT2" s="2"/>
      <c r="AU2" s="7" t="s">
        <v>13</v>
      </c>
      <c r="AV2" s="3">
        <f>AV4*AS6*AV9/100*100</f>
        <v>20.909255786419749</v>
      </c>
      <c r="AW2" s="8" t="s">
        <v>14</v>
      </c>
      <c r="AX2" s="9"/>
      <c r="AY2" s="2">
        <f>ABS(BC7-BC6)/ABS(BD7-BD6)*1000</f>
        <v>339.99079426231322</v>
      </c>
      <c r="AZ2" s="2"/>
      <c r="BA2" s="6" t="s">
        <v>15</v>
      </c>
      <c r="BB2" s="2"/>
      <c r="BC2" s="7" t="s">
        <v>13</v>
      </c>
      <c r="BD2" s="3">
        <f>BD4*BA6*BD9/100*100</f>
        <v>16.87468619753086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1.8087800000000001</v>
      </c>
      <c r="J3" s="2"/>
      <c r="K3" s="10">
        <f>INDEX(L11:L1056,MATCH(I3,K11:K1056,0))</f>
        <v>-0.46940617283950614</v>
      </c>
      <c r="L3" s="26" t="s">
        <v>16</v>
      </c>
      <c r="M3" s="11">
        <f>M9</f>
        <v>22.185093074074071</v>
      </c>
      <c r="N3" s="9"/>
      <c r="O3" s="2" t="s">
        <v>44</v>
      </c>
      <c r="P3" s="2"/>
      <c r="Q3" s="2">
        <f>INDEX(S11:S1056,MATCH(0,T11:T1056,-1))</f>
        <v>1.6870099999999999</v>
      </c>
      <c r="R3" s="2"/>
      <c r="S3" s="10">
        <f>INDEX(T11:T1056,MATCH(Q3,S11:S1056,0))</f>
        <v>7.9986172839506181E-2</v>
      </c>
      <c r="T3" s="26" t="s">
        <v>16</v>
      </c>
      <c r="U3" s="11">
        <f>U9</f>
        <v>17.553670044444441</v>
      </c>
      <c r="X3" s="9"/>
      <c r="Y3" s="2" t="s">
        <v>44</v>
      </c>
      <c r="Z3" s="2"/>
      <c r="AA3" s="2">
        <f>INDEX(AC11:AC856,MATCH(0,AD11:AD856,1))</f>
        <v>1.7584200000000001</v>
      </c>
      <c r="AB3" s="2"/>
      <c r="AC3" s="10">
        <f>INDEX(AD11:AD1056,MATCH(AA3,AC11:AC1056,0))</f>
        <v>-0.6815592592592592</v>
      </c>
      <c r="AD3" s="26" t="s">
        <v>16</v>
      </c>
      <c r="AE3" s="11">
        <f>AE9</f>
        <v>21.252743251851854</v>
      </c>
      <c r="AF3" s="9"/>
      <c r="AG3" s="2" t="s">
        <v>44</v>
      </c>
      <c r="AH3" s="2"/>
      <c r="AI3" s="2">
        <f>INDEX(AK11:AK1056,MATCH(0,AL11:AL1056,-1))</f>
        <v>1.6775500000000001</v>
      </c>
      <c r="AJ3" s="2"/>
      <c r="AK3" s="10">
        <f>INDEX(AL11:AL1056,MATCH(AI3,AK11:AK1056,0))</f>
        <v>0.72338024691358016</v>
      </c>
      <c r="AL3" s="26" t="s">
        <v>16</v>
      </c>
      <c r="AM3" s="11">
        <f>AM9</f>
        <v>17.011423074074074</v>
      </c>
      <c r="AP3" s="9"/>
      <c r="AQ3" s="2" t="s">
        <v>44</v>
      </c>
      <c r="AR3" s="2"/>
      <c r="AS3" s="2">
        <f>INDEX(AU11:AU856,MATCH(0,AV11:AV856,1))</f>
        <v>1.7492700000000001</v>
      </c>
      <c r="AT3" s="2"/>
      <c r="AU3" s="10">
        <f>INDEX(AV11:AV1056,MATCH(AS3,AU11:AU1056,0))</f>
        <v>-0.17854691358024691</v>
      </c>
      <c r="AV3" s="26" t="s">
        <v>16</v>
      </c>
      <c r="AW3" s="11">
        <f>AW9</f>
        <v>20.909255786419749</v>
      </c>
      <c r="AX3" s="9"/>
      <c r="AY3" s="2" t="s">
        <v>44</v>
      </c>
      <c r="AZ3" s="2"/>
      <c r="BA3" s="2">
        <f>INDEX(BC11:BC1056,MATCH(0,BD11:BD1056,-1))</f>
        <v>1.6763300000000001</v>
      </c>
      <c r="BB3" s="2"/>
      <c r="BC3" s="10">
        <f>INDEX(BD11:BD1056,MATCH(BA3,BC11:BC1056,0))</f>
        <v>0.44574444444444444</v>
      </c>
      <c r="BD3" s="26" t="s">
        <v>16</v>
      </c>
      <c r="BE3" s="11">
        <f>BE9</f>
        <v>16.87468619753086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3.1230220637397097</v>
      </c>
      <c r="H4" s="2"/>
      <c r="I4" s="2">
        <f>INDEX(K11:K1000,1+MATCH(0,L11:L856,1))</f>
        <v>1.80359</v>
      </c>
      <c r="J4" s="2"/>
      <c r="K4" s="10">
        <f>INDEX(L11:L1056,MATCH(I4,K11:K1056,0))</f>
        <v>1.1924456790123457</v>
      </c>
      <c r="L4" s="25">
        <f>M3/(I6*L9)</f>
        <v>0.73879244901291208</v>
      </c>
      <c r="M4" s="8" t="s">
        <v>17</v>
      </c>
      <c r="N4" s="9"/>
      <c r="O4" s="2">
        <f>ABS(Q3-Q4)/ABS(S3-S4)*1000</f>
        <v>5.4898936116687143</v>
      </c>
      <c r="P4" s="2"/>
      <c r="Q4" s="2">
        <f>INDEX(S11:S856,1+MATCH(0,T11:T856,-1))</f>
        <v>1.6915899999999999</v>
      </c>
      <c r="R4" s="2"/>
      <c r="S4" s="10">
        <f>INDEX(T11:T856,MATCH(Q4,S11:S856,0))</f>
        <v>-0.7542740740740741</v>
      </c>
      <c r="T4" s="25">
        <f>U3/(Q6*T9)</f>
        <v>0.62962084489482184</v>
      </c>
      <c r="U4" s="8" t="s">
        <v>17</v>
      </c>
      <c r="X4" s="9"/>
      <c r="Y4" s="2">
        <f>ABS(AA3-AA4)/ABS(AC3-AC4)*1000</f>
        <v>3.3050609372700608</v>
      </c>
      <c r="Z4" s="2"/>
      <c r="AA4" s="2">
        <f>INDEX(AC11:AC1000,1+MATCH(0,AD11:AD856,1))</f>
        <v>1.7535400000000001</v>
      </c>
      <c r="AB4" s="2"/>
      <c r="AC4" s="10">
        <f>INDEX(AD11:AD1056,MATCH(AA4,AC11:AC1056,0))</f>
        <v>0.79496419753086422</v>
      </c>
      <c r="AD4" s="25">
        <f>AE3/(AA6*AD9)</f>
        <v>0.73469469501055318</v>
      </c>
      <c r="AE4" s="8" t="s">
        <v>17</v>
      </c>
      <c r="AF4" s="9"/>
      <c r="AG4" s="2">
        <f>ABS(AI3-AI4)/ABS(AK3-AK4)*1000</f>
        <v>5.2536254377610216</v>
      </c>
      <c r="AH4" s="2"/>
      <c r="AI4" s="2">
        <f>INDEX(AK11:AK856,1+MATCH(0,AL11:AL856,-1))</f>
        <v>1.6815199999999999</v>
      </c>
      <c r="AJ4" s="2"/>
      <c r="AK4" s="10">
        <f>INDEX(AL11:AL856,MATCH(AI4,AK11:AK856,0))</f>
        <v>-3.2288395061728391E-2</v>
      </c>
      <c r="AL4" s="25">
        <f>AM3/(AI6*AL9)</f>
        <v>0.61878410792233585</v>
      </c>
      <c r="AM4" s="8" t="s">
        <v>17</v>
      </c>
      <c r="AP4" s="9"/>
      <c r="AQ4" s="2">
        <f>ABS(AS3-AS4)/ABS(AU3-AU4)*1000</f>
        <v>4.0416778179476349</v>
      </c>
      <c r="AR4" s="2"/>
      <c r="AS4" s="2">
        <f>INDEX(AU11:AU1000,1+MATCH(0,AV11:AV856,1))</f>
        <v>1.74377</v>
      </c>
      <c r="AT4" s="2"/>
      <c r="AU4" s="10">
        <f>INDEX(AV11:AV1056,MATCH(AS4,AU11:AU1056,0))</f>
        <v>1.182274074074074</v>
      </c>
      <c r="AV4" s="25">
        <f>AW3/(AS6*AV9)</f>
        <v>0.72891106757746216</v>
      </c>
      <c r="AW4" s="8" t="s">
        <v>17</v>
      </c>
      <c r="AX4" s="9"/>
      <c r="AY4" s="2">
        <f>ABS(BA3-BA4)/ABS(BC3-BC4)*1000</f>
        <v>6.5199488193553456</v>
      </c>
      <c r="AZ4" s="2"/>
      <c r="BA4" s="2">
        <f>INDEX(BC11:BC856,1+MATCH(0,BD11:BD856,-1))</f>
        <v>1.6815199999999999</v>
      </c>
      <c r="BB4" s="2"/>
      <c r="BC4" s="10">
        <f>INDEX(BD11:BD856,MATCH(BA4,BC11:BC856,0))</f>
        <v>-0.35027407407407407</v>
      </c>
      <c r="BD4" s="25">
        <f>BE3/(BA6*BD9)</f>
        <v>0.61763386039367707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14.520370370370369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12.904074074074073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14.286790123456791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13.137654320987654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14.200123456790122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12.591358024691356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1.8073140341653666</v>
      </c>
      <c r="J6" s="25"/>
      <c r="K6" s="2">
        <f>INDEX(K11:K1056,MATCH(L6,L11:L1056,0))</f>
        <v>0.13253799999999999</v>
      </c>
      <c r="L6" s="10">
        <f>INDEX(L11:L1056,MATCH(0,K11:K1056,-1))</f>
        <v>16.615185185185183</v>
      </c>
      <c r="M6" s="8" t="s">
        <v>22</v>
      </c>
      <c r="N6" s="9"/>
      <c r="O6" s="2"/>
      <c r="P6" s="2"/>
      <c r="Q6" s="27">
        <f>(Q3-Q4)/(S3-S4)*(-S4)+Q4</f>
        <v>1.6874491155792932</v>
      </c>
      <c r="R6" s="27"/>
      <c r="S6" s="2">
        <f>INDEX(S11:S1056,MATCH(T6,T11:T1056,0))</f>
        <v>-4.5318600000000004E-3</v>
      </c>
      <c r="T6" s="10">
        <f>INDEX(T11:T1056,MATCH(0,S11:S1056,1))</f>
        <v>16.528518518518517</v>
      </c>
      <c r="U6" s="8" t="s">
        <v>22</v>
      </c>
      <c r="X6" s="9"/>
      <c r="Y6" s="2"/>
      <c r="Z6" s="2"/>
      <c r="AA6" s="25">
        <f>(AA3-AA4)/(AC3-AC4)*(-AC4)+AA4</f>
        <v>1.7561674051157876</v>
      </c>
      <c r="AB6" s="25"/>
      <c r="AC6" s="2">
        <f>INDEX(AC11:AC1056,MATCH(AD6,AD11:AD1056,0))</f>
        <v>1.93176E-3</v>
      </c>
      <c r="AD6" s="10">
        <f>INDEX(AD11:AD1056,MATCH(0,AC11:AC1056,-1))</f>
        <v>16.471975308641973</v>
      </c>
      <c r="AE6" s="8" t="s">
        <v>22</v>
      </c>
      <c r="AF6" s="9"/>
      <c r="AG6" s="2"/>
      <c r="AH6" s="2"/>
      <c r="AI6" s="27">
        <f>(AI3-AI4)/(AK3-AK4)*(-AK4)+AI4</f>
        <v>1.6813503688663591</v>
      </c>
      <c r="AJ6" s="27"/>
      <c r="AK6" s="2">
        <f>INDEX(AK11:AK1056,MATCH(AL6,AL11:AL1056,0))</f>
        <v>-4.4677700000000002E-3</v>
      </c>
      <c r="AL6" s="10">
        <f>INDEX(AL11:AL1056,MATCH(0,AK11:AK1056,1))</f>
        <v>16.347654320987651</v>
      </c>
      <c r="AM6" s="8" t="s">
        <v>22</v>
      </c>
      <c r="AP6" s="9"/>
      <c r="AQ6" s="2"/>
      <c r="AR6" s="2"/>
      <c r="AS6" s="25">
        <f>(AS3-AS4)/(AU3-AU4)*(-AU4)+AS4</f>
        <v>1.7485483708999199</v>
      </c>
      <c r="AT6" s="25"/>
      <c r="AU6" s="2">
        <f>INDEX(AU11:AU1056,MATCH(AV6,AV11:AV1056,0))</f>
        <v>8.2214400000000007E-2</v>
      </c>
      <c r="AV6" s="10">
        <f>INDEX(AV11:AV1056,MATCH(0,AU11:AU1056,-1))</f>
        <v>16.400370370370371</v>
      </c>
      <c r="AW6" s="8" t="s">
        <v>22</v>
      </c>
      <c r="AX6" s="9"/>
      <c r="AY6" s="2"/>
      <c r="AZ6" s="2"/>
      <c r="BA6" s="27">
        <f>(BA3-BA4)/(BC3-BC4)*(-BC4)+BA4</f>
        <v>1.6792362309642899</v>
      </c>
      <c r="BB6" s="27"/>
      <c r="BC6" s="2">
        <f>INDEX(BC11:BC1056,MATCH(BD6,BD11:BD1056,0))</f>
        <v>-4.5501700000000001E-3</v>
      </c>
      <c r="BD6" s="10">
        <f>INDEX(BD11:BD1056,MATCH(0,BC11:BC1056,1))</f>
        <v>16.28358024691358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0.127502</v>
      </c>
      <c r="L7" s="10">
        <f>INDEX(L11:L856,1+MATCH(0,K11:K856,-1))</f>
        <v>16.615185185185183</v>
      </c>
      <c r="M7" s="12">
        <f>INDEX(K11:K1056,MATCH(M9,M11:M1056,0))</f>
        <v>1.5267900000000001</v>
      </c>
      <c r="N7" s="9"/>
      <c r="O7" s="2"/>
      <c r="P7" s="2"/>
      <c r="Q7" s="2"/>
      <c r="R7" s="2"/>
      <c r="S7" s="2">
        <f>INDEX(S11:S1056,MATCH(T7,T11:T1056,0))</f>
        <v>5.7067900000000004E-4</v>
      </c>
      <c r="T7" s="10">
        <f>INDEX(T11:T1056,1+MATCH(0,S11:S1056,1))</f>
        <v>16.520987654320987</v>
      </c>
      <c r="U7" s="12">
        <f>INDEX(S11:S1056,MATCH(U9,U11:U1056,0))</f>
        <v>1.3592500000000001</v>
      </c>
      <c r="X7" s="9"/>
      <c r="Y7" s="2"/>
      <c r="Z7" s="2"/>
      <c r="AA7" s="2"/>
      <c r="AB7" s="2"/>
      <c r="AC7" s="2">
        <f>INDEX(AC11:AC856,MATCH(AD7,AD11:AD856,1))</f>
        <v>-5.3710899999999999E-2</v>
      </c>
      <c r="AD7" s="10">
        <f>INDEX(AD11:AD856,1+MATCH(0,AC11:AC856,-1))</f>
        <v>16.468148148148149</v>
      </c>
      <c r="AE7" s="12">
        <f>INDEX(AC11:AC1056,MATCH(AE9,AE11:AE1056,0))</f>
        <v>1.48682</v>
      </c>
      <c r="AF7" s="9"/>
      <c r="AG7" s="2"/>
      <c r="AH7" s="2"/>
      <c r="AI7" s="2"/>
      <c r="AJ7" s="2"/>
      <c r="AK7" s="2">
        <f>INDEX(AK11:AK1056,MATCH(AL7,AL11:AL1056,0))</f>
        <v>5.3710900000000002E-4</v>
      </c>
      <c r="AL7" s="10">
        <f>INDEX(AL11:AL1056,1+MATCH(0,AK11:AK1056,1))</f>
        <v>16.351358024691358</v>
      </c>
      <c r="AM7" s="12">
        <f>INDEX(AK11:AK1056,MATCH(AM9,AM11:AM1056,0))</f>
        <v>1.2942499999999999</v>
      </c>
      <c r="AP7" s="9"/>
      <c r="AQ7" s="2"/>
      <c r="AR7" s="2"/>
      <c r="AS7" s="2"/>
      <c r="AT7" s="2"/>
      <c r="AU7" s="2">
        <f>INDEX(AU11:AU856,MATCH(AV7,AV11:AV856,1))</f>
        <v>-0.104065</v>
      </c>
      <c r="AV7" s="10">
        <f>INDEX(AV11:AV856,1+MATCH(0,AU11:AU856,-1))</f>
        <v>16.411728395061726</v>
      </c>
      <c r="AW7" s="12">
        <f>INDEX(AU11:AU1056,MATCH(AW9,AW11:AW1056,0))</f>
        <v>1.4712499999999999</v>
      </c>
      <c r="AX7" s="9"/>
      <c r="AY7" s="2"/>
      <c r="AZ7" s="2"/>
      <c r="BA7" s="2"/>
      <c r="BB7" s="2"/>
      <c r="BC7" s="2">
        <f>INDEX(BC11:BC1056,MATCH(BD7,BD11:BD1056,0))</f>
        <v>5.7067900000000004E-4</v>
      </c>
      <c r="BD7" s="10">
        <f>INDEX(BD11:BD1056,1+MATCH(0,BC11:BC1056,1))</f>
        <v>16.268518518518519</v>
      </c>
      <c r="BE7" s="12">
        <f>INDEX(BC11:BC1056,MATCH(BE9,BE11:BE1056,0))</f>
        <v>1.33972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20.876283972150667</v>
      </c>
      <c r="J9" s="2"/>
      <c r="K9" s="2"/>
      <c r="L9" s="3">
        <f>(L6-L7)/(K6-K7)*(-K7)+L7</f>
        <v>16.615185185185183</v>
      </c>
      <c r="M9" s="15">
        <f>MAX(M11:M1056)</f>
        <v>22.185093074074071</v>
      </c>
      <c r="N9" s="9"/>
      <c r="O9" s="2"/>
      <c r="P9" s="2"/>
      <c r="Q9" s="2"/>
      <c r="R9" s="2"/>
      <c r="S9" s="2"/>
      <c r="T9" s="3">
        <f>(T6-T7)/(S6-S7)*(-S7)+T7</f>
        <v>16.521829922464235</v>
      </c>
      <c r="U9" s="15">
        <f>MAX(U11:U1056)</f>
        <v>17.553670044444441</v>
      </c>
      <c r="X9" s="9"/>
      <c r="Y9" s="2"/>
      <c r="Z9" s="2"/>
      <c r="AA9" s="14">
        <f>(MAX(AD2,AL2)-MIN(AD2,AL2))/MAX(AD2,AL2)%</f>
        <v>19.956577499275127</v>
      </c>
      <c r="AB9" s="2"/>
      <c r="AC9" s="2"/>
      <c r="AD9" s="3">
        <f>(AD6-AD7)/(AC6-AC7)*(-AC7)+AD7</f>
        <v>16.471842440163801</v>
      </c>
      <c r="AE9" s="15">
        <f>MAX(AE11:AE1056)</f>
        <v>21.252743251851854</v>
      </c>
      <c r="AF9" s="9"/>
      <c r="AG9" s="2"/>
      <c r="AH9" s="2"/>
      <c r="AI9" s="2"/>
      <c r="AJ9" s="2"/>
      <c r="AK9" s="2"/>
      <c r="AL9" s="3">
        <f>(AL6-AL7)/(AK6-AK7)*(-AK7)+AL7</f>
        <v>16.350960554024716</v>
      </c>
      <c r="AM9" s="15">
        <f>MAX(AM11:AM1056)</f>
        <v>17.011423074074074</v>
      </c>
      <c r="AP9" s="9"/>
      <c r="AQ9" s="2"/>
      <c r="AR9" s="2"/>
      <c r="AS9" s="14">
        <f>(MAX(AV2,BD2)-MIN(AV2,BD2))/MAX(AV2,BD2)%</f>
        <v>19.295615444664858</v>
      </c>
      <c r="AT9" s="2"/>
      <c r="AU9" s="2"/>
      <c r="AV9" s="3">
        <f>(AV6-AV7)/(AU6-AU7)*(-AU7)+AV7</f>
        <v>16.405383233763665</v>
      </c>
      <c r="AW9" s="15">
        <f>MAX(AW11:AW1056)</f>
        <v>20.909255786419749</v>
      </c>
      <c r="AX9" s="9"/>
      <c r="AY9" s="2"/>
      <c r="AZ9" s="2"/>
      <c r="BA9" s="2"/>
      <c r="BB9" s="2"/>
      <c r="BC9" s="2"/>
      <c r="BD9" s="3">
        <f>(BD6-BD7)/(BC6-BC7)*(-BC7)+BD7</f>
        <v>16.270197031612494</v>
      </c>
      <c r="BE9" s="15">
        <f>MAX(BE11:BE1056)</f>
        <v>16.87468619753086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1.8073140341653666</v>
      </c>
      <c r="B11" s="18">
        <f>IFERROR(L9,0)</f>
        <v>16.615185185185183</v>
      </c>
      <c r="C11" s="19">
        <f>IFERROR(L4,0)</f>
        <v>0.73879244901291208</v>
      </c>
      <c r="D11" s="20">
        <f>IFERROR(L2,0)</f>
        <v>22.185093074074075</v>
      </c>
      <c r="E11" s="20">
        <f>IFERROR(I9,0)</f>
        <v>20.876283972150667</v>
      </c>
      <c r="F11" s="9"/>
      <c r="G11" s="21">
        <v>1.8249500000000001</v>
      </c>
      <c r="H11" s="21">
        <v>5.0463899999999997</v>
      </c>
      <c r="I11" s="21">
        <v>5.8166499999999996E-3</v>
      </c>
      <c r="J11" s="21">
        <v>1</v>
      </c>
      <c r="K11" s="21">
        <v>1.8243400000000001</v>
      </c>
      <c r="L11">
        <f>-I11/$F$2*1000</f>
        <v>-7.181049382716048</v>
      </c>
      <c r="M11">
        <f>L11*G11</f>
        <v>-13.105056070987652</v>
      </c>
      <c r="N11" s="9"/>
      <c r="O11" s="21">
        <v>-9.49097E-2</v>
      </c>
      <c r="P11" s="21">
        <v>8.9260000000000002</v>
      </c>
      <c r="Q11" s="21">
        <v>-1.35681E-2</v>
      </c>
      <c r="R11" s="21">
        <v>1</v>
      </c>
      <c r="S11" s="21">
        <v>-9.5428499999999999E-2</v>
      </c>
      <c r="T11">
        <f>-Q11/$F$2*1000</f>
        <v>16.750740740740738</v>
      </c>
      <c r="U11">
        <f>T11*O11</f>
        <v>-1.5898077784814812</v>
      </c>
      <c r="V11" s="22"/>
      <c r="W11" s="23"/>
      <c r="X11" s="9"/>
      <c r="Y11" s="21">
        <v>1.8249500000000001</v>
      </c>
      <c r="Z11" s="21">
        <v>14.499599999999999</v>
      </c>
      <c r="AA11" s="21">
        <v>2.88483E-2</v>
      </c>
      <c r="AB11" s="21">
        <v>1</v>
      </c>
      <c r="AC11" s="21">
        <v>1.8240400000000001</v>
      </c>
      <c r="AD11">
        <f>-AA11/$F$2*1000</f>
        <v>-35.615185185185183</v>
      </c>
      <c r="AE11">
        <f>AD11*Y11</f>
        <v>-64.995932203703703</v>
      </c>
      <c r="AF11" s="9"/>
      <c r="AG11" s="21">
        <v>-9.49097E-2</v>
      </c>
      <c r="AH11" s="21">
        <v>18.379200000000001</v>
      </c>
      <c r="AI11" s="21">
        <v>-1.3443E-2</v>
      </c>
      <c r="AJ11" s="21">
        <v>1</v>
      </c>
      <c r="AK11" s="21">
        <v>-9.5397899999999994E-2</v>
      </c>
      <c r="AL11">
        <f>-AI11/$F$2*1000</f>
        <v>16.596296296296295</v>
      </c>
      <c r="AM11">
        <f>AL11*AG11</f>
        <v>-1.5751495025925923</v>
      </c>
      <c r="AP11" s="9"/>
      <c r="AQ11" s="21">
        <v>1.8249500000000001</v>
      </c>
      <c r="AR11" s="21">
        <v>23.997800000000002</v>
      </c>
      <c r="AS11" s="21">
        <v>3.1750500000000001E-2</v>
      </c>
      <c r="AT11" s="21">
        <v>1</v>
      </c>
      <c r="AU11" s="21">
        <v>1.8237300000000001</v>
      </c>
      <c r="AV11">
        <f>-AS11/$F$2*1000</f>
        <v>-39.19814814814815</v>
      </c>
      <c r="AW11">
        <f>AV11*AQ11</f>
        <v>-71.534660462962975</v>
      </c>
      <c r="AX11" s="9"/>
      <c r="AY11" s="21">
        <v>-9.49097E-2</v>
      </c>
      <c r="AZ11" s="21">
        <v>27.877400000000002</v>
      </c>
      <c r="BA11" s="21">
        <v>-1.33759E-2</v>
      </c>
      <c r="BB11" s="21">
        <v>1</v>
      </c>
      <c r="BC11" s="21">
        <v>-9.5489500000000005E-2</v>
      </c>
      <c r="BD11">
        <f>-BA11/$F$2*1000</f>
        <v>16.513456790123456</v>
      </c>
      <c r="BE11">
        <f>BD11*AY11</f>
        <v>-1.5672872299135803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1.6874491155792932</v>
      </c>
      <c r="B12" s="18">
        <f>IFERROR(T9,0)</f>
        <v>16.521829922464235</v>
      </c>
      <c r="C12" s="19">
        <f>IFERROR(T4,0)</f>
        <v>0.62962084489482184</v>
      </c>
      <c r="D12" s="20">
        <f>IFERROR(T2,0)</f>
        <v>17.553670044444441</v>
      </c>
      <c r="E12" s="20"/>
      <c r="F12" s="9"/>
      <c r="G12" s="21">
        <v>1.81992</v>
      </c>
      <c r="H12" s="21">
        <v>5.0564600000000004</v>
      </c>
      <c r="I12" s="21">
        <v>3.7408400000000001E-3</v>
      </c>
      <c r="J12" s="21">
        <v>2</v>
      </c>
      <c r="K12" s="21">
        <v>1.81915</v>
      </c>
      <c r="L12">
        <f t="shared" ref="L12:L75" si="0">-I12/$F$2*1000</f>
        <v>-4.6183209876543208</v>
      </c>
      <c r="M12">
        <f t="shared" ref="M12:M75" si="1">L12*G12</f>
        <v>-8.4049747318518513</v>
      </c>
      <c r="N12" s="9"/>
      <c r="O12" s="21">
        <v>-8.9874300000000004E-2</v>
      </c>
      <c r="P12" s="21">
        <v>8.9360800000000005</v>
      </c>
      <c r="Q12" s="21">
        <v>-1.3543700000000001E-2</v>
      </c>
      <c r="R12" s="21">
        <v>2</v>
      </c>
      <c r="S12" s="21">
        <v>-9.0393100000000004E-2</v>
      </c>
      <c r="T12">
        <f t="shared" ref="T12:T75" si="2">-Q12/$F$2*1000</f>
        <v>16.720617283950617</v>
      </c>
      <c r="U12">
        <f t="shared" ref="U12:U75" si="3">T12*O12</f>
        <v>-1.5027537739629631</v>
      </c>
      <c r="V12" s="22"/>
      <c r="W12" s="23"/>
      <c r="X12" s="9"/>
      <c r="Y12" s="21">
        <v>1.81992</v>
      </c>
      <c r="Z12" s="21">
        <v>14.509600000000001</v>
      </c>
      <c r="AA12" s="21">
        <v>2.5769E-2</v>
      </c>
      <c r="AB12" s="21">
        <v>2</v>
      </c>
      <c r="AC12" s="21">
        <v>1.8188500000000001</v>
      </c>
      <c r="AD12">
        <f t="shared" ref="AD12:AD75" si="4">-AA12/$F$2*1000</f>
        <v>-31.813580246913581</v>
      </c>
      <c r="AE12">
        <f t="shared" ref="AE12:AE75" si="5">AD12*Y12</f>
        <v>-57.898170962962965</v>
      </c>
      <c r="AF12" s="9"/>
      <c r="AG12" s="21">
        <v>-8.9874300000000004E-2</v>
      </c>
      <c r="AH12" s="21">
        <v>18.389299999999999</v>
      </c>
      <c r="AI12" s="21">
        <v>-1.3421600000000001E-2</v>
      </c>
      <c r="AJ12" s="21">
        <v>2</v>
      </c>
      <c r="AK12" s="21">
        <v>-9.0331999999999996E-2</v>
      </c>
      <c r="AL12">
        <f t="shared" ref="AL12:AL75" si="6">-AI12/$F$2*1000</f>
        <v>16.569876543209876</v>
      </c>
      <c r="AM12">
        <f t="shared" ref="AM12:AM75" si="7">AL12*AG12</f>
        <v>-1.4892060554074074</v>
      </c>
      <c r="AP12" s="9"/>
      <c r="AQ12" s="21">
        <v>1.81992</v>
      </c>
      <c r="AR12" s="21">
        <v>24.007899999999999</v>
      </c>
      <c r="AS12" s="21">
        <v>2.8695700000000001E-2</v>
      </c>
      <c r="AT12" s="21">
        <v>2</v>
      </c>
      <c r="AU12" s="21">
        <v>1.8188500000000001</v>
      </c>
      <c r="AV12">
        <f t="shared" ref="AV12:AV75" si="8">-AS12/$F$2*1000</f>
        <v>-35.426790123456783</v>
      </c>
      <c r="AW12">
        <f t="shared" ref="AW12:AW75" si="9">AV12*AQ12</f>
        <v>-64.473923881481468</v>
      </c>
      <c r="AX12" s="9"/>
      <c r="AY12" s="21">
        <v>-8.9874300000000004E-2</v>
      </c>
      <c r="AZ12" s="21">
        <v>27.887499999999999</v>
      </c>
      <c r="BA12" s="21">
        <v>-1.33545E-2</v>
      </c>
      <c r="BB12" s="21">
        <v>2</v>
      </c>
      <c r="BC12" s="21">
        <v>-9.0393100000000004E-2</v>
      </c>
      <c r="BD12">
        <f t="shared" ref="BD12:BD75" si="10">-BA12/$F$2*1000</f>
        <v>16.487037037037037</v>
      </c>
      <c r="BE12">
        <f t="shared" ref="BE12:BE75" si="11">BD12*AY12</f>
        <v>-1.4817609127777778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1.7561674051157876</v>
      </c>
      <c r="B13" s="18">
        <f>IFERROR(AD9,0)</f>
        <v>16.471842440163801</v>
      </c>
      <c r="C13" s="19">
        <f>IFERROR(AD4,0)</f>
        <v>0.73469469501055318</v>
      </c>
      <c r="D13" s="20">
        <f>IFERROR(AD2,0)</f>
        <v>21.252743251851854</v>
      </c>
      <c r="E13" s="20">
        <f>IFERROR(AA9,0)</f>
        <v>19.956577499275127</v>
      </c>
      <c r="F13" s="9"/>
      <c r="G13" s="21">
        <v>1.81488</v>
      </c>
      <c r="H13" s="21">
        <v>5.0665300000000002</v>
      </c>
      <c r="I13" s="21">
        <v>1.93665E-3</v>
      </c>
      <c r="J13" s="21">
        <v>3</v>
      </c>
      <c r="K13" s="21">
        <v>1.81396</v>
      </c>
      <c r="L13">
        <f t="shared" si="0"/>
        <v>-2.3909259259259259</v>
      </c>
      <c r="M13">
        <f t="shared" si="1"/>
        <v>-4.3392436444444442</v>
      </c>
      <c r="N13" s="9"/>
      <c r="O13" s="21">
        <v>-8.4838899999999995E-2</v>
      </c>
      <c r="P13" s="21">
        <v>8.9461499999999994</v>
      </c>
      <c r="Q13" s="21">
        <v>-1.35254E-2</v>
      </c>
      <c r="R13" s="21">
        <v>3</v>
      </c>
      <c r="S13" s="21">
        <v>-8.5357699999999995E-2</v>
      </c>
      <c r="T13">
        <f t="shared" si="2"/>
        <v>16.698024691358025</v>
      </c>
      <c r="U13">
        <f t="shared" si="3"/>
        <v>-1.4166420469876544</v>
      </c>
      <c r="V13" s="22"/>
      <c r="W13" s="23"/>
      <c r="X13" s="9"/>
      <c r="Y13" s="21">
        <v>1.81488</v>
      </c>
      <c r="Z13" s="21">
        <v>14.5197</v>
      </c>
      <c r="AA13" s="21">
        <v>2.2943100000000001E-2</v>
      </c>
      <c r="AB13" s="21">
        <v>3</v>
      </c>
      <c r="AC13" s="21">
        <v>1.81427</v>
      </c>
      <c r="AD13">
        <f t="shared" si="4"/>
        <v>-28.324814814814815</v>
      </c>
      <c r="AE13">
        <f t="shared" si="5"/>
        <v>-51.406139911111111</v>
      </c>
      <c r="AF13" s="9"/>
      <c r="AG13" s="21">
        <v>-8.4838899999999995E-2</v>
      </c>
      <c r="AH13" s="21">
        <v>18.3993</v>
      </c>
      <c r="AI13" s="21">
        <v>-1.34003E-2</v>
      </c>
      <c r="AJ13" s="21">
        <v>3</v>
      </c>
      <c r="AK13" s="21">
        <v>-8.5266099999999997E-2</v>
      </c>
      <c r="AL13">
        <f t="shared" si="6"/>
        <v>16.543580246913578</v>
      </c>
      <c r="AM13">
        <f t="shared" si="7"/>
        <v>-1.4035391502098762</v>
      </c>
      <c r="AP13" s="9"/>
      <c r="AQ13" s="21">
        <v>1.81488</v>
      </c>
      <c r="AR13" s="21">
        <v>24.017900000000001</v>
      </c>
      <c r="AS13" s="21">
        <v>2.5897199999999999E-2</v>
      </c>
      <c r="AT13" s="21">
        <v>3</v>
      </c>
      <c r="AU13" s="21">
        <v>1.8145800000000001</v>
      </c>
      <c r="AV13">
        <f t="shared" si="8"/>
        <v>-31.971851851851849</v>
      </c>
      <c r="AW13">
        <f t="shared" si="9"/>
        <v>-58.025074488888883</v>
      </c>
      <c r="AX13" s="9"/>
      <c r="AY13" s="21">
        <v>-8.4838899999999995E-2</v>
      </c>
      <c r="AZ13" s="21">
        <v>27.897600000000001</v>
      </c>
      <c r="BA13" s="21">
        <v>-1.33423E-2</v>
      </c>
      <c r="BB13" s="21">
        <v>3</v>
      </c>
      <c r="BC13" s="21">
        <v>-8.5357699999999995E-2</v>
      </c>
      <c r="BD13">
        <f t="shared" si="10"/>
        <v>16.471975308641973</v>
      </c>
      <c r="BE13">
        <f t="shared" si="11"/>
        <v>-1.3974642660123453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1.6813503688663591</v>
      </c>
      <c r="B14" s="18">
        <f>IFERROR(AL9,0)</f>
        <v>16.350960554024716</v>
      </c>
      <c r="C14" s="19">
        <f>IFERROR(AL4,0)</f>
        <v>0.61878410792233585</v>
      </c>
      <c r="D14" s="20">
        <f>IFERROR(AL2,0)</f>
        <v>17.011423074074074</v>
      </c>
      <c r="E14" s="20"/>
      <c r="F14" s="9"/>
      <c r="G14" s="21">
        <v>1.8098399999999999</v>
      </c>
      <c r="H14" s="21">
        <v>5.0766</v>
      </c>
      <c r="I14" s="21">
        <v>3.80219E-4</v>
      </c>
      <c r="J14" s="21">
        <v>4</v>
      </c>
      <c r="K14" s="21">
        <v>1.8087800000000001</v>
      </c>
      <c r="L14">
        <f t="shared" si="0"/>
        <v>-0.46940617283950614</v>
      </c>
      <c r="M14">
        <f t="shared" si="1"/>
        <v>-0.84955006785185172</v>
      </c>
      <c r="N14" s="9"/>
      <c r="O14" s="21">
        <v>-7.9803499999999999E-2</v>
      </c>
      <c r="P14" s="21">
        <v>8.9562200000000001</v>
      </c>
      <c r="Q14" s="21">
        <v>-1.3510100000000001E-2</v>
      </c>
      <c r="R14" s="21">
        <v>4</v>
      </c>
      <c r="S14" s="21">
        <v>-8.0200199999999999E-2</v>
      </c>
      <c r="T14">
        <f t="shared" si="2"/>
        <v>16.679135802469133</v>
      </c>
      <c r="U14">
        <f t="shared" si="3"/>
        <v>-1.3310534140123456</v>
      </c>
      <c r="V14" s="22"/>
      <c r="W14" s="23"/>
      <c r="X14" s="9"/>
      <c r="Y14" s="21">
        <v>1.8098399999999999</v>
      </c>
      <c r="Z14" s="21">
        <v>14.5298</v>
      </c>
      <c r="AA14" s="21">
        <v>2.02881E-2</v>
      </c>
      <c r="AB14" s="21">
        <v>4</v>
      </c>
      <c r="AC14" s="21">
        <v>1.8093900000000001</v>
      </c>
      <c r="AD14">
        <f t="shared" si="4"/>
        <v>-25.047037037037036</v>
      </c>
      <c r="AE14">
        <f t="shared" si="5"/>
        <v>-45.331129511111108</v>
      </c>
      <c r="AF14" s="9"/>
      <c r="AG14" s="21">
        <v>-7.9803499999999999E-2</v>
      </c>
      <c r="AH14" s="21">
        <v>18.409400000000002</v>
      </c>
      <c r="AI14" s="21">
        <v>-1.3372800000000001E-2</v>
      </c>
      <c r="AJ14" s="21">
        <v>4</v>
      </c>
      <c r="AK14" s="21">
        <v>-8.0352800000000002E-2</v>
      </c>
      <c r="AL14">
        <f t="shared" si="6"/>
        <v>16.509629629629632</v>
      </c>
      <c r="AM14">
        <f t="shared" si="7"/>
        <v>-1.3175262281481483</v>
      </c>
      <c r="AP14" s="9"/>
      <c r="AQ14" s="21">
        <v>1.8098399999999999</v>
      </c>
      <c r="AR14" s="21">
        <v>24.027999999999999</v>
      </c>
      <c r="AS14" s="21">
        <v>2.3269700000000001E-2</v>
      </c>
      <c r="AT14" s="21">
        <v>4</v>
      </c>
      <c r="AU14" s="21">
        <v>1.8087800000000001</v>
      </c>
      <c r="AV14">
        <f t="shared" si="8"/>
        <v>-28.728024691358023</v>
      </c>
      <c r="AW14">
        <f t="shared" si="9"/>
        <v>-51.993128207407402</v>
      </c>
      <c r="AX14" s="9"/>
      <c r="AY14" s="21">
        <v>-7.9803499999999999E-2</v>
      </c>
      <c r="AZ14" s="21">
        <v>27.907599999999999</v>
      </c>
      <c r="BA14" s="21">
        <v>-1.3327E-2</v>
      </c>
      <c r="BB14" s="21">
        <v>4</v>
      </c>
      <c r="BC14" s="21">
        <v>-8.0413799999999994E-2</v>
      </c>
      <c r="BD14">
        <f t="shared" si="10"/>
        <v>16.453086419753085</v>
      </c>
      <c r="BE14">
        <f t="shared" si="11"/>
        <v>-1.3130138820987654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1.7485483708999199</v>
      </c>
      <c r="B15" s="18">
        <f>IFERROR(AV9,0)</f>
        <v>16.405383233763665</v>
      </c>
      <c r="C15" s="19">
        <f>IFERROR(AV4,0)</f>
        <v>0.72891106757746216</v>
      </c>
      <c r="D15" s="20">
        <f>IFERROR(AV2,0)</f>
        <v>20.909255786419749</v>
      </c>
      <c r="E15" s="20">
        <f>IFERROR(AS9,0)</f>
        <v>19.295615444664858</v>
      </c>
      <c r="F15" s="9"/>
      <c r="G15" s="21">
        <v>1.80481</v>
      </c>
      <c r="H15" s="21">
        <v>5.0866699999999998</v>
      </c>
      <c r="I15" s="21">
        <v>-9.6588100000000003E-4</v>
      </c>
      <c r="J15" s="21">
        <v>5</v>
      </c>
      <c r="K15" s="21">
        <v>1.80359</v>
      </c>
      <c r="L15">
        <f t="shared" si="0"/>
        <v>1.1924456790123457</v>
      </c>
      <c r="M15">
        <f t="shared" si="1"/>
        <v>2.1521378859382718</v>
      </c>
      <c r="N15" s="9"/>
      <c r="O15" s="21">
        <v>-7.4768100000000004E-2</v>
      </c>
      <c r="P15" s="21">
        <v>8.9662900000000008</v>
      </c>
      <c r="Q15" s="21">
        <v>-1.3507099999999999E-2</v>
      </c>
      <c r="R15" s="21">
        <v>5</v>
      </c>
      <c r="S15" s="21">
        <v>-7.5256299999999998E-2</v>
      </c>
      <c r="T15">
        <f t="shared" si="2"/>
        <v>16.67543209876543</v>
      </c>
      <c r="U15">
        <f t="shared" si="3"/>
        <v>-1.2467903747037037</v>
      </c>
      <c r="V15" s="22"/>
      <c r="W15" s="23"/>
      <c r="X15" s="9"/>
      <c r="Y15" s="21">
        <v>1.80481</v>
      </c>
      <c r="Z15" s="21">
        <v>14.539899999999999</v>
      </c>
      <c r="AA15" s="21">
        <v>1.77368E-2</v>
      </c>
      <c r="AB15" s="21">
        <v>5</v>
      </c>
      <c r="AC15" s="21">
        <v>1.8042</v>
      </c>
      <c r="AD15">
        <f t="shared" si="4"/>
        <v>-21.897283950617282</v>
      </c>
      <c r="AE15">
        <f t="shared" si="5"/>
        <v>-39.520437046913578</v>
      </c>
      <c r="AF15" s="9"/>
      <c r="AG15" s="21">
        <v>-7.4768100000000004E-2</v>
      </c>
      <c r="AH15" s="21">
        <v>18.419499999999999</v>
      </c>
      <c r="AI15" s="21">
        <v>-1.33636E-2</v>
      </c>
      <c r="AJ15" s="21">
        <v>5</v>
      </c>
      <c r="AK15" s="21">
        <v>-7.5195300000000007E-2</v>
      </c>
      <c r="AL15">
        <f t="shared" si="6"/>
        <v>16.498271604938271</v>
      </c>
      <c r="AM15">
        <f t="shared" si="7"/>
        <v>-1.2335444211851851</v>
      </c>
      <c r="AP15" s="9"/>
      <c r="AQ15" s="21">
        <v>1.80481</v>
      </c>
      <c r="AR15" s="21">
        <v>24.0381</v>
      </c>
      <c r="AS15" s="21">
        <v>2.07245E-2</v>
      </c>
      <c r="AT15" s="21">
        <v>5</v>
      </c>
      <c r="AU15" s="21">
        <v>1.8045</v>
      </c>
      <c r="AV15">
        <f t="shared" si="8"/>
        <v>-25.5858024691358</v>
      </c>
      <c r="AW15">
        <f t="shared" si="9"/>
        <v>-46.177512154320986</v>
      </c>
      <c r="AX15" s="9"/>
      <c r="AY15" s="21">
        <v>-7.4768100000000004E-2</v>
      </c>
      <c r="AZ15" s="21">
        <v>27.9177</v>
      </c>
      <c r="BA15" s="21">
        <v>-1.33057E-2</v>
      </c>
      <c r="BB15" s="21">
        <v>5</v>
      </c>
      <c r="BC15" s="21">
        <v>-7.5256299999999998E-2</v>
      </c>
      <c r="BD15">
        <f t="shared" si="10"/>
        <v>16.42679012345679</v>
      </c>
      <c r="BE15">
        <f t="shared" si="11"/>
        <v>-1.2281998866296298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1.6792362309642899</v>
      </c>
      <c r="B16" s="18">
        <f>IFERROR(BD9,0)</f>
        <v>16.270197031612494</v>
      </c>
      <c r="C16" s="19">
        <f>IFERROR(BD4,0)</f>
        <v>0.61763386039367707</v>
      </c>
      <c r="D16" s="20">
        <f>IFERROR(BD2,0)</f>
        <v>16.87468619753086</v>
      </c>
      <c r="E16" s="20"/>
      <c r="F16" s="9"/>
      <c r="G16" s="21">
        <v>1.7997700000000001</v>
      </c>
      <c r="H16" s="21">
        <v>5.0967399999999996</v>
      </c>
      <c r="I16" s="21">
        <v>-2.0840500000000001E-3</v>
      </c>
      <c r="J16" s="21">
        <v>6</v>
      </c>
      <c r="K16" s="21">
        <v>1.79932</v>
      </c>
      <c r="L16">
        <f t="shared" si="0"/>
        <v>2.572901234567901</v>
      </c>
      <c r="M16">
        <f t="shared" si="1"/>
        <v>4.6306304549382711</v>
      </c>
      <c r="N16" s="9"/>
      <c r="O16" s="21">
        <v>-6.9732699999999995E-2</v>
      </c>
      <c r="P16" s="21">
        <v>8.9763599999999997</v>
      </c>
      <c r="Q16" s="21">
        <v>-1.3501000000000001E-2</v>
      </c>
      <c r="R16" s="21">
        <v>6</v>
      </c>
      <c r="S16" s="21">
        <v>-7.0220900000000003E-2</v>
      </c>
      <c r="T16">
        <f t="shared" si="2"/>
        <v>16.667901234567903</v>
      </c>
      <c r="U16">
        <f t="shared" si="3"/>
        <v>-1.1622977564197532</v>
      </c>
      <c r="V16" s="22"/>
      <c r="W16" s="23"/>
      <c r="X16" s="9"/>
      <c r="Y16" s="21">
        <v>1.7997700000000001</v>
      </c>
      <c r="Z16" s="21">
        <v>14.549899999999999</v>
      </c>
      <c r="AA16" s="21">
        <v>1.5341199999999999E-2</v>
      </c>
      <c r="AB16" s="21">
        <v>6</v>
      </c>
      <c r="AC16" s="21">
        <v>1.79901</v>
      </c>
      <c r="AD16">
        <f t="shared" si="4"/>
        <v>-18.939753086419749</v>
      </c>
      <c r="AE16">
        <f t="shared" si="5"/>
        <v>-34.087199412345676</v>
      </c>
      <c r="AF16" s="9"/>
      <c r="AG16" s="21">
        <v>-6.9732699999999995E-2</v>
      </c>
      <c r="AH16" s="21">
        <v>18.429500000000001</v>
      </c>
      <c r="AI16" s="21">
        <v>-1.33575E-2</v>
      </c>
      <c r="AJ16" s="21">
        <v>6</v>
      </c>
      <c r="AK16" s="21">
        <v>-7.0251499999999995E-2</v>
      </c>
      <c r="AL16">
        <f t="shared" si="6"/>
        <v>16.49074074074074</v>
      </c>
      <c r="AM16">
        <f t="shared" si="7"/>
        <v>-1.1499438768518517</v>
      </c>
      <c r="AP16" s="9"/>
      <c r="AQ16" s="21">
        <v>1.7997700000000001</v>
      </c>
      <c r="AR16" s="21">
        <v>24.048200000000001</v>
      </c>
      <c r="AS16" s="21">
        <v>1.8313599999999999E-2</v>
      </c>
      <c r="AT16" s="21">
        <v>6</v>
      </c>
      <c r="AU16" s="21">
        <v>1.79932</v>
      </c>
      <c r="AV16">
        <f t="shared" si="8"/>
        <v>-22.609382716049382</v>
      </c>
      <c r="AW16">
        <f t="shared" si="9"/>
        <v>-40.6916887308642</v>
      </c>
      <c r="AX16" s="9"/>
      <c r="AY16" s="21">
        <v>-6.9732699999999995E-2</v>
      </c>
      <c r="AZ16" s="21">
        <v>27.927800000000001</v>
      </c>
      <c r="BA16" s="21">
        <v>-1.32874E-2</v>
      </c>
      <c r="BB16" s="21">
        <v>6</v>
      </c>
      <c r="BC16" s="21">
        <v>-7.0251499999999995E-2</v>
      </c>
      <c r="BD16">
        <f t="shared" si="10"/>
        <v>16.404197530864195</v>
      </c>
      <c r="BE16">
        <f t="shared" si="11"/>
        <v>-1.1439089851604936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1.79474</v>
      </c>
      <c r="H17" s="21">
        <v>5.1068199999999999</v>
      </c>
      <c r="I17" s="21">
        <v>-3.0194100000000001E-3</v>
      </c>
      <c r="J17" s="21">
        <v>7</v>
      </c>
      <c r="K17" s="21">
        <v>1.79443</v>
      </c>
      <c r="L17">
        <f t="shared" si="0"/>
        <v>3.7276666666666665</v>
      </c>
      <c r="M17">
        <f t="shared" si="1"/>
        <v>6.6901924733333331</v>
      </c>
      <c r="N17" s="9"/>
      <c r="O17" s="21">
        <v>-6.4697299999999999E-2</v>
      </c>
      <c r="P17" s="21">
        <v>8.9864300000000004</v>
      </c>
      <c r="Q17" s="21">
        <v>-1.3494900000000001E-2</v>
      </c>
      <c r="R17" s="21">
        <v>7</v>
      </c>
      <c r="S17" s="21">
        <v>-6.5185499999999993E-2</v>
      </c>
      <c r="T17">
        <f t="shared" si="2"/>
        <v>16.660370370370369</v>
      </c>
      <c r="U17">
        <f t="shared" si="3"/>
        <v>-1.0778809799629629</v>
      </c>
      <c r="V17" s="22"/>
      <c r="W17" s="23"/>
      <c r="X17" s="9"/>
      <c r="Y17" s="21">
        <v>1.79474</v>
      </c>
      <c r="Z17" s="21">
        <v>14.56</v>
      </c>
      <c r="AA17" s="21">
        <v>1.30341E-2</v>
      </c>
      <c r="AB17" s="21">
        <v>7</v>
      </c>
      <c r="AC17" s="21">
        <v>1.79413</v>
      </c>
      <c r="AD17">
        <f t="shared" si="4"/>
        <v>-16.09148148148148</v>
      </c>
      <c r="AE17">
        <f t="shared" si="5"/>
        <v>-28.880025474074071</v>
      </c>
      <c r="AF17" s="9"/>
      <c r="AG17" s="21">
        <v>-6.4697299999999999E-2</v>
      </c>
      <c r="AH17" s="21">
        <v>18.439599999999999</v>
      </c>
      <c r="AI17" s="21">
        <v>-1.33423E-2</v>
      </c>
      <c r="AJ17" s="21">
        <v>7</v>
      </c>
      <c r="AK17" s="21">
        <v>-6.5185499999999993E-2</v>
      </c>
      <c r="AL17">
        <f t="shared" si="6"/>
        <v>16.471975308641973</v>
      </c>
      <c r="AM17">
        <f t="shared" si="7"/>
        <v>-1.0656923281358024</v>
      </c>
      <c r="AP17" s="9"/>
      <c r="AQ17" s="21">
        <v>1.79474</v>
      </c>
      <c r="AR17" s="21">
        <v>24.058199999999999</v>
      </c>
      <c r="AS17" s="21">
        <v>1.5988200000000001E-2</v>
      </c>
      <c r="AT17" s="21">
        <v>7</v>
      </c>
      <c r="AU17" s="21">
        <v>1.79382</v>
      </c>
      <c r="AV17">
        <f t="shared" si="8"/>
        <v>-19.738518518518521</v>
      </c>
      <c r="AW17">
        <f t="shared" si="9"/>
        <v>-35.42550872592593</v>
      </c>
      <c r="AX17" s="9"/>
      <c r="AY17" s="21">
        <v>-6.4697299999999999E-2</v>
      </c>
      <c r="AZ17" s="21">
        <v>27.937799999999999</v>
      </c>
      <c r="BA17" s="21">
        <v>-1.3284300000000001E-2</v>
      </c>
      <c r="BB17" s="21">
        <v>7</v>
      </c>
      <c r="BC17" s="21">
        <v>-6.5155000000000005E-2</v>
      </c>
      <c r="BD17">
        <f t="shared" si="10"/>
        <v>16.400370370370371</v>
      </c>
      <c r="BE17">
        <f t="shared" si="11"/>
        <v>-1.061059681962963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1.7897000000000001</v>
      </c>
      <c r="H18" s="21">
        <v>5.1168899999999997</v>
      </c>
      <c r="I18" s="21">
        <v>-3.79913E-3</v>
      </c>
      <c r="J18" s="21">
        <v>8</v>
      </c>
      <c r="K18" s="21">
        <v>1.78894</v>
      </c>
      <c r="L18">
        <f t="shared" si="0"/>
        <v>4.6902839506172835</v>
      </c>
      <c r="M18">
        <f t="shared" si="1"/>
        <v>8.3942011864197532</v>
      </c>
      <c r="N18" s="9"/>
      <c r="O18" s="21">
        <v>-5.9661899999999997E-2</v>
      </c>
      <c r="P18" s="21">
        <v>8.9964999999999993</v>
      </c>
      <c r="Q18" s="21">
        <v>-1.34827E-2</v>
      </c>
      <c r="R18" s="21">
        <v>8</v>
      </c>
      <c r="S18" s="21">
        <v>-6.0058599999999997E-2</v>
      </c>
      <c r="T18">
        <f t="shared" si="2"/>
        <v>16.645308641975308</v>
      </c>
      <c r="U18">
        <f t="shared" si="3"/>
        <v>-0.99309073966666661</v>
      </c>
      <c r="V18" s="22"/>
      <c r="W18" s="23"/>
      <c r="X18" s="9"/>
      <c r="Y18" s="21">
        <v>1.7897000000000001</v>
      </c>
      <c r="Z18" s="21">
        <v>14.5701</v>
      </c>
      <c r="AA18" s="21">
        <v>1.08673E-2</v>
      </c>
      <c r="AB18" s="21">
        <v>8</v>
      </c>
      <c r="AC18" s="21">
        <v>1.78864</v>
      </c>
      <c r="AD18">
        <f t="shared" si="4"/>
        <v>-13.416419753086419</v>
      </c>
      <c r="AE18">
        <f t="shared" si="5"/>
        <v>-24.011366432098765</v>
      </c>
      <c r="AF18" s="9"/>
      <c r="AG18" s="21">
        <v>-5.9661899999999997E-2</v>
      </c>
      <c r="AH18" s="21">
        <v>18.4497</v>
      </c>
      <c r="AI18" s="21">
        <v>-1.3333100000000001E-2</v>
      </c>
      <c r="AJ18" s="21">
        <v>8</v>
      </c>
      <c r="AK18" s="21">
        <v>-6.0272199999999998E-2</v>
      </c>
      <c r="AL18">
        <f t="shared" si="6"/>
        <v>16.460617283950615</v>
      </c>
      <c r="AM18">
        <f t="shared" si="7"/>
        <v>-0.98207170233333319</v>
      </c>
      <c r="AP18" s="9"/>
      <c r="AQ18" s="21">
        <v>1.7897000000000001</v>
      </c>
      <c r="AR18" s="21">
        <v>24.068300000000001</v>
      </c>
      <c r="AS18" s="21">
        <v>1.37787E-2</v>
      </c>
      <c r="AT18" s="21">
        <v>8</v>
      </c>
      <c r="AU18" s="21">
        <v>1.78925</v>
      </c>
      <c r="AV18">
        <f t="shared" si="8"/>
        <v>-17.01074074074074</v>
      </c>
      <c r="AW18">
        <f t="shared" si="9"/>
        <v>-30.444122703703705</v>
      </c>
      <c r="AX18" s="9"/>
      <c r="AY18" s="21">
        <v>-5.9661899999999997E-2</v>
      </c>
      <c r="AZ18" s="21">
        <v>27.947900000000001</v>
      </c>
      <c r="BA18" s="21">
        <v>-1.32782E-2</v>
      </c>
      <c r="BB18" s="21">
        <v>8</v>
      </c>
      <c r="BC18" s="21">
        <v>-6.0089099999999999E-2</v>
      </c>
      <c r="BD18">
        <f t="shared" si="10"/>
        <v>16.392839506172837</v>
      </c>
      <c r="BE18">
        <f t="shared" si="11"/>
        <v>-0.9780279513333332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1.78467</v>
      </c>
      <c r="H19" s="21">
        <v>5.1269600000000004</v>
      </c>
      <c r="I19" s="21">
        <v>-4.4665499999999997E-3</v>
      </c>
      <c r="J19" s="21">
        <v>9</v>
      </c>
      <c r="K19" s="21">
        <v>1.7837499999999999</v>
      </c>
      <c r="L19">
        <f t="shared" si="0"/>
        <v>5.5142592592592585</v>
      </c>
      <c r="M19">
        <f t="shared" si="1"/>
        <v>9.8411330722222203</v>
      </c>
      <c r="N19" s="9"/>
      <c r="O19" s="21">
        <v>-5.4626500000000001E-2</v>
      </c>
      <c r="P19" s="21">
        <v>9.00657</v>
      </c>
      <c r="Q19" s="21">
        <v>-1.34705E-2</v>
      </c>
      <c r="R19" s="21">
        <v>9</v>
      </c>
      <c r="S19" s="21">
        <v>-5.50842E-2</v>
      </c>
      <c r="T19">
        <f t="shared" si="2"/>
        <v>16.630246913580244</v>
      </c>
      <c r="U19">
        <f t="shared" si="3"/>
        <v>-0.90845218302469122</v>
      </c>
      <c r="V19" s="22"/>
      <c r="W19" s="23"/>
      <c r="X19" s="9"/>
      <c r="Y19" s="21">
        <v>1.78467</v>
      </c>
      <c r="Z19" s="21">
        <v>14.5801</v>
      </c>
      <c r="AA19" s="21">
        <v>8.8134800000000003E-3</v>
      </c>
      <c r="AB19" s="21">
        <v>9</v>
      </c>
      <c r="AC19" s="21">
        <v>1.7837499999999999</v>
      </c>
      <c r="AD19">
        <f t="shared" si="4"/>
        <v>-10.880839506172839</v>
      </c>
      <c r="AE19">
        <f t="shared" si="5"/>
        <v>-19.418707841481481</v>
      </c>
      <c r="AF19" s="9"/>
      <c r="AG19" s="21">
        <v>-5.4626500000000001E-2</v>
      </c>
      <c r="AH19" s="21">
        <v>18.459800000000001</v>
      </c>
      <c r="AI19" s="21">
        <v>-1.3317900000000001E-2</v>
      </c>
      <c r="AJ19" s="21">
        <v>9</v>
      </c>
      <c r="AK19" s="21">
        <v>-5.52063E-2</v>
      </c>
      <c r="AL19">
        <f t="shared" si="6"/>
        <v>16.441851851851851</v>
      </c>
      <c r="AM19">
        <f t="shared" si="7"/>
        <v>-0.89816082018518517</v>
      </c>
      <c r="AP19" s="9"/>
      <c r="AQ19" s="21">
        <v>1.78467</v>
      </c>
      <c r="AR19" s="21">
        <v>24.078399999999998</v>
      </c>
      <c r="AS19" s="21">
        <v>1.1672999999999999E-2</v>
      </c>
      <c r="AT19" s="21">
        <v>9</v>
      </c>
      <c r="AU19" s="21">
        <v>1.7837499999999999</v>
      </c>
      <c r="AV19">
        <f t="shared" si="8"/>
        <v>-14.41111111111111</v>
      </c>
      <c r="AW19">
        <f t="shared" si="9"/>
        <v>-25.719077666666664</v>
      </c>
      <c r="AX19" s="9"/>
      <c r="AY19" s="21">
        <v>-5.4626500000000001E-2</v>
      </c>
      <c r="AZ19" s="21">
        <v>27.957999999999998</v>
      </c>
      <c r="BA19" s="21">
        <v>-1.3262899999999999E-2</v>
      </c>
      <c r="BB19" s="21">
        <v>9</v>
      </c>
      <c r="BC19" s="21">
        <v>-5.5053699999999997E-2</v>
      </c>
      <c r="BD19">
        <f t="shared" si="10"/>
        <v>16.373950617283949</v>
      </c>
      <c r="BE19">
        <f t="shared" si="11"/>
        <v>-0.89445161339506163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1.77963</v>
      </c>
      <c r="H20" s="21">
        <v>5.1370300000000002</v>
      </c>
      <c r="I20" s="21">
        <v>-5.0323499999999997E-3</v>
      </c>
      <c r="J20" s="21">
        <v>10</v>
      </c>
      <c r="K20" s="21">
        <v>1.7791699999999999</v>
      </c>
      <c r="L20">
        <f t="shared" si="0"/>
        <v>6.2127777777777773</v>
      </c>
      <c r="M20">
        <f t="shared" si="1"/>
        <v>11.056445716666666</v>
      </c>
      <c r="N20" s="9"/>
      <c r="O20" s="21">
        <v>-4.9591099999999999E-2</v>
      </c>
      <c r="P20" s="21">
        <v>9.0166400000000007</v>
      </c>
      <c r="Q20" s="21">
        <v>-1.3458299999999999E-2</v>
      </c>
      <c r="R20" s="21">
        <v>10</v>
      </c>
      <c r="S20" s="21">
        <v>-5.0018300000000002E-2</v>
      </c>
      <c r="T20">
        <f t="shared" si="2"/>
        <v>16.615185185185183</v>
      </c>
      <c r="U20">
        <f t="shared" si="3"/>
        <v>-0.82396531003703688</v>
      </c>
      <c r="V20" s="22"/>
      <c r="W20" s="23"/>
      <c r="X20" s="9"/>
      <c r="Y20" s="21">
        <v>1.77963</v>
      </c>
      <c r="Z20" s="21">
        <v>14.590199999999999</v>
      </c>
      <c r="AA20" s="21">
        <v>6.8908700000000003E-3</v>
      </c>
      <c r="AB20" s="21">
        <v>10</v>
      </c>
      <c r="AC20" s="21">
        <v>1.77826</v>
      </c>
      <c r="AD20">
        <f t="shared" si="4"/>
        <v>-8.5072469135802482</v>
      </c>
      <c r="AE20">
        <f t="shared" si="5"/>
        <v>-15.139751824814818</v>
      </c>
      <c r="AF20" s="9"/>
      <c r="AG20" s="21">
        <v>-4.9591099999999999E-2</v>
      </c>
      <c r="AH20" s="21">
        <v>18.469799999999999</v>
      </c>
      <c r="AI20" s="21">
        <v>-1.33087E-2</v>
      </c>
      <c r="AJ20" s="21">
        <v>10</v>
      </c>
      <c r="AK20" s="21">
        <v>-5.0018300000000002E-2</v>
      </c>
      <c r="AL20">
        <f t="shared" si="6"/>
        <v>16.430493827160493</v>
      </c>
      <c r="AM20">
        <f t="shared" si="7"/>
        <v>-0.81480626243209875</v>
      </c>
      <c r="AP20" s="9"/>
      <c r="AQ20" s="21">
        <v>1.77963</v>
      </c>
      <c r="AR20" s="21">
        <v>24.0884</v>
      </c>
      <c r="AS20" s="21">
        <v>9.6679699999999997E-3</v>
      </c>
      <c r="AT20" s="21">
        <v>10</v>
      </c>
      <c r="AU20" s="21">
        <v>1.7791699999999999</v>
      </c>
      <c r="AV20">
        <f t="shared" si="8"/>
        <v>-11.935765432098764</v>
      </c>
      <c r="AW20">
        <f t="shared" si="9"/>
        <v>-21.241246235925924</v>
      </c>
      <c r="AX20" s="9"/>
      <c r="AY20" s="21">
        <v>-4.9591099999999999E-2</v>
      </c>
      <c r="AZ20" s="21">
        <v>27.9681</v>
      </c>
      <c r="BA20" s="21">
        <v>-1.3247699999999999E-2</v>
      </c>
      <c r="BB20" s="21">
        <v>10</v>
      </c>
      <c r="BC20" s="21">
        <v>-5.00793E-2</v>
      </c>
      <c r="BD20">
        <f t="shared" si="10"/>
        <v>16.355185185185185</v>
      </c>
      <c r="BE20">
        <f t="shared" si="11"/>
        <v>-0.81107162403703703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1.7746</v>
      </c>
      <c r="H21" s="21">
        <v>5.1471</v>
      </c>
      <c r="I21" s="21">
        <v>-5.5267299999999997E-3</v>
      </c>
      <c r="J21" s="21">
        <v>11</v>
      </c>
      <c r="K21" s="21">
        <v>1.77399</v>
      </c>
      <c r="L21">
        <f t="shared" si="0"/>
        <v>6.8231234567901229</v>
      </c>
      <c r="M21">
        <f t="shared" si="1"/>
        <v>12.108314886419752</v>
      </c>
      <c r="N21" s="9"/>
      <c r="O21" s="21">
        <v>-4.4555699999999997E-2</v>
      </c>
      <c r="P21" s="21">
        <v>9.0267099999999996</v>
      </c>
      <c r="Q21" s="21">
        <v>-1.3446E-2</v>
      </c>
      <c r="R21" s="21">
        <v>11</v>
      </c>
      <c r="S21" s="21">
        <v>-4.4860799999999999E-2</v>
      </c>
      <c r="T21">
        <f t="shared" si="2"/>
        <v>16.599999999999998</v>
      </c>
      <c r="U21">
        <f t="shared" si="3"/>
        <v>-0.73962461999999984</v>
      </c>
      <c r="V21" s="22"/>
      <c r="W21" s="23"/>
      <c r="X21" s="9"/>
      <c r="Y21" s="21">
        <v>1.7746</v>
      </c>
      <c r="Z21" s="21">
        <v>14.600300000000001</v>
      </c>
      <c r="AA21" s="21">
        <v>5.0933799999999998E-3</v>
      </c>
      <c r="AB21" s="21">
        <v>11</v>
      </c>
      <c r="AC21" s="21">
        <v>1.7736799999999999</v>
      </c>
      <c r="AD21">
        <f t="shared" si="4"/>
        <v>-6.2881234567901227</v>
      </c>
      <c r="AE21">
        <f t="shared" si="5"/>
        <v>-11.158903886419752</v>
      </c>
      <c r="AF21" s="9"/>
      <c r="AG21" s="21">
        <v>-4.4555699999999997E-2</v>
      </c>
      <c r="AH21" s="21">
        <v>18.479900000000001</v>
      </c>
      <c r="AI21" s="21">
        <v>-1.32935E-2</v>
      </c>
      <c r="AJ21" s="21">
        <v>11</v>
      </c>
      <c r="AK21" s="21">
        <v>-4.49127E-2</v>
      </c>
      <c r="AL21">
        <f t="shared" si="6"/>
        <v>16.411728395061726</v>
      </c>
      <c r="AM21">
        <f t="shared" si="7"/>
        <v>-0.73123604685185173</v>
      </c>
      <c r="AP21" s="9"/>
      <c r="AQ21" s="21">
        <v>1.7746</v>
      </c>
      <c r="AR21" s="21">
        <v>24.098500000000001</v>
      </c>
      <c r="AS21" s="21">
        <v>7.7789299999999999E-3</v>
      </c>
      <c r="AT21" s="21">
        <v>11</v>
      </c>
      <c r="AU21" s="21">
        <v>1.77399</v>
      </c>
      <c r="AV21">
        <f t="shared" si="8"/>
        <v>-9.6036172839506158</v>
      </c>
      <c r="AW21">
        <f t="shared" si="9"/>
        <v>-17.042579232098763</v>
      </c>
      <c r="AX21" s="9"/>
      <c r="AY21" s="21">
        <v>-4.4555699999999997E-2</v>
      </c>
      <c r="AZ21" s="21">
        <v>27.978100000000001</v>
      </c>
      <c r="BA21" s="21">
        <v>-1.32324E-2</v>
      </c>
      <c r="BB21" s="21">
        <v>11</v>
      </c>
      <c r="BC21" s="21">
        <v>-4.4894400000000001E-2</v>
      </c>
      <c r="BD21">
        <f t="shared" si="10"/>
        <v>16.336296296296297</v>
      </c>
      <c r="BE21">
        <f t="shared" si="11"/>
        <v>-0.72787511688888884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1.76956</v>
      </c>
      <c r="H22" s="21">
        <v>5.1571699999999998</v>
      </c>
      <c r="I22" s="21">
        <v>-5.9692399999999998E-3</v>
      </c>
      <c r="J22" s="21">
        <v>12</v>
      </c>
      <c r="K22" s="21">
        <v>1.7687999999999999</v>
      </c>
      <c r="L22">
        <f t="shared" si="0"/>
        <v>7.3694320987654311</v>
      </c>
      <c r="M22">
        <f t="shared" si="1"/>
        <v>13.040652264691357</v>
      </c>
      <c r="N22" s="9"/>
      <c r="O22" s="21">
        <v>-3.9520300000000001E-2</v>
      </c>
      <c r="P22" s="21">
        <v>9.0367899999999999</v>
      </c>
      <c r="Q22" s="21">
        <v>-1.34369E-2</v>
      </c>
      <c r="R22" s="21">
        <v>12</v>
      </c>
      <c r="S22" s="21">
        <v>-3.9801000000000003E-2</v>
      </c>
      <c r="T22">
        <f t="shared" si="2"/>
        <v>16.588765432098764</v>
      </c>
      <c r="U22">
        <f t="shared" si="3"/>
        <v>-0.65559298650617281</v>
      </c>
      <c r="V22" s="22"/>
      <c r="W22" s="23"/>
      <c r="X22" s="9"/>
      <c r="Y22" s="21">
        <v>1.76956</v>
      </c>
      <c r="Z22" s="21">
        <v>14.6104</v>
      </c>
      <c r="AA22" s="21">
        <v>3.4371900000000001E-3</v>
      </c>
      <c r="AB22" s="21">
        <v>12</v>
      </c>
      <c r="AC22" s="21">
        <v>1.7687999999999999</v>
      </c>
      <c r="AD22">
        <f t="shared" si="4"/>
        <v>-4.243444444444445</v>
      </c>
      <c r="AE22">
        <f t="shared" si="5"/>
        <v>-7.5090295511111123</v>
      </c>
      <c r="AF22" s="9"/>
      <c r="AG22" s="21">
        <v>-3.9520300000000001E-2</v>
      </c>
      <c r="AH22" s="21">
        <v>18.489999999999998</v>
      </c>
      <c r="AI22" s="21">
        <v>-1.3284300000000001E-2</v>
      </c>
      <c r="AJ22" s="21">
        <v>12</v>
      </c>
      <c r="AK22" s="21">
        <v>-3.9871200000000002E-2</v>
      </c>
      <c r="AL22">
        <f t="shared" si="6"/>
        <v>16.400370370370371</v>
      </c>
      <c r="AM22">
        <f t="shared" si="7"/>
        <v>-0.6481475571481482</v>
      </c>
      <c r="AP22" s="9"/>
      <c r="AQ22" s="21">
        <v>1.76956</v>
      </c>
      <c r="AR22" s="21">
        <v>24.108599999999999</v>
      </c>
      <c r="AS22" s="21">
        <v>5.9966999999999998E-3</v>
      </c>
      <c r="AT22" s="21">
        <v>12</v>
      </c>
      <c r="AU22" s="21">
        <v>1.7681899999999999</v>
      </c>
      <c r="AV22">
        <f t="shared" si="8"/>
        <v>-7.4033333333333333</v>
      </c>
      <c r="AW22">
        <f t="shared" si="9"/>
        <v>-13.100642533333334</v>
      </c>
      <c r="AX22" s="9"/>
      <c r="AY22" s="21">
        <v>-3.9520300000000001E-2</v>
      </c>
      <c r="AZ22" s="21">
        <v>27.988199999999999</v>
      </c>
      <c r="BA22" s="21">
        <v>-1.32324E-2</v>
      </c>
      <c r="BB22" s="21">
        <v>12</v>
      </c>
      <c r="BC22" s="21">
        <v>-3.9904799999999997E-2</v>
      </c>
      <c r="BD22">
        <f t="shared" si="10"/>
        <v>16.336296296296297</v>
      </c>
      <c r="BE22">
        <f t="shared" si="11"/>
        <v>-0.6456153305185186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1.7645299999999999</v>
      </c>
      <c r="H23" s="21">
        <v>5.1672399999999996</v>
      </c>
      <c r="I23" s="21">
        <v>-6.3659700000000003E-3</v>
      </c>
      <c r="J23" s="21">
        <v>13</v>
      </c>
      <c r="K23" s="21">
        <v>1.7642199999999999</v>
      </c>
      <c r="L23">
        <f t="shared" si="0"/>
        <v>7.8592222222222219</v>
      </c>
      <c r="M23">
        <f t="shared" si="1"/>
        <v>13.867833387777777</v>
      </c>
      <c r="N23" s="9"/>
      <c r="O23" s="21">
        <v>-3.4484899999999999E-2</v>
      </c>
      <c r="P23" s="21">
        <v>9.0468600000000006</v>
      </c>
      <c r="Q23" s="21">
        <v>-1.3439899999999999E-2</v>
      </c>
      <c r="R23" s="21">
        <v>13</v>
      </c>
      <c r="S23" s="21">
        <v>-3.4845000000000001E-2</v>
      </c>
      <c r="T23">
        <f t="shared" si="2"/>
        <v>16.592469135802467</v>
      </c>
      <c r="U23">
        <f t="shared" si="3"/>
        <v>-0.57218963890123453</v>
      </c>
      <c r="V23" s="22"/>
      <c r="W23" s="23"/>
      <c r="X23" s="9"/>
      <c r="Y23" s="21">
        <v>1.7645299999999999</v>
      </c>
      <c r="Z23" s="21">
        <v>14.6204</v>
      </c>
      <c r="AA23" s="21">
        <v>1.90979E-3</v>
      </c>
      <c r="AB23" s="21">
        <v>13</v>
      </c>
      <c r="AC23" s="21">
        <v>1.7645299999999999</v>
      </c>
      <c r="AD23">
        <f t="shared" si="4"/>
        <v>-2.3577654320987653</v>
      </c>
      <c r="AE23">
        <f t="shared" si="5"/>
        <v>-4.1603478379012344</v>
      </c>
      <c r="AF23" s="9"/>
      <c r="AG23" s="21">
        <v>-3.4484899999999999E-2</v>
      </c>
      <c r="AH23" s="21">
        <v>18.5</v>
      </c>
      <c r="AI23" s="21">
        <v>-1.3284300000000001E-2</v>
      </c>
      <c r="AJ23" s="21">
        <v>13</v>
      </c>
      <c r="AK23" s="21">
        <v>-3.4726E-2</v>
      </c>
      <c r="AL23">
        <f t="shared" si="6"/>
        <v>16.400370370370371</v>
      </c>
      <c r="AM23">
        <f t="shared" si="7"/>
        <v>-0.56556513218518523</v>
      </c>
      <c r="AP23" s="9"/>
      <c r="AQ23" s="21">
        <v>1.7645299999999999</v>
      </c>
      <c r="AR23" s="21">
        <v>24.1187</v>
      </c>
      <c r="AS23" s="21">
        <v>4.3353300000000001E-3</v>
      </c>
      <c r="AT23" s="21">
        <v>13</v>
      </c>
      <c r="AU23" s="21">
        <v>1.7633099999999999</v>
      </c>
      <c r="AV23">
        <f t="shared" si="8"/>
        <v>-5.3522592592592586</v>
      </c>
      <c r="AW23">
        <f t="shared" si="9"/>
        <v>-9.4442220307407396</v>
      </c>
      <c r="AX23" s="9"/>
      <c r="AY23" s="21">
        <v>-3.4484899999999999E-2</v>
      </c>
      <c r="AZ23" s="21">
        <v>27.9983</v>
      </c>
      <c r="BA23" s="21">
        <v>-1.3229400000000001E-2</v>
      </c>
      <c r="BB23" s="21">
        <v>13</v>
      </c>
      <c r="BC23" s="21">
        <v>-3.47687E-2</v>
      </c>
      <c r="BD23">
        <f t="shared" si="10"/>
        <v>16.332592592592594</v>
      </c>
      <c r="BE23">
        <f t="shared" si="11"/>
        <v>-0.56322782229629631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1.75949</v>
      </c>
      <c r="H24" s="21">
        <v>5.1773100000000003</v>
      </c>
      <c r="I24" s="21">
        <v>-6.7260699999999998E-3</v>
      </c>
      <c r="J24" s="21">
        <v>14</v>
      </c>
      <c r="K24" s="21">
        <v>1.7590300000000001</v>
      </c>
      <c r="L24">
        <f t="shared" si="0"/>
        <v>8.3037901234567908</v>
      </c>
      <c r="M24">
        <f t="shared" si="1"/>
        <v>14.610435684320988</v>
      </c>
      <c r="N24" s="9"/>
      <c r="O24" s="21">
        <v>-2.94495E-2</v>
      </c>
      <c r="P24" s="21">
        <v>9.0569299999999995</v>
      </c>
      <c r="Q24" s="21">
        <v>-1.3446E-2</v>
      </c>
      <c r="R24" s="21">
        <v>14</v>
      </c>
      <c r="S24" s="21">
        <v>-2.9702800000000001E-2</v>
      </c>
      <c r="T24">
        <f t="shared" si="2"/>
        <v>16.599999999999998</v>
      </c>
      <c r="U24">
        <f t="shared" si="3"/>
        <v>-0.48886169999999995</v>
      </c>
      <c r="V24" s="22"/>
      <c r="W24" s="23"/>
      <c r="X24" s="9"/>
      <c r="Y24" s="21">
        <v>1.75949</v>
      </c>
      <c r="Z24" s="21">
        <v>14.6305</v>
      </c>
      <c r="AA24" s="21">
        <v>5.5206299999999999E-4</v>
      </c>
      <c r="AB24" s="21">
        <v>14</v>
      </c>
      <c r="AC24" s="21">
        <v>1.7584200000000001</v>
      </c>
      <c r="AD24">
        <f t="shared" si="4"/>
        <v>-0.6815592592592592</v>
      </c>
      <c r="AE24">
        <f t="shared" si="5"/>
        <v>-1.1991967010740741</v>
      </c>
      <c r="AF24" s="9"/>
      <c r="AG24" s="21">
        <v>-2.94495E-2</v>
      </c>
      <c r="AH24" s="21">
        <v>18.510100000000001</v>
      </c>
      <c r="AI24" s="21">
        <v>-1.32782E-2</v>
      </c>
      <c r="AJ24" s="21">
        <v>14</v>
      </c>
      <c r="AK24" s="21">
        <v>-2.98187E-2</v>
      </c>
      <c r="AL24">
        <f t="shared" si="6"/>
        <v>16.392839506172837</v>
      </c>
      <c r="AM24">
        <f t="shared" si="7"/>
        <v>-0.48276092703703699</v>
      </c>
      <c r="AP24" s="9"/>
      <c r="AQ24" s="21">
        <v>1.75949</v>
      </c>
      <c r="AR24" s="21">
        <v>24.128699999999998</v>
      </c>
      <c r="AS24" s="21">
        <v>2.7908299999999998E-3</v>
      </c>
      <c r="AT24" s="21">
        <v>14</v>
      </c>
      <c r="AU24" s="21">
        <v>1.7593399999999999</v>
      </c>
      <c r="AV24">
        <f t="shared" si="8"/>
        <v>-3.4454691358024685</v>
      </c>
      <c r="AW24">
        <f t="shared" si="9"/>
        <v>-6.0622684897530856</v>
      </c>
      <c r="AX24" s="9"/>
      <c r="AY24" s="21">
        <v>-2.94495E-2</v>
      </c>
      <c r="AZ24" s="21">
        <v>28.008299999999998</v>
      </c>
      <c r="BA24" s="21">
        <v>-1.32324E-2</v>
      </c>
      <c r="BB24" s="21">
        <v>14</v>
      </c>
      <c r="BC24" s="21">
        <v>-2.9895000000000001E-2</v>
      </c>
      <c r="BD24">
        <f t="shared" si="10"/>
        <v>16.336296296296297</v>
      </c>
      <c r="BE24">
        <f t="shared" si="11"/>
        <v>-0.4810957577777778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1.7544599999999999</v>
      </c>
      <c r="H25" s="21">
        <v>5.1873800000000001</v>
      </c>
      <c r="I25" s="21">
        <v>-7.0556600000000001E-3</v>
      </c>
      <c r="J25" s="21">
        <v>15</v>
      </c>
      <c r="K25" s="21">
        <v>1.7535400000000001</v>
      </c>
      <c r="L25">
        <f t="shared" si="0"/>
        <v>8.7106913580246914</v>
      </c>
      <c r="M25">
        <f t="shared" si="1"/>
        <v>15.282559559999999</v>
      </c>
      <c r="N25" s="9"/>
      <c r="O25" s="21">
        <v>-2.4414100000000001E-2</v>
      </c>
      <c r="P25" s="21">
        <v>9.0670000000000002</v>
      </c>
      <c r="Q25" s="21">
        <v>-1.3433799999999999E-2</v>
      </c>
      <c r="R25" s="21">
        <v>15</v>
      </c>
      <c r="S25" s="21">
        <v>-2.4700900000000001E-2</v>
      </c>
      <c r="T25">
        <f t="shared" si="2"/>
        <v>16.584938271604937</v>
      </c>
      <c r="U25">
        <f t="shared" si="3"/>
        <v>-0.40490634145679011</v>
      </c>
      <c r="V25" s="22"/>
      <c r="W25" s="23"/>
      <c r="X25" s="9"/>
      <c r="Y25" s="21">
        <v>1.7544599999999999</v>
      </c>
      <c r="Z25" s="21">
        <v>14.640599999999999</v>
      </c>
      <c r="AA25" s="21">
        <v>-6.4392099999999999E-4</v>
      </c>
      <c r="AB25" s="21">
        <v>15</v>
      </c>
      <c r="AC25" s="21">
        <v>1.7535400000000001</v>
      </c>
      <c r="AD25">
        <f t="shared" si="4"/>
        <v>0.79496419753086422</v>
      </c>
      <c r="AE25">
        <f t="shared" si="5"/>
        <v>1.3947328859999999</v>
      </c>
      <c r="AF25" s="9"/>
      <c r="AG25" s="21">
        <v>-2.4414100000000001E-2</v>
      </c>
      <c r="AH25" s="21">
        <v>18.520199999999999</v>
      </c>
      <c r="AI25" s="21">
        <v>-1.32751E-2</v>
      </c>
      <c r="AJ25" s="21">
        <v>15</v>
      </c>
      <c r="AK25" s="21">
        <v>-2.4716200000000001E-2</v>
      </c>
      <c r="AL25">
        <f t="shared" si="6"/>
        <v>16.38901234567901</v>
      </c>
      <c r="AM25">
        <f t="shared" si="7"/>
        <v>-0.40012298630864196</v>
      </c>
      <c r="AP25" s="9"/>
      <c r="AQ25" s="21">
        <v>1.7544599999999999</v>
      </c>
      <c r="AR25" s="21">
        <v>24.1388</v>
      </c>
      <c r="AS25" s="21">
        <v>1.39252E-3</v>
      </c>
      <c r="AT25" s="21">
        <v>15</v>
      </c>
      <c r="AU25" s="21">
        <v>1.7538499999999999</v>
      </c>
      <c r="AV25">
        <f t="shared" si="8"/>
        <v>-1.7191604938271603</v>
      </c>
      <c r="AW25">
        <f t="shared" si="9"/>
        <v>-3.0161983199999995</v>
      </c>
      <c r="AX25" s="9"/>
      <c r="AY25" s="21">
        <v>-2.4414100000000001E-2</v>
      </c>
      <c r="AZ25" s="21">
        <v>28.0184</v>
      </c>
      <c r="BA25" s="21">
        <v>-1.32324E-2</v>
      </c>
      <c r="BB25" s="21">
        <v>15</v>
      </c>
      <c r="BC25" s="21">
        <v>-2.46246E-2</v>
      </c>
      <c r="BD25">
        <f t="shared" si="10"/>
        <v>16.336296296296297</v>
      </c>
      <c r="BE25">
        <f t="shared" si="11"/>
        <v>-0.39883597140740745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1.74942</v>
      </c>
      <c r="H26" s="21">
        <v>5.1974499999999999</v>
      </c>
      <c r="I26" s="21">
        <v>-7.3669399999999998E-3</v>
      </c>
      <c r="J26" s="21">
        <v>16</v>
      </c>
      <c r="K26" s="21">
        <v>1.7486600000000001</v>
      </c>
      <c r="L26">
        <f t="shared" si="0"/>
        <v>9.0949876543209864</v>
      </c>
      <c r="M26">
        <f t="shared" si="1"/>
        <v>15.91095330222222</v>
      </c>
      <c r="N26" s="9"/>
      <c r="O26" s="21">
        <v>-1.9378699999999999E-2</v>
      </c>
      <c r="P26" s="21">
        <v>9.0770700000000009</v>
      </c>
      <c r="Q26" s="21">
        <v>-1.3424699999999999E-2</v>
      </c>
      <c r="R26" s="21">
        <v>16</v>
      </c>
      <c r="S26" s="21">
        <v>-1.9665499999999999E-2</v>
      </c>
      <c r="T26">
        <f t="shared" si="2"/>
        <v>16.5737037037037</v>
      </c>
      <c r="U26">
        <f t="shared" si="3"/>
        <v>-0.32117683196296287</v>
      </c>
      <c r="V26" s="22"/>
      <c r="W26" s="23"/>
      <c r="X26" s="9"/>
      <c r="Y26" s="21">
        <v>1.74942</v>
      </c>
      <c r="Z26" s="21">
        <v>14.650600000000001</v>
      </c>
      <c r="AA26" s="21">
        <v>-1.6864E-3</v>
      </c>
      <c r="AB26" s="21">
        <v>16</v>
      </c>
      <c r="AC26" s="21">
        <v>1.7492700000000001</v>
      </c>
      <c r="AD26">
        <f t="shared" si="4"/>
        <v>2.081975308641975</v>
      </c>
      <c r="AE26">
        <f t="shared" si="5"/>
        <v>3.6422492444444439</v>
      </c>
      <c r="AF26" s="9"/>
      <c r="AG26" s="21">
        <v>-1.9378699999999999E-2</v>
      </c>
      <c r="AH26" s="21">
        <v>18.5303</v>
      </c>
      <c r="AI26" s="21">
        <v>-1.32721E-2</v>
      </c>
      <c r="AJ26" s="21">
        <v>16</v>
      </c>
      <c r="AK26" s="21">
        <v>-1.9696000000000002E-2</v>
      </c>
      <c r="AL26">
        <f t="shared" si="6"/>
        <v>16.385308641975307</v>
      </c>
      <c r="AM26">
        <f t="shared" si="7"/>
        <v>-0.31752598058024684</v>
      </c>
      <c r="AP26" s="9"/>
      <c r="AQ26" s="21">
        <v>1.74942</v>
      </c>
      <c r="AR26" s="21">
        <v>24.148900000000001</v>
      </c>
      <c r="AS26" s="21">
        <v>1.44623E-4</v>
      </c>
      <c r="AT26" s="21">
        <v>16</v>
      </c>
      <c r="AU26" s="21">
        <v>1.7492700000000001</v>
      </c>
      <c r="AV26">
        <f t="shared" si="8"/>
        <v>-0.17854691358024691</v>
      </c>
      <c r="AW26">
        <f t="shared" si="9"/>
        <v>-0.31235354155555556</v>
      </c>
      <c r="AX26" s="9"/>
      <c r="AY26" s="21">
        <v>-1.9378699999999999E-2</v>
      </c>
      <c r="AZ26" s="21">
        <v>28.028500000000001</v>
      </c>
      <c r="BA26" s="21">
        <v>-1.32202E-2</v>
      </c>
      <c r="BB26" s="21">
        <v>16</v>
      </c>
      <c r="BC26" s="21">
        <v>-1.9696000000000002E-2</v>
      </c>
      <c r="BD26">
        <f t="shared" si="10"/>
        <v>16.321234567901232</v>
      </c>
      <c r="BE26">
        <f t="shared" si="11"/>
        <v>-0.31628430832098758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1.74438</v>
      </c>
      <c r="H27" s="21">
        <v>5.2075300000000002</v>
      </c>
      <c r="I27" s="21">
        <v>-7.6477100000000003E-3</v>
      </c>
      <c r="J27" s="21">
        <v>17</v>
      </c>
      <c r="K27" s="21">
        <v>1.74377</v>
      </c>
      <c r="L27">
        <f t="shared" si="0"/>
        <v>9.4416172839506167</v>
      </c>
      <c r="M27">
        <f t="shared" si="1"/>
        <v>16.469768357777777</v>
      </c>
      <c r="N27" s="9"/>
      <c r="O27" s="21">
        <v>-1.43433E-2</v>
      </c>
      <c r="P27" s="21">
        <v>9.0871399999999998</v>
      </c>
      <c r="Q27" s="21">
        <v>-1.3406400000000001E-2</v>
      </c>
      <c r="R27" s="21">
        <v>17</v>
      </c>
      <c r="S27" s="21">
        <v>-1.4611799999999999E-2</v>
      </c>
      <c r="T27">
        <f t="shared" si="2"/>
        <v>16.551111111111108</v>
      </c>
      <c r="U27">
        <f t="shared" si="3"/>
        <v>-0.23739755199999996</v>
      </c>
      <c r="X27" s="9"/>
      <c r="Y27" s="21">
        <v>1.74438</v>
      </c>
      <c r="Z27" s="21">
        <v>14.6607</v>
      </c>
      <c r="AA27" s="21">
        <v>-2.5729400000000001E-3</v>
      </c>
      <c r="AB27" s="21">
        <v>17</v>
      </c>
      <c r="AC27" s="21">
        <v>1.7434700000000001</v>
      </c>
      <c r="AD27">
        <f t="shared" si="4"/>
        <v>3.1764691358024688</v>
      </c>
      <c r="AE27">
        <f t="shared" si="5"/>
        <v>5.5409692311111103</v>
      </c>
      <c r="AF27" s="9"/>
      <c r="AG27" s="21">
        <v>-1.43433E-2</v>
      </c>
      <c r="AH27" s="21">
        <v>18.540299999999998</v>
      </c>
      <c r="AI27" s="21">
        <v>-1.3269E-2</v>
      </c>
      <c r="AJ27" s="21">
        <v>17</v>
      </c>
      <c r="AK27" s="21">
        <v>-1.46149E-2</v>
      </c>
      <c r="AL27">
        <f t="shared" si="6"/>
        <v>16.38148148148148</v>
      </c>
      <c r="AM27">
        <f t="shared" si="7"/>
        <v>-0.2349645033333333</v>
      </c>
      <c r="AP27" s="9"/>
      <c r="AQ27" s="21">
        <v>1.74438</v>
      </c>
      <c r="AR27" s="21">
        <v>24.158899999999999</v>
      </c>
      <c r="AS27" s="21">
        <v>-9.5764199999999998E-4</v>
      </c>
      <c r="AT27" s="21">
        <v>17</v>
      </c>
      <c r="AU27" s="21">
        <v>1.74377</v>
      </c>
      <c r="AV27">
        <f t="shared" si="8"/>
        <v>1.182274074074074</v>
      </c>
      <c r="AW27">
        <f t="shared" si="9"/>
        <v>2.0623352493333331</v>
      </c>
      <c r="AX27" s="9"/>
      <c r="AY27" s="21">
        <v>-1.43433E-2</v>
      </c>
      <c r="AZ27" s="21">
        <v>28.038599999999999</v>
      </c>
      <c r="BA27" s="21">
        <v>-1.32111E-2</v>
      </c>
      <c r="BB27" s="21">
        <v>17</v>
      </c>
      <c r="BC27" s="21">
        <v>-1.4599600000000001E-2</v>
      </c>
      <c r="BD27">
        <f t="shared" si="10"/>
        <v>16.309999999999999</v>
      </c>
      <c r="BE27">
        <f t="shared" si="11"/>
        <v>-0.23393922299999997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1.73935</v>
      </c>
      <c r="H28" s="21">
        <v>5.2176</v>
      </c>
      <c r="I28" s="21">
        <v>-7.9132100000000004E-3</v>
      </c>
      <c r="J28" s="21">
        <v>18</v>
      </c>
      <c r="K28" s="21">
        <v>1.73889</v>
      </c>
      <c r="L28">
        <f t="shared" si="0"/>
        <v>9.769395061728396</v>
      </c>
      <c r="M28">
        <f t="shared" si="1"/>
        <v>16.992397300617284</v>
      </c>
      <c r="N28" s="9"/>
      <c r="O28" s="21">
        <v>-9.3078599999999994E-3</v>
      </c>
      <c r="P28" s="21">
        <v>9.0972100000000005</v>
      </c>
      <c r="Q28" s="21">
        <v>-1.33911E-2</v>
      </c>
      <c r="R28" s="21">
        <v>18</v>
      </c>
      <c r="S28" s="21">
        <v>-9.5001200000000008E-3</v>
      </c>
      <c r="T28">
        <f t="shared" si="2"/>
        <v>16.53222222222222</v>
      </c>
      <c r="U28">
        <f t="shared" si="3"/>
        <v>-0.1538796099333333</v>
      </c>
      <c r="X28" s="9"/>
      <c r="Y28" s="21">
        <v>1.73935</v>
      </c>
      <c r="Z28" s="21">
        <v>14.6708</v>
      </c>
      <c r="AA28" s="21">
        <v>-3.34747E-3</v>
      </c>
      <c r="AB28" s="21">
        <v>18</v>
      </c>
      <c r="AC28" s="21">
        <v>1.73828</v>
      </c>
      <c r="AD28">
        <f t="shared" si="4"/>
        <v>4.1326790123456787</v>
      </c>
      <c r="AE28">
        <f t="shared" si="5"/>
        <v>7.1881752401234564</v>
      </c>
      <c r="AF28" s="9"/>
      <c r="AG28" s="21">
        <v>-9.3078599999999994E-3</v>
      </c>
      <c r="AH28" s="21">
        <v>18.5504</v>
      </c>
      <c r="AI28" s="21">
        <v>-1.3250700000000001E-2</v>
      </c>
      <c r="AJ28" s="21">
        <v>18</v>
      </c>
      <c r="AK28" s="21">
        <v>-9.5367400000000001E-3</v>
      </c>
      <c r="AL28">
        <f t="shared" si="6"/>
        <v>16.358888888888888</v>
      </c>
      <c r="AM28">
        <f t="shared" si="7"/>
        <v>-0.15226624753333332</v>
      </c>
      <c r="AP28" s="9"/>
      <c r="AQ28" s="21">
        <v>1.73935</v>
      </c>
      <c r="AR28" s="21">
        <v>24.169</v>
      </c>
      <c r="AS28" s="21">
        <v>-1.92596E-3</v>
      </c>
      <c r="AT28" s="21">
        <v>18</v>
      </c>
      <c r="AU28" s="21">
        <v>1.7379800000000001</v>
      </c>
      <c r="AV28">
        <f t="shared" si="8"/>
        <v>2.3777283950617281</v>
      </c>
      <c r="AW28">
        <f t="shared" si="9"/>
        <v>4.1357018839506168</v>
      </c>
      <c r="AX28" s="9"/>
      <c r="AY28" s="21">
        <v>-9.3078599999999994E-3</v>
      </c>
      <c r="AZ28" s="21">
        <v>28.0486</v>
      </c>
      <c r="BA28" s="21">
        <v>-1.31989E-2</v>
      </c>
      <c r="BB28" s="21">
        <v>18</v>
      </c>
      <c r="BC28" s="21">
        <v>-9.5672599999999993E-3</v>
      </c>
      <c r="BD28">
        <f t="shared" si="10"/>
        <v>16.294938271604938</v>
      </c>
      <c r="BE28">
        <f t="shared" si="11"/>
        <v>-0.15167100414074072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1.73431</v>
      </c>
      <c r="H29" s="21">
        <v>5.2276699999999998</v>
      </c>
      <c r="I29" s="21">
        <v>-8.1451400000000004E-3</v>
      </c>
      <c r="J29" s="21">
        <v>19</v>
      </c>
      <c r="K29" s="21">
        <v>1.7337</v>
      </c>
      <c r="L29">
        <f t="shared" si="0"/>
        <v>10.055728395061728</v>
      </c>
      <c r="M29">
        <f t="shared" si="1"/>
        <v>17.439750312839504</v>
      </c>
      <c r="N29" s="9"/>
      <c r="O29" s="21">
        <v>-4.2724599999999996E-3</v>
      </c>
      <c r="P29" s="21">
        <v>9.1072799999999994</v>
      </c>
      <c r="Q29" s="21">
        <v>-1.33881E-2</v>
      </c>
      <c r="R29" s="21">
        <v>19</v>
      </c>
      <c r="S29" s="21">
        <v>-4.5318600000000004E-3</v>
      </c>
      <c r="T29">
        <f t="shared" si="2"/>
        <v>16.528518518518517</v>
      </c>
      <c r="U29">
        <f t="shared" si="3"/>
        <v>-7.0617434229629614E-2</v>
      </c>
      <c r="X29" s="9"/>
      <c r="Y29" s="21">
        <v>1.73431</v>
      </c>
      <c r="Z29" s="21">
        <v>14.6808</v>
      </c>
      <c r="AA29" s="21">
        <v>-4.0136700000000004E-3</v>
      </c>
      <c r="AB29" s="21">
        <v>19</v>
      </c>
      <c r="AC29" s="21">
        <v>1.7334000000000001</v>
      </c>
      <c r="AD29">
        <f t="shared" si="4"/>
        <v>4.9551481481481483</v>
      </c>
      <c r="AE29">
        <f t="shared" si="5"/>
        <v>8.5937629848148145</v>
      </c>
      <c r="AF29" s="9"/>
      <c r="AG29" s="21">
        <v>-4.2724599999999996E-3</v>
      </c>
      <c r="AH29" s="21">
        <v>18.560500000000001</v>
      </c>
      <c r="AI29" s="21">
        <v>-1.3241599999999999E-2</v>
      </c>
      <c r="AJ29" s="21">
        <v>19</v>
      </c>
      <c r="AK29" s="21">
        <v>-4.4677700000000002E-3</v>
      </c>
      <c r="AL29">
        <f t="shared" si="6"/>
        <v>16.347654320987651</v>
      </c>
      <c r="AM29">
        <f t="shared" si="7"/>
        <v>-6.9844699180246897E-2</v>
      </c>
      <c r="AP29" s="9"/>
      <c r="AQ29" s="21">
        <v>1.73431</v>
      </c>
      <c r="AR29" s="21">
        <v>24.179099999999998</v>
      </c>
      <c r="AS29" s="21">
        <v>-2.7633699999999998E-3</v>
      </c>
      <c r="AT29" s="21">
        <v>19</v>
      </c>
      <c r="AU29" s="21">
        <v>1.73309</v>
      </c>
      <c r="AV29">
        <f t="shared" si="8"/>
        <v>3.4115679012345672</v>
      </c>
      <c r="AW29">
        <f t="shared" si="9"/>
        <v>5.9167163267901222</v>
      </c>
      <c r="AX29" s="9"/>
      <c r="AY29" s="21">
        <v>-4.2724599999999996E-3</v>
      </c>
      <c r="AZ29" s="21">
        <v>28.058700000000002</v>
      </c>
      <c r="BA29" s="21">
        <v>-1.31897E-2</v>
      </c>
      <c r="BB29" s="21">
        <v>19</v>
      </c>
      <c r="BC29" s="21">
        <v>-4.5501700000000001E-3</v>
      </c>
      <c r="BD29">
        <f t="shared" si="10"/>
        <v>16.28358024691358</v>
      </c>
      <c r="BE29">
        <f t="shared" si="11"/>
        <v>-6.9570945261728384E-2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1.7292799999999999</v>
      </c>
      <c r="H30" s="21">
        <v>5.2377399999999996</v>
      </c>
      <c r="I30" s="21">
        <v>-8.3709700000000001E-3</v>
      </c>
      <c r="J30" s="21">
        <v>20</v>
      </c>
      <c r="K30" s="21">
        <v>1.7285200000000001</v>
      </c>
      <c r="L30">
        <f t="shared" si="0"/>
        <v>10.33453086419753</v>
      </c>
      <c r="M30">
        <f t="shared" si="1"/>
        <v>17.871297532839506</v>
      </c>
      <c r="N30" s="9"/>
      <c r="O30" s="21">
        <v>7.6293900000000002E-4</v>
      </c>
      <c r="P30" s="21">
        <v>9.1173500000000001</v>
      </c>
      <c r="Q30" s="21">
        <v>-1.3382E-2</v>
      </c>
      <c r="R30" s="21">
        <v>20</v>
      </c>
      <c r="S30" s="21">
        <v>5.7067900000000004E-4</v>
      </c>
      <c r="T30">
        <f t="shared" si="2"/>
        <v>16.520987654320987</v>
      </c>
      <c r="U30">
        <f t="shared" si="3"/>
        <v>1.2604505799999999E-2</v>
      </c>
      <c r="X30" s="9"/>
      <c r="Y30" s="21">
        <v>1.7292799999999999</v>
      </c>
      <c r="Z30" s="21">
        <v>14.690899999999999</v>
      </c>
      <c r="AA30" s="21">
        <v>-4.6048E-3</v>
      </c>
      <c r="AB30" s="21">
        <v>20</v>
      </c>
      <c r="AC30" s="21">
        <v>1.72882</v>
      </c>
      <c r="AD30">
        <f t="shared" si="4"/>
        <v>5.6849382716049375</v>
      </c>
      <c r="AE30">
        <f t="shared" si="5"/>
        <v>9.8308500543209867</v>
      </c>
      <c r="AF30" s="9"/>
      <c r="AG30" s="21">
        <v>7.6293900000000002E-4</v>
      </c>
      <c r="AH30" s="21">
        <v>18.570499999999999</v>
      </c>
      <c r="AI30" s="21">
        <v>-1.32446E-2</v>
      </c>
      <c r="AJ30" s="21">
        <v>20</v>
      </c>
      <c r="AK30" s="21">
        <v>5.3710900000000002E-4</v>
      </c>
      <c r="AL30">
        <f t="shared" si="6"/>
        <v>16.351358024691358</v>
      </c>
      <c r="AM30">
        <f t="shared" si="7"/>
        <v>1.2475088739999999E-2</v>
      </c>
      <c r="AP30" s="9"/>
      <c r="AQ30" s="21">
        <v>1.7292799999999999</v>
      </c>
      <c r="AR30" s="21">
        <v>24.1892</v>
      </c>
      <c r="AS30" s="21">
        <v>-3.4820599999999999E-3</v>
      </c>
      <c r="AT30" s="21">
        <v>20</v>
      </c>
      <c r="AU30" s="21">
        <v>1.72882</v>
      </c>
      <c r="AV30">
        <f t="shared" si="8"/>
        <v>4.2988395061728397</v>
      </c>
      <c r="AW30">
        <f t="shared" si="9"/>
        <v>7.4338971812345678</v>
      </c>
      <c r="AX30" s="9"/>
      <c r="AY30" s="21">
        <v>7.6293900000000002E-4</v>
      </c>
      <c r="AZ30" s="21">
        <v>28.0688</v>
      </c>
      <c r="BA30" s="21">
        <v>-1.31775E-2</v>
      </c>
      <c r="BB30" s="21">
        <v>20</v>
      </c>
      <c r="BC30" s="21">
        <v>5.7067900000000004E-4</v>
      </c>
      <c r="BD30">
        <f t="shared" si="10"/>
        <v>16.268518518518519</v>
      </c>
      <c r="BE30">
        <f t="shared" si="11"/>
        <v>1.2411887250000002E-2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1.72424</v>
      </c>
      <c r="H31" s="21">
        <v>5.2478100000000003</v>
      </c>
      <c r="I31" s="21">
        <v>-8.5662800000000008E-3</v>
      </c>
      <c r="J31" s="21">
        <v>21</v>
      </c>
      <c r="K31" s="21">
        <v>1.72333</v>
      </c>
      <c r="L31">
        <f t="shared" si="0"/>
        <v>10.575654320987654</v>
      </c>
      <c r="M31">
        <f t="shared" si="1"/>
        <v>18.234966206419752</v>
      </c>
      <c r="N31" s="9"/>
      <c r="O31" s="21">
        <v>5.7983399999999999E-3</v>
      </c>
      <c r="P31" s="21">
        <v>9.1274200000000008</v>
      </c>
      <c r="Q31" s="21">
        <v>-1.3382E-2</v>
      </c>
      <c r="R31" s="21">
        <v>21</v>
      </c>
      <c r="S31" s="21">
        <v>5.5877699999999997E-3</v>
      </c>
      <c r="T31">
        <f t="shared" si="2"/>
        <v>16.520987654320987</v>
      </c>
      <c r="U31">
        <f t="shared" si="3"/>
        <v>9.5794303555555543E-2</v>
      </c>
      <c r="X31" s="9"/>
      <c r="Y31" s="21">
        <v>1.72424</v>
      </c>
      <c r="Z31" s="21">
        <v>14.701000000000001</v>
      </c>
      <c r="AA31" s="21">
        <v>-5.1208499999999997E-3</v>
      </c>
      <c r="AB31" s="21">
        <v>21</v>
      </c>
      <c r="AC31" s="21">
        <v>1.72333</v>
      </c>
      <c r="AD31">
        <f t="shared" si="4"/>
        <v>6.3220370370370365</v>
      </c>
      <c r="AE31">
        <f t="shared" si="5"/>
        <v>10.900709140740739</v>
      </c>
      <c r="AF31" s="9"/>
      <c r="AG31" s="21">
        <v>5.7983399999999999E-3</v>
      </c>
      <c r="AH31" s="21">
        <v>18.5806</v>
      </c>
      <c r="AI31" s="21">
        <v>-1.32385E-2</v>
      </c>
      <c r="AJ31" s="21">
        <v>21</v>
      </c>
      <c r="AK31" s="21">
        <v>5.6152299999999997E-3</v>
      </c>
      <c r="AL31">
        <f t="shared" si="6"/>
        <v>16.343827160493824</v>
      </c>
      <c r="AM31">
        <f t="shared" si="7"/>
        <v>9.4767066777777756E-2</v>
      </c>
      <c r="AP31" s="9"/>
      <c r="AQ31" s="21">
        <v>1.72424</v>
      </c>
      <c r="AR31" s="21">
        <v>24.199200000000001</v>
      </c>
      <c r="AS31" s="21">
        <v>-4.1122399999999996E-3</v>
      </c>
      <c r="AT31" s="21">
        <v>21</v>
      </c>
      <c r="AU31" s="21">
        <v>1.72363</v>
      </c>
      <c r="AV31">
        <f t="shared" si="8"/>
        <v>5.0768395061728384</v>
      </c>
      <c r="AW31">
        <f t="shared" si="9"/>
        <v>8.7536897501234545</v>
      </c>
      <c r="AX31" s="9"/>
      <c r="AY31" s="21">
        <v>5.7983399999999999E-3</v>
      </c>
      <c r="AZ31" s="21">
        <v>28.078800000000001</v>
      </c>
      <c r="BA31" s="21">
        <v>-1.3162200000000001E-2</v>
      </c>
      <c r="BB31" s="21">
        <v>21</v>
      </c>
      <c r="BC31" s="21">
        <v>5.6060800000000003E-3</v>
      </c>
      <c r="BD31">
        <f t="shared" si="10"/>
        <v>16.249629629629627</v>
      </c>
      <c r="BE31">
        <f t="shared" si="11"/>
        <v>9.4220877466666658E-2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1.7192099999999999</v>
      </c>
      <c r="H32" s="21">
        <v>5.2578800000000001</v>
      </c>
      <c r="I32" s="21">
        <v>-8.74634E-3</v>
      </c>
      <c r="J32" s="21">
        <v>22</v>
      </c>
      <c r="K32" s="21">
        <v>1.71814</v>
      </c>
      <c r="L32">
        <f t="shared" si="0"/>
        <v>10.79795061728395</v>
      </c>
      <c r="M32">
        <f t="shared" si="1"/>
        <v>18.56394468074074</v>
      </c>
      <c r="N32" s="9"/>
      <c r="O32" s="21">
        <v>1.08337E-2</v>
      </c>
      <c r="P32" s="21">
        <v>9.1374999999999993</v>
      </c>
      <c r="Q32" s="21">
        <v>-1.33759E-2</v>
      </c>
      <c r="R32" s="21">
        <v>22</v>
      </c>
      <c r="S32" s="21">
        <v>1.06476E-2</v>
      </c>
      <c r="T32">
        <f t="shared" si="2"/>
        <v>16.513456790123456</v>
      </c>
      <c r="U32">
        <f t="shared" si="3"/>
        <v>0.17890183682716049</v>
      </c>
      <c r="X32" s="9"/>
      <c r="Y32" s="21">
        <v>1.7192099999999999</v>
      </c>
      <c r="Z32" s="21">
        <v>14.7111</v>
      </c>
      <c r="AA32" s="21">
        <v>-5.5847199999999996E-3</v>
      </c>
      <c r="AB32" s="21">
        <v>22</v>
      </c>
      <c r="AC32" s="21">
        <v>1.71844</v>
      </c>
      <c r="AD32">
        <f t="shared" si="4"/>
        <v>6.8947160493827155</v>
      </c>
      <c r="AE32">
        <f t="shared" si="5"/>
        <v>11.853464779259257</v>
      </c>
      <c r="AF32" s="9"/>
      <c r="AG32" s="21">
        <v>1.08337E-2</v>
      </c>
      <c r="AH32" s="21">
        <v>18.590699999999998</v>
      </c>
      <c r="AI32" s="21">
        <v>-1.32263E-2</v>
      </c>
      <c r="AJ32" s="21">
        <v>22</v>
      </c>
      <c r="AK32" s="21">
        <v>1.06873E-2</v>
      </c>
      <c r="AL32">
        <f t="shared" si="6"/>
        <v>16.328765432098766</v>
      </c>
      <c r="AM32">
        <f t="shared" si="7"/>
        <v>0.1769009460617284</v>
      </c>
      <c r="AP32" s="9"/>
      <c r="AQ32" s="21">
        <v>1.7192099999999999</v>
      </c>
      <c r="AR32" s="21">
        <v>24.209299999999999</v>
      </c>
      <c r="AS32" s="21">
        <v>-4.6676599999999997E-3</v>
      </c>
      <c r="AT32" s="21">
        <v>22</v>
      </c>
      <c r="AU32" s="21">
        <v>1.71875</v>
      </c>
      <c r="AV32">
        <f t="shared" si="8"/>
        <v>5.7625432098765428</v>
      </c>
      <c r="AW32">
        <f t="shared" si="9"/>
        <v>9.9070219118518512</v>
      </c>
      <c r="AX32" s="9"/>
      <c r="AY32" s="21">
        <v>1.08337E-2</v>
      </c>
      <c r="AZ32" s="21">
        <v>28.088899999999999</v>
      </c>
      <c r="BA32" s="21">
        <v>-1.31561E-2</v>
      </c>
      <c r="BB32" s="21">
        <v>22</v>
      </c>
      <c r="BC32" s="21">
        <v>1.06476E-2</v>
      </c>
      <c r="BD32">
        <f t="shared" si="10"/>
        <v>16.2420987654321</v>
      </c>
      <c r="BE32">
        <f t="shared" si="11"/>
        <v>0.17596202539506176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1.71417</v>
      </c>
      <c r="H33" s="21">
        <v>5.2679499999999999</v>
      </c>
      <c r="I33" s="21">
        <v>-8.9233400000000001E-3</v>
      </c>
      <c r="J33" s="21">
        <v>23</v>
      </c>
      <c r="K33" s="21">
        <v>1.71356</v>
      </c>
      <c r="L33">
        <f t="shared" si="0"/>
        <v>11.016469135802469</v>
      </c>
      <c r="M33">
        <f t="shared" si="1"/>
        <v>18.884100898518518</v>
      </c>
      <c r="N33" s="9"/>
      <c r="O33" s="21">
        <v>1.5869100000000001E-2</v>
      </c>
      <c r="P33" s="21">
        <v>9.14757</v>
      </c>
      <c r="Q33" s="21">
        <v>-1.33759E-2</v>
      </c>
      <c r="R33" s="21">
        <v>23</v>
      </c>
      <c r="S33" s="21">
        <v>1.5682999999999999E-2</v>
      </c>
      <c r="T33">
        <f t="shared" si="2"/>
        <v>16.513456790123456</v>
      </c>
      <c r="U33">
        <f t="shared" si="3"/>
        <v>0.26205369714814813</v>
      </c>
      <c r="X33" s="9"/>
      <c r="Y33" s="21">
        <v>1.71417</v>
      </c>
      <c r="Z33" s="21">
        <v>14.7211</v>
      </c>
      <c r="AA33" s="21">
        <v>-5.9997599999999998E-3</v>
      </c>
      <c r="AB33" s="21">
        <v>23</v>
      </c>
      <c r="AC33" s="21">
        <v>1.71326</v>
      </c>
      <c r="AD33">
        <f t="shared" si="4"/>
        <v>7.4071111111111101</v>
      </c>
      <c r="AE33">
        <f t="shared" si="5"/>
        <v>12.697047653333332</v>
      </c>
      <c r="AF33" s="9"/>
      <c r="AG33" s="21">
        <v>1.5869100000000001E-2</v>
      </c>
      <c r="AH33" s="21">
        <v>18.6008</v>
      </c>
      <c r="AI33" s="21">
        <v>-1.32111E-2</v>
      </c>
      <c r="AJ33" s="21">
        <v>23</v>
      </c>
      <c r="AK33" s="21">
        <v>1.5689100000000001E-2</v>
      </c>
      <c r="AL33">
        <f t="shared" si="6"/>
        <v>16.309999999999999</v>
      </c>
      <c r="AM33">
        <f t="shared" si="7"/>
        <v>0.25882502099999999</v>
      </c>
      <c r="AP33" s="9"/>
      <c r="AQ33" s="21">
        <v>1.71417</v>
      </c>
      <c r="AR33" s="21">
        <v>24.2194</v>
      </c>
      <c r="AS33" s="21">
        <v>-5.16052E-3</v>
      </c>
      <c r="AT33" s="21">
        <v>23</v>
      </c>
      <c r="AU33" s="21">
        <v>1.71387</v>
      </c>
      <c r="AV33">
        <f t="shared" si="8"/>
        <v>6.371012345679012</v>
      </c>
      <c r="AW33">
        <f t="shared" si="9"/>
        <v>10.920998232592591</v>
      </c>
      <c r="AX33" s="9"/>
      <c r="AY33" s="21">
        <v>1.5869100000000001E-2</v>
      </c>
      <c r="AZ33" s="21">
        <v>28.099</v>
      </c>
      <c r="BA33" s="21">
        <v>-1.31409E-2</v>
      </c>
      <c r="BB33" s="21">
        <v>23</v>
      </c>
      <c r="BC33" s="21">
        <v>1.5731800000000001E-2</v>
      </c>
      <c r="BD33">
        <f t="shared" si="10"/>
        <v>16.223333333333333</v>
      </c>
      <c r="BE33">
        <f t="shared" si="11"/>
        <v>0.25744969899999998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1.7091400000000001</v>
      </c>
      <c r="H34" s="21">
        <v>5.2780199999999997</v>
      </c>
      <c r="I34" s="21">
        <v>-9.09424E-3</v>
      </c>
      <c r="J34" s="21">
        <v>24</v>
      </c>
      <c r="K34" s="21">
        <v>1.7083699999999999</v>
      </c>
      <c r="L34">
        <f t="shared" si="0"/>
        <v>11.227456790123457</v>
      </c>
      <c r="M34">
        <f t="shared" si="1"/>
        <v>19.189295498271605</v>
      </c>
      <c r="N34" s="9"/>
      <c r="O34" s="21">
        <v>2.0904499999999999E-2</v>
      </c>
      <c r="P34" s="21">
        <v>9.1576400000000007</v>
      </c>
      <c r="Q34" s="21">
        <v>-1.33545E-2</v>
      </c>
      <c r="R34" s="21">
        <v>24</v>
      </c>
      <c r="S34" s="21">
        <v>2.07642E-2</v>
      </c>
      <c r="T34">
        <f t="shared" si="2"/>
        <v>16.487037037037037</v>
      </c>
      <c r="U34">
        <f t="shared" si="3"/>
        <v>0.34465326574074073</v>
      </c>
      <c r="X34" s="9"/>
      <c r="Y34" s="21">
        <v>1.7091400000000001</v>
      </c>
      <c r="Z34" s="21">
        <v>14.731199999999999</v>
      </c>
      <c r="AA34" s="21">
        <v>-6.3751199999999997E-3</v>
      </c>
      <c r="AB34" s="21">
        <v>24</v>
      </c>
      <c r="AC34" s="21">
        <v>1.7083699999999999</v>
      </c>
      <c r="AD34">
        <f t="shared" si="4"/>
        <v>7.8705185185185176</v>
      </c>
      <c r="AE34">
        <f t="shared" si="5"/>
        <v>13.45181802074074</v>
      </c>
      <c r="AF34" s="9"/>
      <c r="AG34" s="21">
        <v>2.0904499999999999E-2</v>
      </c>
      <c r="AH34" s="21">
        <v>18.610800000000001</v>
      </c>
      <c r="AI34" s="21">
        <v>-1.31897E-2</v>
      </c>
      <c r="AJ34" s="21">
        <v>24</v>
      </c>
      <c r="AK34" s="21">
        <v>2.0761100000000001E-2</v>
      </c>
      <c r="AL34">
        <f t="shared" si="6"/>
        <v>16.28358024691358</v>
      </c>
      <c r="AM34">
        <f t="shared" si="7"/>
        <v>0.34040010327160491</v>
      </c>
      <c r="AP34" s="9"/>
      <c r="AQ34" s="21">
        <v>1.7091400000000001</v>
      </c>
      <c r="AR34" s="21">
        <v>24.229399999999998</v>
      </c>
      <c r="AS34" s="21">
        <v>-5.6060800000000003E-3</v>
      </c>
      <c r="AT34" s="21">
        <v>24</v>
      </c>
      <c r="AU34" s="21">
        <v>1.70868</v>
      </c>
      <c r="AV34">
        <f t="shared" si="8"/>
        <v>6.9210864197530864</v>
      </c>
      <c r="AW34">
        <f t="shared" si="9"/>
        <v>11.82910564345679</v>
      </c>
      <c r="AX34" s="9"/>
      <c r="AY34" s="21">
        <v>2.0904499999999999E-2</v>
      </c>
      <c r="AZ34" s="21">
        <v>28.109100000000002</v>
      </c>
      <c r="BA34" s="21">
        <v>-1.31317E-2</v>
      </c>
      <c r="BB34" s="21">
        <v>24</v>
      </c>
      <c r="BC34" s="21">
        <v>2.0754999999999999E-2</v>
      </c>
      <c r="BD34">
        <f t="shared" si="10"/>
        <v>16.211975308641971</v>
      </c>
      <c r="BE34">
        <f t="shared" si="11"/>
        <v>0.3389032378395061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1.7040999999999999</v>
      </c>
      <c r="H35" s="21">
        <v>5.2880900000000004</v>
      </c>
      <c r="I35" s="21">
        <v>-9.2529299999999995E-3</v>
      </c>
      <c r="J35" s="21">
        <v>25</v>
      </c>
      <c r="K35" s="21">
        <v>1.70319</v>
      </c>
      <c r="L35">
        <f t="shared" si="0"/>
        <v>11.423370370370369</v>
      </c>
      <c r="M35">
        <f t="shared" si="1"/>
        <v>19.466565448148145</v>
      </c>
      <c r="N35" s="9"/>
      <c r="O35" s="21">
        <v>2.5939899999999998E-2</v>
      </c>
      <c r="P35" s="21">
        <v>9.1677099999999996</v>
      </c>
      <c r="Q35" s="21">
        <v>-1.3336199999999999E-2</v>
      </c>
      <c r="R35" s="21">
        <v>25</v>
      </c>
      <c r="S35" s="21">
        <v>2.5735500000000001E-2</v>
      </c>
      <c r="T35">
        <f t="shared" si="2"/>
        <v>16.464444444444442</v>
      </c>
      <c r="U35">
        <f t="shared" si="3"/>
        <v>0.42708604244444437</v>
      </c>
      <c r="X35" s="9"/>
      <c r="Y35" s="21">
        <v>1.7040999999999999</v>
      </c>
      <c r="Z35" s="21">
        <v>14.741300000000001</v>
      </c>
      <c r="AA35" s="21">
        <v>-6.7138700000000003E-3</v>
      </c>
      <c r="AB35" s="21">
        <v>25</v>
      </c>
      <c r="AC35" s="21">
        <v>1.7028799999999999</v>
      </c>
      <c r="AD35">
        <f t="shared" si="4"/>
        <v>8.2887283950617281</v>
      </c>
      <c r="AE35">
        <f t="shared" si="5"/>
        <v>14.124822058024691</v>
      </c>
      <c r="AF35" s="9"/>
      <c r="AG35" s="21">
        <v>2.5939899999999998E-2</v>
      </c>
      <c r="AH35" s="21">
        <v>18.620899999999999</v>
      </c>
      <c r="AI35" s="21">
        <v>-1.31714E-2</v>
      </c>
      <c r="AJ35" s="21">
        <v>25</v>
      </c>
      <c r="AK35" s="21">
        <v>2.5769E-2</v>
      </c>
      <c r="AL35">
        <f t="shared" si="6"/>
        <v>16.260987654320989</v>
      </c>
      <c r="AM35">
        <f t="shared" si="7"/>
        <v>0.42180839365432099</v>
      </c>
      <c r="AP35" s="9"/>
      <c r="AQ35" s="21">
        <v>1.7040999999999999</v>
      </c>
      <c r="AR35" s="21">
        <v>24.2395</v>
      </c>
      <c r="AS35" s="21">
        <v>-6.0089100000000001E-3</v>
      </c>
      <c r="AT35" s="21">
        <v>25</v>
      </c>
      <c r="AU35" s="21">
        <v>1.70319</v>
      </c>
      <c r="AV35">
        <f t="shared" si="8"/>
        <v>7.4184074074074076</v>
      </c>
      <c r="AW35">
        <f t="shared" si="9"/>
        <v>12.641708062962962</v>
      </c>
      <c r="AX35" s="9"/>
      <c r="AY35" s="21">
        <v>2.5939899999999998E-2</v>
      </c>
      <c r="AZ35" s="21">
        <v>28.1191</v>
      </c>
      <c r="BA35" s="21">
        <v>-1.31287E-2</v>
      </c>
      <c r="BB35" s="21">
        <v>25</v>
      </c>
      <c r="BC35" s="21">
        <v>2.5790400000000002E-2</v>
      </c>
      <c r="BD35">
        <f t="shared" si="10"/>
        <v>16.208271604938268</v>
      </c>
      <c r="BE35">
        <f t="shared" si="11"/>
        <v>0.42044094460493814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1.6990700000000001</v>
      </c>
      <c r="H36" s="21">
        <v>5.2981600000000002</v>
      </c>
      <c r="I36" s="21">
        <v>-9.4024699999999996E-3</v>
      </c>
      <c r="J36" s="21">
        <v>26</v>
      </c>
      <c r="K36" s="21">
        <v>1.6982999999999999</v>
      </c>
      <c r="L36">
        <f t="shared" si="0"/>
        <v>11.607987654320986</v>
      </c>
      <c r="M36">
        <f t="shared" si="1"/>
        <v>19.722783583827159</v>
      </c>
      <c r="N36" s="9"/>
      <c r="O36" s="21">
        <v>3.0975300000000001E-2</v>
      </c>
      <c r="P36" s="21">
        <v>9.1777800000000003</v>
      </c>
      <c r="Q36" s="21">
        <v>-1.3324000000000001E-2</v>
      </c>
      <c r="R36" s="21">
        <v>26</v>
      </c>
      <c r="S36" s="21">
        <v>3.08136E-2</v>
      </c>
      <c r="T36">
        <f t="shared" si="2"/>
        <v>16.449382716049382</v>
      </c>
      <c r="U36">
        <f t="shared" si="3"/>
        <v>0.50952456444444438</v>
      </c>
      <c r="X36" s="9"/>
      <c r="Y36" s="21">
        <v>1.6990700000000001</v>
      </c>
      <c r="Z36" s="21">
        <v>14.751300000000001</v>
      </c>
      <c r="AA36" s="21">
        <v>-7.0312500000000002E-3</v>
      </c>
      <c r="AB36" s="21">
        <v>26</v>
      </c>
      <c r="AC36" s="21">
        <v>1.6982999999999999</v>
      </c>
      <c r="AD36">
        <f t="shared" si="4"/>
        <v>8.6805555555555554</v>
      </c>
      <c r="AE36">
        <f t="shared" si="5"/>
        <v>14.748871527777778</v>
      </c>
      <c r="AF36" s="9"/>
      <c r="AG36" s="21">
        <v>3.0975300000000001E-2</v>
      </c>
      <c r="AH36" s="21">
        <v>18.631</v>
      </c>
      <c r="AI36" s="21">
        <v>-1.3162200000000001E-2</v>
      </c>
      <c r="AJ36" s="21">
        <v>26</v>
      </c>
      <c r="AK36" s="21">
        <v>3.08533E-2</v>
      </c>
      <c r="AL36">
        <f t="shared" si="6"/>
        <v>16.249629629629627</v>
      </c>
      <c r="AM36">
        <f t="shared" si="7"/>
        <v>0.50333715266666657</v>
      </c>
      <c r="AP36" s="9"/>
      <c r="AQ36" s="21">
        <v>1.6990700000000001</v>
      </c>
      <c r="AR36" s="21">
        <v>24.249600000000001</v>
      </c>
      <c r="AS36" s="21">
        <v>-6.3690200000000004E-3</v>
      </c>
      <c r="AT36" s="21">
        <v>26</v>
      </c>
      <c r="AU36" s="21">
        <v>1.6982999999999999</v>
      </c>
      <c r="AV36">
        <f t="shared" si="8"/>
        <v>7.862987654320988</v>
      </c>
      <c r="AW36">
        <f t="shared" si="9"/>
        <v>13.359766433827161</v>
      </c>
      <c r="AX36" s="9"/>
      <c r="AY36" s="21">
        <v>3.0975300000000001E-2</v>
      </c>
      <c r="AZ36" s="21">
        <v>28.129200000000001</v>
      </c>
      <c r="BA36" s="21">
        <v>-1.3119499999999999E-2</v>
      </c>
      <c r="BB36" s="21">
        <v>26</v>
      </c>
      <c r="BC36" s="21">
        <v>3.0850200000000001E-2</v>
      </c>
      <c r="BD36">
        <f t="shared" si="10"/>
        <v>16.19691358024691</v>
      </c>
      <c r="BE36">
        <f t="shared" si="11"/>
        <v>0.50170425722222212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1.6940299999999999</v>
      </c>
      <c r="H37" s="21">
        <v>5.3082399999999996</v>
      </c>
      <c r="I37" s="21">
        <v>-9.5336899999999992E-3</v>
      </c>
      <c r="J37" s="21">
        <v>27</v>
      </c>
      <c r="K37" s="21">
        <v>1.6928099999999999</v>
      </c>
      <c r="L37">
        <f t="shared" si="0"/>
        <v>11.769987654320985</v>
      </c>
      <c r="M37">
        <f t="shared" si="1"/>
        <v>19.938712186049379</v>
      </c>
      <c r="N37" s="9"/>
      <c r="O37" s="21">
        <v>3.60107E-2</v>
      </c>
      <c r="P37" s="21">
        <v>9.1878499999999992</v>
      </c>
      <c r="Q37" s="21">
        <v>-1.3324000000000001E-2</v>
      </c>
      <c r="R37" s="21">
        <v>27</v>
      </c>
      <c r="S37" s="21">
        <v>3.5894799999999998E-2</v>
      </c>
      <c r="T37">
        <f t="shared" si="2"/>
        <v>16.449382716049382</v>
      </c>
      <c r="U37">
        <f t="shared" si="3"/>
        <v>0.5923537861728394</v>
      </c>
      <c r="X37" s="9"/>
      <c r="Y37" s="21">
        <v>1.6940299999999999</v>
      </c>
      <c r="Z37" s="21">
        <v>14.7614</v>
      </c>
      <c r="AA37" s="21">
        <v>-7.3120099999999999E-3</v>
      </c>
      <c r="AB37" s="21">
        <v>27</v>
      </c>
      <c r="AC37" s="21">
        <v>1.6928099999999999</v>
      </c>
      <c r="AD37">
        <f t="shared" si="4"/>
        <v>9.0271728395061732</v>
      </c>
      <c r="AE37">
        <f t="shared" si="5"/>
        <v>15.292301605308642</v>
      </c>
      <c r="AF37" s="9"/>
      <c r="AG37" s="21">
        <v>3.60107E-2</v>
      </c>
      <c r="AH37" s="21">
        <v>18.640999999999998</v>
      </c>
      <c r="AI37" s="21">
        <v>-1.3162200000000001E-2</v>
      </c>
      <c r="AJ37" s="21">
        <v>27</v>
      </c>
      <c r="AK37" s="21">
        <v>3.5891699999999999E-2</v>
      </c>
      <c r="AL37">
        <f t="shared" si="6"/>
        <v>16.249629629629627</v>
      </c>
      <c r="AM37">
        <f t="shared" si="7"/>
        <v>0.58516053770370358</v>
      </c>
      <c r="AP37" s="9"/>
      <c r="AQ37" s="21">
        <v>1.6940299999999999</v>
      </c>
      <c r="AR37" s="21">
        <v>24.259699999999999</v>
      </c>
      <c r="AS37" s="21">
        <v>-6.6955599999999997E-3</v>
      </c>
      <c r="AT37" s="21">
        <v>27</v>
      </c>
      <c r="AU37" s="21">
        <v>1.6934199999999999</v>
      </c>
      <c r="AV37">
        <f t="shared" si="8"/>
        <v>8.2661234567901225</v>
      </c>
      <c r="AW37">
        <f t="shared" si="9"/>
        <v>14.003061119506171</v>
      </c>
      <c r="AX37" s="9"/>
      <c r="AY37" s="21">
        <v>3.60107E-2</v>
      </c>
      <c r="AZ37" s="21">
        <v>28.139299999999999</v>
      </c>
      <c r="BA37" s="21">
        <v>-1.3125599999999999E-2</v>
      </c>
      <c r="BB37" s="21">
        <v>27</v>
      </c>
      <c r="BC37" s="21">
        <v>3.5943599999999999E-2</v>
      </c>
      <c r="BD37">
        <f t="shared" si="10"/>
        <v>16.204444444444441</v>
      </c>
      <c r="BE37">
        <f t="shared" si="11"/>
        <v>0.58353338755555539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1.6890000000000001</v>
      </c>
      <c r="H38" s="21">
        <v>5.3183100000000003</v>
      </c>
      <c r="I38" s="21">
        <v>-9.6588100000000003E-3</v>
      </c>
      <c r="J38" s="21">
        <v>28</v>
      </c>
      <c r="K38" s="21">
        <v>1.6879299999999999</v>
      </c>
      <c r="L38">
        <f t="shared" si="0"/>
        <v>11.924456790123456</v>
      </c>
      <c r="M38">
        <f t="shared" si="1"/>
        <v>20.140407518518519</v>
      </c>
      <c r="N38" s="9"/>
      <c r="O38" s="21">
        <v>4.1046100000000002E-2</v>
      </c>
      <c r="P38" s="21">
        <v>9.1979199999999999</v>
      </c>
      <c r="Q38" s="21">
        <v>-1.3333100000000001E-2</v>
      </c>
      <c r="R38" s="21">
        <v>28</v>
      </c>
      <c r="S38" s="21">
        <v>4.0948499999999999E-2</v>
      </c>
      <c r="T38">
        <f t="shared" si="2"/>
        <v>16.460617283950615</v>
      </c>
      <c r="U38">
        <f t="shared" si="3"/>
        <v>0.67564414309876542</v>
      </c>
      <c r="X38" s="9"/>
      <c r="Y38" s="21">
        <v>1.6890000000000001</v>
      </c>
      <c r="Z38" s="21">
        <v>14.7715</v>
      </c>
      <c r="AA38" s="21">
        <v>-7.58057E-3</v>
      </c>
      <c r="AB38" s="21">
        <v>28</v>
      </c>
      <c r="AC38" s="21">
        <v>1.6876199999999999</v>
      </c>
      <c r="AD38">
        <f t="shared" si="4"/>
        <v>9.3587283950617284</v>
      </c>
      <c r="AE38">
        <f t="shared" si="5"/>
        <v>15.806892259259259</v>
      </c>
      <c r="AF38" s="9"/>
      <c r="AG38" s="21">
        <v>4.1046100000000002E-2</v>
      </c>
      <c r="AH38" s="21">
        <v>18.6511</v>
      </c>
      <c r="AI38" s="21">
        <v>-1.3159199999999999E-2</v>
      </c>
      <c r="AJ38" s="21">
        <v>28</v>
      </c>
      <c r="AK38" s="21">
        <v>4.08875E-2</v>
      </c>
      <c r="AL38">
        <f t="shared" si="6"/>
        <v>16.245925925925924</v>
      </c>
      <c r="AM38">
        <f t="shared" si="7"/>
        <v>0.66683190014814808</v>
      </c>
      <c r="AP38" s="9"/>
      <c r="AQ38" s="21">
        <v>1.6890000000000001</v>
      </c>
      <c r="AR38" s="21">
        <v>24.2697</v>
      </c>
      <c r="AS38" s="21">
        <v>-6.99768E-3</v>
      </c>
      <c r="AT38" s="21">
        <v>28</v>
      </c>
      <c r="AU38" s="21">
        <v>1.6876199999999999</v>
      </c>
      <c r="AV38">
        <f t="shared" si="8"/>
        <v>8.6391111111111112</v>
      </c>
      <c r="AW38">
        <f t="shared" si="9"/>
        <v>14.591458666666668</v>
      </c>
      <c r="AX38" s="9"/>
      <c r="AY38" s="21">
        <v>4.1046100000000002E-2</v>
      </c>
      <c r="AZ38" s="21">
        <v>28.1493</v>
      </c>
      <c r="BA38" s="21">
        <v>-1.3119499999999999E-2</v>
      </c>
      <c r="BB38" s="21">
        <v>28</v>
      </c>
      <c r="BC38" s="21">
        <v>4.0991199999999998E-2</v>
      </c>
      <c r="BD38">
        <f t="shared" si="10"/>
        <v>16.19691358024691</v>
      </c>
      <c r="BE38">
        <f t="shared" si="11"/>
        <v>0.66482013450617272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1.6839599999999999</v>
      </c>
      <c r="H39" s="21">
        <v>5.3283800000000001</v>
      </c>
      <c r="I39" s="21">
        <v>-9.7747800000000003E-3</v>
      </c>
      <c r="J39" s="21">
        <v>29</v>
      </c>
      <c r="K39" s="21">
        <v>1.6830400000000001</v>
      </c>
      <c r="L39">
        <f t="shared" si="0"/>
        <v>12.06762962962963</v>
      </c>
      <c r="M39">
        <f t="shared" si="1"/>
        <v>20.321405591111112</v>
      </c>
      <c r="N39" s="9"/>
      <c r="O39" s="21">
        <v>4.6081499999999997E-2</v>
      </c>
      <c r="P39" s="21">
        <v>9.2079900000000006</v>
      </c>
      <c r="Q39" s="21">
        <v>-1.3339200000000001E-2</v>
      </c>
      <c r="R39" s="21">
        <v>29</v>
      </c>
      <c r="S39" s="21">
        <v>4.59747E-2</v>
      </c>
      <c r="T39">
        <f t="shared" si="2"/>
        <v>16.468148148148149</v>
      </c>
      <c r="U39">
        <f t="shared" si="3"/>
        <v>0.75887696888888889</v>
      </c>
      <c r="X39" s="9"/>
      <c r="Y39" s="21">
        <v>1.6839599999999999</v>
      </c>
      <c r="Z39" s="21">
        <v>14.781599999999999</v>
      </c>
      <c r="AA39" s="21">
        <v>-7.8277599999999996E-3</v>
      </c>
      <c r="AB39" s="21">
        <v>29</v>
      </c>
      <c r="AC39" s="21">
        <v>1.6830400000000001</v>
      </c>
      <c r="AD39">
        <f t="shared" si="4"/>
        <v>9.6639012345679003</v>
      </c>
      <c r="AE39">
        <f t="shared" si="5"/>
        <v>16.27362312296296</v>
      </c>
      <c r="AF39" s="9"/>
      <c r="AG39" s="21">
        <v>4.6081499999999997E-2</v>
      </c>
      <c r="AH39" s="21">
        <v>18.661200000000001</v>
      </c>
      <c r="AI39" s="21">
        <v>-1.31561E-2</v>
      </c>
      <c r="AJ39" s="21">
        <v>29</v>
      </c>
      <c r="AK39" s="21">
        <v>4.59747E-2</v>
      </c>
      <c r="AL39">
        <f t="shared" si="6"/>
        <v>16.2420987654321</v>
      </c>
      <c r="AM39">
        <f t="shared" si="7"/>
        <v>0.74846027425925932</v>
      </c>
      <c r="AP39" s="9"/>
      <c r="AQ39" s="21">
        <v>1.6839599999999999</v>
      </c>
      <c r="AR39" s="21">
        <v>24.279800000000002</v>
      </c>
      <c r="AS39" s="21">
        <v>-7.2692900000000003E-3</v>
      </c>
      <c r="AT39" s="21">
        <v>29</v>
      </c>
      <c r="AU39" s="21">
        <v>1.6827399999999999</v>
      </c>
      <c r="AV39">
        <f t="shared" si="8"/>
        <v>8.9744320987654334</v>
      </c>
      <c r="AW39">
        <f t="shared" si="9"/>
        <v>15.112584677037038</v>
      </c>
      <c r="AX39" s="9"/>
      <c r="AY39" s="21">
        <v>4.6081499999999997E-2</v>
      </c>
      <c r="AZ39" s="21">
        <v>28.159400000000002</v>
      </c>
      <c r="BA39" s="21">
        <v>-1.31042E-2</v>
      </c>
      <c r="BB39" s="21">
        <v>29</v>
      </c>
      <c r="BC39" s="21">
        <v>4.5983900000000001E-2</v>
      </c>
      <c r="BD39">
        <f t="shared" si="10"/>
        <v>16.178024691358022</v>
      </c>
      <c r="BE39">
        <f t="shared" si="11"/>
        <v>0.74550764481481469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1.67892</v>
      </c>
      <c r="H40" s="21">
        <v>5.3384499999999999</v>
      </c>
      <c r="I40" s="21">
        <v>-9.8968500000000004E-3</v>
      </c>
      <c r="J40" s="21">
        <v>30</v>
      </c>
      <c r="K40" s="21">
        <v>1.6778599999999999</v>
      </c>
      <c r="L40">
        <f t="shared" si="0"/>
        <v>12.218333333333332</v>
      </c>
      <c r="M40">
        <f t="shared" si="1"/>
        <v>20.513604199999996</v>
      </c>
      <c r="N40" s="9"/>
      <c r="O40" s="21">
        <v>5.11169E-2</v>
      </c>
      <c r="P40" s="21">
        <v>9.2180599999999995</v>
      </c>
      <c r="Q40" s="21">
        <v>-1.3339200000000001E-2</v>
      </c>
      <c r="R40" s="21">
        <v>30</v>
      </c>
      <c r="S40" s="21">
        <v>5.05981E-2</v>
      </c>
      <c r="T40">
        <f t="shared" si="2"/>
        <v>16.468148148148149</v>
      </c>
      <c r="U40">
        <f t="shared" si="3"/>
        <v>0.8418006820740741</v>
      </c>
      <c r="X40" s="9"/>
      <c r="Y40" s="21">
        <v>1.67892</v>
      </c>
      <c r="Z40" s="21">
        <v>14.791600000000001</v>
      </c>
      <c r="AA40" s="21">
        <v>-8.0566400000000003E-3</v>
      </c>
      <c r="AB40" s="21">
        <v>30</v>
      </c>
      <c r="AC40" s="21">
        <v>1.6778599999999999</v>
      </c>
      <c r="AD40">
        <f t="shared" si="4"/>
        <v>9.9464691358024702</v>
      </c>
      <c r="AE40">
        <f t="shared" si="5"/>
        <v>16.699325961481485</v>
      </c>
      <c r="AF40" s="9"/>
      <c r="AG40" s="21">
        <v>5.11169E-2</v>
      </c>
      <c r="AH40" s="21">
        <v>18.671199999999999</v>
      </c>
      <c r="AI40" s="21">
        <v>-1.315E-2</v>
      </c>
      <c r="AJ40" s="21">
        <v>30</v>
      </c>
      <c r="AK40" s="21">
        <v>5.0628699999999999E-2</v>
      </c>
      <c r="AL40">
        <f t="shared" si="6"/>
        <v>16.234567901234566</v>
      </c>
      <c r="AM40">
        <f t="shared" si="7"/>
        <v>0.82986078395061724</v>
      </c>
      <c r="AP40" s="9"/>
      <c r="AQ40" s="21">
        <v>1.67892</v>
      </c>
      <c r="AR40" s="21">
        <v>24.289899999999999</v>
      </c>
      <c r="AS40" s="21">
        <v>-7.5347900000000004E-3</v>
      </c>
      <c r="AT40" s="21">
        <v>30</v>
      </c>
      <c r="AU40" s="21">
        <v>1.6778599999999999</v>
      </c>
      <c r="AV40">
        <f t="shared" si="8"/>
        <v>9.3022098765432109</v>
      </c>
      <c r="AW40">
        <f t="shared" si="9"/>
        <v>15.617666205925927</v>
      </c>
      <c r="AX40" s="9"/>
      <c r="AY40" s="21">
        <v>5.11169E-2</v>
      </c>
      <c r="AZ40" s="21">
        <v>28.169499999999999</v>
      </c>
      <c r="BA40" s="21">
        <v>-1.3085899999999999E-2</v>
      </c>
      <c r="BB40" s="21">
        <v>30</v>
      </c>
      <c r="BC40" s="21">
        <v>5.0628699999999999E-2</v>
      </c>
      <c r="BD40">
        <f t="shared" si="10"/>
        <v>16.155432098765431</v>
      </c>
      <c r="BE40">
        <f t="shared" si="11"/>
        <v>0.82581560704938262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1.6738900000000001</v>
      </c>
      <c r="H41" s="21">
        <v>5.3485199999999997</v>
      </c>
      <c r="I41" s="21">
        <v>-1.0009799999999999E-2</v>
      </c>
      <c r="J41" s="21">
        <v>31</v>
      </c>
      <c r="K41" s="21">
        <v>1.6732800000000001</v>
      </c>
      <c r="L41">
        <f t="shared" si="0"/>
        <v>12.357777777777777</v>
      </c>
      <c r="M41">
        <f t="shared" si="1"/>
        <v>20.685560644444443</v>
      </c>
      <c r="N41" s="9"/>
      <c r="O41" s="21">
        <v>5.6152300000000002E-2</v>
      </c>
      <c r="P41" s="21">
        <v>9.2281300000000002</v>
      </c>
      <c r="Q41" s="21">
        <v>-1.3330099999999999E-2</v>
      </c>
      <c r="R41" s="21">
        <v>31</v>
      </c>
      <c r="S41" s="21">
        <v>5.5603E-2</v>
      </c>
      <c r="T41">
        <f t="shared" si="2"/>
        <v>16.456913580246912</v>
      </c>
      <c r="U41">
        <f t="shared" si="3"/>
        <v>0.92409354843209868</v>
      </c>
      <c r="X41" s="9"/>
      <c r="Y41" s="21">
        <v>1.6738900000000001</v>
      </c>
      <c r="Z41" s="21">
        <v>14.8017</v>
      </c>
      <c r="AA41" s="21">
        <v>-8.2672100000000005E-3</v>
      </c>
      <c r="AB41" s="21">
        <v>31</v>
      </c>
      <c r="AC41" s="21">
        <v>1.6732800000000001</v>
      </c>
      <c r="AD41">
        <f t="shared" si="4"/>
        <v>10.206432098765431</v>
      </c>
      <c r="AE41">
        <f t="shared" si="5"/>
        <v>17.084444625802469</v>
      </c>
      <c r="AF41" s="9"/>
      <c r="AG41" s="21">
        <v>5.6152300000000002E-2</v>
      </c>
      <c r="AH41" s="21">
        <v>18.6813</v>
      </c>
      <c r="AI41" s="21">
        <v>-1.3147000000000001E-2</v>
      </c>
      <c r="AJ41" s="21">
        <v>31</v>
      </c>
      <c r="AK41" s="21">
        <v>5.5603E-2</v>
      </c>
      <c r="AL41">
        <f t="shared" si="6"/>
        <v>16.230864197530863</v>
      </c>
      <c r="AM41">
        <f t="shared" si="7"/>
        <v>0.91140035567901234</v>
      </c>
      <c r="AP41" s="9"/>
      <c r="AQ41" s="21">
        <v>1.6738900000000001</v>
      </c>
      <c r="AR41" s="21">
        <v>24.299900000000001</v>
      </c>
      <c r="AS41" s="21">
        <v>-7.7758799999999998E-3</v>
      </c>
      <c r="AT41" s="21">
        <v>31</v>
      </c>
      <c r="AU41" s="21">
        <v>1.6726700000000001</v>
      </c>
      <c r="AV41">
        <f t="shared" si="8"/>
        <v>9.5998518518518505</v>
      </c>
      <c r="AW41">
        <f t="shared" si="9"/>
        <v>16.069096016296296</v>
      </c>
      <c r="AX41" s="9"/>
      <c r="AY41" s="21">
        <v>5.6152300000000002E-2</v>
      </c>
      <c r="AZ41" s="21">
        <v>28.179500000000001</v>
      </c>
      <c r="BA41" s="21">
        <v>-1.3070699999999999E-2</v>
      </c>
      <c r="BB41" s="21">
        <v>31</v>
      </c>
      <c r="BC41" s="21">
        <v>5.5603E-2</v>
      </c>
      <c r="BD41">
        <f t="shared" si="10"/>
        <v>16.136666666666663</v>
      </c>
      <c r="BE41">
        <f t="shared" si="11"/>
        <v>0.90611094766666656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1.6688499999999999</v>
      </c>
      <c r="H42" s="21">
        <v>5.3585900000000004</v>
      </c>
      <c r="I42" s="21">
        <v>-1.01166E-2</v>
      </c>
      <c r="J42" s="21">
        <v>32</v>
      </c>
      <c r="K42" s="21">
        <v>1.6677900000000001</v>
      </c>
      <c r="L42">
        <f t="shared" si="0"/>
        <v>12.489629629629629</v>
      </c>
      <c r="M42">
        <f t="shared" si="1"/>
        <v>20.843318407407406</v>
      </c>
      <c r="N42" s="9"/>
      <c r="O42" s="21">
        <v>6.1187699999999998E-2</v>
      </c>
      <c r="P42" s="21">
        <v>9.2382100000000005</v>
      </c>
      <c r="Q42" s="21">
        <v>-1.3327E-2</v>
      </c>
      <c r="R42" s="21">
        <v>32</v>
      </c>
      <c r="S42" s="21">
        <v>6.0607899999999999E-2</v>
      </c>
      <c r="T42">
        <f t="shared" si="2"/>
        <v>16.453086419753085</v>
      </c>
      <c r="U42">
        <f t="shared" si="3"/>
        <v>1.0067265159259258</v>
      </c>
      <c r="X42" s="9"/>
      <c r="Y42" s="21">
        <v>1.6688499999999999</v>
      </c>
      <c r="Z42" s="21">
        <v>14.8118</v>
      </c>
      <c r="AA42" s="21">
        <v>-8.4594700000000002E-3</v>
      </c>
      <c r="AB42" s="21">
        <v>32</v>
      </c>
      <c r="AC42" s="21">
        <v>1.6677900000000001</v>
      </c>
      <c r="AD42">
        <f t="shared" si="4"/>
        <v>10.44379012345679</v>
      </c>
      <c r="AE42">
        <f t="shared" si="5"/>
        <v>17.429119147530862</v>
      </c>
      <c r="AF42" s="9"/>
      <c r="AG42" s="21">
        <v>6.1187699999999998E-2</v>
      </c>
      <c r="AH42" s="21">
        <v>18.691400000000002</v>
      </c>
      <c r="AI42" s="21">
        <v>-1.3147000000000001E-2</v>
      </c>
      <c r="AJ42" s="21">
        <v>32</v>
      </c>
      <c r="AK42" s="21">
        <v>6.0699500000000003E-2</v>
      </c>
      <c r="AL42">
        <f t="shared" si="6"/>
        <v>16.230864197530863</v>
      </c>
      <c r="AM42">
        <f t="shared" si="7"/>
        <v>0.99312924925925916</v>
      </c>
      <c r="AP42" s="9"/>
      <c r="AQ42" s="21">
        <v>1.6688499999999999</v>
      </c>
      <c r="AR42" s="21">
        <v>24.31</v>
      </c>
      <c r="AS42" s="21">
        <v>-7.9986599999999995E-3</v>
      </c>
      <c r="AT42" s="21">
        <v>32</v>
      </c>
      <c r="AU42" s="21">
        <v>1.6684000000000001</v>
      </c>
      <c r="AV42">
        <f t="shared" si="8"/>
        <v>9.8748888888888882</v>
      </c>
      <c r="AW42">
        <f t="shared" si="9"/>
        <v>16.479708322222219</v>
      </c>
      <c r="AX42" s="9"/>
      <c r="AY42" s="21">
        <v>6.1187699999999998E-2</v>
      </c>
      <c r="AZ42" s="21">
        <v>28.189599999999999</v>
      </c>
      <c r="BA42" s="21">
        <v>-1.30676E-2</v>
      </c>
      <c r="BB42" s="21">
        <v>32</v>
      </c>
      <c r="BC42" s="21">
        <v>6.0699500000000003E-2</v>
      </c>
      <c r="BD42">
        <f t="shared" si="10"/>
        <v>16.132839506172839</v>
      </c>
      <c r="BE42">
        <f t="shared" si="11"/>
        <v>0.98713134385185175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1.6638200000000001</v>
      </c>
      <c r="H43" s="21">
        <v>5.3686600000000002</v>
      </c>
      <c r="I43" s="21">
        <v>-1.02112E-2</v>
      </c>
      <c r="J43" s="21">
        <v>33</v>
      </c>
      <c r="K43" s="21">
        <v>1.6629</v>
      </c>
      <c r="L43">
        <f t="shared" si="0"/>
        <v>12.606419753086419</v>
      </c>
      <c r="M43">
        <f t="shared" si="1"/>
        <v>20.974813313580245</v>
      </c>
      <c r="N43" s="9"/>
      <c r="O43" s="21">
        <v>6.6223099999999993E-2</v>
      </c>
      <c r="P43" s="21">
        <v>9.2482799999999994</v>
      </c>
      <c r="Q43" s="21">
        <v>-1.3317900000000001E-2</v>
      </c>
      <c r="R43" s="21">
        <v>33</v>
      </c>
      <c r="S43" s="21">
        <v>6.5765400000000002E-2</v>
      </c>
      <c r="T43">
        <f t="shared" si="2"/>
        <v>16.441851851851851</v>
      </c>
      <c r="U43">
        <f t="shared" si="3"/>
        <v>1.0888303993703703</v>
      </c>
      <c r="X43" s="9"/>
      <c r="Y43" s="21">
        <v>1.6638200000000001</v>
      </c>
      <c r="Z43" s="21">
        <v>14.8218</v>
      </c>
      <c r="AA43" s="21">
        <v>-8.6425800000000004E-3</v>
      </c>
      <c r="AB43" s="21">
        <v>33</v>
      </c>
      <c r="AC43" s="21">
        <v>1.6629</v>
      </c>
      <c r="AD43">
        <f t="shared" si="4"/>
        <v>10.669851851851853</v>
      </c>
      <c r="AE43">
        <f t="shared" si="5"/>
        <v>17.752712908148151</v>
      </c>
      <c r="AF43" s="9"/>
      <c r="AG43" s="21">
        <v>6.6223099999999993E-2</v>
      </c>
      <c r="AH43" s="21">
        <v>18.701499999999999</v>
      </c>
      <c r="AI43" s="21">
        <v>-1.31409E-2</v>
      </c>
      <c r="AJ43" s="21">
        <v>33</v>
      </c>
      <c r="AK43" s="21">
        <v>6.5734899999999999E-2</v>
      </c>
      <c r="AL43">
        <f t="shared" si="6"/>
        <v>16.223333333333333</v>
      </c>
      <c r="AM43">
        <f t="shared" si="7"/>
        <v>1.0743594256666664</v>
      </c>
      <c r="AP43" s="9"/>
      <c r="AQ43" s="21">
        <v>1.6638200000000001</v>
      </c>
      <c r="AR43" s="21">
        <v>24.3201</v>
      </c>
      <c r="AS43" s="21">
        <v>-8.2122800000000006E-3</v>
      </c>
      <c r="AT43" s="21">
        <v>33</v>
      </c>
      <c r="AU43" s="21">
        <v>1.6629</v>
      </c>
      <c r="AV43">
        <f t="shared" si="8"/>
        <v>10.138617283950618</v>
      </c>
      <c r="AW43">
        <f t="shared" si="9"/>
        <v>16.868834209382719</v>
      </c>
      <c r="AX43" s="9"/>
      <c r="AY43" s="21">
        <v>6.6223099999999993E-2</v>
      </c>
      <c r="AZ43" s="21">
        <v>28.1997</v>
      </c>
      <c r="BA43" s="21">
        <v>-1.30676E-2</v>
      </c>
      <c r="BB43" s="21">
        <v>33</v>
      </c>
      <c r="BC43" s="21">
        <v>6.5704299999999993E-2</v>
      </c>
      <c r="BD43">
        <f t="shared" si="10"/>
        <v>16.132839506172839</v>
      </c>
      <c r="BE43">
        <f t="shared" si="11"/>
        <v>1.0683666439012345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1.6587799999999999</v>
      </c>
      <c r="H44" s="21">
        <v>5.37873</v>
      </c>
      <c r="I44" s="21">
        <v>-1.02997E-2</v>
      </c>
      <c r="J44" s="21">
        <v>34</v>
      </c>
      <c r="K44" s="21">
        <v>1.65771</v>
      </c>
      <c r="L44">
        <f t="shared" si="0"/>
        <v>12.715679012345678</v>
      </c>
      <c r="M44">
        <f t="shared" si="1"/>
        <v>21.092514032098762</v>
      </c>
      <c r="N44" s="9"/>
      <c r="O44" s="21">
        <v>7.1258500000000002E-2</v>
      </c>
      <c r="P44" s="21">
        <v>9.2583500000000001</v>
      </c>
      <c r="Q44" s="21">
        <v>-1.33057E-2</v>
      </c>
      <c r="R44" s="21">
        <v>34</v>
      </c>
      <c r="S44" s="21">
        <v>7.07092E-2</v>
      </c>
      <c r="T44">
        <f t="shared" si="2"/>
        <v>16.42679012345679</v>
      </c>
      <c r="U44">
        <f t="shared" si="3"/>
        <v>1.1705484240123458</v>
      </c>
      <c r="X44" s="9"/>
      <c r="Y44" s="21">
        <v>1.6587799999999999</v>
      </c>
      <c r="Z44" s="21">
        <v>14.831899999999999</v>
      </c>
      <c r="AA44" s="21">
        <v>-8.8134800000000003E-3</v>
      </c>
      <c r="AB44" s="21">
        <v>34</v>
      </c>
      <c r="AC44" s="21">
        <v>1.65863</v>
      </c>
      <c r="AD44">
        <f t="shared" si="4"/>
        <v>10.880839506172839</v>
      </c>
      <c r="AE44">
        <f t="shared" si="5"/>
        <v>18.048918956049381</v>
      </c>
      <c r="AF44" s="9"/>
      <c r="AG44" s="21">
        <v>7.1258500000000002E-2</v>
      </c>
      <c r="AH44" s="21">
        <v>18.711500000000001</v>
      </c>
      <c r="AI44" s="21">
        <v>-1.31409E-2</v>
      </c>
      <c r="AJ44" s="21">
        <v>34</v>
      </c>
      <c r="AK44" s="21">
        <v>7.0678699999999997E-2</v>
      </c>
      <c r="AL44">
        <f t="shared" si="6"/>
        <v>16.223333333333333</v>
      </c>
      <c r="AM44">
        <f t="shared" si="7"/>
        <v>1.1560503983333332</v>
      </c>
      <c r="AP44" s="9"/>
      <c r="AQ44" s="21">
        <v>1.6587799999999999</v>
      </c>
      <c r="AR44" s="21">
        <v>24.330100000000002</v>
      </c>
      <c r="AS44" s="21">
        <v>-8.4136999999999997E-3</v>
      </c>
      <c r="AT44" s="21">
        <v>34</v>
      </c>
      <c r="AU44" s="21">
        <v>1.65802</v>
      </c>
      <c r="AV44">
        <f t="shared" si="8"/>
        <v>10.387283950617283</v>
      </c>
      <c r="AW44">
        <f t="shared" si="9"/>
        <v>17.230218871604936</v>
      </c>
      <c r="AX44" s="9"/>
      <c r="AY44" s="21">
        <v>7.1258500000000002E-2</v>
      </c>
      <c r="AZ44" s="21">
        <v>28.209800000000001</v>
      </c>
      <c r="BA44" s="21">
        <v>-1.3058500000000001E-2</v>
      </c>
      <c r="BB44" s="21">
        <v>34</v>
      </c>
      <c r="BC44" s="21">
        <v>7.0800799999999997E-2</v>
      </c>
      <c r="BD44">
        <f t="shared" si="10"/>
        <v>16.121604938271602</v>
      </c>
      <c r="BE44">
        <f t="shared" si="11"/>
        <v>1.148801385493827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1.6537500000000001</v>
      </c>
      <c r="H45" s="21">
        <v>5.3887999999999998</v>
      </c>
      <c r="I45" s="21">
        <v>-1.0376E-2</v>
      </c>
      <c r="J45" s="21">
        <v>35</v>
      </c>
      <c r="K45" s="21">
        <v>1.6531400000000001</v>
      </c>
      <c r="L45">
        <f t="shared" si="0"/>
        <v>12.809876543209876</v>
      </c>
      <c r="M45">
        <f t="shared" si="1"/>
        <v>21.184333333333335</v>
      </c>
      <c r="N45" s="9"/>
      <c r="O45" s="21">
        <v>7.6293899999999998E-2</v>
      </c>
      <c r="P45" s="21">
        <v>9.2684200000000008</v>
      </c>
      <c r="Q45" s="21">
        <v>-1.32935E-2</v>
      </c>
      <c r="R45" s="21">
        <v>35</v>
      </c>
      <c r="S45" s="21">
        <v>7.5836200000000006E-2</v>
      </c>
      <c r="T45">
        <f t="shared" si="2"/>
        <v>16.411728395061726</v>
      </c>
      <c r="U45">
        <f t="shared" si="3"/>
        <v>1.2521147649999997</v>
      </c>
      <c r="X45" s="9"/>
      <c r="Y45" s="21">
        <v>1.6537500000000001</v>
      </c>
      <c r="Z45" s="21">
        <v>14.842000000000001</v>
      </c>
      <c r="AA45" s="21">
        <v>-8.9721699999999998E-3</v>
      </c>
      <c r="AB45" s="21">
        <v>35</v>
      </c>
      <c r="AC45" s="21">
        <v>1.65283</v>
      </c>
      <c r="AD45">
        <f t="shared" si="4"/>
        <v>11.076753086419751</v>
      </c>
      <c r="AE45">
        <f t="shared" si="5"/>
        <v>18.318180416666664</v>
      </c>
      <c r="AF45" s="9"/>
      <c r="AG45" s="21">
        <v>7.6293899999999998E-2</v>
      </c>
      <c r="AH45" s="21">
        <v>18.721599999999999</v>
      </c>
      <c r="AI45" s="21">
        <v>-1.31348E-2</v>
      </c>
      <c r="AJ45" s="21">
        <v>35</v>
      </c>
      <c r="AK45" s="21">
        <v>7.5744599999999995E-2</v>
      </c>
      <c r="AL45">
        <f t="shared" si="6"/>
        <v>16.215802469135802</v>
      </c>
      <c r="AM45">
        <f t="shared" si="7"/>
        <v>1.2371668119999999</v>
      </c>
      <c r="AP45" s="9"/>
      <c r="AQ45" s="21">
        <v>1.6537500000000001</v>
      </c>
      <c r="AR45" s="21">
        <v>24.340199999999999</v>
      </c>
      <c r="AS45" s="21">
        <v>-8.5937500000000007E-3</v>
      </c>
      <c r="AT45" s="21">
        <v>35</v>
      </c>
      <c r="AU45" s="21">
        <v>1.65283</v>
      </c>
      <c r="AV45">
        <f t="shared" si="8"/>
        <v>10.609567901234568</v>
      </c>
      <c r="AW45">
        <f t="shared" si="9"/>
        <v>17.545572916666668</v>
      </c>
      <c r="AX45" s="9"/>
      <c r="AY45" s="21">
        <v>7.6293899999999998E-2</v>
      </c>
      <c r="AZ45" s="21">
        <v>28.219799999999999</v>
      </c>
      <c r="BA45" s="21">
        <v>-1.30493E-2</v>
      </c>
      <c r="BB45" s="21">
        <v>35</v>
      </c>
      <c r="BC45" s="21">
        <v>7.5714100000000006E-2</v>
      </c>
      <c r="BD45">
        <f t="shared" si="10"/>
        <v>16.110246913580244</v>
      </c>
      <c r="BE45">
        <f t="shared" si="11"/>
        <v>1.2291135669999997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1.6487099999999999</v>
      </c>
      <c r="H46" s="21">
        <v>5.3988699999999996</v>
      </c>
      <c r="I46" s="21">
        <v>-1.04584E-2</v>
      </c>
      <c r="J46" s="21">
        <v>36</v>
      </c>
      <c r="K46" s="21">
        <v>1.64795</v>
      </c>
      <c r="L46">
        <f t="shared" si="0"/>
        <v>12.911604938271603</v>
      </c>
      <c r="M46">
        <f t="shared" si="1"/>
        <v>21.287492177777775</v>
      </c>
      <c r="N46" s="9"/>
      <c r="O46" s="21">
        <v>8.1329299999999993E-2</v>
      </c>
      <c r="P46" s="21">
        <v>9.2784899999999997</v>
      </c>
      <c r="Q46" s="21">
        <v>-1.32874E-2</v>
      </c>
      <c r="R46" s="21">
        <v>36</v>
      </c>
      <c r="S46" s="21">
        <v>8.0841099999999999E-2</v>
      </c>
      <c r="T46">
        <f t="shared" si="2"/>
        <v>16.404197530864195</v>
      </c>
      <c r="U46">
        <f t="shared" si="3"/>
        <v>1.3341419022469132</v>
      </c>
      <c r="X46" s="9"/>
      <c r="Y46" s="21">
        <v>1.6487099999999999</v>
      </c>
      <c r="Z46" s="21">
        <v>14.8521</v>
      </c>
      <c r="AA46" s="21">
        <v>-9.1278100000000001E-3</v>
      </c>
      <c r="AB46" s="21">
        <v>36</v>
      </c>
      <c r="AC46" s="21">
        <v>1.64764</v>
      </c>
      <c r="AD46">
        <f t="shared" si="4"/>
        <v>11.268901234567901</v>
      </c>
      <c r="AE46">
        <f t="shared" si="5"/>
        <v>18.579150154444442</v>
      </c>
      <c r="AF46" s="9"/>
      <c r="AG46" s="21">
        <v>8.1329299999999993E-2</v>
      </c>
      <c r="AH46" s="21">
        <v>18.7317</v>
      </c>
      <c r="AI46" s="21">
        <v>-1.31317E-2</v>
      </c>
      <c r="AJ46" s="21">
        <v>36</v>
      </c>
      <c r="AK46" s="21">
        <v>8.0871600000000002E-2</v>
      </c>
      <c r="AL46">
        <f t="shared" si="6"/>
        <v>16.211975308641971</v>
      </c>
      <c r="AM46">
        <f t="shared" si="7"/>
        <v>1.3185086034691353</v>
      </c>
      <c r="AP46" s="9"/>
      <c r="AQ46" s="21">
        <v>1.6487099999999999</v>
      </c>
      <c r="AR46" s="21">
        <v>24.350300000000001</v>
      </c>
      <c r="AS46" s="21">
        <v>-8.7676999999999998E-3</v>
      </c>
      <c r="AT46" s="21">
        <v>36</v>
      </c>
      <c r="AU46" s="21">
        <v>1.64795</v>
      </c>
      <c r="AV46">
        <f t="shared" si="8"/>
        <v>10.824320987654319</v>
      </c>
      <c r="AW46">
        <f t="shared" si="9"/>
        <v>17.846166255555552</v>
      </c>
      <c r="AX46" s="9"/>
      <c r="AY46" s="21">
        <v>8.1329299999999993E-2</v>
      </c>
      <c r="AZ46" s="21">
        <v>28.229900000000001</v>
      </c>
      <c r="BA46" s="21">
        <v>-1.30432E-2</v>
      </c>
      <c r="BB46" s="21">
        <v>36</v>
      </c>
      <c r="BC46" s="21">
        <v>8.0810499999999993E-2</v>
      </c>
      <c r="BD46">
        <f t="shared" si="10"/>
        <v>16.102716049382714</v>
      </c>
      <c r="BE46">
        <f t="shared" si="11"/>
        <v>1.3096226243950615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1.64368</v>
      </c>
      <c r="H47" s="21">
        <v>5.4089499999999999</v>
      </c>
      <c r="I47" s="21">
        <v>-1.0537700000000001E-2</v>
      </c>
      <c r="J47" s="21">
        <v>37</v>
      </c>
      <c r="K47" s="21">
        <v>1.64276</v>
      </c>
      <c r="L47">
        <f t="shared" si="0"/>
        <v>13.009506172839506</v>
      </c>
      <c r="M47">
        <f t="shared" si="1"/>
        <v>21.383465106172839</v>
      </c>
      <c r="N47" s="9"/>
      <c r="O47" s="21">
        <v>8.6364700000000003E-2</v>
      </c>
      <c r="P47" s="21">
        <v>9.2885600000000004</v>
      </c>
      <c r="Q47" s="21">
        <v>-1.32782E-2</v>
      </c>
      <c r="R47" s="21">
        <v>37</v>
      </c>
      <c r="S47" s="21">
        <v>8.5845900000000003E-2</v>
      </c>
      <c r="T47">
        <f t="shared" si="2"/>
        <v>16.392839506172837</v>
      </c>
      <c r="U47">
        <f t="shared" si="3"/>
        <v>1.4157626660987652</v>
      </c>
      <c r="X47" s="9"/>
      <c r="Y47" s="21">
        <v>1.64368</v>
      </c>
      <c r="Z47" s="21">
        <v>14.8621</v>
      </c>
      <c r="AA47" s="21">
        <v>-9.27124E-3</v>
      </c>
      <c r="AB47" s="21">
        <v>37</v>
      </c>
      <c r="AC47" s="21">
        <v>1.64246</v>
      </c>
      <c r="AD47">
        <f t="shared" si="4"/>
        <v>11.445975308641975</v>
      </c>
      <c r="AE47">
        <f t="shared" si="5"/>
        <v>18.813520695308643</v>
      </c>
      <c r="AF47" s="9"/>
      <c r="AG47" s="21">
        <v>8.6364700000000003E-2</v>
      </c>
      <c r="AH47" s="21">
        <v>18.741700000000002</v>
      </c>
      <c r="AI47" s="21">
        <v>-1.3125599999999999E-2</v>
      </c>
      <c r="AJ47" s="21">
        <v>37</v>
      </c>
      <c r="AK47" s="21">
        <v>8.5754399999999995E-2</v>
      </c>
      <c r="AL47">
        <f t="shared" si="6"/>
        <v>16.204444444444441</v>
      </c>
      <c r="AM47">
        <f t="shared" si="7"/>
        <v>1.3994919831111108</v>
      </c>
      <c r="AP47" s="9"/>
      <c r="AQ47" s="21">
        <v>1.64368</v>
      </c>
      <c r="AR47" s="21">
        <v>24.360399999999998</v>
      </c>
      <c r="AS47" s="21">
        <v>-8.9263899999999993E-3</v>
      </c>
      <c r="AT47" s="21">
        <v>37</v>
      </c>
      <c r="AU47" s="21">
        <v>1.64246</v>
      </c>
      <c r="AV47">
        <f t="shared" si="8"/>
        <v>11.020234567901234</v>
      </c>
      <c r="AW47">
        <f t="shared" si="9"/>
        <v>18.113739154567899</v>
      </c>
      <c r="AX47" s="9"/>
      <c r="AY47" s="21">
        <v>8.6364700000000003E-2</v>
      </c>
      <c r="AZ47" s="21">
        <v>28.24</v>
      </c>
      <c r="BA47" s="21">
        <v>-1.30463E-2</v>
      </c>
      <c r="BB47" s="21">
        <v>37</v>
      </c>
      <c r="BC47" s="21">
        <v>8.58154E-2</v>
      </c>
      <c r="BD47">
        <f t="shared" si="10"/>
        <v>16.106543209876545</v>
      </c>
      <c r="BE47">
        <f t="shared" si="11"/>
        <v>1.3910367723580248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1.6386400000000001</v>
      </c>
      <c r="H48" s="21">
        <v>5.4190199999999997</v>
      </c>
      <c r="I48" s="21">
        <v>-1.0617100000000001E-2</v>
      </c>
      <c r="J48" s="21">
        <v>38</v>
      </c>
      <c r="K48" s="21">
        <v>1.63788</v>
      </c>
      <c r="L48">
        <f t="shared" si="0"/>
        <v>13.10753086419753</v>
      </c>
      <c r="M48">
        <f t="shared" si="1"/>
        <v>21.478524375308641</v>
      </c>
      <c r="N48" s="9"/>
      <c r="O48" s="21">
        <v>9.1400099999999998E-2</v>
      </c>
      <c r="P48" s="21">
        <v>9.2986299999999993</v>
      </c>
      <c r="Q48" s="21">
        <v>-1.32751E-2</v>
      </c>
      <c r="R48" s="21">
        <v>38</v>
      </c>
      <c r="S48" s="21">
        <v>9.0972899999999995E-2</v>
      </c>
      <c r="T48">
        <f t="shared" si="2"/>
        <v>16.38901234567901</v>
      </c>
      <c r="U48">
        <f t="shared" si="3"/>
        <v>1.497957367296296</v>
      </c>
      <c r="X48" s="9"/>
      <c r="Y48" s="21">
        <v>1.6386400000000001</v>
      </c>
      <c r="Z48" s="21">
        <v>14.872199999999999</v>
      </c>
      <c r="AA48" s="21">
        <v>-9.4177199999999992E-3</v>
      </c>
      <c r="AB48" s="21">
        <v>38</v>
      </c>
      <c r="AC48" s="21">
        <v>1.63788</v>
      </c>
      <c r="AD48">
        <f t="shared" si="4"/>
        <v>11.626814814814814</v>
      </c>
      <c r="AE48">
        <f t="shared" si="5"/>
        <v>19.052163828148149</v>
      </c>
      <c r="AF48" s="9"/>
      <c r="AG48" s="21">
        <v>9.1400099999999998E-2</v>
      </c>
      <c r="AH48" s="21">
        <v>18.751799999999999</v>
      </c>
      <c r="AI48" s="21">
        <v>-1.31226E-2</v>
      </c>
      <c r="AJ48" s="21">
        <v>38</v>
      </c>
      <c r="AK48" s="21">
        <v>9.0972899999999995E-2</v>
      </c>
      <c r="AL48">
        <f t="shared" si="6"/>
        <v>16.200740740740741</v>
      </c>
      <c r="AM48">
        <f t="shared" si="7"/>
        <v>1.4807493237777778</v>
      </c>
      <c r="AP48" s="9"/>
      <c r="AQ48" s="21">
        <v>1.6386400000000001</v>
      </c>
      <c r="AR48" s="21">
        <v>24.3704</v>
      </c>
      <c r="AS48" s="21">
        <v>-9.0850800000000006E-3</v>
      </c>
      <c r="AT48" s="21">
        <v>38</v>
      </c>
      <c r="AU48" s="21">
        <v>1.63849</v>
      </c>
      <c r="AV48">
        <f t="shared" si="8"/>
        <v>11.216148148148148</v>
      </c>
      <c r="AW48">
        <f t="shared" si="9"/>
        <v>18.379229001481484</v>
      </c>
      <c r="AX48" s="9"/>
      <c r="AY48" s="21">
        <v>9.1400099999999998E-2</v>
      </c>
      <c r="AZ48" s="21">
        <v>28.25</v>
      </c>
      <c r="BA48" s="21">
        <v>-1.30463E-2</v>
      </c>
      <c r="BB48" s="21">
        <v>38</v>
      </c>
      <c r="BC48" s="21">
        <v>9.0942400000000007E-2</v>
      </c>
      <c r="BD48">
        <f t="shared" si="10"/>
        <v>16.106543209876545</v>
      </c>
      <c r="BE48">
        <f t="shared" si="11"/>
        <v>1.4721396600370371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1.63361</v>
      </c>
      <c r="H49" s="21">
        <v>5.4290900000000004</v>
      </c>
      <c r="I49" s="21">
        <v>-1.06873E-2</v>
      </c>
      <c r="J49" s="21">
        <v>39</v>
      </c>
      <c r="K49" s="21">
        <v>1.63239</v>
      </c>
      <c r="L49">
        <f t="shared" si="0"/>
        <v>13.194197530864198</v>
      </c>
      <c r="M49">
        <f t="shared" si="1"/>
        <v>21.554173028395063</v>
      </c>
      <c r="N49" s="9"/>
      <c r="O49" s="21">
        <v>9.6435499999999993E-2</v>
      </c>
      <c r="P49" s="21">
        <v>9.3087</v>
      </c>
      <c r="Q49" s="21">
        <v>-1.32721E-2</v>
      </c>
      <c r="R49" s="21">
        <v>39</v>
      </c>
      <c r="S49" s="21">
        <v>9.5886200000000005E-2</v>
      </c>
      <c r="T49">
        <f t="shared" si="2"/>
        <v>16.385308641975307</v>
      </c>
      <c r="U49">
        <f t="shared" si="3"/>
        <v>1.5801254315432096</v>
      </c>
      <c r="X49" s="9"/>
      <c r="Y49" s="21">
        <v>1.63361</v>
      </c>
      <c r="Z49" s="21">
        <v>14.882300000000001</v>
      </c>
      <c r="AA49" s="21">
        <v>-9.5581099999999999E-3</v>
      </c>
      <c r="AB49" s="21">
        <v>39</v>
      </c>
      <c r="AC49" s="21">
        <v>1.633</v>
      </c>
      <c r="AD49">
        <f t="shared" si="4"/>
        <v>11.800135802469134</v>
      </c>
      <c r="AE49">
        <f t="shared" si="5"/>
        <v>19.2768198482716</v>
      </c>
      <c r="AF49" s="9"/>
      <c r="AG49" s="21">
        <v>9.6435499999999993E-2</v>
      </c>
      <c r="AH49" s="21">
        <v>18.761900000000001</v>
      </c>
      <c r="AI49" s="21">
        <v>-1.3119499999999999E-2</v>
      </c>
      <c r="AJ49" s="21">
        <v>39</v>
      </c>
      <c r="AK49" s="21">
        <v>9.5825199999999999E-2</v>
      </c>
      <c r="AL49">
        <f t="shared" si="6"/>
        <v>16.19691358024691</v>
      </c>
      <c r="AM49">
        <f t="shared" si="7"/>
        <v>1.5619574595679009</v>
      </c>
      <c r="AP49" s="9"/>
      <c r="AQ49" s="21">
        <v>1.63361</v>
      </c>
      <c r="AR49" s="21">
        <v>24.380500000000001</v>
      </c>
      <c r="AS49" s="21">
        <v>-9.2315699999999997E-3</v>
      </c>
      <c r="AT49" s="21">
        <v>39</v>
      </c>
      <c r="AU49" s="21">
        <v>1.633</v>
      </c>
      <c r="AV49">
        <f t="shared" si="8"/>
        <v>11.396999999999998</v>
      </c>
      <c r="AW49">
        <f t="shared" si="9"/>
        <v>18.618253169999999</v>
      </c>
      <c r="AX49" s="9"/>
      <c r="AY49" s="21">
        <v>9.6435499999999993E-2</v>
      </c>
      <c r="AZ49" s="21">
        <v>28.260100000000001</v>
      </c>
      <c r="BA49" s="21">
        <v>-1.30463E-2</v>
      </c>
      <c r="BB49" s="21">
        <v>39</v>
      </c>
      <c r="BC49" s="21">
        <v>9.5916699999999994E-2</v>
      </c>
      <c r="BD49">
        <f t="shared" si="10"/>
        <v>16.106543209876545</v>
      </c>
      <c r="BE49">
        <f t="shared" si="11"/>
        <v>1.5532425477160494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1.6285700000000001</v>
      </c>
      <c r="H50" s="21">
        <v>5.4391600000000002</v>
      </c>
      <c r="I50" s="21">
        <v>-1.0754400000000001E-2</v>
      </c>
      <c r="J50" s="21">
        <v>40</v>
      </c>
      <c r="K50" s="21">
        <v>1.62842</v>
      </c>
      <c r="L50">
        <f t="shared" si="0"/>
        <v>13.277037037037037</v>
      </c>
      <c r="M50">
        <f t="shared" si="1"/>
        <v>21.622584207407407</v>
      </c>
      <c r="N50" s="9"/>
      <c r="O50" s="21">
        <v>0.10147100000000001</v>
      </c>
      <c r="P50" s="21">
        <v>9.3187700000000007</v>
      </c>
      <c r="Q50" s="21">
        <v>-1.32782E-2</v>
      </c>
      <c r="R50" s="21">
        <v>40</v>
      </c>
      <c r="S50" s="21">
        <v>0.100922</v>
      </c>
      <c r="T50">
        <f t="shared" si="2"/>
        <v>16.392839506172837</v>
      </c>
      <c r="U50">
        <f t="shared" si="3"/>
        <v>1.6633978175308641</v>
      </c>
      <c r="X50" s="9"/>
      <c r="Y50" s="21">
        <v>1.6285700000000001</v>
      </c>
      <c r="Z50" s="21">
        <v>14.892300000000001</v>
      </c>
      <c r="AA50" s="21">
        <v>-9.6862800000000002E-3</v>
      </c>
      <c r="AB50" s="21">
        <v>40</v>
      </c>
      <c r="AC50" s="21">
        <v>1.6281099999999999</v>
      </c>
      <c r="AD50">
        <f t="shared" si="4"/>
        <v>11.958370370370369</v>
      </c>
      <c r="AE50">
        <f t="shared" si="5"/>
        <v>19.475043234074075</v>
      </c>
      <c r="AF50" s="9"/>
      <c r="AG50" s="21">
        <v>0.10147100000000001</v>
      </c>
      <c r="AH50" s="21">
        <v>18.771999999999998</v>
      </c>
      <c r="AI50" s="21">
        <v>-1.31287E-2</v>
      </c>
      <c r="AJ50" s="21">
        <v>40</v>
      </c>
      <c r="AK50" s="21">
        <v>0.10089099999999999</v>
      </c>
      <c r="AL50">
        <f t="shared" si="6"/>
        <v>16.208271604938268</v>
      </c>
      <c r="AM50">
        <f t="shared" si="7"/>
        <v>1.644669528024691</v>
      </c>
      <c r="AP50" s="9"/>
      <c r="AQ50" s="21">
        <v>1.6285700000000001</v>
      </c>
      <c r="AR50" s="21">
        <v>24.390599999999999</v>
      </c>
      <c r="AS50" s="21">
        <v>-9.3627899999999993E-3</v>
      </c>
      <c r="AT50" s="21">
        <v>40</v>
      </c>
      <c r="AU50" s="21">
        <v>1.6274999999999999</v>
      </c>
      <c r="AV50">
        <f t="shared" si="8"/>
        <v>11.558999999999997</v>
      </c>
      <c r="AW50">
        <f t="shared" si="9"/>
        <v>18.824640629999998</v>
      </c>
      <c r="AX50" s="9"/>
      <c r="AY50" s="21">
        <v>0.10147100000000001</v>
      </c>
      <c r="AZ50" s="21">
        <v>28.270199999999999</v>
      </c>
      <c r="BA50" s="21">
        <v>-1.30493E-2</v>
      </c>
      <c r="BB50" s="21">
        <v>40</v>
      </c>
      <c r="BC50" s="21">
        <v>0.10089099999999999</v>
      </c>
      <c r="BD50">
        <f t="shared" si="10"/>
        <v>16.110246913580244</v>
      </c>
      <c r="BE50">
        <f t="shared" si="11"/>
        <v>1.6347228645679011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1.62354</v>
      </c>
      <c r="H51" s="21">
        <v>5.44923</v>
      </c>
      <c r="I51" s="21">
        <v>-1.08276E-2</v>
      </c>
      <c r="J51" s="21">
        <v>41</v>
      </c>
      <c r="K51" s="21">
        <v>1.62323</v>
      </c>
      <c r="L51">
        <f t="shared" si="0"/>
        <v>13.367407407407406</v>
      </c>
      <c r="M51">
        <f t="shared" si="1"/>
        <v>21.70252062222222</v>
      </c>
      <c r="N51" s="9"/>
      <c r="O51" s="21">
        <v>0.106506</v>
      </c>
      <c r="P51" s="21">
        <v>9.3288399999999996</v>
      </c>
      <c r="Q51" s="21">
        <v>-1.32721E-2</v>
      </c>
      <c r="R51" s="21">
        <v>41</v>
      </c>
      <c r="S51" s="21">
        <v>0.105988</v>
      </c>
      <c r="T51">
        <f t="shared" si="2"/>
        <v>16.385308641975307</v>
      </c>
      <c r="U51">
        <f t="shared" si="3"/>
        <v>1.7451336822222221</v>
      </c>
      <c r="X51" s="9"/>
      <c r="Y51" s="21">
        <v>1.62354</v>
      </c>
      <c r="Z51" s="21">
        <v>14.9024</v>
      </c>
      <c r="AA51" s="21">
        <v>-9.8052999999999994E-3</v>
      </c>
      <c r="AB51" s="21">
        <v>41</v>
      </c>
      <c r="AC51" s="21">
        <v>1.62262</v>
      </c>
      <c r="AD51">
        <f t="shared" si="4"/>
        <v>12.105308641975306</v>
      </c>
      <c r="AE51">
        <f t="shared" si="5"/>
        <v>19.653452792592589</v>
      </c>
      <c r="AF51" s="9"/>
      <c r="AG51" s="21">
        <v>0.106506</v>
      </c>
      <c r="AH51" s="21">
        <v>18.782</v>
      </c>
      <c r="AI51" s="21">
        <v>-1.31348E-2</v>
      </c>
      <c r="AJ51" s="21">
        <v>41</v>
      </c>
      <c r="AK51" s="21">
        <v>0.105957</v>
      </c>
      <c r="AL51">
        <f t="shared" si="6"/>
        <v>16.215802469135802</v>
      </c>
      <c r="AM51">
        <f t="shared" si="7"/>
        <v>1.7270802577777777</v>
      </c>
      <c r="AP51" s="9"/>
      <c r="AQ51" s="21">
        <v>1.62354</v>
      </c>
      <c r="AR51" s="21">
        <v>24.400600000000001</v>
      </c>
      <c r="AS51" s="21">
        <v>-9.4818100000000002E-3</v>
      </c>
      <c r="AT51" s="21">
        <v>41</v>
      </c>
      <c r="AU51" s="21">
        <v>1.62262</v>
      </c>
      <c r="AV51">
        <f t="shared" si="8"/>
        <v>11.705938271604937</v>
      </c>
      <c r="AW51">
        <f t="shared" si="9"/>
        <v>19.005059021481479</v>
      </c>
      <c r="AX51" s="9"/>
      <c r="AY51" s="21">
        <v>0.106506</v>
      </c>
      <c r="AZ51" s="21">
        <v>28.2803</v>
      </c>
      <c r="BA51" s="21">
        <v>-1.30493E-2</v>
      </c>
      <c r="BB51" s="21">
        <v>41</v>
      </c>
      <c r="BC51" s="21">
        <v>0.106018</v>
      </c>
      <c r="BD51">
        <f t="shared" si="10"/>
        <v>16.110246913580244</v>
      </c>
      <c r="BE51">
        <f t="shared" si="11"/>
        <v>1.7158379577777776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1.6185</v>
      </c>
      <c r="H52" s="21">
        <v>5.4592999999999998</v>
      </c>
      <c r="I52" s="21">
        <v>-1.09009E-2</v>
      </c>
      <c r="J52" s="21">
        <v>42</v>
      </c>
      <c r="K52" s="21">
        <v>1.61774</v>
      </c>
      <c r="L52">
        <f t="shared" si="0"/>
        <v>13.457901234567899</v>
      </c>
      <c r="M52">
        <f t="shared" si="1"/>
        <v>21.781613148148146</v>
      </c>
      <c r="N52" s="9"/>
      <c r="O52" s="21">
        <v>0.111542</v>
      </c>
      <c r="P52" s="21">
        <v>9.3389199999999999</v>
      </c>
      <c r="Q52" s="21">
        <v>-1.3256799999999999E-2</v>
      </c>
      <c r="R52" s="21">
        <v>42</v>
      </c>
      <c r="S52" s="21">
        <v>0.11099199999999999</v>
      </c>
      <c r="T52">
        <f t="shared" si="2"/>
        <v>16.366419753086415</v>
      </c>
      <c r="U52">
        <f t="shared" si="3"/>
        <v>1.825543192098765</v>
      </c>
      <c r="X52" s="9"/>
      <c r="Y52" s="21">
        <v>1.6185</v>
      </c>
      <c r="Z52" s="21">
        <v>14.9125</v>
      </c>
      <c r="AA52" s="21">
        <v>-9.9151599999999993E-3</v>
      </c>
      <c r="AB52" s="21">
        <v>42</v>
      </c>
      <c r="AC52" s="21">
        <v>1.6180399999999999</v>
      </c>
      <c r="AD52">
        <f t="shared" si="4"/>
        <v>12.240938271604936</v>
      </c>
      <c r="AE52">
        <f t="shared" si="5"/>
        <v>19.811958592592589</v>
      </c>
      <c r="AF52" s="9"/>
      <c r="AG52" s="21">
        <v>0.111542</v>
      </c>
      <c r="AH52" s="21">
        <v>18.792100000000001</v>
      </c>
      <c r="AI52" s="21">
        <v>-1.31348E-2</v>
      </c>
      <c r="AJ52" s="21">
        <v>42</v>
      </c>
      <c r="AK52" s="21">
        <v>0.111053</v>
      </c>
      <c r="AL52">
        <f t="shared" si="6"/>
        <v>16.215802469135802</v>
      </c>
      <c r="AM52">
        <f t="shared" si="7"/>
        <v>1.8087430390123458</v>
      </c>
      <c r="AP52" s="9"/>
      <c r="AQ52" s="21">
        <v>1.6185</v>
      </c>
      <c r="AR52" s="21">
        <v>24.410699999999999</v>
      </c>
      <c r="AS52" s="21">
        <v>-9.5977800000000002E-3</v>
      </c>
      <c r="AT52" s="21">
        <v>42</v>
      </c>
      <c r="AU52" s="21">
        <v>1.6174299999999999</v>
      </c>
      <c r="AV52">
        <f t="shared" si="8"/>
        <v>11.84911111111111</v>
      </c>
      <c r="AW52">
        <f t="shared" si="9"/>
        <v>19.177786333333334</v>
      </c>
      <c r="AX52" s="9"/>
      <c r="AY52" s="21">
        <v>0.111542</v>
      </c>
      <c r="AZ52" s="21">
        <v>28.290299999999998</v>
      </c>
      <c r="BA52" s="21">
        <v>-1.30341E-2</v>
      </c>
      <c r="BB52" s="21">
        <v>42</v>
      </c>
      <c r="BC52" s="21">
        <v>0.111053</v>
      </c>
      <c r="BD52">
        <f t="shared" si="10"/>
        <v>16.09148148148148</v>
      </c>
      <c r="BE52">
        <f t="shared" si="11"/>
        <v>1.7948760274074074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1.6134599999999999</v>
      </c>
      <c r="H53" s="21">
        <v>5.4693699999999996</v>
      </c>
      <c r="I53" s="21">
        <v>-1.09619E-2</v>
      </c>
      <c r="J53" s="21">
        <v>43</v>
      </c>
      <c r="K53" s="21">
        <v>1.6125499999999999</v>
      </c>
      <c r="L53">
        <f t="shared" si="0"/>
        <v>13.533209876543209</v>
      </c>
      <c r="M53">
        <f t="shared" si="1"/>
        <v>21.835292807407406</v>
      </c>
      <c r="N53" s="9"/>
      <c r="O53" s="21">
        <v>0.116577</v>
      </c>
      <c r="P53" s="21">
        <v>9.3489900000000006</v>
      </c>
      <c r="Q53" s="21">
        <v>-1.32446E-2</v>
      </c>
      <c r="R53" s="21">
        <v>43</v>
      </c>
      <c r="S53" s="21">
        <v>0.11605799999999999</v>
      </c>
      <c r="T53">
        <f t="shared" si="2"/>
        <v>16.351358024691358</v>
      </c>
      <c r="U53">
        <f t="shared" si="3"/>
        <v>1.9061922644444445</v>
      </c>
      <c r="X53" s="9"/>
      <c r="Y53" s="21">
        <v>1.6134599999999999</v>
      </c>
      <c r="Z53" s="21">
        <v>14.922599999999999</v>
      </c>
      <c r="AA53" s="21">
        <v>-1.0022E-2</v>
      </c>
      <c r="AB53" s="21">
        <v>43</v>
      </c>
      <c r="AC53" s="21">
        <v>1.6128499999999999</v>
      </c>
      <c r="AD53">
        <f t="shared" si="4"/>
        <v>12.372839506172838</v>
      </c>
      <c r="AE53">
        <f t="shared" si="5"/>
        <v>19.963081629629624</v>
      </c>
      <c r="AF53" s="9"/>
      <c r="AG53" s="21">
        <v>0.116577</v>
      </c>
      <c r="AH53" s="21">
        <v>18.802199999999999</v>
      </c>
      <c r="AI53" s="21">
        <v>-1.31226E-2</v>
      </c>
      <c r="AJ53" s="21">
        <v>43</v>
      </c>
      <c r="AK53" s="21">
        <v>0.11602800000000001</v>
      </c>
      <c r="AL53">
        <f t="shared" si="6"/>
        <v>16.200740740740741</v>
      </c>
      <c r="AM53">
        <f t="shared" si="7"/>
        <v>1.8886337533333335</v>
      </c>
      <c r="AP53" s="9"/>
      <c r="AQ53" s="21">
        <v>1.6134599999999999</v>
      </c>
      <c r="AR53" s="21">
        <v>24.4208</v>
      </c>
      <c r="AS53" s="21">
        <v>-9.70764E-3</v>
      </c>
      <c r="AT53" s="21">
        <v>43</v>
      </c>
      <c r="AU53" s="21">
        <v>1.6128499999999999</v>
      </c>
      <c r="AV53">
        <f t="shared" si="8"/>
        <v>11.98474074074074</v>
      </c>
      <c r="AW53">
        <f t="shared" si="9"/>
        <v>19.336899795555553</v>
      </c>
      <c r="AX53" s="9"/>
      <c r="AY53" s="21">
        <v>0.116577</v>
      </c>
      <c r="AZ53" s="21">
        <v>28.3004</v>
      </c>
      <c r="BA53" s="21">
        <v>-1.3024900000000001E-2</v>
      </c>
      <c r="BB53" s="21">
        <v>43</v>
      </c>
      <c r="BC53" s="21">
        <v>0.11602800000000001</v>
      </c>
      <c r="BD53">
        <f t="shared" si="10"/>
        <v>16.080123456790126</v>
      </c>
      <c r="BE53">
        <f t="shared" si="11"/>
        <v>1.8745725522222225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1.60843</v>
      </c>
      <c r="H54" s="21">
        <v>5.4794400000000003</v>
      </c>
      <c r="I54" s="21">
        <v>-1.1019899999999999E-2</v>
      </c>
      <c r="J54" s="21">
        <v>44</v>
      </c>
      <c r="K54" s="21">
        <v>1.6076699999999999</v>
      </c>
      <c r="L54">
        <f t="shared" si="0"/>
        <v>13.604814814814812</v>
      </c>
      <c r="M54">
        <f t="shared" si="1"/>
        <v>21.882392292592588</v>
      </c>
      <c r="N54" s="9"/>
      <c r="O54" s="21">
        <v>0.121613</v>
      </c>
      <c r="P54" s="21">
        <v>9.3590599999999995</v>
      </c>
      <c r="Q54" s="21">
        <v>-1.32385E-2</v>
      </c>
      <c r="R54" s="21">
        <v>44</v>
      </c>
      <c r="S54" s="21">
        <v>0.121002</v>
      </c>
      <c r="T54">
        <f t="shared" si="2"/>
        <v>16.343827160493824</v>
      </c>
      <c r="U54">
        <f t="shared" si="3"/>
        <v>1.9876218524691354</v>
      </c>
      <c r="X54" s="9"/>
      <c r="Y54" s="21">
        <v>1.60843</v>
      </c>
      <c r="Z54" s="21">
        <v>14.932600000000001</v>
      </c>
      <c r="AA54" s="21">
        <v>-1.01166E-2</v>
      </c>
      <c r="AB54" s="21">
        <v>44</v>
      </c>
      <c r="AC54" s="21">
        <v>1.6076699999999999</v>
      </c>
      <c r="AD54">
        <f t="shared" si="4"/>
        <v>12.489629629629629</v>
      </c>
      <c r="AE54">
        <f t="shared" si="5"/>
        <v>20.088694985185185</v>
      </c>
      <c r="AF54" s="9"/>
      <c r="AG54" s="21">
        <v>0.121613</v>
      </c>
      <c r="AH54" s="21">
        <v>18.812200000000001</v>
      </c>
      <c r="AI54" s="21">
        <v>-1.31165E-2</v>
      </c>
      <c r="AJ54" s="21">
        <v>44</v>
      </c>
      <c r="AK54" s="21">
        <v>0.12109399999999999</v>
      </c>
      <c r="AL54">
        <f t="shared" si="6"/>
        <v>16.193209876543211</v>
      </c>
      <c r="AM54">
        <f t="shared" si="7"/>
        <v>1.9693048327160494</v>
      </c>
      <c r="AP54" s="9"/>
      <c r="AQ54" s="21">
        <v>1.60843</v>
      </c>
      <c r="AR54" s="21">
        <v>24.430900000000001</v>
      </c>
      <c r="AS54" s="21">
        <v>-9.82361E-3</v>
      </c>
      <c r="AT54" s="21">
        <v>44</v>
      </c>
      <c r="AU54" s="21">
        <v>1.6076699999999999</v>
      </c>
      <c r="AV54">
        <f t="shared" si="8"/>
        <v>12.127913580246913</v>
      </c>
      <c r="AW54">
        <f t="shared" si="9"/>
        <v>19.506900039876541</v>
      </c>
      <c r="AX54" s="9"/>
      <c r="AY54" s="21">
        <v>0.121613</v>
      </c>
      <c r="AZ54" s="21">
        <v>28.310500000000001</v>
      </c>
      <c r="BA54" s="21">
        <v>-1.3028E-2</v>
      </c>
      <c r="BB54" s="21">
        <v>44</v>
      </c>
      <c r="BC54" s="21">
        <v>0.12109399999999999</v>
      </c>
      <c r="BD54">
        <f t="shared" si="10"/>
        <v>16.08395061728395</v>
      </c>
      <c r="BE54">
        <f t="shared" si="11"/>
        <v>1.956017486419753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1.6033900000000001</v>
      </c>
      <c r="H55" s="21">
        <v>5.4895100000000001</v>
      </c>
      <c r="I55" s="21">
        <v>-1.10718E-2</v>
      </c>
      <c r="J55" s="21">
        <v>45</v>
      </c>
      <c r="K55" s="21">
        <v>1.6024799999999999</v>
      </c>
      <c r="L55">
        <f t="shared" si="0"/>
        <v>13.668888888888889</v>
      </c>
      <c r="M55">
        <f t="shared" si="1"/>
        <v>21.916559755555557</v>
      </c>
      <c r="N55" s="9"/>
      <c r="O55" s="21">
        <v>0.12664800000000001</v>
      </c>
      <c r="P55" s="21">
        <v>9.3691300000000002</v>
      </c>
      <c r="Q55" s="21">
        <v>-1.32385E-2</v>
      </c>
      <c r="R55" s="21">
        <v>45</v>
      </c>
      <c r="S55" s="21">
        <v>0.12615999999999999</v>
      </c>
      <c r="T55">
        <f t="shared" si="2"/>
        <v>16.343827160493824</v>
      </c>
      <c r="U55">
        <f t="shared" si="3"/>
        <v>2.069913022222222</v>
      </c>
      <c r="X55" s="9"/>
      <c r="Y55" s="21">
        <v>1.6033900000000001</v>
      </c>
      <c r="Z55" s="21">
        <v>14.9427</v>
      </c>
      <c r="AA55" s="21">
        <v>-1.02203E-2</v>
      </c>
      <c r="AB55" s="21">
        <v>45</v>
      </c>
      <c r="AC55" s="21">
        <v>1.6024799999999999</v>
      </c>
      <c r="AD55">
        <f t="shared" si="4"/>
        <v>12.617654320987654</v>
      </c>
      <c r="AE55">
        <f t="shared" si="5"/>
        <v>20.231020761728395</v>
      </c>
      <c r="AF55" s="9"/>
      <c r="AG55" s="21">
        <v>0.12664800000000001</v>
      </c>
      <c r="AH55" s="21">
        <v>18.822299999999998</v>
      </c>
      <c r="AI55" s="21">
        <v>-1.31165E-2</v>
      </c>
      <c r="AJ55" s="21">
        <v>45</v>
      </c>
      <c r="AK55" s="21">
        <v>0.12612899999999999</v>
      </c>
      <c r="AL55">
        <f t="shared" si="6"/>
        <v>16.193209876543211</v>
      </c>
      <c r="AM55">
        <f t="shared" si="7"/>
        <v>2.0508376444444449</v>
      </c>
      <c r="AP55" s="9"/>
      <c r="AQ55" s="21">
        <v>1.6033900000000001</v>
      </c>
      <c r="AR55" s="21">
        <v>24.440899999999999</v>
      </c>
      <c r="AS55" s="21">
        <v>-9.9334699999999998E-3</v>
      </c>
      <c r="AT55" s="21">
        <v>45</v>
      </c>
      <c r="AU55" s="21">
        <v>1.6024799999999999</v>
      </c>
      <c r="AV55">
        <f t="shared" si="8"/>
        <v>12.263543209876541</v>
      </c>
      <c r="AW55">
        <f t="shared" si="9"/>
        <v>19.66324254728395</v>
      </c>
      <c r="AX55" s="9"/>
      <c r="AY55" s="21">
        <v>0.12664800000000001</v>
      </c>
      <c r="AZ55" s="21">
        <v>28.320499999999999</v>
      </c>
      <c r="BA55" s="21">
        <v>-1.3024900000000001E-2</v>
      </c>
      <c r="BB55" s="21">
        <v>45</v>
      </c>
      <c r="BC55" s="21">
        <v>0.12619</v>
      </c>
      <c r="BD55">
        <f t="shared" si="10"/>
        <v>16.080123456790126</v>
      </c>
      <c r="BE55">
        <f t="shared" si="11"/>
        <v>2.0365154755555559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1.59836</v>
      </c>
      <c r="H56" s="21">
        <v>5.4995799999999999</v>
      </c>
      <c r="I56" s="21">
        <v>-1.11237E-2</v>
      </c>
      <c r="J56" s="21">
        <v>46</v>
      </c>
      <c r="K56" s="21">
        <v>1.5972900000000001</v>
      </c>
      <c r="L56">
        <f t="shared" si="0"/>
        <v>13.732962962962963</v>
      </c>
      <c r="M56">
        <f t="shared" si="1"/>
        <v>21.950218681481481</v>
      </c>
      <c r="N56" s="9"/>
      <c r="O56" s="21">
        <v>0.13168299999999999</v>
      </c>
      <c r="P56" s="21">
        <v>9.3792000000000009</v>
      </c>
      <c r="Q56" s="21">
        <v>-1.3247699999999999E-2</v>
      </c>
      <c r="R56" s="21">
        <v>46</v>
      </c>
      <c r="S56" s="21">
        <v>0.13122600000000001</v>
      </c>
      <c r="T56">
        <f t="shared" si="2"/>
        <v>16.355185185185185</v>
      </c>
      <c r="U56">
        <f t="shared" si="3"/>
        <v>2.1536998507407406</v>
      </c>
      <c r="X56" s="9"/>
      <c r="Y56" s="21">
        <v>1.59836</v>
      </c>
      <c r="Z56" s="21">
        <v>14.9528</v>
      </c>
      <c r="AA56" s="21">
        <v>-1.0311900000000001E-2</v>
      </c>
      <c r="AB56" s="21">
        <v>46</v>
      </c>
      <c r="AC56" s="21">
        <v>1.5982099999999999</v>
      </c>
      <c r="AD56">
        <f t="shared" si="4"/>
        <v>12.730740740740741</v>
      </c>
      <c r="AE56">
        <f t="shared" si="5"/>
        <v>20.348306770370371</v>
      </c>
      <c r="AF56" s="9"/>
      <c r="AG56" s="21">
        <v>0.13168299999999999</v>
      </c>
      <c r="AH56" s="21">
        <v>18.8324</v>
      </c>
      <c r="AI56" s="21">
        <v>-1.3110399999999999E-2</v>
      </c>
      <c r="AJ56" s="21">
        <v>46</v>
      </c>
      <c r="AK56" s="21">
        <v>0.13125600000000001</v>
      </c>
      <c r="AL56">
        <f t="shared" si="6"/>
        <v>16.185679012345677</v>
      </c>
      <c r="AM56">
        <f t="shared" si="7"/>
        <v>2.1313787693827155</v>
      </c>
      <c r="AP56" s="9"/>
      <c r="AQ56" s="21">
        <v>1.59836</v>
      </c>
      <c r="AR56" s="21">
        <v>24.451000000000001</v>
      </c>
      <c r="AS56" s="21">
        <v>-1.0031099999999999E-2</v>
      </c>
      <c r="AT56" s="21">
        <v>46</v>
      </c>
      <c r="AU56" s="21">
        <v>1.5972900000000001</v>
      </c>
      <c r="AV56">
        <f t="shared" si="8"/>
        <v>12.384074074074071</v>
      </c>
      <c r="AW56">
        <f t="shared" si="9"/>
        <v>19.794208637037034</v>
      </c>
      <c r="AX56" s="9"/>
      <c r="AY56" s="21">
        <v>0.13168299999999999</v>
      </c>
      <c r="AZ56" s="21">
        <v>28.3306</v>
      </c>
      <c r="BA56" s="21">
        <v>-1.3018800000000001E-2</v>
      </c>
      <c r="BB56" s="21">
        <v>46</v>
      </c>
      <c r="BC56" s="21">
        <v>0.13119500000000001</v>
      </c>
      <c r="BD56">
        <f t="shared" si="10"/>
        <v>16.072592592592592</v>
      </c>
      <c r="BE56">
        <f t="shared" si="11"/>
        <v>2.1164872103703702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1.5933200000000001</v>
      </c>
      <c r="H57" s="21">
        <v>5.5096600000000002</v>
      </c>
      <c r="I57" s="21">
        <v>-1.11786E-2</v>
      </c>
      <c r="J57" s="21">
        <v>47</v>
      </c>
      <c r="K57" s="21">
        <v>1.5924100000000001</v>
      </c>
      <c r="L57">
        <f t="shared" si="0"/>
        <v>13.800740740740741</v>
      </c>
      <c r="M57">
        <f t="shared" si="1"/>
        <v>21.988996237037039</v>
      </c>
      <c r="N57" s="9"/>
      <c r="O57" s="21">
        <v>0.13671900000000001</v>
      </c>
      <c r="P57" s="21">
        <v>9.3892699999999998</v>
      </c>
      <c r="Q57" s="21">
        <v>-1.32446E-2</v>
      </c>
      <c r="R57" s="21">
        <v>47</v>
      </c>
      <c r="S57" s="21">
        <v>0.136078</v>
      </c>
      <c r="T57">
        <f t="shared" si="2"/>
        <v>16.351358024691358</v>
      </c>
      <c r="U57">
        <f t="shared" si="3"/>
        <v>2.2355413177777779</v>
      </c>
      <c r="X57" s="9"/>
      <c r="Y57" s="21">
        <v>1.5933200000000001</v>
      </c>
      <c r="Z57" s="21">
        <v>14.9628</v>
      </c>
      <c r="AA57" s="21">
        <v>-1.03882E-2</v>
      </c>
      <c r="AB57" s="21">
        <v>47</v>
      </c>
      <c r="AC57" s="21">
        <v>1.5921000000000001</v>
      </c>
      <c r="AD57">
        <f t="shared" si="4"/>
        <v>12.824938271604937</v>
      </c>
      <c r="AE57">
        <f t="shared" si="5"/>
        <v>20.43423064691358</v>
      </c>
      <c r="AF57" s="9"/>
      <c r="AG57" s="21">
        <v>0.13671900000000001</v>
      </c>
      <c r="AH57" s="21">
        <v>18.842500000000001</v>
      </c>
      <c r="AI57" s="21">
        <v>-1.31042E-2</v>
      </c>
      <c r="AJ57" s="21">
        <v>47</v>
      </c>
      <c r="AK57" s="21">
        <v>0.13613900000000001</v>
      </c>
      <c r="AL57">
        <f t="shared" si="6"/>
        <v>16.178024691358022</v>
      </c>
      <c r="AM57">
        <f t="shared" si="7"/>
        <v>2.2118433577777776</v>
      </c>
      <c r="AP57" s="9"/>
      <c r="AQ57" s="21">
        <v>1.5933200000000001</v>
      </c>
      <c r="AR57" s="21">
        <v>24.461099999999998</v>
      </c>
      <c r="AS57" s="21">
        <v>-1.01227E-2</v>
      </c>
      <c r="AT57" s="21">
        <v>47</v>
      </c>
      <c r="AU57" s="21">
        <v>1.5921000000000001</v>
      </c>
      <c r="AV57">
        <f t="shared" si="8"/>
        <v>12.49716049382716</v>
      </c>
      <c r="AW57">
        <f t="shared" si="9"/>
        <v>19.911975758024692</v>
      </c>
      <c r="AX57" s="9"/>
      <c r="AY57" s="21">
        <v>0.13671900000000001</v>
      </c>
      <c r="AZ57" s="21">
        <v>28.340699999999998</v>
      </c>
      <c r="BA57" s="21">
        <v>-1.30157E-2</v>
      </c>
      <c r="BB57" s="21">
        <v>47</v>
      </c>
      <c r="BC57" s="21">
        <v>0.136078</v>
      </c>
      <c r="BD57">
        <f t="shared" si="10"/>
        <v>16.068765432098765</v>
      </c>
      <c r="BE57">
        <f t="shared" si="11"/>
        <v>2.1969055411111111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1.58829</v>
      </c>
      <c r="H58" s="21">
        <v>5.51973</v>
      </c>
      <c r="I58" s="21">
        <v>-1.12335E-2</v>
      </c>
      <c r="J58" s="21">
        <v>48</v>
      </c>
      <c r="K58" s="21">
        <v>1.58752</v>
      </c>
      <c r="L58">
        <f t="shared" si="0"/>
        <v>13.868518518518519</v>
      </c>
      <c r="M58">
        <f t="shared" si="1"/>
        <v>22.027229277777778</v>
      </c>
      <c r="N58" s="9"/>
      <c r="O58" s="21">
        <v>0.14175399999999999</v>
      </c>
      <c r="P58" s="21">
        <v>9.3993400000000005</v>
      </c>
      <c r="Q58" s="21">
        <v>-1.3235500000000001E-2</v>
      </c>
      <c r="R58" s="21">
        <v>48</v>
      </c>
      <c r="S58" s="21">
        <v>0.141235</v>
      </c>
      <c r="T58">
        <f t="shared" si="2"/>
        <v>16.340123456790124</v>
      </c>
      <c r="U58">
        <f t="shared" si="3"/>
        <v>2.3162778604938272</v>
      </c>
      <c r="X58" s="9"/>
      <c r="Y58" s="21">
        <v>1.58829</v>
      </c>
      <c r="Z58" s="21">
        <v>14.972899999999999</v>
      </c>
      <c r="AA58" s="21">
        <v>-1.04767E-2</v>
      </c>
      <c r="AB58" s="21">
        <v>48</v>
      </c>
      <c r="AC58" s="21">
        <v>1.58752</v>
      </c>
      <c r="AD58">
        <f t="shared" si="4"/>
        <v>12.934197530864198</v>
      </c>
      <c r="AE58">
        <f t="shared" si="5"/>
        <v>20.543256596296295</v>
      </c>
      <c r="AF58" s="9"/>
      <c r="AG58" s="21">
        <v>0.14175399999999999</v>
      </c>
      <c r="AH58" s="21">
        <v>18.852499999999999</v>
      </c>
      <c r="AI58" s="21">
        <v>-1.30951E-2</v>
      </c>
      <c r="AJ58" s="21">
        <v>48</v>
      </c>
      <c r="AK58" s="21">
        <v>0.141205</v>
      </c>
      <c r="AL58">
        <f t="shared" si="6"/>
        <v>16.166790123456789</v>
      </c>
      <c r="AM58">
        <f t="shared" si="7"/>
        <v>2.2917071671604936</v>
      </c>
      <c r="AP58" s="9"/>
      <c r="AQ58" s="21">
        <v>1.58829</v>
      </c>
      <c r="AR58" s="21">
        <v>24.4711</v>
      </c>
      <c r="AS58" s="21">
        <v>-1.0208099999999999E-2</v>
      </c>
      <c r="AT58" s="21">
        <v>48</v>
      </c>
      <c r="AU58" s="21">
        <v>1.58752</v>
      </c>
      <c r="AV58">
        <f t="shared" si="8"/>
        <v>12.602592592592591</v>
      </c>
      <c r="AW58">
        <f t="shared" si="9"/>
        <v>20.016571788888886</v>
      </c>
      <c r="AX58" s="9"/>
      <c r="AY58" s="21">
        <v>0.14175399999999999</v>
      </c>
      <c r="AZ58" s="21">
        <v>28.3508</v>
      </c>
      <c r="BA58" s="21">
        <v>-1.30066E-2</v>
      </c>
      <c r="BB58" s="21">
        <v>48</v>
      </c>
      <c r="BC58" s="21">
        <v>0.14114399999999999</v>
      </c>
      <c r="BD58">
        <f t="shared" si="10"/>
        <v>16.057530864197531</v>
      </c>
      <c r="BE58">
        <f t="shared" si="11"/>
        <v>2.2762192301234565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1.58325</v>
      </c>
      <c r="H59" s="21">
        <v>5.5297999999999998</v>
      </c>
      <c r="I59" s="21">
        <v>-1.1285399999999999E-2</v>
      </c>
      <c r="J59" s="21">
        <v>49</v>
      </c>
      <c r="K59" s="21">
        <v>1.5823400000000001</v>
      </c>
      <c r="L59">
        <f t="shared" si="0"/>
        <v>13.93259259259259</v>
      </c>
      <c r="M59">
        <f t="shared" si="1"/>
        <v>22.058777222222218</v>
      </c>
      <c r="N59" s="9"/>
      <c r="O59" s="21">
        <v>0.14679</v>
      </c>
      <c r="P59" s="21">
        <v>9.4094099999999994</v>
      </c>
      <c r="Q59" s="21">
        <v>-1.32324E-2</v>
      </c>
      <c r="R59" s="21">
        <v>49</v>
      </c>
      <c r="S59" s="21">
        <v>0.14624000000000001</v>
      </c>
      <c r="T59">
        <f t="shared" si="2"/>
        <v>16.336296296296297</v>
      </c>
      <c r="U59">
        <f t="shared" si="3"/>
        <v>2.3980049333333335</v>
      </c>
      <c r="X59" s="9"/>
      <c r="Y59" s="21">
        <v>1.58325</v>
      </c>
      <c r="Z59" s="21">
        <v>14.983000000000001</v>
      </c>
      <c r="AA59" s="21">
        <v>-1.0549899999999999E-2</v>
      </c>
      <c r="AB59" s="21">
        <v>49</v>
      </c>
      <c r="AC59" s="21">
        <v>1.58264</v>
      </c>
      <c r="AD59">
        <f t="shared" si="4"/>
        <v>13.024567901234567</v>
      </c>
      <c r="AE59">
        <f t="shared" si="5"/>
        <v>20.62114712962963</v>
      </c>
      <c r="AF59" s="9"/>
      <c r="AG59" s="21">
        <v>0.14679</v>
      </c>
      <c r="AH59" s="21">
        <v>18.8626</v>
      </c>
      <c r="AI59" s="21">
        <v>-1.30829E-2</v>
      </c>
      <c r="AJ59" s="21">
        <v>49</v>
      </c>
      <c r="AK59" s="21">
        <v>0.14627100000000001</v>
      </c>
      <c r="AL59">
        <f t="shared" si="6"/>
        <v>16.151728395061728</v>
      </c>
      <c r="AM59">
        <f t="shared" si="7"/>
        <v>2.3709122111111109</v>
      </c>
      <c r="AP59" s="9"/>
      <c r="AQ59" s="21">
        <v>1.58325</v>
      </c>
      <c r="AR59" s="21">
        <v>24.481200000000001</v>
      </c>
      <c r="AS59" s="21">
        <v>-1.02966E-2</v>
      </c>
      <c r="AT59" s="21">
        <v>49</v>
      </c>
      <c r="AU59" s="21">
        <v>1.58264</v>
      </c>
      <c r="AV59">
        <f t="shared" si="8"/>
        <v>12.711851851851851</v>
      </c>
      <c r="AW59">
        <f t="shared" si="9"/>
        <v>20.126039444444444</v>
      </c>
      <c r="AX59" s="9"/>
      <c r="AY59" s="21">
        <v>0.14679</v>
      </c>
      <c r="AZ59" s="21">
        <v>28.360800000000001</v>
      </c>
      <c r="BA59" s="21">
        <v>-1.30066E-2</v>
      </c>
      <c r="BB59" s="21">
        <v>49</v>
      </c>
      <c r="BC59" s="21">
        <v>0.146179</v>
      </c>
      <c r="BD59">
        <f t="shared" si="10"/>
        <v>16.057530864197531</v>
      </c>
      <c r="BE59">
        <f t="shared" si="11"/>
        <v>2.3570849555555555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1.57822</v>
      </c>
      <c r="H60" s="21">
        <v>5.5398699999999996</v>
      </c>
      <c r="I60" s="21">
        <v>-1.1340299999999999E-2</v>
      </c>
      <c r="J60" s="21">
        <v>50</v>
      </c>
      <c r="K60" s="21">
        <v>1.5771500000000001</v>
      </c>
      <c r="L60">
        <f t="shared" si="0"/>
        <v>14.000370370370367</v>
      </c>
      <c r="M60">
        <f t="shared" si="1"/>
        <v>22.095664525925919</v>
      </c>
      <c r="N60" s="9"/>
      <c r="O60" s="21">
        <v>0.15182499999999999</v>
      </c>
      <c r="P60" s="21">
        <v>9.4194800000000001</v>
      </c>
      <c r="Q60" s="21">
        <v>-1.32263E-2</v>
      </c>
      <c r="R60" s="21">
        <v>50</v>
      </c>
      <c r="S60" s="21">
        <v>0.151306</v>
      </c>
      <c r="T60">
        <f t="shared" si="2"/>
        <v>16.328765432098766</v>
      </c>
      <c r="U60">
        <f t="shared" si="3"/>
        <v>2.4791148117283952</v>
      </c>
      <c r="X60" s="9"/>
      <c r="Y60" s="21">
        <v>1.57822</v>
      </c>
      <c r="Z60" s="21">
        <v>14.9931</v>
      </c>
      <c r="AA60" s="21">
        <v>-1.06201E-2</v>
      </c>
      <c r="AB60" s="21">
        <v>50</v>
      </c>
      <c r="AC60" s="21">
        <v>1.57745</v>
      </c>
      <c r="AD60">
        <f t="shared" si="4"/>
        <v>13.111234567901235</v>
      </c>
      <c r="AE60">
        <f t="shared" si="5"/>
        <v>20.692412619753085</v>
      </c>
      <c r="AF60" s="9"/>
      <c r="AG60" s="21">
        <v>0.15182499999999999</v>
      </c>
      <c r="AH60" s="21">
        <v>18.872699999999998</v>
      </c>
      <c r="AI60" s="21">
        <v>-1.30676E-2</v>
      </c>
      <c r="AJ60" s="21">
        <v>50</v>
      </c>
      <c r="AK60" s="21">
        <v>0.151398</v>
      </c>
      <c r="AL60">
        <f t="shared" si="6"/>
        <v>16.132839506172839</v>
      </c>
      <c r="AM60">
        <f t="shared" si="7"/>
        <v>2.449368358024691</v>
      </c>
      <c r="AP60" s="9"/>
      <c r="AQ60" s="21">
        <v>1.57822</v>
      </c>
      <c r="AR60" s="21">
        <v>24.491299999999999</v>
      </c>
      <c r="AS60" s="21">
        <v>-1.03851E-2</v>
      </c>
      <c r="AT60" s="21">
        <v>50</v>
      </c>
      <c r="AU60" s="21">
        <v>1.57745</v>
      </c>
      <c r="AV60">
        <f t="shared" si="8"/>
        <v>12.82111111111111</v>
      </c>
      <c r="AW60">
        <f t="shared" si="9"/>
        <v>20.234533977777776</v>
      </c>
      <c r="AX60" s="9"/>
      <c r="AY60" s="21">
        <v>0.15182499999999999</v>
      </c>
      <c r="AZ60" s="21">
        <v>28.370899999999999</v>
      </c>
      <c r="BA60" s="21">
        <v>-1.30096E-2</v>
      </c>
      <c r="BB60" s="21">
        <v>50</v>
      </c>
      <c r="BC60" s="21">
        <v>0.151306</v>
      </c>
      <c r="BD60">
        <f t="shared" si="10"/>
        <v>16.061234567901234</v>
      </c>
      <c r="BE60">
        <f t="shared" si="11"/>
        <v>2.4384969382716046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1.57318</v>
      </c>
      <c r="H61" s="21">
        <v>5.5499400000000003</v>
      </c>
      <c r="I61" s="21">
        <v>-1.13831E-2</v>
      </c>
      <c r="J61" s="21">
        <v>51</v>
      </c>
      <c r="K61" s="21">
        <v>1.57257</v>
      </c>
      <c r="L61">
        <f t="shared" si="0"/>
        <v>14.053209876543209</v>
      </c>
      <c r="M61">
        <f t="shared" si="1"/>
        <v>22.108228713580246</v>
      </c>
      <c r="N61" s="9"/>
      <c r="O61" s="21">
        <v>0.15686</v>
      </c>
      <c r="P61" s="21">
        <v>9.4295500000000008</v>
      </c>
      <c r="Q61" s="21">
        <v>-1.3229400000000001E-2</v>
      </c>
      <c r="R61" s="21">
        <v>51</v>
      </c>
      <c r="S61" s="21">
        <v>0.15640299999999999</v>
      </c>
      <c r="T61">
        <f t="shared" si="2"/>
        <v>16.332592592592594</v>
      </c>
      <c r="U61">
        <f t="shared" si="3"/>
        <v>2.561930474074074</v>
      </c>
      <c r="X61" s="9"/>
      <c r="Y61" s="21">
        <v>1.57318</v>
      </c>
      <c r="Z61" s="21">
        <v>15.0031</v>
      </c>
      <c r="AA61" s="21">
        <v>-1.06934E-2</v>
      </c>
      <c r="AB61" s="21">
        <v>51</v>
      </c>
      <c r="AC61" s="21">
        <v>1.57257</v>
      </c>
      <c r="AD61">
        <f t="shared" si="4"/>
        <v>13.201728395061728</v>
      </c>
      <c r="AE61">
        <f t="shared" si="5"/>
        <v>20.76869507654321</v>
      </c>
      <c r="AF61" s="9"/>
      <c r="AG61" s="21">
        <v>0.15686</v>
      </c>
      <c r="AH61" s="21">
        <v>18.8827</v>
      </c>
      <c r="AI61" s="21">
        <v>-1.30463E-2</v>
      </c>
      <c r="AJ61" s="21">
        <v>51</v>
      </c>
      <c r="AK61" s="21">
        <v>0.15637200000000001</v>
      </c>
      <c r="AL61">
        <f t="shared" si="6"/>
        <v>16.106543209876545</v>
      </c>
      <c r="AM61">
        <f t="shared" si="7"/>
        <v>2.5264723679012349</v>
      </c>
      <c r="AP61" s="9"/>
      <c r="AQ61" s="21">
        <v>1.57318</v>
      </c>
      <c r="AR61" s="21">
        <v>24.5014</v>
      </c>
      <c r="AS61" s="21">
        <v>-1.0467499999999999E-2</v>
      </c>
      <c r="AT61" s="21">
        <v>51</v>
      </c>
      <c r="AU61" s="21">
        <v>1.57257</v>
      </c>
      <c r="AV61">
        <f t="shared" si="8"/>
        <v>12.922839506172838</v>
      </c>
      <c r="AW61">
        <f t="shared" si="9"/>
        <v>20.329952654320987</v>
      </c>
      <c r="AX61" s="9"/>
      <c r="AY61" s="21">
        <v>0.15686</v>
      </c>
      <c r="AZ61" s="21">
        <v>28.381</v>
      </c>
      <c r="BA61" s="21">
        <v>-1.30066E-2</v>
      </c>
      <c r="BB61" s="21">
        <v>51</v>
      </c>
      <c r="BC61" s="21">
        <v>0.15640299999999999</v>
      </c>
      <c r="BD61">
        <f t="shared" si="10"/>
        <v>16.057530864197531</v>
      </c>
      <c r="BE61">
        <f t="shared" si="11"/>
        <v>2.518784291358025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1.5681499999999999</v>
      </c>
      <c r="H62" s="21">
        <v>5.5600100000000001</v>
      </c>
      <c r="I62" s="21">
        <v>-1.1428799999999999E-2</v>
      </c>
      <c r="J62" s="21">
        <v>52</v>
      </c>
      <c r="K62" s="21">
        <v>1.56647</v>
      </c>
      <c r="L62">
        <f t="shared" si="0"/>
        <v>14.109629629629628</v>
      </c>
      <c r="M62">
        <f t="shared" si="1"/>
        <v>22.1260157037037</v>
      </c>
      <c r="N62" s="9"/>
      <c r="O62" s="21">
        <v>0.16189600000000001</v>
      </c>
      <c r="P62" s="21">
        <v>9.4396299999999993</v>
      </c>
      <c r="Q62" s="21">
        <v>-1.3214099999999999E-2</v>
      </c>
      <c r="R62" s="21">
        <v>52</v>
      </c>
      <c r="S62" s="21">
        <v>0.16131599999999999</v>
      </c>
      <c r="T62">
        <f t="shared" si="2"/>
        <v>16.313703703703702</v>
      </c>
      <c r="U62">
        <f t="shared" si="3"/>
        <v>2.6411233748148146</v>
      </c>
      <c r="X62" s="9"/>
      <c r="Y62" s="21">
        <v>1.5681499999999999</v>
      </c>
      <c r="Z62" s="21">
        <v>15.013199999999999</v>
      </c>
      <c r="AA62" s="21">
        <v>-1.0754400000000001E-2</v>
      </c>
      <c r="AB62" s="21">
        <v>52</v>
      </c>
      <c r="AC62" s="21">
        <v>1.56738</v>
      </c>
      <c r="AD62">
        <f t="shared" si="4"/>
        <v>13.277037037037037</v>
      </c>
      <c r="AE62">
        <f t="shared" si="5"/>
        <v>20.820385629629627</v>
      </c>
      <c r="AF62" s="9"/>
      <c r="AG62" s="21">
        <v>0.16189600000000001</v>
      </c>
      <c r="AH62" s="21">
        <v>18.892800000000001</v>
      </c>
      <c r="AI62" s="21">
        <v>-1.3037099999999999E-2</v>
      </c>
      <c r="AJ62" s="21">
        <v>52</v>
      </c>
      <c r="AK62" s="21">
        <v>0.16125500000000001</v>
      </c>
      <c r="AL62">
        <f t="shared" si="6"/>
        <v>16.095185185185183</v>
      </c>
      <c r="AM62">
        <f t="shared" si="7"/>
        <v>2.6057461007407405</v>
      </c>
      <c r="AP62" s="9"/>
      <c r="AQ62" s="21">
        <v>1.5681499999999999</v>
      </c>
      <c r="AR62" s="21">
        <v>24.511399999999998</v>
      </c>
      <c r="AS62" s="21">
        <v>-1.0549899999999999E-2</v>
      </c>
      <c r="AT62" s="21">
        <v>52</v>
      </c>
      <c r="AU62" s="21">
        <v>1.56769</v>
      </c>
      <c r="AV62">
        <f t="shared" si="8"/>
        <v>13.024567901234567</v>
      </c>
      <c r="AW62">
        <f t="shared" si="9"/>
        <v>20.424476154320985</v>
      </c>
      <c r="AX62" s="9"/>
      <c r="AY62" s="21">
        <v>0.16189600000000001</v>
      </c>
      <c r="AZ62" s="21">
        <v>28.390999999999998</v>
      </c>
      <c r="BA62" s="21">
        <v>-1.29944E-2</v>
      </c>
      <c r="BB62" s="21">
        <v>52</v>
      </c>
      <c r="BC62" s="21">
        <v>0.16128500000000001</v>
      </c>
      <c r="BD62">
        <f t="shared" si="10"/>
        <v>16.042469135802467</v>
      </c>
      <c r="BE62">
        <f t="shared" si="11"/>
        <v>2.5972115832098766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1.56311</v>
      </c>
      <c r="H63" s="21">
        <v>5.5700799999999999</v>
      </c>
      <c r="I63" s="21">
        <v>-1.14807E-2</v>
      </c>
      <c r="J63" s="21">
        <v>53</v>
      </c>
      <c r="K63" s="21">
        <v>1.56219</v>
      </c>
      <c r="L63">
        <f t="shared" si="0"/>
        <v>14.173703703703703</v>
      </c>
      <c r="M63">
        <f t="shared" si="1"/>
        <v>22.155057996296296</v>
      </c>
      <c r="N63" s="9"/>
      <c r="O63" s="21">
        <v>0.166931</v>
      </c>
      <c r="P63" s="21">
        <v>9.4497</v>
      </c>
      <c r="Q63" s="21">
        <v>-1.3207999999999999E-2</v>
      </c>
      <c r="R63" s="21">
        <v>53</v>
      </c>
      <c r="S63" s="21">
        <v>0.166412</v>
      </c>
      <c r="T63">
        <f t="shared" si="2"/>
        <v>16.306172839506171</v>
      </c>
      <c r="U63">
        <f t="shared" si="3"/>
        <v>2.7220057382716045</v>
      </c>
      <c r="X63" s="9"/>
      <c r="Y63" s="21">
        <v>1.56311</v>
      </c>
      <c r="Z63" s="21">
        <v>15.023300000000001</v>
      </c>
      <c r="AA63" s="21">
        <v>-1.08246E-2</v>
      </c>
      <c r="AB63" s="21">
        <v>53</v>
      </c>
      <c r="AC63" s="21">
        <v>1.56281</v>
      </c>
      <c r="AD63">
        <f t="shared" si="4"/>
        <v>13.363703703703703</v>
      </c>
      <c r="AE63">
        <f t="shared" si="5"/>
        <v>20.888938896296295</v>
      </c>
      <c r="AF63" s="9"/>
      <c r="AG63" s="21">
        <v>0.166931</v>
      </c>
      <c r="AH63" s="21">
        <v>18.902899999999999</v>
      </c>
      <c r="AI63" s="21">
        <v>-1.3030999999999999E-2</v>
      </c>
      <c r="AJ63" s="21">
        <v>53</v>
      </c>
      <c r="AK63" s="21">
        <v>0.16644300000000001</v>
      </c>
      <c r="AL63">
        <f t="shared" si="6"/>
        <v>16.087654320987653</v>
      </c>
      <c r="AM63">
        <f t="shared" si="7"/>
        <v>2.6855282234567897</v>
      </c>
      <c r="AP63" s="9"/>
      <c r="AQ63" s="21">
        <v>1.56311</v>
      </c>
      <c r="AR63" s="21">
        <v>24.5215</v>
      </c>
      <c r="AS63" s="21">
        <v>-1.0623199999999999E-2</v>
      </c>
      <c r="AT63" s="21">
        <v>53</v>
      </c>
      <c r="AU63" s="21">
        <v>1.5625</v>
      </c>
      <c r="AV63">
        <f t="shared" si="8"/>
        <v>13.115061728395061</v>
      </c>
      <c r="AW63">
        <f t="shared" si="9"/>
        <v>20.500284138271603</v>
      </c>
      <c r="AX63" s="9"/>
      <c r="AY63" s="21">
        <v>0.166931</v>
      </c>
      <c r="AZ63" s="21">
        <v>28.4011</v>
      </c>
      <c r="BA63" s="21">
        <v>-1.2997399999999999E-2</v>
      </c>
      <c r="BB63" s="21">
        <v>53</v>
      </c>
      <c r="BC63" s="21">
        <v>0.166412</v>
      </c>
      <c r="BD63">
        <f t="shared" si="10"/>
        <v>16.04617283950617</v>
      </c>
      <c r="BE63">
        <f t="shared" si="11"/>
        <v>2.6786036782716045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1.5580700000000001</v>
      </c>
      <c r="H64" s="21">
        <v>5.5801499999999997</v>
      </c>
      <c r="I64" s="21">
        <v>-1.1517299999999999E-2</v>
      </c>
      <c r="J64" s="21">
        <v>54</v>
      </c>
      <c r="K64" s="21">
        <v>1.5567</v>
      </c>
      <c r="L64">
        <f t="shared" si="0"/>
        <v>14.218888888888888</v>
      </c>
      <c r="M64">
        <f t="shared" si="1"/>
        <v>22.154024211111111</v>
      </c>
      <c r="N64" s="9"/>
      <c r="O64" s="21">
        <v>0.17196700000000001</v>
      </c>
      <c r="P64" s="21">
        <v>9.4597700000000007</v>
      </c>
      <c r="Q64" s="21">
        <v>-1.3205E-2</v>
      </c>
      <c r="R64" s="21">
        <v>54</v>
      </c>
      <c r="S64" s="21">
        <v>0.17138700000000001</v>
      </c>
      <c r="T64">
        <f t="shared" si="2"/>
        <v>16.302469135802468</v>
      </c>
      <c r="U64">
        <f t="shared" si="3"/>
        <v>2.8034867098765432</v>
      </c>
      <c r="X64" s="9"/>
      <c r="Y64" s="21">
        <v>1.5580700000000001</v>
      </c>
      <c r="Z64" s="21">
        <v>15.033300000000001</v>
      </c>
      <c r="AA64" s="21">
        <v>-1.0891700000000001E-2</v>
      </c>
      <c r="AB64" s="21">
        <v>54</v>
      </c>
      <c r="AC64" s="21">
        <v>1.55731</v>
      </c>
      <c r="AD64">
        <f t="shared" si="4"/>
        <v>13.446543209876543</v>
      </c>
      <c r="AE64">
        <f t="shared" si="5"/>
        <v>20.950655579012345</v>
      </c>
      <c r="AF64" s="9"/>
      <c r="AG64" s="21">
        <v>0.17196700000000001</v>
      </c>
      <c r="AH64" s="21">
        <v>18.913</v>
      </c>
      <c r="AI64" s="21">
        <v>-1.3018800000000001E-2</v>
      </c>
      <c r="AJ64" s="21">
        <v>54</v>
      </c>
      <c r="AK64" s="21">
        <v>0.17141700000000001</v>
      </c>
      <c r="AL64">
        <f t="shared" si="6"/>
        <v>16.072592592592592</v>
      </c>
      <c r="AM64">
        <f t="shared" si="7"/>
        <v>2.7639555303703705</v>
      </c>
      <c r="AP64" s="9"/>
      <c r="AQ64" s="21">
        <v>1.5580700000000001</v>
      </c>
      <c r="AR64" s="21">
        <v>24.531600000000001</v>
      </c>
      <c r="AS64" s="21">
        <v>-1.06903E-2</v>
      </c>
      <c r="AT64" s="21">
        <v>54</v>
      </c>
      <c r="AU64" s="21">
        <v>1.55731</v>
      </c>
      <c r="AV64">
        <f t="shared" si="8"/>
        <v>13.197901234567899</v>
      </c>
      <c r="AW64">
        <f t="shared" si="9"/>
        <v>20.563253976543209</v>
      </c>
      <c r="AX64" s="9"/>
      <c r="AY64" s="21">
        <v>0.17196700000000001</v>
      </c>
      <c r="AZ64" s="21">
        <v>28.411200000000001</v>
      </c>
      <c r="BA64" s="21">
        <v>-1.2991300000000001E-2</v>
      </c>
      <c r="BB64" s="21">
        <v>54</v>
      </c>
      <c r="BC64" s="21">
        <v>0.17141700000000001</v>
      </c>
      <c r="BD64">
        <f t="shared" si="10"/>
        <v>16.038641975308643</v>
      </c>
      <c r="BE64">
        <f t="shared" si="11"/>
        <v>2.7581171445679016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1.55304</v>
      </c>
      <c r="H65" s="21">
        <v>5.5902200000000004</v>
      </c>
      <c r="I65" s="21">
        <v>-1.1557E-2</v>
      </c>
      <c r="J65" s="21">
        <v>55</v>
      </c>
      <c r="K65" s="21">
        <v>1.55243</v>
      </c>
      <c r="L65">
        <f t="shared" si="0"/>
        <v>14.267901234567899</v>
      </c>
      <c r="M65">
        <f t="shared" si="1"/>
        <v>22.158621333333329</v>
      </c>
      <c r="N65" s="9"/>
      <c r="O65" s="21">
        <v>0.17700199999999999</v>
      </c>
      <c r="P65" s="21">
        <v>9.4698399999999996</v>
      </c>
      <c r="Q65" s="21">
        <v>-1.31989E-2</v>
      </c>
      <c r="R65" s="21">
        <v>55</v>
      </c>
      <c r="S65" s="21">
        <v>0.176422</v>
      </c>
      <c r="T65">
        <f t="shared" si="2"/>
        <v>16.294938271604938</v>
      </c>
      <c r="U65">
        <f t="shared" si="3"/>
        <v>2.8842366639506172</v>
      </c>
      <c r="X65" s="9"/>
      <c r="Y65" s="21">
        <v>1.55304</v>
      </c>
      <c r="Z65" s="21">
        <v>15.0434</v>
      </c>
      <c r="AA65" s="21">
        <v>-1.09619E-2</v>
      </c>
      <c r="AB65" s="21">
        <v>55</v>
      </c>
      <c r="AC65" s="21">
        <v>1.5521199999999999</v>
      </c>
      <c r="AD65">
        <f t="shared" si="4"/>
        <v>13.533209876543209</v>
      </c>
      <c r="AE65">
        <f t="shared" si="5"/>
        <v>21.017616266666664</v>
      </c>
      <c r="AF65" s="9"/>
      <c r="AG65" s="21">
        <v>0.17700199999999999</v>
      </c>
      <c r="AH65" s="21">
        <v>18.922999999999998</v>
      </c>
      <c r="AI65" s="21">
        <v>-1.30127E-2</v>
      </c>
      <c r="AJ65" s="21">
        <v>55</v>
      </c>
      <c r="AK65" s="21">
        <v>0.176453</v>
      </c>
      <c r="AL65">
        <f t="shared" si="6"/>
        <v>16.065061728395062</v>
      </c>
      <c r="AM65">
        <f t="shared" si="7"/>
        <v>2.8435480560493827</v>
      </c>
      <c r="AP65" s="9"/>
      <c r="AQ65" s="21">
        <v>1.55304</v>
      </c>
      <c r="AR65" s="21">
        <v>24.541599999999999</v>
      </c>
      <c r="AS65" s="21">
        <v>-1.0748300000000001E-2</v>
      </c>
      <c r="AT65" s="21">
        <v>55</v>
      </c>
      <c r="AU65" s="21">
        <v>1.55182</v>
      </c>
      <c r="AV65">
        <f t="shared" si="8"/>
        <v>13.269506172839506</v>
      </c>
      <c r="AW65">
        <f t="shared" si="9"/>
        <v>20.608073866666665</v>
      </c>
      <c r="AX65" s="9"/>
      <c r="AY65" s="21">
        <v>0.17700199999999999</v>
      </c>
      <c r="AZ65" s="21">
        <v>28.421299999999999</v>
      </c>
      <c r="BA65" s="21">
        <v>-1.2991300000000001E-2</v>
      </c>
      <c r="BB65" s="21">
        <v>55</v>
      </c>
      <c r="BC65" s="21">
        <v>0.176483</v>
      </c>
      <c r="BD65">
        <f t="shared" si="10"/>
        <v>16.038641975308643</v>
      </c>
      <c r="BE65">
        <f t="shared" si="11"/>
        <v>2.8388717069135803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1.548</v>
      </c>
      <c r="H66" s="21">
        <v>5.6002900000000002</v>
      </c>
      <c r="I66" s="21">
        <v>-1.15967E-2</v>
      </c>
      <c r="J66" s="21">
        <v>56</v>
      </c>
      <c r="K66" s="21">
        <v>1.5478499999999999</v>
      </c>
      <c r="L66">
        <f t="shared" si="0"/>
        <v>14.316913580246911</v>
      </c>
      <c r="M66">
        <f t="shared" si="1"/>
        <v>22.16258222222222</v>
      </c>
      <c r="N66" s="9"/>
      <c r="O66" s="21">
        <v>0.182037</v>
      </c>
      <c r="P66" s="21">
        <v>9.4799100000000003</v>
      </c>
      <c r="Q66" s="21">
        <v>-1.31927E-2</v>
      </c>
      <c r="R66" s="21">
        <v>56</v>
      </c>
      <c r="S66" s="21">
        <v>0.18154899999999999</v>
      </c>
      <c r="T66">
        <f t="shared" si="2"/>
        <v>16.287283950617283</v>
      </c>
      <c r="U66">
        <f t="shared" si="3"/>
        <v>2.9648883085185185</v>
      </c>
      <c r="X66" s="9"/>
      <c r="Y66" s="21">
        <v>1.548</v>
      </c>
      <c r="Z66" s="21">
        <v>15.0535</v>
      </c>
      <c r="AA66" s="21">
        <v>-1.10229E-2</v>
      </c>
      <c r="AB66" s="21">
        <v>56</v>
      </c>
      <c r="AC66" s="21">
        <v>1.5472399999999999</v>
      </c>
      <c r="AD66">
        <f t="shared" si="4"/>
        <v>13.608518518518519</v>
      </c>
      <c r="AE66">
        <f t="shared" si="5"/>
        <v>21.065986666666667</v>
      </c>
      <c r="AF66" s="9"/>
      <c r="AG66" s="21">
        <v>0.182037</v>
      </c>
      <c r="AH66" s="21">
        <v>18.9331</v>
      </c>
      <c r="AI66" s="21">
        <v>-1.30066E-2</v>
      </c>
      <c r="AJ66" s="21">
        <v>56</v>
      </c>
      <c r="AK66" s="21">
        <v>0.18148800000000001</v>
      </c>
      <c r="AL66">
        <f t="shared" si="6"/>
        <v>16.057530864197531</v>
      </c>
      <c r="AM66">
        <f t="shared" si="7"/>
        <v>2.923064745925926</v>
      </c>
      <c r="AP66" s="9"/>
      <c r="AQ66" s="21">
        <v>1.548</v>
      </c>
      <c r="AR66" s="21">
        <v>24.5517</v>
      </c>
      <c r="AS66" s="21">
        <v>-1.08063E-2</v>
      </c>
      <c r="AT66" s="21">
        <v>56</v>
      </c>
      <c r="AU66" s="21">
        <v>1.5466299999999999</v>
      </c>
      <c r="AV66">
        <f t="shared" si="8"/>
        <v>13.341111111111109</v>
      </c>
      <c r="AW66">
        <f t="shared" si="9"/>
        <v>20.65204</v>
      </c>
      <c r="AX66" s="9"/>
      <c r="AY66" s="21">
        <v>0.182037</v>
      </c>
      <c r="AZ66" s="21">
        <v>28.4313</v>
      </c>
      <c r="BA66" s="21">
        <v>-1.29791E-2</v>
      </c>
      <c r="BB66" s="21">
        <v>56</v>
      </c>
      <c r="BC66" s="21">
        <v>0.181427</v>
      </c>
      <c r="BD66">
        <f t="shared" si="10"/>
        <v>16.023580246913578</v>
      </c>
      <c r="BE66">
        <f t="shared" si="11"/>
        <v>2.916884477407407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1.54297</v>
      </c>
      <c r="H67" s="21">
        <v>5.6103699999999996</v>
      </c>
      <c r="I67" s="21">
        <v>-1.1639399999999999E-2</v>
      </c>
      <c r="J67" s="21">
        <v>57</v>
      </c>
      <c r="K67" s="21">
        <v>1.5426599999999999</v>
      </c>
      <c r="L67">
        <f t="shared" si="0"/>
        <v>14.369629629629628</v>
      </c>
      <c r="M67">
        <f t="shared" si="1"/>
        <v>22.171907429629627</v>
      </c>
      <c r="N67" s="9"/>
      <c r="O67" s="21">
        <v>0.18707299999999999</v>
      </c>
      <c r="P67" s="21">
        <v>9.4899799999999992</v>
      </c>
      <c r="Q67" s="21">
        <v>-1.31927E-2</v>
      </c>
      <c r="R67" s="21">
        <v>57</v>
      </c>
      <c r="S67" s="21">
        <v>0.18649299999999999</v>
      </c>
      <c r="T67">
        <f t="shared" si="2"/>
        <v>16.287283950617283</v>
      </c>
      <c r="U67">
        <f t="shared" si="3"/>
        <v>3.0469110704938269</v>
      </c>
      <c r="X67" s="9"/>
      <c r="Y67" s="21">
        <v>1.54297</v>
      </c>
      <c r="Z67" s="21">
        <v>15.063499999999999</v>
      </c>
      <c r="AA67" s="21">
        <v>-1.1065699999999999E-2</v>
      </c>
      <c r="AB67" s="21">
        <v>57</v>
      </c>
      <c r="AC67" s="21">
        <v>1.5420499999999999</v>
      </c>
      <c r="AD67">
        <f t="shared" si="4"/>
        <v>13.661358024691356</v>
      </c>
      <c r="AE67">
        <f t="shared" si="5"/>
        <v>21.07906559135802</v>
      </c>
      <c r="AF67" s="9"/>
      <c r="AG67" s="21">
        <v>0.18707299999999999</v>
      </c>
      <c r="AH67" s="21">
        <v>18.943200000000001</v>
      </c>
      <c r="AI67" s="21">
        <v>-1.30096E-2</v>
      </c>
      <c r="AJ67" s="21">
        <v>57</v>
      </c>
      <c r="AK67" s="21">
        <v>0.186584</v>
      </c>
      <c r="AL67">
        <f t="shared" si="6"/>
        <v>16.061234567901234</v>
      </c>
      <c r="AM67">
        <f t="shared" si="7"/>
        <v>3.0046233343209874</v>
      </c>
      <c r="AP67" s="9"/>
      <c r="AQ67" s="21">
        <v>1.54297</v>
      </c>
      <c r="AR67" s="21">
        <v>24.561800000000002</v>
      </c>
      <c r="AS67" s="21">
        <v>-1.08612E-2</v>
      </c>
      <c r="AT67" s="21">
        <v>57</v>
      </c>
      <c r="AU67" s="21">
        <v>1.5420499999999999</v>
      </c>
      <c r="AV67">
        <f t="shared" si="8"/>
        <v>13.408888888888887</v>
      </c>
      <c r="AW67">
        <f t="shared" si="9"/>
        <v>20.689513288888886</v>
      </c>
      <c r="AX67" s="9"/>
      <c r="AY67" s="21">
        <v>0.18707299999999999</v>
      </c>
      <c r="AZ67" s="21">
        <v>28.441400000000002</v>
      </c>
      <c r="BA67" s="21">
        <v>-1.29669E-2</v>
      </c>
      <c r="BB67" s="21">
        <v>57</v>
      </c>
      <c r="BC67" s="21">
        <v>0.18649299999999999</v>
      </c>
      <c r="BD67">
        <f t="shared" si="10"/>
        <v>16.008518518518514</v>
      </c>
      <c r="BE67">
        <f t="shared" si="11"/>
        <v>2.9947615848148139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1.53793</v>
      </c>
      <c r="H68" s="21">
        <v>5.6204400000000003</v>
      </c>
      <c r="I68" s="21">
        <v>-1.1682100000000001E-2</v>
      </c>
      <c r="J68" s="21">
        <v>58</v>
      </c>
      <c r="K68" s="21">
        <v>1.5371699999999999</v>
      </c>
      <c r="L68">
        <f t="shared" si="0"/>
        <v>14.422345679012347</v>
      </c>
      <c r="M68">
        <f t="shared" si="1"/>
        <v>22.180558090123458</v>
      </c>
      <c r="N68" s="9"/>
      <c r="O68" s="21">
        <v>0.192108</v>
      </c>
      <c r="P68" s="21">
        <v>9.5000499999999999</v>
      </c>
      <c r="Q68" s="21">
        <v>-1.31927E-2</v>
      </c>
      <c r="R68" s="21">
        <v>58</v>
      </c>
      <c r="S68" s="21">
        <v>0.19158900000000001</v>
      </c>
      <c r="T68">
        <f t="shared" si="2"/>
        <v>16.287283950617283</v>
      </c>
      <c r="U68">
        <f t="shared" si="3"/>
        <v>3.1289175451851849</v>
      </c>
      <c r="X68" s="9"/>
      <c r="Y68" s="21">
        <v>1.53793</v>
      </c>
      <c r="Z68" s="21">
        <v>15.073600000000001</v>
      </c>
      <c r="AA68" s="21">
        <v>-1.11176E-2</v>
      </c>
      <c r="AB68" s="21">
        <v>58</v>
      </c>
      <c r="AC68" s="21">
        <v>1.53748</v>
      </c>
      <c r="AD68">
        <f t="shared" si="4"/>
        <v>13.725432098765431</v>
      </c>
      <c r="AE68">
        <f t="shared" si="5"/>
        <v>21.108753787654319</v>
      </c>
      <c r="AF68" s="9"/>
      <c r="AG68" s="21">
        <v>0.192108</v>
      </c>
      <c r="AH68" s="21">
        <v>18.953199999999999</v>
      </c>
      <c r="AI68" s="21">
        <v>-1.30005E-2</v>
      </c>
      <c r="AJ68" s="21">
        <v>58</v>
      </c>
      <c r="AK68" s="21">
        <v>0.19155900000000001</v>
      </c>
      <c r="AL68">
        <f t="shared" si="6"/>
        <v>16.049999999999997</v>
      </c>
      <c r="AM68">
        <f t="shared" si="7"/>
        <v>3.0833333999999994</v>
      </c>
      <c r="AP68" s="9"/>
      <c r="AQ68" s="21">
        <v>1.53793</v>
      </c>
      <c r="AR68" s="21">
        <v>24.571899999999999</v>
      </c>
      <c r="AS68" s="21">
        <v>-1.0907E-2</v>
      </c>
      <c r="AT68" s="21">
        <v>58</v>
      </c>
      <c r="AU68" s="21">
        <v>1.53687</v>
      </c>
      <c r="AV68">
        <f t="shared" si="8"/>
        <v>13.465432098765431</v>
      </c>
      <c r="AW68">
        <f t="shared" si="9"/>
        <v>20.708891987654319</v>
      </c>
      <c r="AX68" s="9"/>
      <c r="AY68" s="21">
        <v>0.192108</v>
      </c>
      <c r="AZ68" s="21">
        <v>28.451499999999999</v>
      </c>
      <c r="BA68" s="21">
        <v>-1.29608E-2</v>
      </c>
      <c r="BB68" s="21">
        <v>58</v>
      </c>
      <c r="BC68" s="21">
        <v>0.19155900000000001</v>
      </c>
      <c r="BD68">
        <f t="shared" si="10"/>
        <v>16.000987654320987</v>
      </c>
      <c r="BE68">
        <f t="shared" si="11"/>
        <v>3.0739177362962962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1.5328999999999999</v>
      </c>
      <c r="H69" s="21">
        <v>5.6305100000000001</v>
      </c>
      <c r="I69" s="21">
        <v>-1.17188E-2</v>
      </c>
      <c r="J69" s="21">
        <v>59</v>
      </c>
      <c r="K69" s="21">
        <v>1.5316799999999999</v>
      </c>
      <c r="L69">
        <f t="shared" si="0"/>
        <v>14.467654320987654</v>
      </c>
      <c r="M69">
        <f t="shared" si="1"/>
        <v>22.177467308641972</v>
      </c>
      <c r="N69" s="9"/>
      <c r="O69" s="21">
        <v>0.19714400000000001</v>
      </c>
      <c r="P69" s="21">
        <v>9.5101200000000006</v>
      </c>
      <c r="Q69" s="21">
        <v>-1.31836E-2</v>
      </c>
      <c r="R69" s="21">
        <v>59</v>
      </c>
      <c r="S69" s="21">
        <v>0.19659399999999999</v>
      </c>
      <c r="T69">
        <f t="shared" si="2"/>
        <v>16.276049382716046</v>
      </c>
      <c r="U69">
        <f t="shared" si="3"/>
        <v>3.2087254795061724</v>
      </c>
      <c r="X69" s="9"/>
      <c r="Y69" s="21">
        <v>1.5328999999999999</v>
      </c>
      <c r="Z69" s="21">
        <v>15.0837</v>
      </c>
      <c r="AA69" s="21">
        <v>-1.1169399999999999E-2</v>
      </c>
      <c r="AB69" s="21">
        <v>59</v>
      </c>
      <c r="AC69" s="21">
        <v>1.5319799999999999</v>
      </c>
      <c r="AD69">
        <f t="shared" si="4"/>
        <v>13.789382716049381</v>
      </c>
      <c r="AE69">
        <f t="shared" si="5"/>
        <v>21.137744765432096</v>
      </c>
      <c r="AF69" s="9"/>
      <c r="AG69" s="21">
        <v>0.19714400000000001</v>
      </c>
      <c r="AH69" s="21">
        <v>18.9633</v>
      </c>
      <c r="AI69" s="21">
        <v>-1.2997399999999999E-2</v>
      </c>
      <c r="AJ69" s="21">
        <v>59</v>
      </c>
      <c r="AK69" s="21">
        <v>0.19659399999999999</v>
      </c>
      <c r="AL69">
        <f t="shared" si="6"/>
        <v>16.04617283950617</v>
      </c>
      <c r="AM69">
        <f t="shared" si="7"/>
        <v>3.1634066982716047</v>
      </c>
      <c r="AP69" s="9"/>
      <c r="AQ69" s="21">
        <v>1.5328999999999999</v>
      </c>
      <c r="AR69" s="21">
        <v>24.581900000000001</v>
      </c>
      <c r="AS69" s="21">
        <v>-1.09558E-2</v>
      </c>
      <c r="AT69" s="21">
        <v>59</v>
      </c>
      <c r="AU69" s="21">
        <v>1.5319799999999999</v>
      </c>
      <c r="AV69">
        <f t="shared" si="8"/>
        <v>13.525679012345678</v>
      </c>
      <c r="AW69">
        <f t="shared" si="9"/>
        <v>20.733513358024691</v>
      </c>
      <c r="AX69" s="9"/>
      <c r="AY69" s="21">
        <v>0.19714400000000001</v>
      </c>
      <c r="AZ69" s="21">
        <v>28.461500000000001</v>
      </c>
      <c r="BA69" s="21">
        <v>-1.2948599999999999E-2</v>
      </c>
      <c r="BB69" s="21">
        <v>59</v>
      </c>
      <c r="BC69" s="21">
        <v>0.19662499999999999</v>
      </c>
      <c r="BD69">
        <f t="shared" si="10"/>
        <v>15.985925925925924</v>
      </c>
      <c r="BE69">
        <f t="shared" si="11"/>
        <v>3.1515293807407407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1.52786</v>
      </c>
      <c r="H70" s="21">
        <v>5.6405799999999999</v>
      </c>
      <c r="I70" s="21">
        <v>-1.1761499999999999E-2</v>
      </c>
      <c r="J70" s="21">
        <v>60</v>
      </c>
      <c r="K70" s="21">
        <v>1.5267900000000001</v>
      </c>
      <c r="L70">
        <f t="shared" si="0"/>
        <v>14.520370370370369</v>
      </c>
      <c r="M70">
        <f t="shared" si="1"/>
        <v>22.185093074074071</v>
      </c>
      <c r="N70" s="9"/>
      <c r="O70" s="21">
        <v>0.202179</v>
      </c>
      <c r="P70" s="21">
        <v>9.5201899999999995</v>
      </c>
      <c r="Q70" s="21">
        <v>-1.31805E-2</v>
      </c>
      <c r="R70" s="21">
        <v>60</v>
      </c>
      <c r="S70" s="21">
        <v>0.201599</v>
      </c>
      <c r="T70">
        <f t="shared" si="2"/>
        <v>16.272222222222219</v>
      </c>
      <c r="U70">
        <f t="shared" si="3"/>
        <v>3.2899016166666657</v>
      </c>
      <c r="X70" s="9"/>
      <c r="Y70" s="21">
        <v>1.52786</v>
      </c>
      <c r="Z70" s="21">
        <v>15.0938</v>
      </c>
      <c r="AA70" s="21">
        <v>-1.12213E-2</v>
      </c>
      <c r="AB70" s="21">
        <v>60</v>
      </c>
      <c r="AC70" s="21">
        <v>1.5270999999999999</v>
      </c>
      <c r="AD70">
        <f t="shared" si="4"/>
        <v>13.853456790123456</v>
      </c>
      <c r="AE70">
        <f t="shared" si="5"/>
        <v>21.166142491358023</v>
      </c>
      <c r="AF70" s="9"/>
      <c r="AG70" s="21">
        <v>0.202179</v>
      </c>
      <c r="AH70" s="21">
        <v>18.973400000000002</v>
      </c>
      <c r="AI70" s="21">
        <v>-1.2988299999999999E-2</v>
      </c>
      <c r="AJ70" s="21">
        <v>60</v>
      </c>
      <c r="AK70" s="21">
        <v>0.201599</v>
      </c>
      <c r="AL70">
        <f t="shared" si="6"/>
        <v>16.034938271604936</v>
      </c>
      <c r="AM70">
        <f t="shared" si="7"/>
        <v>3.2419277848148145</v>
      </c>
      <c r="AP70" s="9"/>
      <c r="AQ70" s="21">
        <v>1.52786</v>
      </c>
      <c r="AR70" s="21">
        <v>24.591999999999999</v>
      </c>
      <c r="AS70" s="21">
        <v>-1.10046E-2</v>
      </c>
      <c r="AT70" s="21">
        <v>60</v>
      </c>
      <c r="AU70" s="21">
        <v>1.5274000000000001</v>
      </c>
      <c r="AV70">
        <f t="shared" si="8"/>
        <v>13.585925925925926</v>
      </c>
      <c r="AW70">
        <f t="shared" si="9"/>
        <v>20.757392785185186</v>
      </c>
      <c r="AX70" s="9"/>
      <c r="AY70" s="21">
        <v>0.202179</v>
      </c>
      <c r="AZ70" s="21">
        <v>28.471599999999999</v>
      </c>
      <c r="BA70" s="21">
        <v>-1.29303E-2</v>
      </c>
      <c r="BB70" s="21">
        <v>60</v>
      </c>
      <c r="BC70" s="21">
        <v>0.201599</v>
      </c>
      <c r="BD70">
        <f t="shared" si="10"/>
        <v>15.963333333333333</v>
      </c>
      <c r="BE70">
        <f t="shared" si="11"/>
        <v>3.2274507699999999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1.5228299999999999</v>
      </c>
      <c r="H71" s="21">
        <v>5.6506499999999997</v>
      </c>
      <c r="I71" s="21">
        <v>-1.1795E-2</v>
      </c>
      <c r="J71" s="21">
        <v>61</v>
      </c>
      <c r="K71" s="21">
        <v>1.5219100000000001</v>
      </c>
      <c r="L71">
        <f t="shared" si="0"/>
        <v>14.561728395061728</v>
      </c>
      <c r="M71">
        <f t="shared" si="1"/>
        <v>22.17503685185185</v>
      </c>
      <c r="N71" s="9"/>
      <c r="O71" s="21">
        <v>0.20721400000000001</v>
      </c>
      <c r="P71" s="21">
        <v>9.5302600000000002</v>
      </c>
      <c r="Q71" s="21">
        <v>-1.31805E-2</v>
      </c>
      <c r="R71" s="21">
        <v>61</v>
      </c>
      <c r="S71" s="21">
        <v>0.20663500000000001</v>
      </c>
      <c r="T71">
        <f t="shared" si="2"/>
        <v>16.272222222222219</v>
      </c>
      <c r="U71">
        <f t="shared" si="3"/>
        <v>3.3718322555555549</v>
      </c>
      <c r="X71" s="9"/>
      <c r="Y71" s="21">
        <v>1.5228299999999999</v>
      </c>
      <c r="Z71" s="21">
        <v>15.1038</v>
      </c>
      <c r="AA71" s="21">
        <v>-1.1264E-2</v>
      </c>
      <c r="AB71" s="21">
        <v>61</v>
      </c>
      <c r="AC71" s="21">
        <v>1.5219100000000001</v>
      </c>
      <c r="AD71">
        <f t="shared" si="4"/>
        <v>13.906172839506171</v>
      </c>
      <c r="AE71">
        <f t="shared" si="5"/>
        <v>21.176737185185182</v>
      </c>
      <c r="AF71" s="9"/>
      <c r="AG71" s="21">
        <v>0.20721400000000001</v>
      </c>
      <c r="AH71" s="21">
        <v>18.9834</v>
      </c>
      <c r="AI71" s="21">
        <v>-1.2976100000000001E-2</v>
      </c>
      <c r="AJ71" s="21">
        <v>61</v>
      </c>
      <c r="AK71" s="21">
        <v>0.20666499999999999</v>
      </c>
      <c r="AL71">
        <f t="shared" si="6"/>
        <v>16.019876543209875</v>
      </c>
      <c r="AM71">
        <f t="shared" si="7"/>
        <v>3.3195426980246912</v>
      </c>
      <c r="AP71" s="9"/>
      <c r="AQ71" s="21">
        <v>1.5228299999999999</v>
      </c>
      <c r="AR71" s="21">
        <v>24.6021</v>
      </c>
      <c r="AS71" s="21">
        <v>-1.1053500000000001E-2</v>
      </c>
      <c r="AT71" s="21">
        <v>61</v>
      </c>
      <c r="AU71" s="21">
        <v>1.5216099999999999</v>
      </c>
      <c r="AV71">
        <f t="shared" si="8"/>
        <v>13.646296296296297</v>
      </c>
      <c r="AW71">
        <f t="shared" si="9"/>
        <v>20.780989388888891</v>
      </c>
      <c r="AX71" s="9"/>
      <c r="AY71" s="21">
        <v>0.20721400000000001</v>
      </c>
      <c r="AZ71" s="21">
        <v>28.4817</v>
      </c>
      <c r="BA71" s="21">
        <v>-1.29242E-2</v>
      </c>
      <c r="BB71" s="21">
        <v>61</v>
      </c>
      <c r="BC71" s="21">
        <v>0.20669599999999999</v>
      </c>
      <c r="BD71">
        <f t="shared" si="10"/>
        <v>15.955802469135801</v>
      </c>
      <c r="BE71">
        <f t="shared" si="11"/>
        <v>3.3062656528395058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1.51779</v>
      </c>
      <c r="H72" s="21">
        <v>5.6607200000000004</v>
      </c>
      <c r="I72" s="21">
        <v>-1.18286E-2</v>
      </c>
      <c r="J72" s="21">
        <v>62</v>
      </c>
      <c r="K72" s="21">
        <v>1.5173300000000001</v>
      </c>
      <c r="L72">
        <f t="shared" si="0"/>
        <v>14.603209876543209</v>
      </c>
      <c r="M72">
        <f t="shared" si="1"/>
        <v>22.164605918518518</v>
      </c>
      <c r="N72" s="9"/>
      <c r="O72" s="21">
        <v>0.21224999999999999</v>
      </c>
      <c r="P72" s="21">
        <v>9.5403400000000005</v>
      </c>
      <c r="Q72" s="21">
        <v>-1.3174399999999999E-2</v>
      </c>
      <c r="R72" s="21">
        <v>62</v>
      </c>
      <c r="S72" s="21">
        <v>0.21167</v>
      </c>
      <c r="T72">
        <f t="shared" si="2"/>
        <v>16.264691358024692</v>
      </c>
      <c r="U72">
        <f t="shared" si="3"/>
        <v>3.4521807407407405</v>
      </c>
      <c r="X72" s="9"/>
      <c r="Y72" s="21">
        <v>1.51779</v>
      </c>
      <c r="Z72" s="21">
        <v>15.113899999999999</v>
      </c>
      <c r="AA72" s="21">
        <v>-1.13098E-2</v>
      </c>
      <c r="AB72" s="21">
        <v>62</v>
      </c>
      <c r="AC72" s="21">
        <v>1.5173300000000001</v>
      </c>
      <c r="AD72">
        <f t="shared" si="4"/>
        <v>13.962716049382715</v>
      </c>
      <c r="AE72">
        <f t="shared" si="5"/>
        <v>21.192470792592591</v>
      </c>
      <c r="AF72" s="9"/>
      <c r="AG72" s="21">
        <v>0.21224999999999999</v>
      </c>
      <c r="AH72" s="21">
        <v>18.993500000000001</v>
      </c>
      <c r="AI72" s="21">
        <v>-1.29669E-2</v>
      </c>
      <c r="AJ72" s="21">
        <v>62</v>
      </c>
      <c r="AK72" s="21">
        <v>0.2117</v>
      </c>
      <c r="AL72">
        <f t="shared" si="6"/>
        <v>16.008518518518514</v>
      </c>
      <c r="AM72">
        <f t="shared" si="7"/>
        <v>3.3978080555555543</v>
      </c>
      <c r="AP72" s="9"/>
      <c r="AQ72" s="21">
        <v>1.51779</v>
      </c>
      <c r="AR72" s="21">
        <v>24.612100000000002</v>
      </c>
      <c r="AS72" s="21">
        <v>-1.11176E-2</v>
      </c>
      <c r="AT72" s="21">
        <v>62</v>
      </c>
      <c r="AU72" s="21">
        <v>1.5176400000000001</v>
      </c>
      <c r="AV72">
        <f t="shared" si="8"/>
        <v>13.725432098765431</v>
      </c>
      <c r="AW72">
        <f t="shared" si="9"/>
        <v>20.832323585185183</v>
      </c>
      <c r="AX72" s="9"/>
      <c r="AY72" s="21">
        <v>0.21224999999999999</v>
      </c>
      <c r="AZ72" s="21">
        <v>28.491700000000002</v>
      </c>
      <c r="BA72" s="21">
        <v>-1.2912E-2</v>
      </c>
      <c r="BB72" s="21">
        <v>62</v>
      </c>
      <c r="BC72" s="21">
        <v>0.211731</v>
      </c>
      <c r="BD72">
        <f t="shared" si="10"/>
        <v>15.940740740740738</v>
      </c>
      <c r="BE72">
        <f t="shared" si="11"/>
        <v>3.3834222222222214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1.5127600000000001</v>
      </c>
      <c r="H73" s="21">
        <v>5.6707900000000002</v>
      </c>
      <c r="I73" s="21">
        <v>-1.1859099999999999E-2</v>
      </c>
      <c r="J73" s="21">
        <v>63</v>
      </c>
      <c r="K73" s="21">
        <v>1.5121500000000001</v>
      </c>
      <c r="L73">
        <f t="shared" si="0"/>
        <v>14.640864197530862</v>
      </c>
      <c r="M73">
        <f t="shared" si="1"/>
        <v>22.148113723456788</v>
      </c>
      <c r="N73" s="9"/>
      <c r="O73" s="21">
        <v>0.21728500000000001</v>
      </c>
      <c r="P73" s="21">
        <v>9.5504099999999994</v>
      </c>
      <c r="Q73" s="21">
        <v>-1.3159199999999999E-2</v>
      </c>
      <c r="R73" s="21">
        <v>63</v>
      </c>
      <c r="S73" s="21">
        <v>0.21673600000000001</v>
      </c>
      <c r="T73">
        <f t="shared" si="2"/>
        <v>16.245925925925924</v>
      </c>
      <c r="U73">
        <f t="shared" si="3"/>
        <v>3.5299960148148144</v>
      </c>
      <c r="X73" s="9"/>
      <c r="Y73" s="21">
        <v>1.5127600000000001</v>
      </c>
      <c r="Z73" s="21">
        <v>15.124000000000001</v>
      </c>
      <c r="AA73" s="21">
        <v>-1.13556E-2</v>
      </c>
      <c r="AB73" s="21">
        <v>63</v>
      </c>
      <c r="AC73" s="21">
        <v>1.5118400000000001</v>
      </c>
      <c r="AD73">
        <f t="shared" si="4"/>
        <v>14.019259259259259</v>
      </c>
      <c r="AE73">
        <f t="shared" si="5"/>
        <v>21.207774637037037</v>
      </c>
      <c r="AF73" s="9"/>
      <c r="AG73" s="21">
        <v>0.21728500000000001</v>
      </c>
      <c r="AH73" s="21">
        <v>19.003599999999999</v>
      </c>
      <c r="AI73" s="21">
        <v>-1.2948599999999999E-2</v>
      </c>
      <c r="AJ73" s="21">
        <v>63</v>
      </c>
      <c r="AK73" s="21">
        <v>0.21682699999999999</v>
      </c>
      <c r="AL73">
        <f t="shared" si="6"/>
        <v>15.985925925925924</v>
      </c>
      <c r="AM73">
        <f t="shared" si="7"/>
        <v>3.4735019148148147</v>
      </c>
      <c r="AP73" s="9"/>
      <c r="AQ73" s="21">
        <v>1.5127600000000001</v>
      </c>
      <c r="AR73" s="21">
        <v>24.622199999999999</v>
      </c>
      <c r="AS73" s="21">
        <v>-1.11725E-2</v>
      </c>
      <c r="AT73" s="21">
        <v>63</v>
      </c>
      <c r="AU73" s="21">
        <v>1.5115400000000001</v>
      </c>
      <c r="AV73">
        <f t="shared" si="8"/>
        <v>13.793209876543209</v>
      </c>
      <c r="AW73">
        <f t="shared" si="9"/>
        <v>20.865816172839505</v>
      </c>
      <c r="AX73" s="9"/>
      <c r="AY73" s="21">
        <v>0.21728500000000001</v>
      </c>
      <c r="AZ73" s="21">
        <v>28.501799999999999</v>
      </c>
      <c r="BA73" s="21">
        <v>-1.29059E-2</v>
      </c>
      <c r="BB73" s="21">
        <v>63</v>
      </c>
      <c r="BC73" s="21">
        <v>0.21670500000000001</v>
      </c>
      <c r="BD73">
        <f t="shared" si="10"/>
        <v>15.933209876543209</v>
      </c>
      <c r="BE73">
        <f t="shared" si="11"/>
        <v>3.4620475080246913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1.5077199999999999</v>
      </c>
      <c r="H74" s="21">
        <v>5.68086</v>
      </c>
      <c r="I74" s="21">
        <v>-1.18835E-2</v>
      </c>
      <c r="J74" s="21">
        <v>64</v>
      </c>
      <c r="K74" s="21">
        <v>1.50665</v>
      </c>
      <c r="L74">
        <f t="shared" si="0"/>
        <v>14.670987654320987</v>
      </c>
      <c r="M74">
        <f t="shared" si="1"/>
        <v>22.119741506172836</v>
      </c>
      <c r="N74" s="9"/>
      <c r="O74" s="21">
        <v>0.22232099999999999</v>
      </c>
      <c r="P74" s="21">
        <v>9.5604800000000001</v>
      </c>
      <c r="Q74" s="21">
        <v>-1.31561E-2</v>
      </c>
      <c r="R74" s="21">
        <v>64</v>
      </c>
      <c r="S74" s="21">
        <v>0.221771</v>
      </c>
      <c r="T74">
        <f t="shared" si="2"/>
        <v>16.2420987654321</v>
      </c>
      <c r="U74">
        <f t="shared" si="3"/>
        <v>3.61095963962963</v>
      </c>
      <c r="X74" s="9"/>
      <c r="Y74" s="21">
        <v>1.5077199999999999</v>
      </c>
      <c r="Z74" s="21">
        <v>15.134</v>
      </c>
      <c r="AA74" s="21">
        <v>-1.13983E-2</v>
      </c>
      <c r="AB74" s="21">
        <v>64</v>
      </c>
      <c r="AC74" s="21">
        <v>1.50665</v>
      </c>
      <c r="AD74">
        <f t="shared" si="4"/>
        <v>14.071975308641976</v>
      </c>
      <c r="AE74">
        <f t="shared" si="5"/>
        <v>21.216598612345681</v>
      </c>
      <c r="AF74" s="9"/>
      <c r="AG74" s="21">
        <v>0.22232099999999999</v>
      </c>
      <c r="AH74" s="21">
        <v>19.0137</v>
      </c>
      <c r="AI74" s="21">
        <v>-1.29517E-2</v>
      </c>
      <c r="AJ74" s="21">
        <v>64</v>
      </c>
      <c r="AK74" s="21">
        <v>0.221771</v>
      </c>
      <c r="AL74">
        <f t="shared" si="6"/>
        <v>15.989753086419752</v>
      </c>
      <c r="AM74">
        <f t="shared" si="7"/>
        <v>3.5548578959259256</v>
      </c>
      <c r="AP74" s="9"/>
      <c r="AQ74" s="21">
        <v>1.5077199999999999</v>
      </c>
      <c r="AR74" s="21">
        <v>24.632300000000001</v>
      </c>
      <c r="AS74" s="21">
        <v>-1.1224400000000001E-2</v>
      </c>
      <c r="AT74" s="21">
        <v>64</v>
      </c>
      <c r="AU74" s="21">
        <v>1.50665</v>
      </c>
      <c r="AV74">
        <f t="shared" si="8"/>
        <v>13.857283950617285</v>
      </c>
      <c r="AW74">
        <f t="shared" si="9"/>
        <v>20.892904158024692</v>
      </c>
      <c r="AX74" s="9"/>
      <c r="AY74" s="21">
        <v>0.22232099999999999</v>
      </c>
      <c r="AZ74" s="21">
        <v>28.511900000000001</v>
      </c>
      <c r="BA74" s="21">
        <v>-1.2912E-2</v>
      </c>
      <c r="BB74" s="21">
        <v>64</v>
      </c>
      <c r="BC74" s="21">
        <v>0.22174099999999999</v>
      </c>
      <c r="BD74">
        <f t="shared" si="10"/>
        <v>15.940740740740738</v>
      </c>
      <c r="BE74">
        <f t="shared" si="11"/>
        <v>3.5439614222222215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1.5026900000000001</v>
      </c>
      <c r="H75" s="21">
        <v>5.6909299999999998</v>
      </c>
      <c r="I75" s="21">
        <v>-1.1911E-2</v>
      </c>
      <c r="J75" s="21">
        <v>65</v>
      </c>
      <c r="K75" s="21">
        <v>1.50177</v>
      </c>
      <c r="L75">
        <f t="shared" si="0"/>
        <v>14.704938271604938</v>
      </c>
      <c r="M75">
        <f t="shared" si="1"/>
        <v>22.096963691358024</v>
      </c>
      <c r="N75" s="9"/>
      <c r="O75" s="21">
        <v>0.227356</v>
      </c>
      <c r="P75" s="21">
        <v>9.5705500000000008</v>
      </c>
      <c r="Q75" s="21">
        <v>-1.3162200000000001E-2</v>
      </c>
      <c r="R75" s="21">
        <v>65</v>
      </c>
      <c r="S75" s="21">
        <v>0.22677600000000001</v>
      </c>
      <c r="T75">
        <f t="shared" si="2"/>
        <v>16.249629629629627</v>
      </c>
      <c r="U75">
        <f t="shared" si="3"/>
        <v>3.6944507940740734</v>
      </c>
      <c r="X75" s="9"/>
      <c r="Y75" s="21">
        <v>1.5026900000000001</v>
      </c>
      <c r="Z75" s="21">
        <v>15.1441</v>
      </c>
      <c r="AA75" s="21">
        <v>-1.14349E-2</v>
      </c>
      <c r="AB75" s="21">
        <v>65</v>
      </c>
      <c r="AC75" s="21">
        <v>1.50146</v>
      </c>
      <c r="AD75">
        <f t="shared" si="4"/>
        <v>14.117160493827161</v>
      </c>
      <c r="AE75">
        <f t="shared" si="5"/>
        <v>21.213715902469136</v>
      </c>
      <c r="AF75" s="9"/>
      <c r="AG75" s="21">
        <v>0.227356</v>
      </c>
      <c r="AH75" s="21">
        <v>19.023700000000002</v>
      </c>
      <c r="AI75" s="21">
        <v>-1.29608E-2</v>
      </c>
      <c r="AJ75" s="21">
        <v>65</v>
      </c>
      <c r="AK75" s="21">
        <v>0.22677600000000001</v>
      </c>
      <c r="AL75">
        <f t="shared" si="6"/>
        <v>16.000987654320987</v>
      </c>
      <c r="AM75">
        <f t="shared" si="7"/>
        <v>3.6379205491358024</v>
      </c>
      <c r="AP75" s="9"/>
      <c r="AQ75" s="21">
        <v>1.5026900000000001</v>
      </c>
      <c r="AR75" s="21">
        <v>24.642299999999999</v>
      </c>
      <c r="AS75" s="21">
        <v>-1.1261E-2</v>
      </c>
      <c r="AT75" s="21">
        <v>65</v>
      </c>
      <c r="AU75" s="21">
        <v>1.5020800000000001</v>
      </c>
      <c r="AV75">
        <f t="shared" si="8"/>
        <v>13.90246913580247</v>
      </c>
      <c r="AW75">
        <f t="shared" si="9"/>
        <v>20.891101345679015</v>
      </c>
      <c r="AX75" s="9"/>
      <c r="AY75" s="21">
        <v>0.227356</v>
      </c>
      <c r="AZ75" s="21">
        <v>28.521999999999998</v>
      </c>
      <c r="BA75" s="21">
        <v>-1.2914999999999999E-2</v>
      </c>
      <c r="BB75" s="21">
        <v>65</v>
      </c>
      <c r="BC75" s="21">
        <v>0.22689799999999999</v>
      </c>
      <c r="BD75">
        <f t="shared" si="10"/>
        <v>15.944444444444441</v>
      </c>
      <c r="BE75">
        <f t="shared" si="11"/>
        <v>3.6250651111111103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1.4976499999999999</v>
      </c>
      <c r="H76" s="21">
        <v>5.7009999999999996</v>
      </c>
      <c r="I76" s="21">
        <v>-1.1926300000000001E-2</v>
      </c>
      <c r="J76" s="21">
        <v>66</v>
      </c>
      <c r="K76" s="21">
        <v>1.49658</v>
      </c>
      <c r="L76">
        <f t="shared" ref="L76:L139" si="12">-I76/$F$2*1000</f>
        <v>14.723827160493826</v>
      </c>
      <c r="M76">
        <f t="shared" ref="M76:M139" si="13">L76*G76</f>
        <v>22.051139746913577</v>
      </c>
      <c r="N76" s="9"/>
      <c r="O76" s="21">
        <v>0.23239099999999999</v>
      </c>
      <c r="P76" s="21">
        <v>9.5806199999999997</v>
      </c>
      <c r="Q76" s="21">
        <v>-1.31561E-2</v>
      </c>
      <c r="R76" s="21">
        <v>66</v>
      </c>
      <c r="S76" s="21">
        <v>0.231873</v>
      </c>
      <c r="T76">
        <f t="shared" ref="T76:T139" si="14">-Q76/$F$2*1000</f>
        <v>16.2420987654321</v>
      </c>
      <c r="U76">
        <f t="shared" ref="U76:U139" si="15">T76*O76</f>
        <v>3.7745175741975312</v>
      </c>
      <c r="X76" s="9"/>
      <c r="Y76" s="21">
        <v>1.4976499999999999</v>
      </c>
      <c r="Z76" s="21">
        <v>15.154199999999999</v>
      </c>
      <c r="AA76" s="21">
        <v>-1.14746E-2</v>
      </c>
      <c r="AB76" s="21">
        <v>66</v>
      </c>
      <c r="AC76" s="21">
        <v>1.49719</v>
      </c>
      <c r="AD76">
        <f t="shared" ref="AD76:AD139" si="16">-AA76/$F$2*1000</f>
        <v>14.166172839506173</v>
      </c>
      <c r="AE76">
        <f t="shared" ref="AE76:AE139" si="17">AD76*Y76</f>
        <v>21.215968753086418</v>
      </c>
      <c r="AF76" s="9"/>
      <c r="AG76" s="21">
        <v>0.23239099999999999</v>
      </c>
      <c r="AH76" s="21">
        <v>19.033799999999999</v>
      </c>
      <c r="AI76" s="21">
        <v>-1.29578E-2</v>
      </c>
      <c r="AJ76" s="21">
        <v>66</v>
      </c>
      <c r="AK76" s="21">
        <v>0.23184199999999999</v>
      </c>
      <c r="AL76">
        <f t="shared" ref="AL76:AL139" si="18">-AI76/$F$2*1000</f>
        <v>15.997283950617284</v>
      </c>
      <c r="AM76">
        <f t="shared" ref="AM76:AM139" si="19">AL76*AG76</f>
        <v>3.7176248145679009</v>
      </c>
      <c r="AP76" s="9"/>
      <c r="AQ76" s="21">
        <v>1.4976499999999999</v>
      </c>
      <c r="AR76" s="21">
        <v>24.6524</v>
      </c>
      <c r="AS76" s="21">
        <v>-1.13007E-2</v>
      </c>
      <c r="AT76" s="21">
        <v>66</v>
      </c>
      <c r="AU76" s="21">
        <v>1.49719</v>
      </c>
      <c r="AV76">
        <f t="shared" ref="AV76:AV139" si="20">-AS76/$F$2*1000</f>
        <v>13.951481481481482</v>
      </c>
      <c r="AW76">
        <f t="shared" ref="AW76:AW139" si="21">AV76*AQ76</f>
        <v>20.894436240740738</v>
      </c>
      <c r="AX76" s="9"/>
      <c r="AY76" s="21">
        <v>0.23239099999999999</v>
      </c>
      <c r="AZ76" s="21">
        <v>28.532</v>
      </c>
      <c r="BA76" s="21">
        <v>-1.29181E-2</v>
      </c>
      <c r="BB76" s="21">
        <v>66</v>
      </c>
      <c r="BC76" s="21">
        <v>0.23184199999999999</v>
      </c>
      <c r="BD76">
        <f t="shared" ref="BD76:BD139" si="22">-BA76/$F$2*1000</f>
        <v>15.94827160493827</v>
      </c>
      <c r="BE76">
        <f t="shared" ref="BE76:BE139" si="23">BD76*AY76</f>
        <v>3.7062347865432095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1.49261</v>
      </c>
      <c r="H77" s="21">
        <v>5.7110799999999999</v>
      </c>
      <c r="I77" s="21">
        <v>-1.1947599999999999E-2</v>
      </c>
      <c r="J77" s="21">
        <v>67</v>
      </c>
      <c r="K77" s="21">
        <v>1.492</v>
      </c>
      <c r="L77">
        <f t="shared" si="12"/>
        <v>14.750123456790122</v>
      </c>
      <c r="M77">
        <f t="shared" si="13"/>
        <v>22.016181772839506</v>
      </c>
      <c r="N77" s="9"/>
      <c r="O77" s="21">
        <v>0.237427</v>
      </c>
      <c r="P77" s="21">
        <v>9.5906900000000004</v>
      </c>
      <c r="Q77" s="21">
        <v>-1.3147000000000001E-2</v>
      </c>
      <c r="R77" s="21">
        <v>67</v>
      </c>
      <c r="S77" s="21">
        <v>0.236877</v>
      </c>
      <c r="T77">
        <f t="shared" si="14"/>
        <v>16.230864197530863</v>
      </c>
      <c r="U77">
        <f t="shared" si="15"/>
        <v>3.8536453938271604</v>
      </c>
      <c r="X77" s="9"/>
      <c r="Y77" s="21">
        <v>1.49261</v>
      </c>
      <c r="Z77" s="21">
        <v>15.164300000000001</v>
      </c>
      <c r="AA77" s="21">
        <v>-1.15265E-2</v>
      </c>
      <c r="AB77" s="21">
        <v>67</v>
      </c>
      <c r="AC77" s="21">
        <v>1.4917</v>
      </c>
      <c r="AD77">
        <f t="shared" si="16"/>
        <v>14.230246913580247</v>
      </c>
      <c r="AE77">
        <f t="shared" si="17"/>
        <v>21.240208845679014</v>
      </c>
      <c r="AF77" s="9"/>
      <c r="AG77" s="21">
        <v>0.237427</v>
      </c>
      <c r="AH77" s="21">
        <v>19.043900000000001</v>
      </c>
      <c r="AI77" s="21">
        <v>-1.29608E-2</v>
      </c>
      <c r="AJ77" s="21">
        <v>67</v>
      </c>
      <c r="AK77" s="21">
        <v>0.236816</v>
      </c>
      <c r="AL77">
        <f t="shared" si="18"/>
        <v>16.000987654320987</v>
      </c>
      <c r="AM77">
        <f t="shared" si="19"/>
        <v>3.7990664958024691</v>
      </c>
      <c r="AP77" s="9"/>
      <c r="AQ77" s="21">
        <v>1.49261</v>
      </c>
      <c r="AR77" s="21">
        <v>24.662500000000001</v>
      </c>
      <c r="AS77" s="21">
        <v>-1.13434E-2</v>
      </c>
      <c r="AT77" s="21">
        <v>67</v>
      </c>
      <c r="AU77" s="21">
        <v>1.4917</v>
      </c>
      <c r="AV77">
        <f t="shared" si="20"/>
        <v>14.004197530864197</v>
      </c>
      <c r="AW77">
        <f t="shared" si="21"/>
        <v>20.902805276543209</v>
      </c>
      <c r="AX77" s="9"/>
      <c r="AY77" s="21">
        <v>0.237427</v>
      </c>
      <c r="AZ77" s="21">
        <v>28.542100000000001</v>
      </c>
      <c r="BA77" s="21">
        <v>-1.2914999999999999E-2</v>
      </c>
      <c r="BB77" s="21">
        <v>67</v>
      </c>
      <c r="BC77" s="21">
        <v>0.236877</v>
      </c>
      <c r="BD77">
        <f t="shared" si="22"/>
        <v>15.944444444444441</v>
      </c>
      <c r="BE77">
        <f t="shared" si="23"/>
        <v>3.7856416111111102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1.4875799999999999</v>
      </c>
      <c r="H78" s="21">
        <v>5.7211499999999997</v>
      </c>
      <c r="I78" s="21">
        <v>-1.1975100000000001E-2</v>
      </c>
      <c r="J78" s="21">
        <v>68</v>
      </c>
      <c r="K78" s="21">
        <v>1.48621</v>
      </c>
      <c r="L78">
        <f t="shared" si="12"/>
        <v>14.784074074074075</v>
      </c>
      <c r="M78">
        <f t="shared" si="13"/>
        <v>21.99249291111111</v>
      </c>
      <c r="N78" s="9"/>
      <c r="O78" s="21">
        <v>0.24246200000000001</v>
      </c>
      <c r="P78" s="21">
        <v>9.6007599999999993</v>
      </c>
      <c r="Q78" s="21">
        <v>-1.3147000000000001E-2</v>
      </c>
      <c r="R78" s="21">
        <v>68</v>
      </c>
      <c r="S78" s="21">
        <v>0.24191299999999999</v>
      </c>
      <c r="T78">
        <f t="shared" si="14"/>
        <v>16.230864197530863</v>
      </c>
      <c r="U78">
        <f t="shared" si="15"/>
        <v>3.9353677950617283</v>
      </c>
      <c r="X78" s="9"/>
      <c r="Y78" s="21">
        <v>1.4875799999999999</v>
      </c>
      <c r="Z78" s="21">
        <v>15.174300000000001</v>
      </c>
      <c r="AA78" s="21">
        <v>-1.1572300000000001E-2</v>
      </c>
      <c r="AB78" s="21">
        <v>68</v>
      </c>
      <c r="AC78" s="21">
        <v>1.48682</v>
      </c>
      <c r="AD78">
        <f t="shared" si="16"/>
        <v>14.286790123456791</v>
      </c>
      <c r="AE78">
        <f t="shared" si="17"/>
        <v>21.252743251851854</v>
      </c>
      <c r="AF78" s="9"/>
      <c r="AG78" s="21">
        <v>0.24246200000000001</v>
      </c>
      <c r="AH78" s="21">
        <v>19.053899999999999</v>
      </c>
      <c r="AI78" s="21">
        <v>-1.29608E-2</v>
      </c>
      <c r="AJ78" s="21">
        <v>68</v>
      </c>
      <c r="AK78" s="21">
        <v>0.24191299999999999</v>
      </c>
      <c r="AL78">
        <f t="shared" si="18"/>
        <v>16.000987654320987</v>
      </c>
      <c r="AM78">
        <f t="shared" si="19"/>
        <v>3.8796314686419753</v>
      </c>
      <c r="AP78" s="9"/>
      <c r="AQ78" s="21">
        <v>1.4875799999999999</v>
      </c>
      <c r="AR78" s="21">
        <v>24.672599999999999</v>
      </c>
      <c r="AS78" s="21">
        <v>-1.1377E-2</v>
      </c>
      <c r="AT78" s="21">
        <v>68</v>
      </c>
      <c r="AU78" s="21">
        <v>1.48621</v>
      </c>
      <c r="AV78">
        <f t="shared" si="20"/>
        <v>14.045679012345678</v>
      </c>
      <c r="AW78">
        <f t="shared" si="21"/>
        <v>20.894071185185183</v>
      </c>
      <c r="AX78" s="9"/>
      <c r="AY78" s="21">
        <v>0.24246200000000001</v>
      </c>
      <c r="AZ78" s="21">
        <v>28.552199999999999</v>
      </c>
      <c r="BA78" s="21">
        <v>-1.29059E-2</v>
      </c>
      <c r="BB78" s="21">
        <v>68</v>
      </c>
      <c r="BC78" s="21">
        <v>0.24185200000000001</v>
      </c>
      <c r="BD78">
        <f t="shared" si="22"/>
        <v>15.933209876543209</v>
      </c>
      <c r="BE78">
        <f t="shared" si="23"/>
        <v>3.8631979330864197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1.48254</v>
      </c>
      <c r="H79" s="21">
        <v>5.7312200000000004</v>
      </c>
      <c r="I79" s="21">
        <v>-1.20056E-2</v>
      </c>
      <c r="J79" s="21">
        <v>69</v>
      </c>
      <c r="K79" s="21">
        <v>1.48193</v>
      </c>
      <c r="L79">
        <f t="shared" si="12"/>
        <v>14.821728395061728</v>
      </c>
      <c r="M79">
        <f t="shared" si="13"/>
        <v>21.973805214814814</v>
      </c>
      <c r="N79" s="9"/>
      <c r="O79" s="21">
        <v>0.247498</v>
      </c>
      <c r="P79" s="21">
        <v>9.61083</v>
      </c>
      <c r="Q79" s="21">
        <v>-1.315E-2</v>
      </c>
      <c r="R79" s="21">
        <v>69</v>
      </c>
      <c r="S79" s="21">
        <v>0.246979</v>
      </c>
      <c r="T79">
        <f t="shared" si="14"/>
        <v>16.234567901234566</v>
      </c>
      <c r="U79">
        <f t="shared" si="15"/>
        <v>4.0180230864197526</v>
      </c>
      <c r="X79" s="9"/>
      <c r="Y79" s="21">
        <v>1.48254</v>
      </c>
      <c r="Z79" s="21">
        <v>15.1844</v>
      </c>
      <c r="AA79" s="21">
        <v>-1.1605799999999999E-2</v>
      </c>
      <c r="AB79" s="21">
        <v>69</v>
      </c>
      <c r="AC79" s="21">
        <v>1.48193</v>
      </c>
      <c r="AD79">
        <f t="shared" si="16"/>
        <v>14.328148148148147</v>
      </c>
      <c r="AE79">
        <f t="shared" si="17"/>
        <v>21.242052755555552</v>
      </c>
      <c r="AF79" s="9"/>
      <c r="AG79" s="21">
        <v>0.247498</v>
      </c>
      <c r="AH79" s="21">
        <v>19.064</v>
      </c>
      <c r="AI79" s="21">
        <v>-1.29639E-2</v>
      </c>
      <c r="AJ79" s="21">
        <v>69</v>
      </c>
      <c r="AK79" s="21">
        <v>0.246918</v>
      </c>
      <c r="AL79">
        <f t="shared" si="18"/>
        <v>16.004814814814814</v>
      </c>
      <c r="AM79">
        <f t="shared" si="19"/>
        <v>3.9611596570370367</v>
      </c>
      <c r="AP79" s="9"/>
      <c r="AQ79" s="21">
        <v>1.48254</v>
      </c>
      <c r="AR79" s="21">
        <v>24.682600000000001</v>
      </c>
      <c r="AS79" s="21">
        <v>-1.14197E-2</v>
      </c>
      <c r="AT79" s="21">
        <v>69</v>
      </c>
      <c r="AU79" s="21">
        <v>1.48193</v>
      </c>
      <c r="AV79">
        <f t="shared" si="20"/>
        <v>14.098395061728393</v>
      </c>
      <c r="AW79">
        <f t="shared" si="21"/>
        <v>20.901434614814811</v>
      </c>
      <c r="AX79" s="9"/>
      <c r="AY79" s="21">
        <v>0.247498</v>
      </c>
      <c r="AZ79" s="21">
        <v>28.562200000000001</v>
      </c>
      <c r="BA79" s="21">
        <v>-1.2893699999999999E-2</v>
      </c>
      <c r="BB79" s="21">
        <v>69</v>
      </c>
      <c r="BC79" s="21">
        <v>0.24700900000000001</v>
      </c>
      <c r="BD79">
        <f t="shared" si="22"/>
        <v>15.918148148148147</v>
      </c>
      <c r="BE79">
        <f t="shared" si="23"/>
        <v>3.9397098303703699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1.4775100000000001</v>
      </c>
      <c r="H80" s="21">
        <v>5.7412900000000002</v>
      </c>
      <c r="I80" s="21">
        <v>-1.2036099999999999E-2</v>
      </c>
      <c r="J80" s="21">
        <v>70</v>
      </c>
      <c r="K80" s="21">
        <v>1.47705</v>
      </c>
      <c r="L80">
        <f t="shared" si="12"/>
        <v>14.85938271604938</v>
      </c>
      <c r="M80">
        <f t="shared" si="13"/>
        <v>21.954886556790122</v>
      </c>
      <c r="N80" s="9"/>
      <c r="O80" s="21">
        <v>0.25253300000000001</v>
      </c>
      <c r="P80" s="21">
        <v>9.6209000000000007</v>
      </c>
      <c r="Q80" s="21">
        <v>-1.315E-2</v>
      </c>
      <c r="R80" s="21">
        <v>70</v>
      </c>
      <c r="S80" s="21">
        <v>0.25198399999999999</v>
      </c>
      <c r="T80">
        <f t="shared" si="14"/>
        <v>16.234567901234566</v>
      </c>
      <c r="U80">
        <f t="shared" si="15"/>
        <v>4.0997641358024692</v>
      </c>
      <c r="X80" s="9"/>
      <c r="Y80" s="21">
        <v>1.4775100000000001</v>
      </c>
      <c r="Z80" s="21">
        <v>15.1945</v>
      </c>
      <c r="AA80" s="21">
        <v>-1.1639399999999999E-2</v>
      </c>
      <c r="AB80" s="21">
        <v>70</v>
      </c>
      <c r="AC80" s="21">
        <v>1.47675</v>
      </c>
      <c r="AD80">
        <f t="shared" si="16"/>
        <v>14.369629629629628</v>
      </c>
      <c r="AE80">
        <f t="shared" si="17"/>
        <v>21.231271474074074</v>
      </c>
      <c r="AF80" s="9"/>
      <c r="AG80" s="21">
        <v>0.25253300000000001</v>
      </c>
      <c r="AH80" s="21">
        <v>19.074100000000001</v>
      </c>
      <c r="AI80" s="21">
        <v>-1.29578E-2</v>
      </c>
      <c r="AJ80" s="21">
        <v>70</v>
      </c>
      <c r="AK80" s="21">
        <v>0.25195299999999998</v>
      </c>
      <c r="AL80">
        <f t="shared" si="18"/>
        <v>15.997283950617284</v>
      </c>
      <c r="AM80">
        <f t="shared" si="19"/>
        <v>4.0398421079012348</v>
      </c>
      <c r="AP80" s="9"/>
      <c r="AQ80" s="21">
        <v>1.4775100000000001</v>
      </c>
      <c r="AR80" s="21">
        <v>24.692699999999999</v>
      </c>
      <c r="AS80" s="21">
        <v>-1.1456300000000001E-2</v>
      </c>
      <c r="AT80" s="21">
        <v>70</v>
      </c>
      <c r="AU80" s="21">
        <v>1.47705</v>
      </c>
      <c r="AV80">
        <f t="shared" si="20"/>
        <v>14.143580246913581</v>
      </c>
      <c r="AW80">
        <f t="shared" si="21"/>
        <v>20.897281250617286</v>
      </c>
      <c r="AX80" s="9"/>
      <c r="AY80" s="21">
        <v>0.25253300000000001</v>
      </c>
      <c r="AZ80" s="21">
        <v>28.572299999999998</v>
      </c>
      <c r="BA80" s="21">
        <v>-1.28784E-2</v>
      </c>
      <c r="BB80" s="21">
        <v>70</v>
      </c>
      <c r="BC80" s="21">
        <v>0.25195299999999998</v>
      </c>
      <c r="BD80">
        <f t="shared" si="22"/>
        <v>15.899259259259258</v>
      </c>
      <c r="BE80">
        <f t="shared" si="23"/>
        <v>4.0150876385185184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1.4724699999999999</v>
      </c>
      <c r="H81" s="21">
        <v>5.75136</v>
      </c>
      <c r="I81" s="21">
        <v>-1.20667E-2</v>
      </c>
      <c r="J81" s="21">
        <v>71</v>
      </c>
      <c r="K81" s="21">
        <v>1.4712499999999999</v>
      </c>
      <c r="L81">
        <f t="shared" si="12"/>
        <v>14.89716049382716</v>
      </c>
      <c r="M81">
        <f t="shared" si="13"/>
        <v>21.935621912345677</v>
      </c>
      <c r="N81" s="9"/>
      <c r="O81" s="21">
        <v>0.25756800000000002</v>
      </c>
      <c r="P81" s="21">
        <v>9.6309699999999996</v>
      </c>
      <c r="Q81" s="21">
        <v>-1.31378E-2</v>
      </c>
      <c r="R81" s="21">
        <v>71</v>
      </c>
      <c r="S81" s="21">
        <v>0.25698900000000002</v>
      </c>
      <c r="T81">
        <f t="shared" si="14"/>
        <v>16.219506172839505</v>
      </c>
      <c r="U81">
        <f t="shared" si="15"/>
        <v>4.1776257659259262</v>
      </c>
      <c r="X81" s="9"/>
      <c r="Y81" s="21">
        <v>1.4724699999999999</v>
      </c>
      <c r="Z81" s="21">
        <v>15.204499999999999</v>
      </c>
      <c r="AA81" s="21">
        <v>-1.1672999999999999E-2</v>
      </c>
      <c r="AB81" s="21">
        <v>71</v>
      </c>
      <c r="AC81" s="21">
        <v>1.4718599999999999</v>
      </c>
      <c r="AD81">
        <f t="shared" si="16"/>
        <v>14.41111111111111</v>
      </c>
      <c r="AE81">
        <f t="shared" si="17"/>
        <v>21.219928777777774</v>
      </c>
      <c r="AF81" s="9"/>
      <c r="AG81" s="21">
        <v>0.25756800000000002</v>
      </c>
      <c r="AH81" s="21">
        <v>19.084199999999999</v>
      </c>
      <c r="AI81" s="21">
        <v>-1.29547E-2</v>
      </c>
      <c r="AJ81" s="21">
        <v>71</v>
      </c>
      <c r="AK81" s="21">
        <v>0.25695800000000002</v>
      </c>
      <c r="AL81">
        <f t="shared" si="18"/>
        <v>15.993456790123457</v>
      </c>
      <c r="AM81">
        <f t="shared" si="19"/>
        <v>4.1194026785185187</v>
      </c>
      <c r="AP81" s="9"/>
      <c r="AQ81" s="21">
        <v>1.4724699999999999</v>
      </c>
      <c r="AR81" s="21">
        <v>24.7028</v>
      </c>
      <c r="AS81" s="21">
        <v>-1.1502099999999999E-2</v>
      </c>
      <c r="AT81" s="21">
        <v>71</v>
      </c>
      <c r="AU81" s="21">
        <v>1.4712499999999999</v>
      </c>
      <c r="AV81">
        <f t="shared" si="20"/>
        <v>14.200123456790122</v>
      </c>
      <c r="AW81">
        <f t="shared" si="21"/>
        <v>20.909255786419749</v>
      </c>
      <c r="AX81" s="9"/>
      <c r="AY81" s="21">
        <v>0.25756800000000002</v>
      </c>
      <c r="AZ81" s="21">
        <v>28.5824</v>
      </c>
      <c r="BA81" s="21">
        <v>-1.28662E-2</v>
      </c>
      <c r="BB81" s="21">
        <v>71</v>
      </c>
      <c r="BC81" s="21">
        <v>0.25695800000000002</v>
      </c>
      <c r="BD81">
        <f t="shared" si="22"/>
        <v>15.884197530864196</v>
      </c>
      <c r="BE81">
        <f t="shared" si="23"/>
        <v>4.091260989629629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1.4674400000000001</v>
      </c>
      <c r="H82" s="21">
        <v>5.7614299999999998</v>
      </c>
      <c r="I82" s="21">
        <v>-1.20911E-2</v>
      </c>
      <c r="J82" s="21">
        <v>72</v>
      </c>
      <c r="K82" s="21">
        <v>1.46729</v>
      </c>
      <c r="L82">
        <f t="shared" si="12"/>
        <v>14.927283950617284</v>
      </c>
      <c r="M82">
        <f t="shared" si="13"/>
        <v>21.904893560493829</v>
      </c>
      <c r="N82" s="9"/>
      <c r="O82" s="21">
        <v>0.262604</v>
      </c>
      <c r="P82" s="21">
        <v>9.6410499999999999</v>
      </c>
      <c r="Q82" s="21">
        <v>-1.31348E-2</v>
      </c>
      <c r="R82" s="21">
        <v>72</v>
      </c>
      <c r="S82" s="21">
        <v>0.26199299999999998</v>
      </c>
      <c r="T82">
        <f t="shared" si="14"/>
        <v>16.215802469135802</v>
      </c>
      <c r="U82">
        <f t="shared" si="15"/>
        <v>4.258334591604938</v>
      </c>
      <c r="X82" s="9"/>
      <c r="Y82" s="21">
        <v>1.4674400000000001</v>
      </c>
      <c r="Z82" s="21">
        <v>15.214600000000001</v>
      </c>
      <c r="AA82" s="21">
        <v>-1.17004E-2</v>
      </c>
      <c r="AB82" s="21">
        <v>72</v>
      </c>
      <c r="AC82" s="21">
        <v>1.46729</v>
      </c>
      <c r="AD82">
        <f t="shared" si="16"/>
        <v>14.444938271604938</v>
      </c>
      <c r="AE82">
        <f t="shared" si="17"/>
        <v>21.197080217283951</v>
      </c>
      <c r="AF82" s="9"/>
      <c r="AG82" s="21">
        <v>0.262604</v>
      </c>
      <c r="AH82" s="21">
        <v>19.094200000000001</v>
      </c>
      <c r="AI82" s="21">
        <v>-1.29578E-2</v>
      </c>
      <c r="AJ82" s="21">
        <v>72</v>
      </c>
      <c r="AK82" s="21">
        <v>0.26205400000000001</v>
      </c>
      <c r="AL82">
        <f t="shared" si="18"/>
        <v>15.997283950617284</v>
      </c>
      <c r="AM82">
        <f t="shared" si="19"/>
        <v>4.2009507545679012</v>
      </c>
      <c r="AP82" s="9"/>
      <c r="AQ82" s="21">
        <v>1.4674400000000001</v>
      </c>
      <c r="AR82" s="21">
        <v>24.712800000000001</v>
      </c>
      <c r="AS82" s="21">
        <v>-1.15356E-2</v>
      </c>
      <c r="AT82" s="21">
        <v>72</v>
      </c>
      <c r="AU82" s="21">
        <v>1.4666699999999999</v>
      </c>
      <c r="AV82">
        <f t="shared" si="20"/>
        <v>14.241481481481481</v>
      </c>
      <c r="AW82">
        <f t="shared" si="21"/>
        <v>20.898519585185184</v>
      </c>
      <c r="AX82" s="9"/>
      <c r="AY82" s="21">
        <v>0.262604</v>
      </c>
      <c r="AZ82" s="21">
        <v>28.592500000000001</v>
      </c>
      <c r="BA82" s="21">
        <v>-1.2860099999999999E-2</v>
      </c>
      <c r="BB82" s="21">
        <v>72</v>
      </c>
      <c r="BC82" s="21">
        <v>0.26199299999999998</v>
      </c>
      <c r="BD82">
        <f t="shared" si="22"/>
        <v>15.876666666666663</v>
      </c>
      <c r="BE82">
        <f t="shared" si="23"/>
        <v>4.1692761733333326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1.4623999999999999</v>
      </c>
      <c r="H83" s="21">
        <v>5.7714999999999996</v>
      </c>
      <c r="I83" s="21">
        <v>-1.21155E-2</v>
      </c>
      <c r="J83" s="21">
        <v>73</v>
      </c>
      <c r="K83" s="21">
        <v>1.4611799999999999</v>
      </c>
      <c r="L83">
        <f t="shared" si="12"/>
        <v>14.957407407407405</v>
      </c>
      <c r="M83">
        <f t="shared" si="13"/>
        <v>21.873712592592589</v>
      </c>
      <c r="N83" s="9"/>
      <c r="O83" s="21">
        <v>0.26763900000000002</v>
      </c>
      <c r="P83" s="21">
        <v>9.6511200000000006</v>
      </c>
      <c r="Q83" s="21">
        <v>-1.3125599999999999E-2</v>
      </c>
      <c r="R83" s="21">
        <v>73</v>
      </c>
      <c r="S83" s="21">
        <v>0.26702900000000002</v>
      </c>
      <c r="T83">
        <f t="shared" si="14"/>
        <v>16.204444444444441</v>
      </c>
      <c r="U83">
        <f t="shared" si="15"/>
        <v>4.3369413066666658</v>
      </c>
      <c r="X83" s="9"/>
      <c r="Y83" s="21">
        <v>1.4623999999999999</v>
      </c>
      <c r="Z83" s="21">
        <v>15.2247</v>
      </c>
      <c r="AA83" s="21">
        <v>-1.1727899999999999E-2</v>
      </c>
      <c r="AB83" s="21">
        <v>73</v>
      </c>
      <c r="AC83" s="21">
        <v>1.4621</v>
      </c>
      <c r="AD83">
        <f t="shared" si="16"/>
        <v>14.478888888888887</v>
      </c>
      <c r="AE83">
        <f t="shared" si="17"/>
        <v>21.173927111111109</v>
      </c>
      <c r="AF83" s="9"/>
      <c r="AG83" s="21">
        <v>0.26763900000000002</v>
      </c>
      <c r="AH83" s="21">
        <v>19.104299999999999</v>
      </c>
      <c r="AI83" s="21">
        <v>-1.29578E-2</v>
      </c>
      <c r="AJ83" s="21">
        <v>73</v>
      </c>
      <c r="AK83" s="21">
        <v>0.26699800000000001</v>
      </c>
      <c r="AL83">
        <f t="shared" si="18"/>
        <v>15.997283950617284</v>
      </c>
      <c r="AM83">
        <f t="shared" si="19"/>
        <v>4.2814970792592595</v>
      </c>
      <c r="AP83" s="9"/>
      <c r="AQ83" s="21">
        <v>1.4623999999999999</v>
      </c>
      <c r="AR83" s="21">
        <v>24.722899999999999</v>
      </c>
      <c r="AS83" s="21">
        <v>-1.15601E-2</v>
      </c>
      <c r="AT83" s="21">
        <v>73</v>
      </c>
      <c r="AU83" s="21">
        <v>1.4611799999999999</v>
      </c>
      <c r="AV83">
        <f t="shared" si="20"/>
        <v>14.271728395061727</v>
      </c>
      <c r="AW83">
        <f t="shared" si="21"/>
        <v>20.87097560493827</v>
      </c>
      <c r="AX83" s="9"/>
      <c r="AY83" s="21">
        <v>0.26763900000000002</v>
      </c>
      <c r="AZ83" s="21">
        <v>28.602499999999999</v>
      </c>
      <c r="BA83" s="21">
        <v>-1.28418E-2</v>
      </c>
      <c r="BB83" s="21">
        <v>73</v>
      </c>
      <c r="BC83" s="21">
        <v>0.26705899999999999</v>
      </c>
      <c r="BD83">
        <f t="shared" si="22"/>
        <v>15.854074074074072</v>
      </c>
      <c r="BE83">
        <f t="shared" si="23"/>
        <v>4.2431685311111105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1.4573700000000001</v>
      </c>
      <c r="H84" s="21">
        <v>5.7815700000000003</v>
      </c>
      <c r="I84" s="21">
        <v>-1.21368E-2</v>
      </c>
      <c r="J84" s="21">
        <v>74</v>
      </c>
      <c r="K84" s="21">
        <v>1.4569099999999999</v>
      </c>
      <c r="L84">
        <f t="shared" si="12"/>
        <v>14.983703703703702</v>
      </c>
      <c r="M84">
        <f t="shared" si="13"/>
        <v>21.836800266666664</v>
      </c>
      <c r="N84" s="9"/>
      <c r="O84" s="21">
        <v>0.272675</v>
      </c>
      <c r="P84" s="21">
        <v>9.6611899999999995</v>
      </c>
      <c r="Q84" s="21">
        <v>-1.31226E-2</v>
      </c>
      <c r="R84" s="21">
        <v>74</v>
      </c>
      <c r="S84" s="21">
        <v>0.27209499999999998</v>
      </c>
      <c r="T84">
        <f t="shared" si="14"/>
        <v>16.200740740740741</v>
      </c>
      <c r="U84">
        <f t="shared" si="15"/>
        <v>4.417536981481482</v>
      </c>
      <c r="X84" s="9"/>
      <c r="Y84" s="21">
        <v>1.4573700000000001</v>
      </c>
      <c r="Z84" s="21">
        <v>15.2348</v>
      </c>
      <c r="AA84" s="21">
        <v>-1.1749300000000001E-2</v>
      </c>
      <c r="AB84" s="21">
        <v>74</v>
      </c>
      <c r="AC84" s="21">
        <v>1.4569099999999999</v>
      </c>
      <c r="AD84">
        <f t="shared" si="16"/>
        <v>14.505308641975308</v>
      </c>
      <c r="AE84">
        <f t="shared" si="17"/>
        <v>21.139601655555555</v>
      </c>
      <c r="AF84" s="9"/>
      <c r="AG84" s="21">
        <v>0.272675</v>
      </c>
      <c r="AH84" s="21">
        <v>19.1144</v>
      </c>
      <c r="AI84" s="21">
        <v>-1.2948599999999999E-2</v>
      </c>
      <c r="AJ84" s="21">
        <v>74</v>
      </c>
      <c r="AK84" s="21">
        <v>0.27212500000000001</v>
      </c>
      <c r="AL84">
        <f t="shared" si="18"/>
        <v>15.985925925925924</v>
      </c>
      <c r="AM84">
        <f t="shared" si="19"/>
        <v>4.3589623518518517</v>
      </c>
      <c r="AP84" s="9"/>
      <c r="AQ84" s="21">
        <v>1.4573700000000001</v>
      </c>
      <c r="AR84" s="21">
        <v>24.733000000000001</v>
      </c>
      <c r="AS84" s="21">
        <v>-1.1578400000000001E-2</v>
      </c>
      <c r="AT84" s="21">
        <v>74</v>
      </c>
      <c r="AU84" s="21">
        <v>1.4565999999999999</v>
      </c>
      <c r="AV84">
        <f t="shared" si="20"/>
        <v>14.29432098765432</v>
      </c>
      <c r="AW84">
        <f t="shared" si="21"/>
        <v>20.832114577777777</v>
      </c>
      <c r="AX84" s="9"/>
      <c r="AY84" s="21">
        <v>0.272675</v>
      </c>
      <c r="AZ84" s="21">
        <v>28.6126</v>
      </c>
      <c r="BA84" s="21">
        <v>-1.28174E-2</v>
      </c>
      <c r="BB84" s="21">
        <v>74</v>
      </c>
      <c r="BC84" s="21">
        <v>0.27209499999999998</v>
      </c>
      <c r="BD84">
        <f t="shared" si="22"/>
        <v>15.82395061728395</v>
      </c>
      <c r="BE84">
        <f t="shared" si="23"/>
        <v>4.3147957345679009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1.4523299999999999</v>
      </c>
      <c r="H85" s="21">
        <v>5.7916400000000001</v>
      </c>
      <c r="I85" s="21">
        <v>-1.2158199999999999E-2</v>
      </c>
      <c r="J85" s="21">
        <v>75</v>
      </c>
      <c r="K85" s="21">
        <v>1.4517199999999999</v>
      </c>
      <c r="L85">
        <f t="shared" si="12"/>
        <v>15.010123456790122</v>
      </c>
      <c r="M85">
        <f t="shared" si="13"/>
        <v>21.799652599999998</v>
      </c>
      <c r="N85" s="9"/>
      <c r="O85" s="21">
        <v>0.27771000000000001</v>
      </c>
      <c r="P85" s="21">
        <v>9.6712600000000002</v>
      </c>
      <c r="Q85" s="21">
        <v>-1.3113400000000001E-2</v>
      </c>
      <c r="R85" s="21">
        <v>75</v>
      </c>
      <c r="S85" s="21">
        <v>0.27719100000000002</v>
      </c>
      <c r="T85">
        <f t="shared" si="14"/>
        <v>16.18938271604938</v>
      </c>
      <c r="U85">
        <f t="shared" si="15"/>
        <v>4.4959534740740734</v>
      </c>
      <c r="X85" s="9"/>
      <c r="Y85" s="21">
        <v>1.4523299999999999</v>
      </c>
      <c r="Z85" s="21">
        <v>15.2448</v>
      </c>
      <c r="AA85" s="21">
        <v>-1.17737E-2</v>
      </c>
      <c r="AB85" s="21">
        <v>75</v>
      </c>
      <c r="AC85" s="21">
        <v>1.4517199999999999</v>
      </c>
      <c r="AD85">
        <f t="shared" si="16"/>
        <v>14.535432098765432</v>
      </c>
      <c r="AE85">
        <f t="shared" si="17"/>
        <v>21.110244099999999</v>
      </c>
      <c r="AF85" s="9"/>
      <c r="AG85" s="21">
        <v>0.27771000000000001</v>
      </c>
      <c r="AH85" s="21">
        <v>19.124400000000001</v>
      </c>
      <c r="AI85" s="21">
        <v>-1.29395E-2</v>
      </c>
      <c r="AJ85" s="21">
        <v>75</v>
      </c>
      <c r="AK85" s="21">
        <v>0.27716099999999999</v>
      </c>
      <c r="AL85">
        <f t="shared" si="18"/>
        <v>15.974691358024689</v>
      </c>
      <c r="AM85">
        <f t="shared" si="19"/>
        <v>4.4363315370370362</v>
      </c>
      <c r="AP85" s="9"/>
      <c r="AQ85" s="21">
        <v>1.4523299999999999</v>
      </c>
      <c r="AR85" s="21">
        <v>24.743099999999998</v>
      </c>
      <c r="AS85" s="21">
        <v>-1.1599699999999999E-2</v>
      </c>
      <c r="AT85" s="21">
        <v>75</v>
      </c>
      <c r="AU85" s="21">
        <v>1.4514199999999999</v>
      </c>
      <c r="AV85">
        <f t="shared" si="20"/>
        <v>14.320617283950616</v>
      </c>
      <c r="AW85">
        <f t="shared" si="21"/>
        <v>20.798262099999999</v>
      </c>
      <c r="AX85" s="9"/>
      <c r="AY85" s="21">
        <v>0.27771000000000001</v>
      </c>
      <c r="AZ85" s="21">
        <v>28.622699999999998</v>
      </c>
      <c r="BA85" s="21">
        <v>-1.2811299999999999E-2</v>
      </c>
      <c r="BB85" s="21">
        <v>75</v>
      </c>
      <c r="BC85" s="21">
        <v>0.27706900000000001</v>
      </c>
      <c r="BD85">
        <f t="shared" si="22"/>
        <v>15.816419753086418</v>
      </c>
      <c r="BE85">
        <f t="shared" si="23"/>
        <v>4.392377929629629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1.4473</v>
      </c>
      <c r="H86" s="21">
        <v>5.8017099999999999</v>
      </c>
      <c r="I86" s="21">
        <v>-1.21796E-2</v>
      </c>
      <c r="J86" s="21">
        <v>76</v>
      </c>
      <c r="K86" s="21">
        <v>1.4462299999999999</v>
      </c>
      <c r="L86">
        <f t="shared" si="12"/>
        <v>15.036543209876543</v>
      </c>
      <c r="M86">
        <f t="shared" si="13"/>
        <v>21.762388987654322</v>
      </c>
      <c r="N86" s="9"/>
      <c r="O86" s="21">
        <v>0.28274500000000002</v>
      </c>
      <c r="P86" s="21">
        <v>9.6813300000000009</v>
      </c>
      <c r="Q86" s="21">
        <v>-1.3110399999999999E-2</v>
      </c>
      <c r="R86" s="21">
        <v>76</v>
      </c>
      <c r="S86" s="21">
        <v>0.28210400000000002</v>
      </c>
      <c r="T86">
        <f t="shared" si="14"/>
        <v>16.185679012345677</v>
      </c>
      <c r="U86">
        <f t="shared" si="15"/>
        <v>4.5764198123456792</v>
      </c>
      <c r="X86" s="9"/>
      <c r="Y86" s="21">
        <v>1.4473</v>
      </c>
      <c r="Z86" s="21">
        <v>15.254899999999999</v>
      </c>
      <c r="AA86" s="21">
        <v>-1.1798100000000001E-2</v>
      </c>
      <c r="AB86" s="21">
        <v>76</v>
      </c>
      <c r="AC86" s="21">
        <v>1.4462299999999999</v>
      </c>
      <c r="AD86">
        <f t="shared" si="16"/>
        <v>14.565555555555555</v>
      </c>
      <c r="AE86">
        <f t="shared" si="17"/>
        <v>21.080728555555556</v>
      </c>
      <c r="AF86" s="9"/>
      <c r="AG86" s="21">
        <v>0.28274500000000002</v>
      </c>
      <c r="AH86" s="21">
        <v>19.134499999999999</v>
      </c>
      <c r="AI86" s="21">
        <v>-1.29272E-2</v>
      </c>
      <c r="AJ86" s="21">
        <v>76</v>
      </c>
      <c r="AK86" s="21">
        <v>0.28216599999999997</v>
      </c>
      <c r="AL86">
        <f t="shared" si="18"/>
        <v>15.959506172839506</v>
      </c>
      <c r="AM86">
        <f t="shared" si="19"/>
        <v>4.512470572839506</v>
      </c>
      <c r="AP86" s="9"/>
      <c r="AQ86" s="21">
        <v>1.4473</v>
      </c>
      <c r="AR86" s="21">
        <v>24.7531</v>
      </c>
      <c r="AS86" s="21">
        <v>-1.16364E-2</v>
      </c>
      <c r="AT86" s="21">
        <v>76</v>
      </c>
      <c r="AU86" s="21">
        <v>1.4462299999999999</v>
      </c>
      <c r="AV86">
        <f t="shared" si="20"/>
        <v>14.365925925925925</v>
      </c>
      <c r="AW86">
        <f t="shared" si="21"/>
        <v>20.791804592592591</v>
      </c>
      <c r="AX86" s="9"/>
      <c r="AY86" s="21">
        <v>0.28274500000000002</v>
      </c>
      <c r="AZ86" s="21">
        <v>28.6327</v>
      </c>
      <c r="BA86" s="21">
        <v>-1.28082E-2</v>
      </c>
      <c r="BB86" s="21">
        <v>76</v>
      </c>
      <c r="BC86" s="21">
        <v>0.28222700000000001</v>
      </c>
      <c r="BD86">
        <f t="shared" si="22"/>
        <v>15.812592592592594</v>
      </c>
      <c r="BE86">
        <f t="shared" si="23"/>
        <v>4.4709314925925936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1.4422600000000001</v>
      </c>
      <c r="H87" s="21">
        <v>5.8117900000000002</v>
      </c>
      <c r="I87" s="21">
        <v>-1.2197899999999999E-2</v>
      </c>
      <c r="J87" s="21">
        <v>77</v>
      </c>
      <c r="K87" s="21">
        <v>1.4416500000000001</v>
      </c>
      <c r="L87">
        <f t="shared" si="12"/>
        <v>15.059135802469134</v>
      </c>
      <c r="M87">
        <f t="shared" si="13"/>
        <v>21.719189202469135</v>
      </c>
      <c r="N87" s="9"/>
      <c r="O87" s="21">
        <v>0.28778100000000001</v>
      </c>
      <c r="P87" s="21">
        <v>9.6913999999999998</v>
      </c>
      <c r="Q87" s="21">
        <v>-1.31042E-2</v>
      </c>
      <c r="R87" s="21">
        <v>77</v>
      </c>
      <c r="S87" s="21">
        <v>0.28729199999999999</v>
      </c>
      <c r="T87">
        <f t="shared" si="14"/>
        <v>16.178024691358022</v>
      </c>
      <c r="U87">
        <f t="shared" si="15"/>
        <v>4.6557281237037031</v>
      </c>
      <c r="X87" s="9"/>
      <c r="Y87" s="21">
        <v>1.4422600000000001</v>
      </c>
      <c r="Z87" s="21">
        <v>15.265000000000001</v>
      </c>
      <c r="AA87" s="21">
        <v>-1.18195E-2</v>
      </c>
      <c r="AB87" s="21">
        <v>77</v>
      </c>
      <c r="AC87" s="21">
        <v>1.4416500000000001</v>
      </c>
      <c r="AD87">
        <f t="shared" si="16"/>
        <v>14.591975308641976</v>
      </c>
      <c r="AE87">
        <f t="shared" si="17"/>
        <v>21.045422308641978</v>
      </c>
      <c r="AF87" s="9"/>
      <c r="AG87" s="21">
        <v>0.28778100000000001</v>
      </c>
      <c r="AH87" s="21">
        <v>19.144600000000001</v>
      </c>
      <c r="AI87" s="21">
        <v>-1.2902800000000001E-2</v>
      </c>
      <c r="AJ87" s="21">
        <v>77</v>
      </c>
      <c r="AK87" s="21">
        <v>0.28726200000000002</v>
      </c>
      <c r="AL87">
        <f t="shared" si="18"/>
        <v>15.929382716049382</v>
      </c>
      <c r="AM87">
        <f t="shared" si="19"/>
        <v>4.5841736874074073</v>
      </c>
      <c r="AP87" s="9"/>
      <c r="AQ87" s="21">
        <v>1.4422600000000001</v>
      </c>
      <c r="AR87" s="21">
        <v>24.763200000000001</v>
      </c>
      <c r="AS87" s="21">
        <v>-1.1666899999999999E-2</v>
      </c>
      <c r="AT87" s="21">
        <v>77</v>
      </c>
      <c r="AU87" s="21">
        <v>1.4413499999999999</v>
      </c>
      <c r="AV87">
        <f t="shared" si="20"/>
        <v>14.403580246913579</v>
      </c>
      <c r="AW87">
        <f t="shared" si="21"/>
        <v>20.773707646913579</v>
      </c>
      <c r="AX87" s="9"/>
      <c r="AY87" s="21">
        <v>0.28778100000000001</v>
      </c>
      <c r="AZ87" s="21">
        <v>28.642800000000001</v>
      </c>
      <c r="BA87" s="21">
        <v>-1.28021E-2</v>
      </c>
      <c r="BB87" s="21">
        <v>77</v>
      </c>
      <c r="BC87" s="21">
        <v>0.28729199999999999</v>
      </c>
      <c r="BD87">
        <f t="shared" si="22"/>
        <v>15.805061728395062</v>
      </c>
      <c r="BE87">
        <f t="shared" si="23"/>
        <v>4.5483964692592593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1.43723</v>
      </c>
      <c r="H88" s="21">
        <v>5.82186</v>
      </c>
      <c r="I88" s="21">
        <v>-1.22192E-2</v>
      </c>
      <c r="J88" s="21">
        <v>78</v>
      </c>
      <c r="K88" s="21">
        <v>1.4361600000000001</v>
      </c>
      <c r="L88">
        <f t="shared" si="12"/>
        <v>15.08543209876543</v>
      </c>
      <c r="M88">
        <f t="shared" si="13"/>
        <v>21.681235575308641</v>
      </c>
      <c r="N88" s="9"/>
      <c r="O88" s="21">
        <v>0.29281600000000002</v>
      </c>
      <c r="P88" s="21">
        <v>9.7014700000000005</v>
      </c>
      <c r="Q88" s="21">
        <v>-1.30981E-2</v>
      </c>
      <c r="R88" s="21">
        <v>78</v>
      </c>
      <c r="S88" s="21">
        <v>0.292267</v>
      </c>
      <c r="T88">
        <f t="shared" si="14"/>
        <v>16.170493827160495</v>
      </c>
      <c r="U88">
        <f t="shared" si="15"/>
        <v>4.734979320493828</v>
      </c>
      <c r="X88" s="9"/>
      <c r="Y88" s="21">
        <v>1.43723</v>
      </c>
      <c r="Z88" s="21">
        <v>15.275</v>
      </c>
      <c r="AA88" s="21">
        <v>-1.1853000000000001E-2</v>
      </c>
      <c r="AB88" s="21">
        <v>78</v>
      </c>
      <c r="AC88" s="21">
        <v>1.4364600000000001</v>
      </c>
      <c r="AD88">
        <f t="shared" si="16"/>
        <v>14.633333333333333</v>
      </c>
      <c r="AE88">
        <f t="shared" si="17"/>
        <v>21.031465666666666</v>
      </c>
      <c r="AF88" s="9"/>
      <c r="AG88" s="21">
        <v>0.29281600000000002</v>
      </c>
      <c r="AH88" s="21">
        <v>19.154699999999998</v>
      </c>
      <c r="AI88" s="21">
        <v>-1.28845E-2</v>
      </c>
      <c r="AJ88" s="21">
        <v>78</v>
      </c>
      <c r="AK88" s="21">
        <v>0.292236</v>
      </c>
      <c r="AL88">
        <f t="shared" si="18"/>
        <v>15.906790123456791</v>
      </c>
      <c r="AM88">
        <f t="shared" si="19"/>
        <v>4.6577626567901236</v>
      </c>
      <c r="AP88" s="9"/>
      <c r="AQ88" s="21">
        <v>1.43723</v>
      </c>
      <c r="AR88" s="21">
        <v>24.773299999999999</v>
      </c>
      <c r="AS88" s="21">
        <v>-1.17035E-2</v>
      </c>
      <c r="AT88" s="21">
        <v>78</v>
      </c>
      <c r="AU88" s="21">
        <v>1.4367700000000001</v>
      </c>
      <c r="AV88">
        <f t="shared" si="20"/>
        <v>14.448765432098766</v>
      </c>
      <c r="AW88">
        <f t="shared" si="21"/>
        <v>20.76619914197531</v>
      </c>
      <c r="AX88" s="9"/>
      <c r="AY88" s="21">
        <v>0.29281600000000002</v>
      </c>
      <c r="AZ88" s="21">
        <v>28.652899999999999</v>
      </c>
      <c r="BA88" s="21">
        <v>-1.2796E-2</v>
      </c>
      <c r="BB88" s="21">
        <v>78</v>
      </c>
      <c r="BC88" s="21">
        <v>0.29220600000000002</v>
      </c>
      <c r="BD88">
        <f t="shared" si="22"/>
        <v>15.79753086419753</v>
      </c>
      <c r="BE88">
        <f t="shared" si="23"/>
        <v>4.6257697975308645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1.4321900000000001</v>
      </c>
      <c r="H89" s="21">
        <v>5.8319299999999998</v>
      </c>
      <c r="I89" s="21">
        <v>-1.22498E-2</v>
      </c>
      <c r="J89" s="21">
        <v>79</v>
      </c>
      <c r="K89" s="21">
        <v>1.4315800000000001</v>
      </c>
      <c r="L89">
        <f t="shared" si="12"/>
        <v>15.123209876543209</v>
      </c>
      <c r="M89">
        <f t="shared" si="13"/>
        <v>21.659309953086421</v>
      </c>
      <c r="N89" s="9"/>
      <c r="O89" s="21">
        <v>0.29785200000000001</v>
      </c>
      <c r="P89" s="21">
        <v>9.7115399999999994</v>
      </c>
      <c r="Q89" s="21">
        <v>-1.30951E-2</v>
      </c>
      <c r="R89" s="21">
        <v>79</v>
      </c>
      <c r="S89" s="21">
        <v>0.29727199999999998</v>
      </c>
      <c r="T89">
        <f t="shared" si="14"/>
        <v>16.166790123456789</v>
      </c>
      <c r="U89">
        <f t="shared" si="15"/>
        <v>4.8153107718518511</v>
      </c>
      <c r="X89" s="9"/>
      <c r="Y89" s="21">
        <v>1.4321900000000001</v>
      </c>
      <c r="Z89" s="21">
        <v>15.2851</v>
      </c>
      <c r="AA89" s="21">
        <v>-1.1892700000000001E-2</v>
      </c>
      <c r="AB89" s="21">
        <v>79</v>
      </c>
      <c r="AC89" s="21">
        <v>1.43127</v>
      </c>
      <c r="AD89">
        <f t="shared" si="16"/>
        <v>14.682345679012347</v>
      </c>
      <c r="AE89">
        <f t="shared" si="17"/>
        <v>21.027908658024693</v>
      </c>
      <c r="AF89" s="9"/>
      <c r="AG89" s="21">
        <v>0.29785200000000001</v>
      </c>
      <c r="AH89" s="21">
        <v>19.1647</v>
      </c>
      <c r="AI89" s="21">
        <v>-1.28845E-2</v>
      </c>
      <c r="AJ89" s="21">
        <v>79</v>
      </c>
      <c r="AK89" s="21">
        <v>0.29730200000000001</v>
      </c>
      <c r="AL89">
        <f t="shared" si="18"/>
        <v>15.906790123456791</v>
      </c>
      <c r="AM89">
        <f t="shared" si="19"/>
        <v>4.7378692518518521</v>
      </c>
      <c r="AP89" s="9"/>
      <c r="AQ89" s="21">
        <v>1.4321900000000001</v>
      </c>
      <c r="AR89" s="21">
        <v>24.783300000000001</v>
      </c>
      <c r="AS89" s="21">
        <v>-1.1727899999999999E-2</v>
      </c>
      <c r="AT89" s="21">
        <v>79</v>
      </c>
      <c r="AU89" s="21">
        <v>1.43127</v>
      </c>
      <c r="AV89">
        <f t="shared" si="20"/>
        <v>14.478888888888887</v>
      </c>
      <c r="AW89">
        <f t="shared" si="21"/>
        <v>20.736519877777777</v>
      </c>
      <c r="AX89" s="9"/>
      <c r="AY89" s="21">
        <v>0.29785200000000001</v>
      </c>
      <c r="AZ89" s="21">
        <v>28.663</v>
      </c>
      <c r="BA89" s="21">
        <v>-1.27838E-2</v>
      </c>
      <c r="BB89" s="21">
        <v>79</v>
      </c>
      <c r="BC89" s="21">
        <v>0.29727199999999998</v>
      </c>
      <c r="BD89">
        <f t="shared" si="22"/>
        <v>15.782469135802467</v>
      </c>
      <c r="BE89">
        <f t="shared" si="23"/>
        <v>4.7008399970370363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1.4271499999999999</v>
      </c>
      <c r="H90" s="21">
        <v>5.8419999999999996</v>
      </c>
      <c r="I90" s="21">
        <v>-1.2280299999999999E-2</v>
      </c>
      <c r="J90" s="21">
        <v>80</v>
      </c>
      <c r="K90" s="21">
        <v>1.4267000000000001</v>
      </c>
      <c r="L90">
        <f t="shared" si="12"/>
        <v>15.160864197530863</v>
      </c>
      <c r="M90">
        <f t="shared" si="13"/>
        <v>21.636827339506169</v>
      </c>
      <c r="N90" s="9"/>
      <c r="O90" s="21">
        <v>0.30288700000000002</v>
      </c>
      <c r="P90" s="21">
        <v>9.7216100000000001</v>
      </c>
      <c r="Q90" s="21">
        <v>-1.3085899999999999E-2</v>
      </c>
      <c r="R90" s="21">
        <v>80</v>
      </c>
      <c r="S90" s="21">
        <v>0.302429</v>
      </c>
      <c r="T90">
        <f t="shared" si="14"/>
        <v>16.155432098765431</v>
      </c>
      <c r="U90">
        <f t="shared" si="15"/>
        <v>4.8932703620987654</v>
      </c>
      <c r="X90" s="9"/>
      <c r="Y90" s="21">
        <v>1.4271499999999999</v>
      </c>
      <c r="Z90" s="21">
        <v>15.295199999999999</v>
      </c>
      <c r="AA90" s="21">
        <v>-1.1932399999999999E-2</v>
      </c>
      <c r="AB90" s="21">
        <v>80</v>
      </c>
      <c r="AC90" s="21">
        <v>1.4267000000000001</v>
      </c>
      <c r="AD90">
        <f t="shared" si="16"/>
        <v>14.731358024691357</v>
      </c>
      <c r="AE90">
        <f t="shared" si="17"/>
        <v>21.023857604938268</v>
      </c>
      <c r="AF90" s="9"/>
      <c r="AG90" s="21">
        <v>0.30288700000000002</v>
      </c>
      <c r="AH90" s="21">
        <v>19.174800000000001</v>
      </c>
      <c r="AI90" s="21">
        <v>-1.28662E-2</v>
      </c>
      <c r="AJ90" s="21">
        <v>80</v>
      </c>
      <c r="AK90" s="21">
        <v>0.302338</v>
      </c>
      <c r="AL90">
        <f t="shared" si="18"/>
        <v>15.884197530864196</v>
      </c>
      <c r="AM90">
        <f t="shared" si="19"/>
        <v>4.8111169375308638</v>
      </c>
      <c r="AP90" s="9"/>
      <c r="AQ90" s="21">
        <v>1.4271499999999999</v>
      </c>
      <c r="AR90" s="21">
        <v>24.793399999999998</v>
      </c>
      <c r="AS90" s="21">
        <v>-1.1761499999999999E-2</v>
      </c>
      <c r="AT90" s="21">
        <v>80</v>
      </c>
      <c r="AU90" s="21">
        <v>1.4260900000000001</v>
      </c>
      <c r="AV90">
        <f t="shared" si="20"/>
        <v>14.520370370370369</v>
      </c>
      <c r="AW90">
        <f t="shared" si="21"/>
        <v>20.722746574074069</v>
      </c>
      <c r="AX90" s="9"/>
      <c r="AY90" s="21">
        <v>0.30288700000000002</v>
      </c>
      <c r="AZ90" s="21">
        <v>28.672999999999998</v>
      </c>
      <c r="BA90" s="21">
        <v>-1.27808E-2</v>
      </c>
      <c r="BB90" s="21">
        <v>80</v>
      </c>
      <c r="BC90" s="21">
        <v>0.30239899999999997</v>
      </c>
      <c r="BD90">
        <f t="shared" si="22"/>
        <v>15.778765432098764</v>
      </c>
      <c r="BE90">
        <f t="shared" si="23"/>
        <v>4.7791829254320985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1.4221200000000001</v>
      </c>
      <c r="H91" s="21">
        <v>5.8520700000000003</v>
      </c>
      <c r="I91" s="21">
        <v>-1.2295499999999999E-2</v>
      </c>
      <c r="J91" s="21">
        <v>81</v>
      </c>
      <c r="K91" s="21">
        <v>1.4212</v>
      </c>
      <c r="L91">
        <f t="shared" si="12"/>
        <v>15.179629629629629</v>
      </c>
      <c r="M91">
        <f t="shared" si="13"/>
        <v>21.587254888888889</v>
      </c>
      <c r="N91" s="9"/>
      <c r="O91" s="21">
        <v>0.30792199999999997</v>
      </c>
      <c r="P91" s="21">
        <v>9.7316800000000008</v>
      </c>
      <c r="Q91" s="21">
        <v>-1.3089E-2</v>
      </c>
      <c r="R91" s="21">
        <v>81</v>
      </c>
      <c r="S91" s="21">
        <v>0.30737300000000001</v>
      </c>
      <c r="T91">
        <f t="shared" si="14"/>
        <v>16.159259259259258</v>
      </c>
      <c r="U91">
        <f t="shared" si="15"/>
        <v>4.9757914296296288</v>
      </c>
      <c r="X91" s="9"/>
      <c r="Y91" s="21">
        <v>1.4221200000000001</v>
      </c>
      <c r="Z91" s="21">
        <v>15.305300000000001</v>
      </c>
      <c r="AA91" s="21">
        <v>-1.1969E-2</v>
      </c>
      <c r="AB91" s="21">
        <v>81</v>
      </c>
      <c r="AC91" s="21">
        <v>1.4215100000000001</v>
      </c>
      <c r="AD91">
        <f t="shared" si="16"/>
        <v>14.776543209876543</v>
      </c>
      <c r="AE91">
        <f t="shared" si="17"/>
        <v>21.014017629629631</v>
      </c>
      <c r="AF91" s="9"/>
      <c r="AG91" s="21">
        <v>0.30792199999999997</v>
      </c>
      <c r="AH91" s="21">
        <v>19.184899999999999</v>
      </c>
      <c r="AI91" s="21">
        <v>-1.28571E-2</v>
      </c>
      <c r="AJ91" s="21">
        <v>81</v>
      </c>
      <c r="AK91" s="21">
        <v>0.30731199999999997</v>
      </c>
      <c r="AL91">
        <f t="shared" si="18"/>
        <v>15.87296296296296</v>
      </c>
      <c r="AM91">
        <f t="shared" si="19"/>
        <v>4.8876345014814806</v>
      </c>
      <c r="AP91" s="9"/>
      <c r="AQ91" s="21">
        <v>1.4221200000000001</v>
      </c>
      <c r="AR91" s="21">
        <v>24.8035</v>
      </c>
      <c r="AS91" s="21">
        <v>-1.1795E-2</v>
      </c>
      <c r="AT91" s="21">
        <v>81</v>
      </c>
      <c r="AU91" s="21">
        <v>1.4215100000000001</v>
      </c>
      <c r="AV91">
        <f t="shared" si="20"/>
        <v>14.561728395061728</v>
      </c>
      <c r="AW91">
        <f t="shared" si="21"/>
        <v>20.708525185185184</v>
      </c>
      <c r="AX91" s="9"/>
      <c r="AY91" s="21">
        <v>0.30792199999999997</v>
      </c>
      <c r="AZ91" s="21">
        <v>28.6831</v>
      </c>
      <c r="BA91" s="21">
        <v>-1.2777699999999999E-2</v>
      </c>
      <c r="BB91" s="21">
        <v>81</v>
      </c>
      <c r="BC91" s="21">
        <v>0.30740400000000001</v>
      </c>
      <c r="BD91">
        <f t="shared" si="22"/>
        <v>15.774938271604935</v>
      </c>
      <c r="BE91">
        <f t="shared" si="23"/>
        <v>4.8574505424691345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1.4170799999999999</v>
      </c>
      <c r="H92" s="21">
        <v>5.8621400000000001</v>
      </c>
      <c r="I92" s="21">
        <v>-1.23169E-2</v>
      </c>
      <c r="J92" s="21">
        <v>82</v>
      </c>
      <c r="K92" s="21">
        <v>1.41632</v>
      </c>
      <c r="L92">
        <f t="shared" si="12"/>
        <v>15.206049382716049</v>
      </c>
      <c r="M92">
        <f t="shared" si="13"/>
        <v>21.548188459259258</v>
      </c>
      <c r="N92" s="9"/>
      <c r="O92" s="21">
        <v>0.31295800000000001</v>
      </c>
      <c r="P92" s="21">
        <v>9.7417599999999993</v>
      </c>
      <c r="Q92" s="21">
        <v>-1.3089E-2</v>
      </c>
      <c r="R92" s="21">
        <v>82</v>
      </c>
      <c r="S92" s="21">
        <v>0.31237799999999999</v>
      </c>
      <c r="T92">
        <f t="shared" si="14"/>
        <v>16.159259259259258</v>
      </c>
      <c r="U92">
        <f t="shared" si="15"/>
        <v>5.0571694592592591</v>
      </c>
      <c r="X92" s="9"/>
      <c r="Y92" s="21">
        <v>1.4170799999999999</v>
      </c>
      <c r="Z92" s="21">
        <v>15.315300000000001</v>
      </c>
      <c r="AA92" s="21">
        <v>-1.19995E-2</v>
      </c>
      <c r="AB92" s="21">
        <v>82</v>
      </c>
      <c r="AC92" s="21">
        <v>1.4166300000000001</v>
      </c>
      <c r="AD92">
        <f t="shared" si="16"/>
        <v>14.814197530864195</v>
      </c>
      <c r="AE92">
        <f t="shared" si="17"/>
        <v>20.992903037037031</v>
      </c>
      <c r="AF92" s="9"/>
      <c r="AG92" s="21">
        <v>0.31295800000000001</v>
      </c>
      <c r="AH92" s="21">
        <v>19.194900000000001</v>
      </c>
      <c r="AI92" s="21">
        <v>-1.28357E-2</v>
      </c>
      <c r="AJ92" s="21">
        <v>82</v>
      </c>
      <c r="AK92" s="21">
        <v>0.31243900000000002</v>
      </c>
      <c r="AL92">
        <f t="shared" si="18"/>
        <v>15.846543209876542</v>
      </c>
      <c r="AM92">
        <f t="shared" si="19"/>
        <v>4.9593024698765431</v>
      </c>
      <c r="AP92" s="9"/>
      <c r="AQ92" s="21">
        <v>1.4170799999999999</v>
      </c>
      <c r="AR92" s="21">
        <v>24.813600000000001</v>
      </c>
      <c r="AS92" s="21">
        <v>-1.1816399999999999E-2</v>
      </c>
      <c r="AT92" s="21">
        <v>82</v>
      </c>
      <c r="AU92" s="21">
        <v>1.4160200000000001</v>
      </c>
      <c r="AV92">
        <f t="shared" si="20"/>
        <v>14.588148148148147</v>
      </c>
      <c r="AW92">
        <f t="shared" si="21"/>
        <v>20.672572977777772</v>
      </c>
      <c r="AX92" s="9"/>
      <c r="AY92" s="21">
        <v>0.31295800000000001</v>
      </c>
      <c r="AZ92" s="21">
        <v>28.693200000000001</v>
      </c>
      <c r="BA92" s="21">
        <v>-1.2796E-2</v>
      </c>
      <c r="BB92" s="21">
        <v>82</v>
      </c>
      <c r="BC92" s="21">
        <v>0.31234699999999999</v>
      </c>
      <c r="BD92">
        <f t="shared" si="22"/>
        <v>15.79753086419753</v>
      </c>
      <c r="BE92">
        <f t="shared" si="23"/>
        <v>4.9439636641975309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1.41205</v>
      </c>
      <c r="H93" s="21">
        <v>5.8722099999999999</v>
      </c>
      <c r="I93" s="21">
        <v>-1.2335199999999999E-2</v>
      </c>
      <c r="J93" s="21">
        <v>83</v>
      </c>
      <c r="K93" s="21">
        <v>1.41113</v>
      </c>
      <c r="L93">
        <f t="shared" si="12"/>
        <v>15.228641975308641</v>
      </c>
      <c r="M93">
        <f t="shared" si="13"/>
        <v>21.503603901234566</v>
      </c>
      <c r="N93" s="9"/>
      <c r="O93" s="21">
        <v>0.31799300000000003</v>
      </c>
      <c r="P93" s="21">
        <v>9.75183</v>
      </c>
      <c r="Q93" s="21">
        <v>-1.3085899999999999E-2</v>
      </c>
      <c r="R93" s="21">
        <v>83</v>
      </c>
      <c r="S93" s="21">
        <v>0.31738300000000003</v>
      </c>
      <c r="T93">
        <f t="shared" si="14"/>
        <v>16.155432098765431</v>
      </c>
      <c r="U93">
        <f t="shared" si="15"/>
        <v>5.1373143193827158</v>
      </c>
      <c r="X93" s="9"/>
      <c r="Y93" s="21">
        <v>1.41205</v>
      </c>
      <c r="Z93" s="21">
        <v>15.3254</v>
      </c>
      <c r="AA93" s="21">
        <v>-1.2023900000000001E-2</v>
      </c>
      <c r="AB93" s="21">
        <v>83</v>
      </c>
      <c r="AC93" s="21">
        <v>1.41144</v>
      </c>
      <c r="AD93">
        <f t="shared" si="16"/>
        <v>14.844320987654321</v>
      </c>
      <c r="AE93">
        <f t="shared" si="17"/>
        <v>20.960923450617283</v>
      </c>
      <c r="AF93" s="9"/>
      <c r="AG93" s="21">
        <v>0.31799300000000003</v>
      </c>
      <c r="AH93" s="21">
        <v>19.204999999999998</v>
      </c>
      <c r="AI93" s="21">
        <v>-1.2826499999999999E-2</v>
      </c>
      <c r="AJ93" s="21">
        <v>83</v>
      </c>
      <c r="AK93" s="21">
        <v>0.317413</v>
      </c>
      <c r="AL93">
        <f t="shared" si="18"/>
        <v>15.835185185185185</v>
      </c>
      <c r="AM93">
        <f t="shared" si="19"/>
        <v>5.0354780425925929</v>
      </c>
      <c r="AP93" s="9"/>
      <c r="AQ93" s="21">
        <v>1.41205</v>
      </c>
      <c r="AR93" s="21">
        <v>24.823599999999999</v>
      </c>
      <c r="AS93" s="21">
        <v>-1.1849999999999999E-2</v>
      </c>
      <c r="AT93" s="21">
        <v>83</v>
      </c>
      <c r="AU93" s="21">
        <v>1.41144</v>
      </c>
      <c r="AV93">
        <f t="shared" si="20"/>
        <v>14.629629629629628</v>
      </c>
      <c r="AW93">
        <f t="shared" si="21"/>
        <v>20.657768518518516</v>
      </c>
      <c r="AX93" s="9"/>
      <c r="AY93" s="21">
        <v>0.31799300000000003</v>
      </c>
      <c r="AZ93" s="21">
        <v>28.703199999999999</v>
      </c>
      <c r="BA93" s="21">
        <v>-1.2793000000000001E-2</v>
      </c>
      <c r="BB93" s="21">
        <v>83</v>
      </c>
      <c r="BC93" s="21">
        <v>0.31738300000000003</v>
      </c>
      <c r="BD93">
        <f t="shared" si="22"/>
        <v>15.793827160493827</v>
      </c>
      <c r="BE93">
        <f t="shared" si="23"/>
        <v>5.0223264802469139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1.4070100000000001</v>
      </c>
      <c r="H94" s="21">
        <v>5.8822799999999997</v>
      </c>
      <c r="I94" s="21">
        <v>-1.23596E-2</v>
      </c>
      <c r="J94" s="21">
        <v>84</v>
      </c>
      <c r="K94" s="21">
        <v>1.40625</v>
      </c>
      <c r="L94">
        <f t="shared" si="12"/>
        <v>15.258765432098766</v>
      </c>
      <c r="M94">
        <f t="shared" si="13"/>
        <v>21.469235550617285</v>
      </c>
      <c r="N94" s="9"/>
      <c r="O94" s="21">
        <v>0.32302900000000001</v>
      </c>
      <c r="P94" s="21">
        <v>9.7619000000000007</v>
      </c>
      <c r="Q94" s="21">
        <v>-1.3073700000000001E-2</v>
      </c>
      <c r="R94" s="21">
        <v>84</v>
      </c>
      <c r="S94" s="21">
        <v>0.32238800000000001</v>
      </c>
      <c r="T94">
        <f t="shared" si="14"/>
        <v>16.14037037037037</v>
      </c>
      <c r="U94">
        <f t="shared" si="15"/>
        <v>5.2138077003703707</v>
      </c>
      <c r="X94" s="9"/>
      <c r="Y94" s="21">
        <v>1.4070100000000001</v>
      </c>
      <c r="Z94" s="21">
        <v>15.3355</v>
      </c>
      <c r="AA94" s="21">
        <v>-1.20544E-2</v>
      </c>
      <c r="AB94" s="21">
        <v>84</v>
      </c>
      <c r="AC94" s="21">
        <v>1.40625</v>
      </c>
      <c r="AD94">
        <f t="shared" si="16"/>
        <v>14.881975308641973</v>
      </c>
      <c r="AE94">
        <f t="shared" si="17"/>
        <v>20.939088079012343</v>
      </c>
      <c r="AF94" s="9"/>
      <c r="AG94" s="21">
        <v>0.32302900000000001</v>
      </c>
      <c r="AH94" s="21">
        <v>19.2151</v>
      </c>
      <c r="AI94" s="21">
        <v>-1.28235E-2</v>
      </c>
      <c r="AJ94" s="21">
        <v>84</v>
      </c>
      <c r="AK94" s="21">
        <v>0.32244899999999999</v>
      </c>
      <c r="AL94">
        <f t="shared" si="18"/>
        <v>15.831481481481481</v>
      </c>
      <c r="AM94">
        <f t="shared" si="19"/>
        <v>5.1140276314814814</v>
      </c>
      <c r="AP94" s="9"/>
      <c r="AQ94" s="21">
        <v>1.4070100000000001</v>
      </c>
      <c r="AR94" s="21">
        <v>24.8337</v>
      </c>
      <c r="AS94" s="21">
        <v>-1.18622E-2</v>
      </c>
      <c r="AT94" s="21">
        <v>84</v>
      </c>
      <c r="AU94" s="21">
        <v>1.40625</v>
      </c>
      <c r="AV94">
        <f t="shared" si="20"/>
        <v>14.644691358024689</v>
      </c>
      <c r="AW94">
        <f t="shared" si="21"/>
        <v>20.605227187654318</v>
      </c>
      <c r="AX94" s="9"/>
      <c r="AY94" s="21">
        <v>0.32302900000000001</v>
      </c>
      <c r="AZ94" s="21">
        <v>28.7133</v>
      </c>
      <c r="BA94" s="21">
        <v>-1.27899E-2</v>
      </c>
      <c r="BB94" s="21">
        <v>84</v>
      </c>
      <c r="BC94" s="21">
        <v>0.32244899999999999</v>
      </c>
      <c r="BD94">
        <f t="shared" si="22"/>
        <v>15.79</v>
      </c>
      <c r="BE94">
        <f t="shared" si="23"/>
        <v>5.10062791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1.40198</v>
      </c>
      <c r="H95" s="21">
        <v>5.8923500000000004</v>
      </c>
      <c r="I95" s="21">
        <v>-1.2377900000000001E-2</v>
      </c>
      <c r="J95" s="21">
        <v>85</v>
      </c>
      <c r="K95" s="21">
        <v>1.40106</v>
      </c>
      <c r="L95">
        <f t="shared" si="12"/>
        <v>15.281358024691359</v>
      </c>
      <c r="M95">
        <f t="shared" si="13"/>
        <v>21.42415832345679</v>
      </c>
      <c r="N95" s="9"/>
      <c r="O95" s="21">
        <v>0.32806400000000002</v>
      </c>
      <c r="P95" s="21">
        <v>9.7719699999999996</v>
      </c>
      <c r="Q95" s="21">
        <v>-1.30676E-2</v>
      </c>
      <c r="R95" s="21">
        <v>85</v>
      </c>
      <c r="S95" s="21">
        <v>0.32742300000000002</v>
      </c>
      <c r="T95">
        <f t="shared" si="14"/>
        <v>16.132839506172839</v>
      </c>
      <c r="U95">
        <f t="shared" si="15"/>
        <v>5.2926038597530871</v>
      </c>
      <c r="X95" s="9"/>
      <c r="Y95" s="21">
        <v>1.40198</v>
      </c>
      <c r="Z95" s="21">
        <v>15.345499999999999</v>
      </c>
      <c r="AA95" s="21">
        <v>-1.20819E-2</v>
      </c>
      <c r="AB95" s="21">
        <v>85</v>
      </c>
      <c r="AC95" s="21">
        <v>1.40167</v>
      </c>
      <c r="AD95">
        <f t="shared" si="16"/>
        <v>14.915925925925924</v>
      </c>
      <c r="AE95">
        <f t="shared" si="17"/>
        <v>20.911829829629628</v>
      </c>
      <c r="AF95" s="9"/>
      <c r="AG95" s="21">
        <v>0.32806400000000002</v>
      </c>
      <c r="AH95" s="21">
        <v>19.225200000000001</v>
      </c>
      <c r="AI95" s="21">
        <v>-1.2820399999999999E-2</v>
      </c>
      <c r="AJ95" s="21">
        <v>85</v>
      </c>
      <c r="AK95" s="21">
        <v>0.327484</v>
      </c>
      <c r="AL95">
        <f t="shared" si="18"/>
        <v>15.827654320987653</v>
      </c>
      <c r="AM95">
        <f t="shared" si="19"/>
        <v>5.1924835871604937</v>
      </c>
      <c r="AP95" s="9"/>
      <c r="AQ95" s="21">
        <v>1.40198</v>
      </c>
      <c r="AR95" s="21">
        <v>24.843800000000002</v>
      </c>
      <c r="AS95" s="21">
        <v>-1.1886600000000001E-2</v>
      </c>
      <c r="AT95" s="21">
        <v>85</v>
      </c>
      <c r="AU95" s="21">
        <v>1.40076</v>
      </c>
      <c r="AV95">
        <f t="shared" si="20"/>
        <v>14.674814814814814</v>
      </c>
      <c r="AW95">
        <f t="shared" si="21"/>
        <v>20.573796874074073</v>
      </c>
      <c r="AX95" s="9"/>
      <c r="AY95" s="21">
        <v>0.32806400000000002</v>
      </c>
      <c r="AZ95" s="21">
        <v>28.723400000000002</v>
      </c>
      <c r="BA95" s="21">
        <v>-1.2793000000000001E-2</v>
      </c>
      <c r="BB95" s="21">
        <v>85</v>
      </c>
      <c r="BC95" s="21">
        <v>0.327515</v>
      </c>
      <c r="BD95">
        <f t="shared" si="22"/>
        <v>15.793827160493827</v>
      </c>
      <c r="BE95">
        <f t="shared" si="23"/>
        <v>5.1813861135802473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1.3969400000000001</v>
      </c>
      <c r="H96" s="21">
        <v>5.9024200000000002</v>
      </c>
      <c r="I96" s="21">
        <v>-1.23962E-2</v>
      </c>
      <c r="J96" s="21">
        <v>86</v>
      </c>
      <c r="K96" s="21">
        <v>1.39618</v>
      </c>
      <c r="L96">
        <f t="shared" si="12"/>
        <v>15.303950617283951</v>
      </c>
      <c r="M96">
        <f t="shared" si="13"/>
        <v>21.378700775308644</v>
      </c>
      <c r="N96" s="9"/>
      <c r="O96" s="21">
        <v>0.33309899999999998</v>
      </c>
      <c r="P96" s="21">
        <v>9.7820400000000003</v>
      </c>
      <c r="Q96" s="21">
        <v>-1.30554E-2</v>
      </c>
      <c r="R96" s="21">
        <v>86</v>
      </c>
      <c r="S96" s="21">
        <v>0.33251999999999998</v>
      </c>
      <c r="T96">
        <f t="shared" si="14"/>
        <v>16.117777777777775</v>
      </c>
      <c r="U96">
        <f t="shared" si="15"/>
        <v>5.3688156599999983</v>
      </c>
      <c r="X96" s="9"/>
      <c r="Y96" s="21">
        <v>1.3969400000000001</v>
      </c>
      <c r="Z96" s="21">
        <v>15.355600000000001</v>
      </c>
      <c r="AA96" s="21">
        <v>-1.21002E-2</v>
      </c>
      <c r="AB96" s="21">
        <v>86</v>
      </c>
      <c r="AC96" s="21">
        <v>1.39618</v>
      </c>
      <c r="AD96">
        <f t="shared" si="16"/>
        <v>14.938518518518517</v>
      </c>
      <c r="AE96">
        <f t="shared" si="17"/>
        <v>20.868214059259259</v>
      </c>
      <c r="AF96" s="9"/>
      <c r="AG96" s="21">
        <v>0.33309899999999998</v>
      </c>
      <c r="AH96" s="21">
        <v>19.235199999999999</v>
      </c>
      <c r="AI96" s="21">
        <v>-1.2826499999999999E-2</v>
      </c>
      <c r="AJ96" s="21">
        <v>86</v>
      </c>
      <c r="AK96" s="21">
        <v>0.33258100000000002</v>
      </c>
      <c r="AL96">
        <f t="shared" si="18"/>
        <v>15.835185185185185</v>
      </c>
      <c r="AM96">
        <f t="shared" si="19"/>
        <v>5.2746843499999994</v>
      </c>
      <c r="AP96" s="9"/>
      <c r="AQ96" s="21">
        <v>1.3969400000000001</v>
      </c>
      <c r="AR96" s="21">
        <v>24.8538</v>
      </c>
      <c r="AS96" s="21">
        <v>-1.19141E-2</v>
      </c>
      <c r="AT96" s="21">
        <v>86</v>
      </c>
      <c r="AU96" s="21">
        <v>1.39618</v>
      </c>
      <c r="AV96">
        <f t="shared" si="20"/>
        <v>14.708765432098765</v>
      </c>
      <c r="AW96">
        <f t="shared" si="21"/>
        <v>20.54726278271605</v>
      </c>
      <c r="AX96" s="9"/>
      <c r="AY96" s="21">
        <v>0.33309899999999998</v>
      </c>
      <c r="AZ96" s="21">
        <v>28.733499999999999</v>
      </c>
      <c r="BA96" s="21">
        <v>-1.2793000000000001E-2</v>
      </c>
      <c r="BB96" s="21">
        <v>86</v>
      </c>
      <c r="BC96" s="21">
        <v>0.33248899999999998</v>
      </c>
      <c r="BD96">
        <f t="shared" si="22"/>
        <v>15.793827160493827</v>
      </c>
      <c r="BE96">
        <f t="shared" si="23"/>
        <v>5.2609080333333331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1.39191</v>
      </c>
      <c r="H97" s="21">
        <v>5.9124999999999996</v>
      </c>
      <c r="I97" s="21">
        <v>-1.24207E-2</v>
      </c>
      <c r="J97" s="21">
        <v>87</v>
      </c>
      <c r="K97" s="21">
        <v>1.3909899999999999</v>
      </c>
      <c r="L97">
        <f t="shared" si="12"/>
        <v>15.334197530864195</v>
      </c>
      <c r="M97">
        <f t="shared" si="13"/>
        <v>21.34382288518518</v>
      </c>
      <c r="N97" s="9"/>
      <c r="O97" s="21">
        <v>0.33813500000000002</v>
      </c>
      <c r="P97" s="21">
        <v>9.7921099999999992</v>
      </c>
      <c r="Q97" s="21">
        <v>-1.30463E-2</v>
      </c>
      <c r="R97" s="21">
        <v>87</v>
      </c>
      <c r="S97" s="21">
        <v>0.33755499999999999</v>
      </c>
      <c r="T97">
        <f t="shared" si="14"/>
        <v>16.106543209876545</v>
      </c>
      <c r="U97">
        <f t="shared" si="15"/>
        <v>5.4461859882716057</v>
      </c>
      <c r="X97" s="9"/>
      <c r="Y97" s="21">
        <v>1.39191</v>
      </c>
      <c r="Z97" s="21">
        <v>15.3657</v>
      </c>
      <c r="AA97" s="21">
        <v>-1.2118500000000001E-2</v>
      </c>
      <c r="AB97" s="21">
        <v>87</v>
      </c>
      <c r="AC97" s="21">
        <v>1.3909899999999999</v>
      </c>
      <c r="AD97">
        <f t="shared" si="16"/>
        <v>14.96111111111111</v>
      </c>
      <c r="AE97">
        <f t="shared" si="17"/>
        <v>20.824520166666666</v>
      </c>
      <c r="AF97" s="9"/>
      <c r="AG97" s="21">
        <v>0.33813500000000002</v>
      </c>
      <c r="AH97" s="21">
        <v>19.2453</v>
      </c>
      <c r="AI97" s="21">
        <v>-1.28235E-2</v>
      </c>
      <c r="AJ97" s="21">
        <v>87</v>
      </c>
      <c r="AK97" s="21">
        <v>0.33752399999999999</v>
      </c>
      <c r="AL97">
        <f t="shared" si="18"/>
        <v>15.831481481481481</v>
      </c>
      <c r="AM97">
        <f t="shared" si="19"/>
        <v>5.3531779907407406</v>
      </c>
      <c r="AP97" s="9"/>
      <c r="AQ97" s="21">
        <v>1.39191</v>
      </c>
      <c r="AR97" s="21">
        <v>24.863900000000001</v>
      </c>
      <c r="AS97" s="21">
        <v>-1.1935400000000001E-2</v>
      </c>
      <c r="AT97" s="21">
        <v>87</v>
      </c>
      <c r="AU97" s="21">
        <v>1.3913</v>
      </c>
      <c r="AV97">
        <f t="shared" si="20"/>
        <v>14.735061728395062</v>
      </c>
      <c r="AW97">
        <f t="shared" si="21"/>
        <v>20.509879770370368</v>
      </c>
      <c r="AX97" s="9"/>
      <c r="AY97" s="21">
        <v>0.33813500000000002</v>
      </c>
      <c r="AZ97" s="21">
        <v>28.743500000000001</v>
      </c>
      <c r="BA97" s="21">
        <v>-1.27899E-2</v>
      </c>
      <c r="BB97" s="21">
        <v>87</v>
      </c>
      <c r="BC97" s="21">
        <v>0.33758500000000002</v>
      </c>
      <c r="BD97">
        <f t="shared" si="22"/>
        <v>15.79</v>
      </c>
      <c r="BE97">
        <f t="shared" si="23"/>
        <v>5.3391516499999998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1.38687</v>
      </c>
      <c r="H98" s="21">
        <v>5.9225700000000003</v>
      </c>
      <c r="I98" s="21">
        <v>-1.2439E-2</v>
      </c>
      <c r="J98" s="21">
        <v>88</v>
      </c>
      <c r="K98" s="21">
        <v>1.38611</v>
      </c>
      <c r="L98">
        <f t="shared" si="12"/>
        <v>15.35679012345679</v>
      </c>
      <c r="M98">
        <f t="shared" si="13"/>
        <v>21.297871518518519</v>
      </c>
      <c r="N98" s="9"/>
      <c r="O98" s="21">
        <v>0.34316999999999998</v>
      </c>
      <c r="P98" s="21">
        <v>9.8021799999999999</v>
      </c>
      <c r="Q98" s="21">
        <v>-1.3037099999999999E-2</v>
      </c>
      <c r="R98" s="21">
        <v>88</v>
      </c>
      <c r="S98" s="21">
        <v>0.34255999999999998</v>
      </c>
      <c r="T98">
        <f t="shared" si="14"/>
        <v>16.095185185185183</v>
      </c>
      <c r="U98">
        <f t="shared" si="15"/>
        <v>5.5233846999999994</v>
      </c>
      <c r="X98" s="9"/>
      <c r="Y98" s="21">
        <v>1.38687</v>
      </c>
      <c r="Z98" s="21">
        <v>15.3757</v>
      </c>
      <c r="AA98" s="21">
        <v>-1.2124599999999999E-2</v>
      </c>
      <c r="AB98" s="21">
        <v>88</v>
      </c>
      <c r="AC98" s="21">
        <v>1.38611</v>
      </c>
      <c r="AD98">
        <f t="shared" si="16"/>
        <v>14.968641975308641</v>
      </c>
      <c r="AE98">
        <f t="shared" si="17"/>
        <v>20.759560496296295</v>
      </c>
      <c r="AF98" s="9"/>
      <c r="AG98" s="21">
        <v>0.34316999999999998</v>
      </c>
      <c r="AH98" s="21">
        <v>19.255400000000002</v>
      </c>
      <c r="AI98" s="21">
        <v>-1.28174E-2</v>
      </c>
      <c r="AJ98" s="21">
        <v>88</v>
      </c>
      <c r="AK98" s="21">
        <v>0.34262100000000001</v>
      </c>
      <c r="AL98">
        <f t="shared" si="18"/>
        <v>15.82395061728395</v>
      </c>
      <c r="AM98">
        <f t="shared" si="19"/>
        <v>5.4303051333333325</v>
      </c>
      <c r="AP98" s="9"/>
      <c r="AQ98" s="21">
        <v>1.38687</v>
      </c>
      <c r="AR98" s="21">
        <v>24.873999999999999</v>
      </c>
      <c r="AS98" s="21">
        <v>-1.19598E-2</v>
      </c>
      <c r="AT98" s="21">
        <v>88</v>
      </c>
      <c r="AU98" s="21">
        <v>1.3864099999999999</v>
      </c>
      <c r="AV98">
        <f t="shared" si="20"/>
        <v>14.765185185185183</v>
      </c>
      <c r="AW98">
        <f t="shared" si="21"/>
        <v>20.477392377777775</v>
      </c>
      <c r="AX98" s="9"/>
      <c r="AY98" s="21">
        <v>0.34316999999999998</v>
      </c>
      <c r="AZ98" s="21">
        <v>28.753599999999999</v>
      </c>
      <c r="BA98" s="21">
        <v>-1.27899E-2</v>
      </c>
      <c r="BB98" s="21">
        <v>88</v>
      </c>
      <c r="BC98" s="21">
        <v>0.34255999999999998</v>
      </c>
      <c r="BD98">
        <f t="shared" si="22"/>
        <v>15.79</v>
      </c>
      <c r="BE98">
        <f t="shared" si="23"/>
        <v>5.4186542999999991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1.38184</v>
      </c>
      <c r="H99" s="21">
        <v>5.9326400000000001</v>
      </c>
      <c r="I99" s="21">
        <v>-1.24542E-2</v>
      </c>
      <c r="J99" s="21">
        <v>89</v>
      </c>
      <c r="K99" s="21">
        <v>1.38123</v>
      </c>
      <c r="L99">
        <f t="shared" si="12"/>
        <v>15.375555555555556</v>
      </c>
      <c r="M99">
        <f t="shared" si="13"/>
        <v>21.246557688888888</v>
      </c>
      <c r="N99" s="9"/>
      <c r="O99" s="21">
        <v>0.34820600000000002</v>
      </c>
      <c r="P99" s="21">
        <v>9.8122500000000006</v>
      </c>
      <c r="Q99" s="21">
        <v>-1.3018800000000001E-2</v>
      </c>
      <c r="R99" s="21">
        <v>89</v>
      </c>
      <c r="S99" s="21">
        <v>0.34765600000000002</v>
      </c>
      <c r="T99">
        <f t="shared" si="14"/>
        <v>16.072592592592592</v>
      </c>
      <c r="U99">
        <f t="shared" si="15"/>
        <v>5.596573176296296</v>
      </c>
      <c r="X99" s="9"/>
      <c r="Y99" s="21">
        <v>1.38184</v>
      </c>
      <c r="Z99" s="21">
        <v>15.3858</v>
      </c>
      <c r="AA99" s="21">
        <v>-1.2124599999999999E-2</v>
      </c>
      <c r="AB99" s="21">
        <v>89</v>
      </c>
      <c r="AC99" s="21">
        <v>1.38123</v>
      </c>
      <c r="AD99">
        <f t="shared" si="16"/>
        <v>14.968641975308641</v>
      </c>
      <c r="AE99">
        <f t="shared" si="17"/>
        <v>20.684268227160491</v>
      </c>
      <c r="AF99" s="9"/>
      <c r="AG99" s="21">
        <v>0.34820600000000002</v>
      </c>
      <c r="AH99" s="21">
        <v>19.2654</v>
      </c>
      <c r="AI99" s="21">
        <v>-1.2814300000000001E-2</v>
      </c>
      <c r="AJ99" s="21">
        <v>89</v>
      </c>
      <c r="AK99" s="21">
        <v>0.34765600000000002</v>
      </c>
      <c r="AL99">
        <f t="shared" si="18"/>
        <v>15.820123456790125</v>
      </c>
      <c r="AM99">
        <f t="shared" si="19"/>
        <v>5.5086619083950623</v>
      </c>
      <c r="AP99" s="9"/>
      <c r="AQ99" s="21">
        <v>1.38184</v>
      </c>
      <c r="AR99" s="21">
        <v>24.8841</v>
      </c>
      <c r="AS99" s="21">
        <v>-1.19781E-2</v>
      </c>
      <c r="AT99" s="21">
        <v>89</v>
      </c>
      <c r="AU99" s="21">
        <v>1.3809199999999999</v>
      </c>
      <c r="AV99">
        <f t="shared" si="20"/>
        <v>14.787777777777777</v>
      </c>
      <c r="AW99">
        <f t="shared" si="21"/>
        <v>20.434342844444441</v>
      </c>
      <c r="AX99" s="9"/>
      <c r="AY99" s="21">
        <v>0.34820600000000002</v>
      </c>
      <c r="AZ99" s="21">
        <v>28.7637</v>
      </c>
      <c r="BA99" s="21">
        <v>-1.27899E-2</v>
      </c>
      <c r="BB99" s="21">
        <v>89</v>
      </c>
      <c r="BC99" s="21">
        <v>0.34768700000000002</v>
      </c>
      <c r="BD99">
        <f t="shared" si="22"/>
        <v>15.79</v>
      </c>
      <c r="BE99">
        <f t="shared" si="23"/>
        <v>5.4981727400000002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1.3768</v>
      </c>
      <c r="H100" s="21">
        <v>5.9427099999999999</v>
      </c>
      <c r="I100" s="21">
        <v>-1.2472499999999999E-2</v>
      </c>
      <c r="J100" s="21">
        <v>90</v>
      </c>
      <c r="K100" s="21">
        <v>1.3754299999999999</v>
      </c>
      <c r="L100">
        <f t="shared" si="12"/>
        <v>15.398148148148147</v>
      </c>
      <c r="M100">
        <f t="shared" si="13"/>
        <v>21.200170370370369</v>
      </c>
      <c r="N100" s="9"/>
      <c r="O100" s="21">
        <v>0.35324100000000003</v>
      </c>
      <c r="P100" s="21">
        <v>9.8223199999999995</v>
      </c>
      <c r="Q100" s="21">
        <v>-1.3003499999999999E-2</v>
      </c>
      <c r="R100" s="21">
        <v>90</v>
      </c>
      <c r="S100" s="21">
        <v>0.35263100000000003</v>
      </c>
      <c r="T100">
        <f t="shared" si="14"/>
        <v>16.0537037037037</v>
      </c>
      <c r="U100">
        <f t="shared" si="15"/>
        <v>5.6708263499999996</v>
      </c>
      <c r="X100" s="9"/>
      <c r="Y100" s="21">
        <v>1.3768</v>
      </c>
      <c r="Z100" s="21">
        <v>15.395899999999999</v>
      </c>
      <c r="AA100" s="21">
        <v>-1.2124599999999999E-2</v>
      </c>
      <c r="AB100" s="21">
        <v>90</v>
      </c>
      <c r="AC100" s="21">
        <v>1.3757299999999999</v>
      </c>
      <c r="AD100">
        <f t="shared" si="16"/>
        <v>14.968641975308641</v>
      </c>
      <c r="AE100">
        <f t="shared" si="17"/>
        <v>20.608826271604936</v>
      </c>
      <c r="AF100" s="9"/>
      <c r="AG100" s="21">
        <v>0.35324100000000003</v>
      </c>
      <c r="AH100" s="21">
        <v>19.275500000000001</v>
      </c>
      <c r="AI100" s="21">
        <v>-1.2814300000000001E-2</v>
      </c>
      <c r="AJ100" s="21">
        <v>90</v>
      </c>
      <c r="AK100" s="21">
        <v>0.352661</v>
      </c>
      <c r="AL100">
        <f t="shared" si="18"/>
        <v>15.820123456790125</v>
      </c>
      <c r="AM100">
        <f t="shared" si="19"/>
        <v>5.5883162300000011</v>
      </c>
      <c r="AP100" s="9"/>
      <c r="AQ100" s="21">
        <v>1.3768</v>
      </c>
      <c r="AR100" s="21">
        <v>24.894100000000002</v>
      </c>
      <c r="AS100" s="21">
        <v>-1.20056E-2</v>
      </c>
      <c r="AT100" s="21">
        <v>90</v>
      </c>
      <c r="AU100" s="21">
        <v>1.3757299999999999</v>
      </c>
      <c r="AV100">
        <f t="shared" si="20"/>
        <v>14.821728395061728</v>
      </c>
      <c r="AW100">
        <f t="shared" si="21"/>
        <v>20.406555654320986</v>
      </c>
      <c r="AX100" s="9"/>
      <c r="AY100" s="21">
        <v>0.35324100000000003</v>
      </c>
      <c r="AZ100" s="21">
        <v>28.773700000000002</v>
      </c>
      <c r="BA100" s="21">
        <v>-1.27808E-2</v>
      </c>
      <c r="BB100" s="21">
        <v>90</v>
      </c>
      <c r="BC100" s="21">
        <v>0.35272199999999998</v>
      </c>
      <c r="BD100">
        <f t="shared" si="22"/>
        <v>15.778765432098764</v>
      </c>
      <c r="BE100">
        <f t="shared" si="23"/>
        <v>5.5737068799999996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1.3717699999999999</v>
      </c>
      <c r="H101" s="21">
        <v>5.9527799999999997</v>
      </c>
      <c r="I101" s="21">
        <v>-1.24878E-2</v>
      </c>
      <c r="J101" s="21">
        <v>91</v>
      </c>
      <c r="K101" s="21">
        <v>1.3708499999999999</v>
      </c>
      <c r="L101">
        <f t="shared" si="12"/>
        <v>15.417037037037037</v>
      </c>
      <c r="M101">
        <f t="shared" si="13"/>
        <v>21.148628896296294</v>
      </c>
      <c r="N101" s="9"/>
      <c r="O101" s="21">
        <v>0.35827599999999998</v>
      </c>
      <c r="P101" s="21">
        <v>9.8323900000000002</v>
      </c>
      <c r="Q101" s="21">
        <v>-1.2991300000000001E-2</v>
      </c>
      <c r="R101" s="21">
        <v>91</v>
      </c>
      <c r="S101" s="21">
        <v>0.35766599999999998</v>
      </c>
      <c r="T101">
        <f t="shared" si="14"/>
        <v>16.038641975308643</v>
      </c>
      <c r="U101">
        <f t="shared" si="15"/>
        <v>5.7462604923456793</v>
      </c>
      <c r="X101" s="9"/>
      <c r="Y101" s="21">
        <v>1.3717699999999999</v>
      </c>
      <c r="Z101" s="21">
        <v>15.406000000000001</v>
      </c>
      <c r="AA101" s="21">
        <v>-1.21399E-2</v>
      </c>
      <c r="AB101" s="21">
        <v>91</v>
      </c>
      <c r="AC101" s="21">
        <v>1.3711500000000001</v>
      </c>
      <c r="AD101">
        <f t="shared" si="16"/>
        <v>14.987530864197531</v>
      </c>
      <c r="AE101">
        <f t="shared" si="17"/>
        <v>20.559445213580247</v>
      </c>
      <c r="AF101" s="9"/>
      <c r="AG101" s="21">
        <v>0.35827599999999998</v>
      </c>
      <c r="AH101" s="21">
        <v>19.285599999999999</v>
      </c>
      <c r="AI101" s="21">
        <v>-1.28021E-2</v>
      </c>
      <c r="AJ101" s="21">
        <v>91</v>
      </c>
      <c r="AK101" s="21">
        <v>0.35775800000000002</v>
      </c>
      <c r="AL101">
        <f t="shared" si="18"/>
        <v>15.805061728395062</v>
      </c>
      <c r="AM101">
        <f t="shared" si="19"/>
        <v>5.662574295802469</v>
      </c>
      <c r="AP101" s="9"/>
      <c r="AQ101" s="21">
        <v>1.3717699999999999</v>
      </c>
      <c r="AR101" s="21">
        <v>24.904199999999999</v>
      </c>
      <c r="AS101" s="21">
        <v>-1.2026999999999999E-2</v>
      </c>
      <c r="AT101" s="21">
        <v>91</v>
      </c>
      <c r="AU101" s="21">
        <v>1.3708499999999999</v>
      </c>
      <c r="AV101">
        <f t="shared" si="20"/>
        <v>14.848148148148146</v>
      </c>
      <c r="AW101">
        <f t="shared" si="21"/>
        <v>20.368244185185183</v>
      </c>
      <c r="AX101" s="9"/>
      <c r="AY101" s="21">
        <v>0.35827599999999998</v>
      </c>
      <c r="AZ101" s="21">
        <v>28.783799999999999</v>
      </c>
      <c r="BA101" s="21">
        <v>-1.2777699999999999E-2</v>
      </c>
      <c r="BB101" s="21">
        <v>91</v>
      </c>
      <c r="BC101" s="21">
        <v>0.35769699999999999</v>
      </c>
      <c r="BD101">
        <f t="shared" si="22"/>
        <v>15.774938271604935</v>
      </c>
      <c r="BE101">
        <f t="shared" si="23"/>
        <v>5.6517817841975297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1.36673</v>
      </c>
      <c r="H102" s="21">
        <v>5.9628500000000004</v>
      </c>
      <c r="I102" s="21">
        <v>-1.24969E-2</v>
      </c>
      <c r="J102" s="21">
        <v>92</v>
      </c>
      <c r="K102" s="21">
        <v>1.3659699999999999</v>
      </c>
      <c r="L102">
        <f t="shared" si="12"/>
        <v>15.428271604938271</v>
      </c>
      <c r="M102">
        <f t="shared" si="13"/>
        <v>21.086281650617284</v>
      </c>
      <c r="N102" s="9"/>
      <c r="O102" s="21">
        <v>0.36331200000000002</v>
      </c>
      <c r="P102" s="21">
        <v>9.8424700000000005</v>
      </c>
      <c r="Q102" s="21">
        <v>-1.2982199999999999E-2</v>
      </c>
      <c r="R102" s="21">
        <v>92</v>
      </c>
      <c r="S102" s="21">
        <v>0.362701</v>
      </c>
      <c r="T102">
        <f t="shared" si="14"/>
        <v>16.027407407407406</v>
      </c>
      <c r="U102">
        <f t="shared" si="15"/>
        <v>5.8229494399999995</v>
      </c>
      <c r="X102" s="9"/>
      <c r="Y102" s="21">
        <v>1.36673</v>
      </c>
      <c r="Z102" s="21">
        <v>15.416</v>
      </c>
      <c r="AA102" s="21">
        <v>-1.2149E-2</v>
      </c>
      <c r="AB102" s="21">
        <v>92</v>
      </c>
      <c r="AC102" s="21">
        <v>1.3656600000000001</v>
      </c>
      <c r="AD102">
        <f t="shared" si="16"/>
        <v>14.998765432098764</v>
      </c>
      <c r="AE102">
        <f t="shared" si="17"/>
        <v>20.499262679012343</v>
      </c>
      <c r="AF102" s="9"/>
      <c r="AG102" s="21">
        <v>0.36331200000000002</v>
      </c>
      <c r="AH102" s="21">
        <v>19.2956</v>
      </c>
      <c r="AI102" s="21">
        <v>-1.28021E-2</v>
      </c>
      <c r="AJ102" s="21">
        <v>92</v>
      </c>
      <c r="AK102" s="21">
        <v>0.362701</v>
      </c>
      <c r="AL102">
        <f t="shared" si="18"/>
        <v>15.805061728395062</v>
      </c>
      <c r="AM102">
        <f t="shared" si="19"/>
        <v>5.7421685866666667</v>
      </c>
      <c r="AP102" s="9"/>
      <c r="AQ102" s="21">
        <v>1.36673</v>
      </c>
      <c r="AR102" s="21">
        <v>24.914300000000001</v>
      </c>
      <c r="AS102" s="21">
        <v>-1.20331E-2</v>
      </c>
      <c r="AT102" s="21">
        <v>92</v>
      </c>
      <c r="AU102" s="21">
        <v>1.3656600000000001</v>
      </c>
      <c r="AV102">
        <f t="shared" si="20"/>
        <v>14.855679012345679</v>
      </c>
      <c r="AW102">
        <f t="shared" si="21"/>
        <v>20.303702176543208</v>
      </c>
      <c r="AX102" s="9"/>
      <c r="AY102" s="21">
        <v>0.36331200000000002</v>
      </c>
      <c r="AZ102" s="21">
        <v>28.793900000000001</v>
      </c>
      <c r="BA102" s="21">
        <v>-1.2777699999999999E-2</v>
      </c>
      <c r="BB102" s="21">
        <v>92</v>
      </c>
      <c r="BC102" s="21">
        <v>0.362732</v>
      </c>
      <c r="BD102">
        <f t="shared" si="22"/>
        <v>15.774938271604935</v>
      </c>
      <c r="BE102">
        <f t="shared" si="23"/>
        <v>5.7312243733333323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1.3616900000000001</v>
      </c>
      <c r="H103" s="21">
        <v>5.9729200000000002</v>
      </c>
      <c r="I103" s="21">
        <v>-1.24939E-2</v>
      </c>
      <c r="J103" s="21">
        <v>93</v>
      </c>
      <c r="K103" s="21">
        <v>1.3607800000000001</v>
      </c>
      <c r="L103">
        <f t="shared" si="12"/>
        <v>15.424567901234568</v>
      </c>
      <c r="M103">
        <f t="shared" si="13"/>
        <v>21.003479865432098</v>
      </c>
      <c r="N103" s="9"/>
      <c r="O103" s="21">
        <v>0.36834699999999998</v>
      </c>
      <c r="P103" s="21">
        <v>9.8525399999999994</v>
      </c>
      <c r="Q103" s="21">
        <v>-1.2982199999999999E-2</v>
      </c>
      <c r="R103" s="21">
        <v>93</v>
      </c>
      <c r="S103" s="21">
        <v>0.36785899999999999</v>
      </c>
      <c r="T103">
        <f t="shared" si="14"/>
        <v>16.027407407407406</v>
      </c>
      <c r="U103">
        <f t="shared" si="15"/>
        <v>5.9036474362962954</v>
      </c>
      <c r="X103" s="9"/>
      <c r="Y103" s="21">
        <v>1.3616900000000001</v>
      </c>
      <c r="Z103" s="21">
        <v>15.4261</v>
      </c>
      <c r="AA103" s="21">
        <v>-1.21674E-2</v>
      </c>
      <c r="AB103" s="21">
        <v>93</v>
      </c>
      <c r="AC103" s="21">
        <v>1.3613900000000001</v>
      </c>
      <c r="AD103">
        <f t="shared" si="16"/>
        <v>15.021481481481482</v>
      </c>
      <c r="AE103">
        <f t="shared" si="17"/>
        <v>20.454601118518521</v>
      </c>
      <c r="AF103" s="9"/>
      <c r="AG103" s="21">
        <v>0.36834699999999998</v>
      </c>
      <c r="AH103" s="21">
        <v>19.305700000000002</v>
      </c>
      <c r="AI103" s="21">
        <v>-1.2796E-2</v>
      </c>
      <c r="AJ103" s="21">
        <v>93</v>
      </c>
      <c r="AK103" s="21">
        <v>0.36776700000000001</v>
      </c>
      <c r="AL103">
        <f t="shared" si="18"/>
        <v>15.79753086419753</v>
      </c>
      <c r="AM103">
        <f t="shared" si="19"/>
        <v>5.8189731012345671</v>
      </c>
      <c r="AP103" s="9"/>
      <c r="AQ103" s="21">
        <v>1.3616900000000001</v>
      </c>
      <c r="AR103" s="21">
        <v>24.924299999999999</v>
      </c>
      <c r="AS103" s="21">
        <v>-1.20544E-2</v>
      </c>
      <c r="AT103" s="21">
        <v>93</v>
      </c>
      <c r="AU103" s="21">
        <v>1.3610800000000001</v>
      </c>
      <c r="AV103">
        <f t="shared" si="20"/>
        <v>14.881975308641973</v>
      </c>
      <c r="AW103">
        <f t="shared" si="21"/>
        <v>20.264636958024688</v>
      </c>
      <c r="AX103" s="9"/>
      <c r="AY103" s="21">
        <v>0.36834699999999998</v>
      </c>
      <c r="AZ103" s="21">
        <v>28.803999999999998</v>
      </c>
      <c r="BA103" s="21">
        <v>-1.27686E-2</v>
      </c>
      <c r="BB103" s="21">
        <v>93</v>
      </c>
      <c r="BC103" s="21">
        <v>0.36773699999999998</v>
      </c>
      <c r="BD103">
        <f t="shared" si="22"/>
        <v>15.763703703703703</v>
      </c>
      <c r="BE103">
        <f t="shared" si="23"/>
        <v>5.8065129681481471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1.35666</v>
      </c>
      <c r="H104" s="21">
        <v>5.98299</v>
      </c>
      <c r="I104" s="21">
        <v>-1.2506099999999999E-2</v>
      </c>
      <c r="J104" s="21">
        <v>94</v>
      </c>
      <c r="K104" s="21">
        <v>1.3555900000000001</v>
      </c>
      <c r="L104">
        <f t="shared" si="12"/>
        <v>15.439629629629628</v>
      </c>
      <c r="M104">
        <f t="shared" si="13"/>
        <v>20.946327933333333</v>
      </c>
      <c r="N104" s="9"/>
      <c r="O104" s="21">
        <v>0.37338300000000002</v>
      </c>
      <c r="P104" s="21">
        <v>9.8626100000000001</v>
      </c>
      <c r="Q104" s="21">
        <v>-1.2985200000000001E-2</v>
      </c>
      <c r="R104" s="21">
        <v>94</v>
      </c>
      <c r="S104" s="21">
        <v>0.37277199999999999</v>
      </c>
      <c r="T104">
        <f t="shared" si="14"/>
        <v>16.031111111111109</v>
      </c>
      <c r="U104">
        <f t="shared" si="15"/>
        <v>5.9857443599999991</v>
      </c>
      <c r="X104" s="9"/>
      <c r="Y104" s="21">
        <v>1.35666</v>
      </c>
      <c r="Z104" s="21">
        <v>15.436199999999999</v>
      </c>
      <c r="AA104" s="21">
        <v>-1.21826E-2</v>
      </c>
      <c r="AB104" s="21">
        <v>94</v>
      </c>
      <c r="AC104" s="21">
        <v>1.3562000000000001</v>
      </c>
      <c r="AD104">
        <f t="shared" si="16"/>
        <v>15.040246913580246</v>
      </c>
      <c r="AE104">
        <f t="shared" si="17"/>
        <v>20.404501377777777</v>
      </c>
      <c r="AF104" s="9"/>
      <c r="AG104" s="21">
        <v>0.37338300000000002</v>
      </c>
      <c r="AH104" s="21">
        <v>19.315799999999999</v>
      </c>
      <c r="AI104" s="21">
        <v>-1.27899E-2</v>
      </c>
      <c r="AJ104" s="21">
        <v>94</v>
      </c>
      <c r="AK104" s="21">
        <v>0.37283300000000003</v>
      </c>
      <c r="AL104">
        <f t="shared" si="18"/>
        <v>15.79</v>
      </c>
      <c r="AM104">
        <f t="shared" si="19"/>
        <v>5.8957175700000004</v>
      </c>
      <c r="AP104" s="9"/>
      <c r="AQ104" s="21">
        <v>1.35666</v>
      </c>
      <c r="AR104" s="21">
        <v>24.9344</v>
      </c>
      <c r="AS104" s="21">
        <v>-1.2063600000000001E-2</v>
      </c>
      <c r="AT104" s="21">
        <v>94</v>
      </c>
      <c r="AU104" s="21">
        <v>1.3559000000000001</v>
      </c>
      <c r="AV104">
        <f t="shared" si="20"/>
        <v>14.893333333333333</v>
      </c>
      <c r="AW104">
        <f t="shared" si="21"/>
        <v>20.205189599999997</v>
      </c>
      <c r="AX104" s="9"/>
      <c r="AY104" s="21">
        <v>0.37338300000000002</v>
      </c>
      <c r="AZ104" s="21">
        <v>28.814</v>
      </c>
      <c r="BA104" s="21">
        <v>-1.27533E-2</v>
      </c>
      <c r="BB104" s="21">
        <v>94</v>
      </c>
      <c r="BC104" s="21">
        <v>0.37277199999999999</v>
      </c>
      <c r="BD104">
        <f t="shared" si="22"/>
        <v>15.744814814814816</v>
      </c>
      <c r="BE104">
        <f t="shared" si="23"/>
        <v>5.8788461900000009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1.35162</v>
      </c>
      <c r="H105" s="21">
        <v>5.9930599999999998</v>
      </c>
      <c r="I105" s="21">
        <v>-1.25153E-2</v>
      </c>
      <c r="J105" s="21">
        <v>95</v>
      </c>
      <c r="K105" s="21">
        <v>1.35101</v>
      </c>
      <c r="L105">
        <f t="shared" si="12"/>
        <v>15.450987654320988</v>
      </c>
      <c r="M105">
        <f t="shared" si="13"/>
        <v>20.883863933333334</v>
      </c>
      <c r="N105" s="9"/>
      <c r="O105" s="21">
        <v>0.37841799999999998</v>
      </c>
      <c r="P105" s="21">
        <v>9.8726800000000008</v>
      </c>
      <c r="Q105" s="21">
        <v>-1.29944E-2</v>
      </c>
      <c r="R105" s="21">
        <v>95</v>
      </c>
      <c r="S105" s="21">
        <v>0.37783800000000001</v>
      </c>
      <c r="T105">
        <f t="shared" si="14"/>
        <v>16.042469135802467</v>
      </c>
      <c r="U105">
        <f t="shared" si="15"/>
        <v>6.0707590854320976</v>
      </c>
      <c r="X105" s="9"/>
      <c r="Y105" s="21">
        <v>1.35162</v>
      </c>
      <c r="Z105" s="21">
        <v>15.446199999999999</v>
      </c>
      <c r="AA105" s="21">
        <v>-1.2200900000000001E-2</v>
      </c>
      <c r="AB105" s="21">
        <v>95</v>
      </c>
      <c r="AC105" s="21">
        <v>1.3501000000000001</v>
      </c>
      <c r="AD105">
        <f t="shared" si="16"/>
        <v>15.062839506172839</v>
      </c>
      <c r="AE105">
        <f t="shared" si="17"/>
        <v>20.359235133333332</v>
      </c>
      <c r="AF105" s="9"/>
      <c r="AG105" s="21">
        <v>0.37841799999999998</v>
      </c>
      <c r="AH105" s="21">
        <v>19.325900000000001</v>
      </c>
      <c r="AI105" s="21">
        <v>-1.27869E-2</v>
      </c>
      <c r="AJ105" s="21">
        <v>95</v>
      </c>
      <c r="AK105" s="21">
        <v>0.37780799999999998</v>
      </c>
      <c r="AL105">
        <f t="shared" si="18"/>
        <v>15.786296296296294</v>
      </c>
      <c r="AM105">
        <f t="shared" si="19"/>
        <v>5.9738186718518511</v>
      </c>
      <c r="AP105" s="9"/>
      <c r="AQ105" s="21">
        <v>1.35162</v>
      </c>
      <c r="AR105" s="21">
        <v>24.944500000000001</v>
      </c>
      <c r="AS105" s="21">
        <v>-1.2075799999999999E-2</v>
      </c>
      <c r="AT105" s="21">
        <v>95</v>
      </c>
      <c r="AU105" s="21">
        <v>1.35101</v>
      </c>
      <c r="AV105">
        <f t="shared" si="20"/>
        <v>14.908395061728394</v>
      </c>
      <c r="AW105">
        <f t="shared" si="21"/>
        <v>20.150484933333331</v>
      </c>
      <c r="AX105" s="9"/>
      <c r="AY105" s="21">
        <v>0.37841799999999998</v>
      </c>
      <c r="AZ105" s="21">
        <v>28.824100000000001</v>
      </c>
      <c r="BA105" s="21">
        <v>-1.27411E-2</v>
      </c>
      <c r="BB105" s="21">
        <v>95</v>
      </c>
      <c r="BC105" s="21">
        <v>0.37780799999999998</v>
      </c>
      <c r="BD105">
        <f t="shared" si="22"/>
        <v>15.729753086419752</v>
      </c>
      <c r="BE105">
        <f t="shared" si="23"/>
        <v>5.952421703456789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1.34659</v>
      </c>
      <c r="H106" s="21">
        <v>6.0031299999999996</v>
      </c>
      <c r="I106" s="21">
        <v>-1.25275E-2</v>
      </c>
      <c r="J106" s="21">
        <v>96</v>
      </c>
      <c r="K106" s="21">
        <v>1.34552</v>
      </c>
      <c r="L106">
        <f t="shared" si="12"/>
        <v>15.466049382716049</v>
      </c>
      <c r="M106">
        <f t="shared" si="13"/>
        <v>20.826427438271605</v>
      </c>
      <c r="N106" s="9"/>
      <c r="O106" s="21">
        <v>0.38345299999999999</v>
      </c>
      <c r="P106" s="21">
        <v>9.8827499999999997</v>
      </c>
      <c r="Q106" s="21">
        <v>-1.29944E-2</v>
      </c>
      <c r="R106" s="21">
        <v>96</v>
      </c>
      <c r="S106" s="21">
        <v>0.38290400000000002</v>
      </c>
      <c r="T106">
        <f t="shared" si="14"/>
        <v>16.042469135802467</v>
      </c>
      <c r="U106">
        <f t="shared" si="15"/>
        <v>6.1515329175308633</v>
      </c>
      <c r="X106" s="9"/>
      <c r="Y106" s="21">
        <v>1.34659</v>
      </c>
      <c r="Z106" s="21">
        <v>15.456300000000001</v>
      </c>
      <c r="AA106" s="21">
        <v>-1.22162E-2</v>
      </c>
      <c r="AB106" s="21">
        <v>96</v>
      </c>
      <c r="AC106" s="21">
        <v>1.34613</v>
      </c>
      <c r="AD106">
        <f t="shared" si="16"/>
        <v>15.081728395061727</v>
      </c>
      <c r="AE106">
        <f t="shared" si="17"/>
        <v>20.308904639506171</v>
      </c>
      <c r="AF106" s="9"/>
      <c r="AG106" s="21">
        <v>0.38345299999999999</v>
      </c>
      <c r="AH106" s="21">
        <v>19.335899999999999</v>
      </c>
      <c r="AI106" s="21">
        <v>-1.27869E-2</v>
      </c>
      <c r="AJ106" s="21">
        <v>96</v>
      </c>
      <c r="AK106" s="21">
        <v>0.38290400000000002</v>
      </c>
      <c r="AL106">
        <f t="shared" si="18"/>
        <v>15.786296296296294</v>
      </c>
      <c r="AM106">
        <f t="shared" si="19"/>
        <v>6.053302673703703</v>
      </c>
      <c r="AP106" s="9"/>
      <c r="AQ106" s="21">
        <v>1.34659</v>
      </c>
      <c r="AR106" s="21">
        <v>24.954499999999999</v>
      </c>
      <c r="AS106" s="21">
        <v>-1.2103300000000001E-2</v>
      </c>
      <c r="AT106" s="21">
        <v>96</v>
      </c>
      <c r="AU106" s="21">
        <v>1.3458300000000001</v>
      </c>
      <c r="AV106">
        <f t="shared" si="20"/>
        <v>14.942345679012346</v>
      </c>
      <c r="AW106">
        <f t="shared" si="21"/>
        <v>20.121213267901236</v>
      </c>
      <c r="AX106" s="9"/>
      <c r="AY106" s="21">
        <v>0.38345299999999999</v>
      </c>
      <c r="AZ106" s="21">
        <v>28.834199999999999</v>
      </c>
      <c r="BA106" s="21">
        <v>-1.2731900000000001E-2</v>
      </c>
      <c r="BB106" s="21">
        <v>96</v>
      </c>
      <c r="BC106" s="21">
        <v>0.38284299999999999</v>
      </c>
      <c r="BD106">
        <f t="shared" si="22"/>
        <v>15.718395061728396</v>
      </c>
      <c r="BE106">
        <f t="shared" si="23"/>
        <v>6.0272657416049382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1.34155</v>
      </c>
      <c r="H107" s="21">
        <v>6.0132099999999999</v>
      </c>
      <c r="I107" s="21">
        <v>-1.25275E-2</v>
      </c>
      <c r="J107" s="21">
        <v>97</v>
      </c>
      <c r="K107" s="21">
        <v>1.3406400000000001</v>
      </c>
      <c r="L107">
        <f t="shared" si="12"/>
        <v>15.466049382716049</v>
      </c>
      <c r="M107">
        <f t="shared" si="13"/>
        <v>20.748478549382718</v>
      </c>
      <c r="N107" s="9"/>
      <c r="O107" s="21">
        <v>0.38848899999999997</v>
      </c>
      <c r="P107" s="21">
        <v>9.8928200000000004</v>
      </c>
      <c r="Q107" s="21">
        <v>-1.2991300000000001E-2</v>
      </c>
      <c r="R107" s="21">
        <v>97</v>
      </c>
      <c r="S107" s="21">
        <v>0.38800000000000001</v>
      </c>
      <c r="T107">
        <f t="shared" si="14"/>
        <v>16.038641975308643</v>
      </c>
      <c r="U107">
        <f t="shared" si="15"/>
        <v>6.2308359823456794</v>
      </c>
      <c r="X107" s="9"/>
      <c r="Y107" s="21">
        <v>1.34155</v>
      </c>
      <c r="Z107" s="21">
        <v>15.4664</v>
      </c>
      <c r="AA107" s="21">
        <v>-1.22253E-2</v>
      </c>
      <c r="AB107" s="21">
        <v>97</v>
      </c>
      <c r="AC107" s="21">
        <v>1.3406400000000001</v>
      </c>
      <c r="AD107">
        <f t="shared" si="16"/>
        <v>15.092962962962961</v>
      </c>
      <c r="AE107">
        <f t="shared" si="17"/>
        <v>20.247964462962962</v>
      </c>
      <c r="AF107" s="9"/>
      <c r="AG107" s="21">
        <v>0.38848899999999997</v>
      </c>
      <c r="AH107" s="21">
        <v>19.346</v>
      </c>
      <c r="AI107" s="21">
        <v>-1.27869E-2</v>
      </c>
      <c r="AJ107" s="21">
        <v>97</v>
      </c>
      <c r="AK107" s="21">
        <v>0.38784800000000003</v>
      </c>
      <c r="AL107">
        <f t="shared" si="18"/>
        <v>15.786296296296294</v>
      </c>
      <c r="AM107">
        <f t="shared" si="19"/>
        <v>6.1328024618518509</v>
      </c>
      <c r="AP107" s="9"/>
      <c r="AQ107" s="21">
        <v>1.34155</v>
      </c>
      <c r="AR107" s="21">
        <v>24.964600000000001</v>
      </c>
      <c r="AS107" s="21">
        <v>-1.2118500000000001E-2</v>
      </c>
      <c r="AT107" s="21">
        <v>97</v>
      </c>
      <c r="AU107" s="21">
        <v>1.3406400000000001</v>
      </c>
      <c r="AV107">
        <f t="shared" si="20"/>
        <v>14.96111111111111</v>
      </c>
      <c r="AW107">
        <f t="shared" si="21"/>
        <v>20.071078611111112</v>
      </c>
      <c r="AX107" s="9"/>
      <c r="AY107" s="21">
        <v>0.38848899999999997</v>
      </c>
      <c r="AZ107" s="21">
        <v>28.844200000000001</v>
      </c>
      <c r="BA107" s="21">
        <v>-1.27289E-2</v>
      </c>
      <c r="BB107" s="21">
        <v>97</v>
      </c>
      <c r="BC107" s="21">
        <v>0.38796999999999998</v>
      </c>
      <c r="BD107">
        <f t="shared" si="22"/>
        <v>15.714691358024689</v>
      </c>
      <c r="BE107">
        <f t="shared" si="23"/>
        <v>6.1049847309876535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1.3365199999999999</v>
      </c>
      <c r="H108" s="21">
        <v>6.0232799999999997</v>
      </c>
      <c r="I108" s="21">
        <v>-1.2545799999999999E-2</v>
      </c>
      <c r="J108" s="21">
        <v>98</v>
      </c>
      <c r="K108" s="21">
        <v>1.33606</v>
      </c>
      <c r="L108">
        <f t="shared" si="12"/>
        <v>15.48864197530864</v>
      </c>
      <c r="M108">
        <f t="shared" si="13"/>
        <v>20.700879772839503</v>
      </c>
      <c r="N108" s="9"/>
      <c r="O108" s="21">
        <v>0.39352399999999998</v>
      </c>
      <c r="P108" s="21">
        <v>9.9028899999999993</v>
      </c>
      <c r="Q108" s="21">
        <v>-1.29791E-2</v>
      </c>
      <c r="R108" s="21">
        <v>98</v>
      </c>
      <c r="S108" s="21">
        <v>0.393036</v>
      </c>
      <c r="T108">
        <f t="shared" si="14"/>
        <v>16.023580246913578</v>
      </c>
      <c r="U108">
        <f t="shared" si="15"/>
        <v>6.3056633930864185</v>
      </c>
      <c r="X108" s="9"/>
      <c r="Y108" s="21">
        <v>1.3365199999999999</v>
      </c>
      <c r="Z108" s="21">
        <v>15.4765</v>
      </c>
      <c r="AA108" s="21">
        <v>-1.22437E-2</v>
      </c>
      <c r="AB108" s="21">
        <v>98</v>
      </c>
      <c r="AC108" s="21">
        <v>1.33545</v>
      </c>
      <c r="AD108">
        <f t="shared" si="16"/>
        <v>15.115679012345678</v>
      </c>
      <c r="AE108">
        <f t="shared" si="17"/>
        <v>20.202407313580245</v>
      </c>
      <c r="AF108" s="9"/>
      <c r="AG108" s="21">
        <v>0.39352399999999998</v>
      </c>
      <c r="AH108" s="21">
        <v>19.356100000000001</v>
      </c>
      <c r="AI108" s="21">
        <v>-1.2777699999999999E-2</v>
      </c>
      <c r="AJ108" s="21">
        <v>98</v>
      </c>
      <c r="AK108" s="21">
        <v>0.39297500000000002</v>
      </c>
      <c r="AL108">
        <f t="shared" si="18"/>
        <v>15.774938271604935</v>
      </c>
      <c r="AM108">
        <f t="shared" si="19"/>
        <v>6.2078168083950604</v>
      </c>
      <c r="AP108" s="9"/>
      <c r="AQ108" s="21">
        <v>1.3365199999999999</v>
      </c>
      <c r="AR108" s="21">
        <v>24.974699999999999</v>
      </c>
      <c r="AS108" s="21">
        <v>-1.21399E-2</v>
      </c>
      <c r="AT108" s="21">
        <v>98</v>
      </c>
      <c r="AU108" s="21">
        <v>1.33545</v>
      </c>
      <c r="AV108">
        <f t="shared" si="20"/>
        <v>14.987530864197531</v>
      </c>
      <c r="AW108">
        <f t="shared" si="21"/>
        <v>20.031134750617284</v>
      </c>
      <c r="AX108" s="9"/>
      <c r="AY108" s="21">
        <v>0.39352399999999998</v>
      </c>
      <c r="AZ108" s="21">
        <v>28.854299999999999</v>
      </c>
      <c r="BA108" s="21">
        <v>-1.2722799999999999E-2</v>
      </c>
      <c r="BB108" s="21">
        <v>98</v>
      </c>
      <c r="BC108" s="21">
        <v>0.393036</v>
      </c>
      <c r="BD108">
        <f t="shared" si="22"/>
        <v>15.707160493827157</v>
      </c>
      <c r="BE108">
        <f t="shared" si="23"/>
        <v>6.1811446261728378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1.33148</v>
      </c>
      <c r="H109" s="21">
        <v>6.0333500000000004</v>
      </c>
      <c r="I109" s="21">
        <v>-1.2567099999999999E-2</v>
      </c>
      <c r="J109" s="21">
        <v>99</v>
      </c>
      <c r="K109" s="21">
        <v>1.33087</v>
      </c>
      <c r="L109">
        <f t="shared" si="12"/>
        <v>15.514938271604937</v>
      </c>
      <c r="M109">
        <f t="shared" si="13"/>
        <v>20.657830009876541</v>
      </c>
      <c r="N109" s="9"/>
      <c r="O109" s="21">
        <v>0.39856000000000003</v>
      </c>
      <c r="P109" s="21">
        <v>9.91296</v>
      </c>
      <c r="Q109" s="21">
        <v>-1.29791E-2</v>
      </c>
      <c r="R109" s="21">
        <v>99</v>
      </c>
      <c r="S109" s="21">
        <v>0.39798</v>
      </c>
      <c r="T109">
        <f t="shared" si="14"/>
        <v>16.023580246913578</v>
      </c>
      <c r="U109">
        <f t="shared" si="15"/>
        <v>6.3863581432098764</v>
      </c>
      <c r="X109" s="9"/>
      <c r="Y109" s="21">
        <v>1.33148</v>
      </c>
      <c r="Z109" s="21">
        <v>15.486499999999999</v>
      </c>
      <c r="AA109" s="21">
        <v>-1.2262E-2</v>
      </c>
      <c r="AB109" s="21">
        <v>99</v>
      </c>
      <c r="AC109" s="21">
        <v>1.33057</v>
      </c>
      <c r="AD109">
        <f t="shared" si="16"/>
        <v>15.138271604938272</v>
      </c>
      <c r="AE109">
        <f t="shared" si="17"/>
        <v>20.156305876543211</v>
      </c>
      <c r="AF109" s="9"/>
      <c r="AG109" s="21">
        <v>0.39856000000000003</v>
      </c>
      <c r="AH109" s="21">
        <v>19.366099999999999</v>
      </c>
      <c r="AI109" s="21">
        <v>-1.2765500000000001E-2</v>
      </c>
      <c r="AJ109" s="21">
        <v>99</v>
      </c>
      <c r="AK109" s="21">
        <v>0.39798</v>
      </c>
      <c r="AL109">
        <f t="shared" si="18"/>
        <v>15.759876543209876</v>
      </c>
      <c r="AM109">
        <f t="shared" si="19"/>
        <v>6.2812563950617282</v>
      </c>
      <c r="AP109" s="9"/>
      <c r="AQ109" s="21">
        <v>1.33148</v>
      </c>
      <c r="AR109" s="21">
        <v>24.9848</v>
      </c>
      <c r="AS109" s="21">
        <v>-1.21552E-2</v>
      </c>
      <c r="AT109" s="21">
        <v>99</v>
      </c>
      <c r="AU109" s="21">
        <v>1.33087</v>
      </c>
      <c r="AV109">
        <f t="shared" si="20"/>
        <v>15.006419753086417</v>
      </c>
      <c r="AW109">
        <f t="shared" si="21"/>
        <v>19.980747772839504</v>
      </c>
      <c r="AX109" s="9"/>
      <c r="AY109" s="21">
        <v>0.39856000000000003</v>
      </c>
      <c r="AZ109" s="21">
        <v>28.8644</v>
      </c>
      <c r="BA109" s="21">
        <v>-1.2725800000000001E-2</v>
      </c>
      <c r="BB109" s="21">
        <v>99</v>
      </c>
      <c r="BC109" s="21">
        <v>0.397949</v>
      </c>
      <c r="BD109">
        <f t="shared" si="22"/>
        <v>15.710864197530865</v>
      </c>
      <c r="BE109">
        <f t="shared" si="23"/>
        <v>6.2617220345679021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1.3264499999999999</v>
      </c>
      <c r="H110" s="21">
        <v>6.0434200000000002</v>
      </c>
      <c r="I110" s="21">
        <v>-1.25793E-2</v>
      </c>
      <c r="J110" s="21">
        <v>100</v>
      </c>
      <c r="K110" s="21">
        <v>1.32568</v>
      </c>
      <c r="L110">
        <f t="shared" si="12"/>
        <v>15.53</v>
      </c>
      <c r="M110">
        <f t="shared" si="13"/>
        <v>20.599768499999996</v>
      </c>
      <c r="N110" s="9"/>
      <c r="O110" s="21">
        <v>0.40359499999999998</v>
      </c>
      <c r="P110" s="21">
        <v>9.9230300000000007</v>
      </c>
      <c r="Q110" s="21">
        <v>-1.2985200000000001E-2</v>
      </c>
      <c r="R110" s="21">
        <v>100</v>
      </c>
      <c r="S110" s="21">
        <v>0.40301500000000001</v>
      </c>
      <c r="T110">
        <f t="shared" si="14"/>
        <v>16.031111111111109</v>
      </c>
      <c r="U110">
        <f t="shared" si="15"/>
        <v>6.4700762888888876</v>
      </c>
      <c r="X110" s="9"/>
      <c r="Y110" s="21">
        <v>1.3264499999999999</v>
      </c>
      <c r="Z110" s="21">
        <v>15.496600000000001</v>
      </c>
      <c r="AA110" s="21">
        <v>-1.22833E-2</v>
      </c>
      <c r="AB110" s="21">
        <v>100</v>
      </c>
      <c r="AC110" s="21">
        <v>1.32568</v>
      </c>
      <c r="AD110">
        <f t="shared" si="16"/>
        <v>15.164567901234568</v>
      </c>
      <c r="AE110">
        <f t="shared" si="17"/>
        <v>20.115041092592591</v>
      </c>
      <c r="AF110" s="9"/>
      <c r="AG110" s="21">
        <v>0.40359499999999998</v>
      </c>
      <c r="AH110" s="21">
        <v>19.376200000000001</v>
      </c>
      <c r="AI110" s="21">
        <v>-1.2765500000000001E-2</v>
      </c>
      <c r="AJ110" s="21">
        <v>100</v>
      </c>
      <c r="AK110" s="21">
        <v>0.40307599999999999</v>
      </c>
      <c r="AL110">
        <f t="shared" si="18"/>
        <v>15.759876543209876</v>
      </c>
      <c r="AM110">
        <f t="shared" si="19"/>
        <v>6.3606073734567898</v>
      </c>
      <c r="AP110" s="9"/>
      <c r="AQ110" s="21">
        <v>1.3264499999999999</v>
      </c>
      <c r="AR110" s="21">
        <v>24.994800000000001</v>
      </c>
      <c r="AS110" s="21">
        <v>-1.21887E-2</v>
      </c>
      <c r="AT110" s="21">
        <v>100</v>
      </c>
      <c r="AU110" s="21">
        <v>1.32507</v>
      </c>
      <c r="AV110">
        <f t="shared" si="20"/>
        <v>15.047777777777776</v>
      </c>
      <c r="AW110">
        <f t="shared" si="21"/>
        <v>19.960124833333332</v>
      </c>
      <c r="AX110" s="9"/>
      <c r="AY110" s="21">
        <v>0.40359499999999998</v>
      </c>
      <c r="AZ110" s="21">
        <v>28.874400000000001</v>
      </c>
      <c r="BA110" s="21">
        <v>-1.2716699999999999E-2</v>
      </c>
      <c r="BB110" s="21">
        <v>100</v>
      </c>
      <c r="BC110" s="21">
        <v>0.40301500000000001</v>
      </c>
      <c r="BD110">
        <f t="shared" si="22"/>
        <v>15.699629629629626</v>
      </c>
      <c r="BE110">
        <f t="shared" si="23"/>
        <v>6.3362920203703688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1.32141</v>
      </c>
      <c r="H111" s="21">
        <v>6.05349</v>
      </c>
      <c r="I111" s="21">
        <v>-1.25916E-2</v>
      </c>
      <c r="J111" s="21">
        <v>101</v>
      </c>
      <c r="K111" s="21">
        <v>1.3208</v>
      </c>
      <c r="L111">
        <f t="shared" si="12"/>
        <v>15.545185185185185</v>
      </c>
      <c r="M111">
        <f t="shared" si="13"/>
        <v>20.541563155555554</v>
      </c>
      <c r="N111" s="9"/>
      <c r="O111" s="21">
        <v>0.40862999999999999</v>
      </c>
      <c r="P111" s="21">
        <v>9.9330999999999996</v>
      </c>
      <c r="Q111" s="21">
        <v>-1.2973E-2</v>
      </c>
      <c r="R111" s="21">
        <v>101</v>
      </c>
      <c r="S111" s="21">
        <v>0.40799000000000002</v>
      </c>
      <c r="T111">
        <f t="shared" si="14"/>
        <v>16.016049382716048</v>
      </c>
      <c r="U111">
        <f t="shared" si="15"/>
        <v>6.5446382592592585</v>
      </c>
      <c r="X111" s="9"/>
      <c r="Y111" s="21">
        <v>1.32141</v>
      </c>
      <c r="Z111" s="21">
        <v>15.5067</v>
      </c>
      <c r="AA111" s="21">
        <v>-1.23199E-2</v>
      </c>
      <c r="AB111" s="21">
        <v>101</v>
      </c>
      <c r="AC111" s="21">
        <v>1.32111</v>
      </c>
      <c r="AD111">
        <f t="shared" si="16"/>
        <v>15.209753086419752</v>
      </c>
      <c r="AE111">
        <f t="shared" si="17"/>
        <v>20.098319825925923</v>
      </c>
      <c r="AF111" s="9"/>
      <c r="AG111" s="21">
        <v>0.40862999999999999</v>
      </c>
      <c r="AH111" s="21">
        <v>19.386299999999999</v>
      </c>
      <c r="AI111" s="21">
        <v>-1.2759400000000001E-2</v>
      </c>
      <c r="AJ111" s="21">
        <v>101</v>
      </c>
      <c r="AK111" s="21">
        <v>0.40799000000000002</v>
      </c>
      <c r="AL111">
        <f t="shared" si="18"/>
        <v>15.752345679012343</v>
      </c>
      <c r="AM111">
        <f t="shared" si="19"/>
        <v>6.4368810148148139</v>
      </c>
      <c r="AP111" s="9"/>
      <c r="AQ111" s="21">
        <v>1.32141</v>
      </c>
      <c r="AR111" s="21">
        <v>25.004899999999999</v>
      </c>
      <c r="AS111" s="21">
        <v>-1.2204E-2</v>
      </c>
      <c r="AT111" s="21">
        <v>101</v>
      </c>
      <c r="AU111" s="21">
        <v>1.3205</v>
      </c>
      <c r="AV111">
        <f t="shared" si="20"/>
        <v>15.066666666666666</v>
      </c>
      <c r="AW111">
        <f t="shared" si="21"/>
        <v>19.909244000000001</v>
      </c>
      <c r="AX111" s="9"/>
      <c r="AY111" s="21">
        <v>0.40862999999999999</v>
      </c>
      <c r="AZ111" s="21">
        <v>28.884499999999999</v>
      </c>
      <c r="BA111" s="21">
        <v>-1.27075E-2</v>
      </c>
      <c r="BB111" s="21">
        <v>101</v>
      </c>
      <c r="BC111" s="21">
        <v>0.40795900000000002</v>
      </c>
      <c r="BD111">
        <f t="shared" si="22"/>
        <v>15.68827160493827</v>
      </c>
      <c r="BE111">
        <f t="shared" si="23"/>
        <v>6.4106984259259256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1.3163800000000001</v>
      </c>
      <c r="H112" s="21">
        <v>6.0635599999999998</v>
      </c>
      <c r="I112" s="21">
        <v>-1.2619E-2</v>
      </c>
      <c r="J112" s="21">
        <v>102</v>
      </c>
      <c r="K112" s="21">
        <v>1.3156099999999999</v>
      </c>
      <c r="L112">
        <f t="shared" si="12"/>
        <v>15.579012345679011</v>
      </c>
      <c r="M112">
        <f t="shared" si="13"/>
        <v>20.507900271604939</v>
      </c>
      <c r="N112" s="9"/>
      <c r="O112" s="21">
        <v>0.41366599999999998</v>
      </c>
      <c r="P112" s="21">
        <v>9.9431799999999999</v>
      </c>
      <c r="Q112" s="21">
        <v>-1.29578E-2</v>
      </c>
      <c r="R112" s="21">
        <v>102</v>
      </c>
      <c r="S112" s="21">
        <v>0.41305500000000001</v>
      </c>
      <c r="T112">
        <f t="shared" si="14"/>
        <v>15.997283950617284</v>
      </c>
      <c r="U112">
        <f t="shared" si="15"/>
        <v>6.6175324627160492</v>
      </c>
      <c r="X112" s="9"/>
      <c r="Y112" s="21">
        <v>1.3163800000000001</v>
      </c>
      <c r="Z112" s="21">
        <v>15.5167</v>
      </c>
      <c r="AA112" s="21">
        <v>-1.23474E-2</v>
      </c>
      <c r="AB112" s="21">
        <v>102</v>
      </c>
      <c r="AC112" s="21">
        <v>1.3156099999999999</v>
      </c>
      <c r="AD112">
        <f t="shared" si="16"/>
        <v>15.243703703703702</v>
      </c>
      <c r="AE112">
        <f t="shared" si="17"/>
        <v>20.066506681481481</v>
      </c>
      <c r="AF112" s="9"/>
      <c r="AG112" s="21">
        <v>0.41366599999999998</v>
      </c>
      <c r="AH112" s="21">
        <v>19.3964</v>
      </c>
      <c r="AI112" s="21">
        <v>-1.2759400000000001E-2</v>
      </c>
      <c r="AJ112" s="21">
        <v>102</v>
      </c>
      <c r="AK112" s="21">
        <v>0.41302499999999998</v>
      </c>
      <c r="AL112">
        <f t="shared" si="18"/>
        <v>15.752345679012343</v>
      </c>
      <c r="AM112">
        <f t="shared" si="19"/>
        <v>6.5162098276543192</v>
      </c>
      <c r="AP112" s="9"/>
      <c r="AQ112" s="21">
        <v>1.3163800000000001</v>
      </c>
      <c r="AR112" s="21">
        <v>25.015000000000001</v>
      </c>
      <c r="AS112" s="21">
        <v>-1.22162E-2</v>
      </c>
      <c r="AT112" s="21">
        <v>102</v>
      </c>
      <c r="AU112" s="21">
        <v>1.31592</v>
      </c>
      <c r="AV112">
        <f t="shared" si="20"/>
        <v>15.081728395061727</v>
      </c>
      <c r="AW112">
        <f t="shared" si="21"/>
        <v>19.85328562469136</v>
      </c>
      <c r="AX112" s="9"/>
      <c r="AY112" s="21">
        <v>0.41366599999999998</v>
      </c>
      <c r="AZ112" s="21">
        <v>28.894600000000001</v>
      </c>
      <c r="BA112" s="21">
        <v>-1.27014E-2</v>
      </c>
      <c r="BB112" s="21">
        <v>102</v>
      </c>
      <c r="BC112" s="21">
        <v>0.41308600000000001</v>
      </c>
      <c r="BD112">
        <f t="shared" si="22"/>
        <v>15.680740740740738</v>
      </c>
      <c r="BE112">
        <f t="shared" si="23"/>
        <v>6.4865892992592578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1.31134</v>
      </c>
      <c r="H113" s="21">
        <v>6.0736299999999996</v>
      </c>
      <c r="I113" s="21">
        <v>-1.26404E-2</v>
      </c>
      <c r="J113" s="21">
        <v>103</v>
      </c>
      <c r="K113" s="21">
        <v>1.3104199999999999</v>
      </c>
      <c r="L113">
        <f t="shared" si="12"/>
        <v>15.60543209876543</v>
      </c>
      <c r="M113">
        <f t="shared" si="13"/>
        <v>20.464027328395058</v>
      </c>
      <c r="N113" s="9"/>
      <c r="O113" s="21">
        <v>0.41870099999999999</v>
      </c>
      <c r="P113" s="21">
        <v>9.9532500000000006</v>
      </c>
      <c r="Q113" s="21">
        <v>-1.29547E-2</v>
      </c>
      <c r="R113" s="21">
        <v>103</v>
      </c>
      <c r="S113" s="21">
        <v>0.41809099999999999</v>
      </c>
      <c r="T113">
        <f t="shared" si="14"/>
        <v>15.993456790123457</v>
      </c>
      <c r="U113">
        <f t="shared" si="15"/>
        <v>6.6964763514814809</v>
      </c>
      <c r="X113" s="9"/>
      <c r="Y113" s="21">
        <v>1.31134</v>
      </c>
      <c r="Z113" s="21">
        <v>15.5268</v>
      </c>
      <c r="AA113" s="21">
        <v>-1.23657E-2</v>
      </c>
      <c r="AB113" s="21">
        <v>103</v>
      </c>
      <c r="AC113" s="21">
        <v>1.31073</v>
      </c>
      <c r="AD113">
        <f t="shared" si="16"/>
        <v>15.266296296296295</v>
      </c>
      <c r="AE113">
        <f t="shared" si="17"/>
        <v>20.019304985185183</v>
      </c>
      <c r="AF113" s="9"/>
      <c r="AG113" s="21">
        <v>0.41870099999999999</v>
      </c>
      <c r="AH113" s="21">
        <v>19.406400000000001</v>
      </c>
      <c r="AI113" s="21">
        <v>-1.2765500000000001E-2</v>
      </c>
      <c r="AJ113" s="21">
        <v>103</v>
      </c>
      <c r="AK113" s="21">
        <v>0.41805999999999999</v>
      </c>
      <c r="AL113">
        <f t="shared" si="18"/>
        <v>15.759876543209876</v>
      </c>
      <c r="AM113">
        <f t="shared" si="19"/>
        <v>6.5986760685185182</v>
      </c>
      <c r="AP113" s="9"/>
      <c r="AQ113" s="21">
        <v>1.31134</v>
      </c>
      <c r="AR113" s="21">
        <v>25.024999999999999</v>
      </c>
      <c r="AS113" s="21">
        <v>-1.22314E-2</v>
      </c>
      <c r="AT113" s="21">
        <v>103</v>
      </c>
      <c r="AU113" s="21">
        <v>1.31104</v>
      </c>
      <c r="AV113">
        <f t="shared" si="20"/>
        <v>15.100493827160493</v>
      </c>
      <c r="AW113">
        <f t="shared" si="21"/>
        <v>19.801881575308641</v>
      </c>
      <c r="AX113" s="9"/>
      <c r="AY113" s="21">
        <v>0.41870099999999999</v>
      </c>
      <c r="AZ113" s="21">
        <v>28.904699999999998</v>
      </c>
      <c r="BA113" s="21">
        <v>-1.2689199999999999E-2</v>
      </c>
      <c r="BB113" s="21">
        <v>103</v>
      </c>
      <c r="BC113" s="21">
        <v>0.41812100000000002</v>
      </c>
      <c r="BD113">
        <f t="shared" si="22"/>
        <v>15.665679012345679</v>
      </c>
      <c r="BE113">
        <f t="shared" si="23"/>
        <v>6.559235468148148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1.3063</v>
      </c>
      <c r="H114" s="21">
        <v>6.0837000000000003</v>
      </c>
      <c r="I114" s="21">
        <v>-1.26617E-2</v>
      </c>
      <c r="J114" s="21">
        <v>104</v>
      </c>
      <c r="K114" s="21">
        <v>1.30524</v>
      </c>
      <c r="L114">
        <f t="shared" si="12"/>
        <v>15.631728395061728</v>
      </c>
      <c r="M114">
        <f t="shared" si="13"/>
        <v>20.419726802469135</v>
      </c>
      <c r="N114" s="9"/>
      <c r="O114" s="21">
        <v>0.42373699999999997</v>
      </c>
      <c r="P114" s="21">
        <v>9.9633199999999995</v>
      </c>
      <c r="Q114" s="21">
        <v>-1.29456E-2</v>
      </c>
      <c r="R114" s="21">
        <v>104</v>
      </c>
      <c r="S114" s="21">
        <v>0.423126</v>
      </c>
      <c r="T114">
        <f t="shared" si="14"/>
        <v>15.982222222222221</v>
      </c>
      <c r="U114">
        <f t="shared" si="15"/>
        <v>6.7722588977777773</v>
      </c>
      <c r="X114" s="9"/>
      <c r="Y114" s="21">
        <v>1.3063</v>
      </c>
      <c r="Z114" s="21">
        <v>15.536899999999999</v>
      </c>
      <c r="AA114" s="21">
        <v>-1.2374899999999999E-2</v>
      </c>
      <c r="AB114" s="21">
        <v>104</v>
      </c>
      <c r="AC114" s="21">
        <v>1.30585</v>
      </c>
      <c r="AD114">
        <f t="shared" si="16"/>
        <v>15.277654320987653</v>
      </c>
      <c r="AE114">
        <f t="shared" si="17"/>
        <v>19.95719983950617</v>
      </c>
      <c r="AF114" s="9"/>
      <c r="AG114" s="21">
        <v>0.42373699999999997</v>
      </c>
      <c r="AH114" s="21">
        <v>19.416499999999999</v>
      </c>
      <c r="AI114" s="21">
        <v>-1.27625E-2</v>
      </c>
      <c r="AJ114" s="21">
        <v>104</v>
      </c>
      <c r="AK114" s="21">
        <v>0.42315700000000001</v>
      </c>
      <c r="AL114">
        <f t="shared" si="18"/>
        <v>15.756172839506172</v>
      </c>
      <c r="AM114">
        <f t="shared" si="19"/>
        <v>6.6764734104938261</v>
      </c>
      <c r="AP114" s="9"/>
      <c r="AQ114" s="21">
        <v>1.3063</v>
      </c>
      <c r="AR114" s="21">
        <v>25.0351</v>
      </c>
      <c r="AS114" s="21">
        <v>-1.2246699999999999E-2</v>
      </c>
      <c r="AT114" s="21">
        <v>104</v>
      </c>
      <c r="AU114" s="21">
        <v>1.30585</v>
      </c>
      <c r="AV114">
        <f t="shared" si="20"/>
        <v>15.11938271604938</v>
      </c>
      <c r="AW114">
        <f t="shared" si="21"/>
        <v>19.750449641975305</v>
      </c>
      <c r="AX114" s="9"/>
      <c r="AY114" s="21">
        <v>0.42373699999999997</v>
      </c>
      <c r="AZ114" s="21">
        <v>28.9147</v>
      </c>
      <c r="BA114" s="21">
        <v>-1.2683099999999999E-2</v>
      </c>
      <c r="BB114" s="21">
        <v>104</v>
      </c>
      <c r="BC114" s="21">
        <v>0.42315700000000001</v>
      </c>
      <c r="BD114">
        <f t="shared" si="22"/>
        <v>15.658148148148147</v>
      </c>
      <c r="BE114">
        <f t="shared" si="23"/>
        <v>6.6349367218518509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1.3012699999999999</v>
      </c>
      <c r="H115" s="21">
        <v>6.0937700000000001</v>
      </c>
      <c r="I115" s="21">
        <v>-1.2677000000000001E-2</v>
      </c>
      <c r="J115" s="21">
        <v>105</v>
      </c>
      <c r="K115" s="21">
        <v>1.3003499999999999</v>
      </c>
      <c r="L115">
        <f t="shared" si="12"/>
        <v>15.650617283950618</v>
      </c>
      <c r="M115">
        <f t="shared" si="13"/>
        <v>20.365678753086421</v>
      </c>
      <c r="N115" s="9"/>
      <c r="O115" s="21">
        <v>0.42877199999999999</v>
      </c>
      <c r="P115" s="21">
        <v>9.9733900000000002</v>
      </c>
      <c r="Q115" s="21">
        <v>-1.29456E-2</v>
      </c>
      <c r="R115" s="21">
        <v>105</v>
      </c>
      <c r="S115" s="21">
        <v>0.42816199999999999</v>
      </c>
      <c r="T115">
        <f t="shared" si="14"/>
        <v>15.982222222222221</v>
      </c>
      <c r="U115">
        <f t="shared" si="15"/>
        <v>6.8527293866666659</v>
      </c>
      <c r="X115" s="9"/>
      <c r="Y115" s="21">
        <v>1.3012699999999999</v>
      </c>
      <c r="Z115" s="21">
        <v>15.547000000000001</v>
      </c>
      <c r="AA115" s="21">
        <v>-1.2383999999999999E-2</v>
      </c>
      <c r="AB115" s="21">
        <v>105</v>
      </c>
      <c r="AC115" s="21">
        <v>1.3006599999999999</v>
      </c>
      <c r="AD115">
        <f t="shared" si="16"/>
        <v>15.288888888888886</v>
      </c>
      <c r="AE115">
        <f t="shared" si="17"/>
        <v>19.894972444444441</v>
      </c>
      <c r="AF115" s="9"/>
      <c r="AG115" s="21">
        <v>0.42877199999999999</v>
      </c>
      <c r="AH115" s="21">
        <v>19.426600000000001</v>
      </c>
      <c r="AI115" s="21">
        <v>-1.27563E-2</v>
      </c>
      <c r="AJ115" s="21">
        <v>105</v>
      </c>
      <c r="AK115" s="21">
        <v>0.42822300000000002</v>
      </c>
      <c r="AL115">
        <f t="shared" si="18"/>
        <v>15.748518518518516</v>
      </c>
      <c r="AM115">
        <f t="shared" si="19"/>
        <v>6.7525237822222213</v>
      </c>
      <c r="AP115" s="9"/>
      <c r="AQ115" s="21">
        <v>1.3012699999999999</v>
      </c>
      <c r="AR115" s="21">
        <v>25.045200000000001</v>
      </c>
      <c r="AS115" s="21">
        <v>-1.22498E-2</v>
      </c>
      <c r="AT115" s="21">
        <v>105</v>
      </c>
      <c r="AU115" s="21">
        <v>1.3000499999999999</v>
      </c>
      <c r="AV115">
        <f t="shared" si="20"/>
        <v>15.123209876543209</v>
      </c>
      <c r="AW115">
        <f t="shared" si="21"/>
        <v>19.679379316049381</v>
      </c>
      <c r="AX115" s="9"/>
      <c r="AY115" s="21">
        <v>0.42877199999999999</v>
      </c>
      <c r="AZ115" s="21">
        <v>28.924800000000001</v>
      </c>
      <c r="BA115" s="21">
        <v>-1.26617E-2</v>
      </c>
      <c r="BB115" s="21">
        <v>105</v>
      </c>
      <c r="BC115" s="21">
        <v>0.42813099999999998</v>
      </c>
      <c r="BD115">
        <f t="shared" si="22"/>
        <v>15.631728395061728</v>
      </c>
      <c r="BE115">
        <f t="shared" si="23"/>
        <v>6.7024474474074074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1.29623</v>
      </c>
      <c r="H116" s="21">
        <v>6.1038399999999999</v>
      </c>
      <c r="I116" s="21">
        <v>-1.26923E-2</v>
      </c>
      <c r="J116" s="21">
        <v>106</v>
      </c>
      <c r="K116" s="21">
        <v>1.2954699999999999</v>
      </c>
      <c r="L116">
        <f t="shared" si="12"/>
        <v>15.669506172839506</v>
      </c>
      <c r="M116">
        <f t="shared" si="13"/>
        <v>20.311283986419753</v>
      </c>
      <c r="N116" s="9"/>
      <c r="O116" s="21">
        <v>0.433807</v>
      </c>
      <c r="P116" s="21">
        <v>9.9834599999999991</v>
      </c>
      <c r="Q116" s="21">
        <v>-1.29456E-2</v>
      </c>
      <c r="R116" s="21">
        <v>106</v>
      </c>
      <c r="S116" s="21">
        <v>0.433228</v>
      </c>
      <c r="T116">
        <f t="shared" si="14"/>
        <v>15.982222222222221</v>
      </c>
      <c r="U116">
        <f t="shared" si="15"/>
        <v>6.9331998755555553</v>
      </c>
      <c r="X116" s="9"/>
      <c r="Y116" s="21">
        <v>1.29623</v>
      </c>
      <c r="Z116" s="21">
        <v>15.557</v>
      </c>
      <c r="AA116" s="21">
        <v>-1.24054E-2</v>
      </c>
      <c r="AB116" s="21">
        <v>106</v>
      </c>
      <c r="AC116" s="21">
        <v>1.2954699999999999</v>
      </c>
      <c r="AD116">
        <f t="shared" si="16"/>
        <v>15.315308641975308</v>
      </c>
      <c r="AE116">
        <f t="shared" si="17"/>
        <v>19.852162520987655</v>
      </c>
      <c r="AF116" s="9"/>
      <c r="AG116" s="21">
        <v>0.433807</v>
      </c>
      <c r="AH116" s="21">
        <v>19.436599999999999</v>
      </c>
      <c r="AI116" s="21">
        <v>-1.27411E-2</v>
      </c>
      <c r="AJ116" s="21">
        <v>106</v>
      </c>
      <c r="AK116" s="21">
        <v>0.43331900000000001</v>
      </c>
      <c r="AL116">
        <f t="shared" si="18"/>
        <v>15.729753086419752</v>
      </c>
      <c r="AM116">
        <f t="shared" si="19"/>
        <v>6.8236769971604936</v>
      </c>
      <c r="AP116" s="9"/>
      <c r="AQ116" s="21">
        <v>1.29623</v>
      </c>
      <c r="AR116" s="21">
        <v>25.055299999999999</v>
      </c>
      <c r="AS116" s="21">
        <v>-1.2262E-2</v>
      </c>
      <c r="AT116" s="21">
        <v>106</v>
      </c>
      <c r="AU116" s="21">
        <v>1.2951699999999999</v>
      </c>
      <c r="AV116">
        <f t="shared" si="20"/>
        <v>15.138271604938272</v>
      </c>
      <c r="AW116">
        <f t="shared" si="21"/>
        <v>19.622681802469135</v>
      </c>
      <c r="AX116" s="9"/>
      <c r="AY116" s="21">
        <v>0.433807</v>
      </c>
      <c r="AZ116" s="21">
        <v>28.934899999999999</v>
      </c>
      <c r="BA116" s="21">
        <v>-1.26465E-2</v>
      </c>
      <c r="BB116" s="21">
        <v>106</v>
      </c>
      <c r="BC116" s="21">
        <v>0.433228</v>
      </c>
      <c r="BD116">
        <f t="shared" si="22"/>
        <v>15.612962962962962</v>
      </c>
      <c r="BE116">
        <f t="shared" si="23"/>
        <v>6.7730126240740738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1.2911999999999999</v>
      </c>
      <c r="H117" s="21">
        <v>6.1139200000000002</v>
      </c>
      <c r="I117" s="21">
        <v>-1.27075E-2</v>
      </c>
      <c r="J117" s="21">
        <v>107</v>
      </c>
      <c r="K117" s="21">
        <v>1.2899799999999999</v>
      </c>
      <c r="L117">
        <f t="shared" si="12"/>
        <v>15.68827160493827</v>
      </c>
      <c r="M117">
        <f t="shared" si="13"/>
        <v>20.256696296296294</v>
      </c>
      <c r="N117" s="9"/>
      <c r="O117" s="21">
        <v>0.43884299999999998</v>
      </c>
      <c r="P117" s="21">
        <v>9.9935299999999998</v>
      </c>
      <c r="Q117" s="21">
        <v>-1.2942499999999999E-2</v>
      </c>
      <c r="R117" s="21">
        <v>107</v>
      </c>
      <c r="S117" s="21">
        <v>0.438141</v>
      </c>
      <c r="T117">
        <f t="shared" si="14"/>
        <v>15.978395061728392</v>
      </c>
      <c r="U117">
        <f t="shared" si="15"/>
        <v>7.0120068240740725</v>
      </c>
      <c r="X117" s="9"/>
      <c r="Y117" s="21">
        <v>1.2911999999999999</v>
      </c>
      <c r="Z117" s="21">
        <v>15.5671</v>
      </c>
      <c r="AA117" s="21">
        <v>-1.2417600000000001E-2</v>
      </c>
      <c r="AB117" s="21">
        <v>107</v>
      </c>
      <c r="AC117" s="21">
        <v>1.2905899999999999</v>
      </c>
      <c r="AD117">
        <f t="shared" si="16"/>
        <v>15.330370370370371</v>
      </c>
      <c r="AE117">
        <f t="shared" si="17"/>
        <v>19.79457422222222</v>
      </c>
      <c r="AF117" s="9"/>
      <c r="AG117" s="21">
        <v>0.43884299999999998</v>
      </c>
      <c r="AH117" s="21">
        <v>19.4467</v>
      </c>
      <c r="AI117" s="21">
        <v>-1.2737999999999999E-2</v>
      </c>
      <c r="AJ117" s="21">
        <v>107</v>
      </c>
      <c r="AK117" s="21">
        <v>0.43823200000000001</v>
      </c>
      <c r="AL117">
        <f t="shared" si="18"/>
        <v>15.725925925925925</v>
      </c>
      <c r="AM117">
        <f t="shared" si="19"/>
        <v>6.90121251111111</v>
      </c>
      <c r="AP117" s="9"/>
      <c r="AQ117" s="21">
        <v>1.2911999999999999</v>
      </c>
      <c r="AR117" s="21">
        <v>25.065300000000001</v>
      </c>
      <c r="AS117" s="21">
        <v>-1.2280299999999999E-2</v>
      </c>
      <c r="AT117" s="21">
        <v>107</v>
      </c>
      <c r="AU117" s="21">
        <v>1.2902800000000001</v>
      </c>
      <c r="AV117">
        <f t="shared" si="20"/>
        <v>15.160864197530863</v>
      </c>
      <c r="AW117">
        <f t="shared" si="21"/>
        <v>19.575707851851849</v>
      </c>
      <c r="AX117" s="9"/>
      <c r="AY117" s="21">
        <v>0.43884299999999998</v>
      </c>
      <c r="AZ117" s="21">
        <v>28.944900000000001</v>
      </c>
      <c r="BA117" s="21">
        <v>-1.2628199999999999E-2</v>
      </c>
      <c r="BB117" s="21">
        <v>107</v>
      </c>
      <c r="BC117" s="21">
        <v>0.43823200000000001</v>
      </c>
      <c r="BD117">
        <f t="shared" si="22"/>
        <v>15.590370370370369</v>
      </c>
      <c r="BE117">
        <f t="shared" si="23"/>
        <v>6.8417249044444439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1.28616</v>
      </c>
      <c r="H118" s="21">
        <v>6.12399</v>
      </c>
      <c r="I118" s="21">
        <v>-1.2722799999999999E-2</v>
      </c>
      <c r="J118" s="21">
        <v>108</v>
      </c>
      <c r="K118" s="21">
        <v>1.2854000000000001</v>
      </c>
      <c r="L118">
        <f t="shared" si="12"/>
        <v>15.707160493827157</v>
      </c>
      <c r="M118">
        <f t="shared" si="13"/>
        <v>20.201921540740734</v>
      </c>
      <c r="N118" s="9"/>
      <c r="O118" s="21">
        <v>0.44387799999999999</v>
      </c>
      <c r="P118" s="21">
        <v>10.0036</v>
      </c>
      <c r="Q118" s="21">
        <v>-1.29333E-2</v>
      </c>
      <c r="R118" s="21">
        <v>108</v>
      </c>
      <c r="S118" s="21">
        <v>0.44332899999999997</v>
      </c>
      <c r="T118">
        <f t="shared" si="14"/>
        <v>15.967037037037036</v>
      </c>
      <c r="U118">
        <f t="shared" si="15"/>
        <v>7.0874164659259256</v>
      </c>
      <c r="X118" s="9"/>
      <c r="Y118" s="21">
        <v>1.28616</v>
      </c>
      <c r="Z118" s="21">
        <v>15.577199999999999</v>
      </c>
      <c r="AA118" s="21">
        <v>-1.24268E-2</v>
      </c>
      <c r="AB118" s="21">
        <v>108</v>
      </c>
      <c r="AC118" s="21">
        <v>1.2857099999999999</v>
      </c>
      <c r="AD118">
        <f t="shared" si="16"/>
        <v>15.341728395061727</v>
      </c>
      <c r="AE118">
        <f t="shared" si="17"/>
        <v>19.731917392592589</v>
      </c>
      <c r="AF118" s="9"/>
      <c r="AG118" s="21">
        <v>0.44387799999999999</v>
      </c>
      <c r="AH118" s="21">
        <v>19.456800000000001</v>
      </c>
      <c r="AI118" s="21">
        <v>-1.2735E-2</v>
      </c>
      <c r="AJ118" s="21">
        <v>108</v>
      </c>
      <c r="AK118" s="21">
        <v>0.44329800000000003</v>
      </c>
      <c r="AL118">
        <f t="shared" si="18"/>
        <v>15.722222222222221</v>
      </c>
      <c r="AM118">
        <f t="shared" si="19"/>
        <v>6.9787485555555548</v>
      </c>
      <c r="AP118" s="9"/>
      <c r="AQ118" s="21">
        <v>1.28616</v>
      </c>
      <c r="AR118" s="21">
        <v>25.075399999999998</v>
      </c>
      <c r="AS118" s="21">
        <v>-1.2295499999999999E-2</v>
      </c>
      <c r="AT118" s="21">
        <v>108</v>
      </c>
      <c r="AU118" s="21">
        <v>1.2857099999999999</v>
      </c>
      <c r="AV118">
        <f t="shared" si="20"/>
        <v>15.179629629629629</v>
      </c>
      <c r="AW118">
        <f t="shared" si="21"/>
        <v>19.523432444444442</v>
      </c>
      <c r="AX118" s="9"/>
      <c r="AY118" s="21">
        <v>0.44387799999999999</v>
      </c>
      <c r="AZ118" s="21">
        <v>28.954999999999998</v>
      </c>
      <c r="BA118" s="21">
        <v>-1.2622100000000001E-2</v>
      </c>
      <c r="BB118" s="21">
        <v>108</v>
      </c>
      <c r="BC118" s="21">
        <v>0.44329800000000003</v>
      </c>
      <c r="BD118">
        <f t="shared" si="22"/>
        <v>15.582839506172839</v>
      </c>
      <c r="BE118">
        <f t="shared" si="23"/>
        <v>6.9168796343209875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1.2811300000000001</v>
      </c>
      <c r="H119" s="21">
        <v>6.1340599999999998</v>
      </c>
      <c r="I119" s="21">
        <v>-1.2735E-2</v>
      </c>
      <c r="J119" s="21">
        <v>109</v>
      </c>
      <c r="K119" s="21">
        <v>1.2799100000000001</v>
      </c>
      <c r="L119">
        <f t="shared" si="12"/>
        <v>15.722222222222221</v>
      </c>
      <c r="M119">
        <f t="shared" si="13"/>
        <v>20.142210555555558</v>
      </c>
      <c r="N119" s="9"/>
      <c r="O119" s="21">
        <v>0.44891399999999998</v>
      </c>
      <c r="P119" s="21">
        <v>10.0137</v>
      </c>
      <c r="Q119" s="21">
        <v>-1.29272E-2</v>
      </c>
      <c r="R119" s="21">
        <v>109</v>
      </c>
      <c r="S119" s="21">
        <v>0.44836399999999998</v>
      </c>
      <c r="T119">
        <f t="shared" si="14"/>
        <v>15.959506172839506</v>
      </c>
      <c r="U119">
        <f t="shared" si="15"/>
        <v>7.1644457540740731</v>
      </c>
      <c r="X119" s="9"/>
      <c r="Y119" s="21">
        <v>1.2811300000000001</v>
      </c>
      <c r="Z119" s="21">
        <v>15.587199999999999</v>
      </c>
      <c r="AA119" s="21">
        <v>-1.24359E-2</v>
      </c>
      <c r="AB119" s="21">
        <v>109</v>
      </c>
      <c r="AC119" s="21">
        <v>1.2799100000000001</v>
      </c>
      <c r="AD119">
        <f t="shared" si="16"/>
        <v>15.352962962962962</v>
      </c>
      <c r="AE119">
        <f t="shared" si="17"/>
        <v>19.669141440740741</v>
      </c>
      <c r="AF119" s="9"/>
      <c r="AG119" s="21">
        <v>0.44891399999999998</v>
      </c>
      <c r="AH119" s="21">
        <v>19.466899999999999</v>
      </c>
      <c r="AI119" s="21">
        <v>-1.2725800000000001E-2</v>
      </c>
      <c r="AJ119" s="21">
        <v>109</v>
      </c>
      <c r="AK119" s="21">
        <v>0.44827299999999998</v>
      </c>
      <c r="AL119">
        <f t="shared" si="18"/>
        <v>15.710864197530865</v>
      </c>
      <c r="AM119">
        <f t="shared" si="19"/>
        <v>7.0528268903703708</v>
      </c>
      <c r="AP119" s="9"/>
      <c r="AQ119" s="21">
        <v>1.2811300000000001</v>
      </c>
      <c r="AR119" s="21">
        <v>25.0855</v>
      </c>
      <c r="AS119" s="21">
        <v>-1.23077E-2</v>
      </c>
      <c r="AT119" s="21">
        <v>109</v>
      </c>
      <c r="AU119" s="21">
        <v>1.2802100000000001</v>
      </c>
      <c r="AV119">
        <f t="shared" si="20"/>
        <v>15.19469135802469</v>
      </c>
      <c r="AW119">
        <f t="shared" si="21"/>
        <v>19.466374939506171</v>
      </c>
      <c r="AX119" s="9"/>
      <c r="AY119" s="21">
        <v>0.44891399999999998</v>
      </c>
      <c r="AZ119" s="21">
        <v>28.9651</v>
      </c>
      <c r="BA119" s="21">
        <v>-1.26312E-2</v>
      </c>
      <c r="BB119" s="21">
        <v>109</v>
      </c>
      <c r="BC119" s="21">
        <v>0.44833400000000001</v>
      </c>
      <c r="BD119">
        <f t="shared" si="22"/>
        <v>15.594074074074072</v>
      </c>
      <c r="BE119">
        <f t="shared" si="23"/>
        <v>7.0003981688888874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1.2760899999999999</v>
      </c>
      <c r="H120" s="21">
        <v>6.1441299999999996</v>
      </c>
      <c r="I120" s="21">
        <v>-1.2737999999999999E-2</v>
      </c>
      <c r="J120" s="21">
        <v>110</v>
      </c>
      <c r="K120" s="21">
        <v>1.27502</v>
      </c>
      <c r="L120">
        <f t="shared" si="12"/>
        <v>15.725925925925925</v>
      </c>
      <c r="M120">
        <f t="shared" si="13"/>
        <v>20.067696814814813</v>
      </c>
      <c r="N120" s="9"/>
      <c r="O120" s="21">
        <v>0.45394899999999999</v>
      </c>
      <c r="P120" s="21">
        <v>10.0237</v>
      </c>
      <c r="Q120" s="21">
        <v>-1.29242E-2</v>
      </c>
      <c r="R120" s="21">
        <v>110</v>
      </c>
      <c r="S120" s="21">
        <v>0.45340000000000003</v>
      </c>
      <c r="T120">
        <f t="shared" si="14"/>
        <v>15.955802469135801</v>
      </c>
      <c r="U120">
        <f t="shared" si="15"/>
        <v>7.2431205750617274</v>
      </c>
      <c r="X120" s="9"/>
      <c r="Y120" s="21">
        <v>1.2760899999999999</v>
      </c>
      <c r="Z120" s="21">
        <v>15.597300000000001</v>
      </c>
      <c r="AA120" s="21">
        <v>-1.2442E-2</v>
      </c>
      <c r="AB120" s="21">
        <v>110</v>
      </c>
      <c r="AC120" s="21">
        <v>1.27563</v>
      </c>
      <c r="AD120">
        <f t="shared" si="16"/>
        <v>15.360493827160493</v>
      </c>
      <c r="AE120">
        <f t="shared" si="17"/>
        <v>19.601372567901233</v>
      </c>
      <c r="AF120" s="9"/>
      <c r="AG120" s="21">
        <v>0.45394899999999999</v>
      </c>
      <c r="AH120" s="21">
        <v>19.476900000000001</v>
      </c>
      <c r="AI120" s="21">
        <v>-1.27289E-2</v>
      </c>
      <c r="AJ120" s="21">
        <v>110</v>
      </c>
      <c r="AK120" s="21">
        <v>0.45333899999999999</v>
      </c>
      <c r="AL120">
        <f t="shared" si="18"/>
        <v>15.714691358024689</v>
      </c>
      <c r="AM120">
        <f t="shared" si="19"/>
        <v>7.1336684272839497</v>
      </c>
      <c r="AP120" s="9"/>
      <c r="AQ120" s="21">
        <v>1.2760899999999999</v>
      </c>
      <c r="AR120" s="21">
        <v>25.095500000000001</v>
      </c>
      <c r="AS120" s="21">
        <v>-1.2329100000000001E-2</v>
      </c>
      <c r="AT120" s="21">
        <v>110</v>
      </c>
      <c r="AU120" s="21">
        <v>1.2753300000000001</v>
      </c>
      <c r="AV120">
        <f t="shared" si="20"/>
        <v>15.22111111111111</v>
      </c>
      <c r="AW120">
        <f t="shared" si="21"/>
        <v>19.423507677777774</v>
      </c>
      <c r="AX120" s="9"/>
      <c r="AY120" s="21">
        <v>0.45394899999999999</v>
      </c>
      <c r="AZ120" s="21">
        <v>28.975200000000001</v>
      </c>
      <c r="BA120" s="21">
        <v>-1.26312E-2</v>
      </c>
      <c r="BB120" s="21">
        <v>110</v>
      </c>
      <c r="BC120" s="21">
        <v>0.45333899999999999</v>
      </c>
      <c r="BD120">
        <f t="shared" si="22"/>
        <v>15.594074074074072</v>
      </c>
      <c r="BE120">
        <f t="shared" si="23"/>
        <v>7.078914331851851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1.2710600000000001</v>
      </c>
      <c r="H121" s="21">
        <v>6.1542000000000003</v>
      </c>
      <c r="I121" s="21">
        <v>-1.27411E-2</v>
      </c>
      <c r="J121" s="21">
        <v>111</v>
      </c>
      <c r="K121" s="21">
        <v>1.2704500000000001</v>
      </c>
      <c r="L121">
        <f t="shared" si="12"/>
        <v>15.729753086419752</v>
      </c>
      <c r="M121">
        <f t="shared" si="13"/>
        <v>19.99345995802469</v>
      </c>
      <c r="N121" s="9"/>
      <c r="O121" s="21">
        <v>0.458984</v>
      </c>
      <c r="P121" s="21">
        <v>10.033799999999999</v>
      </c>
      <c r="Q121" s="21">
        <v>-1.29211E-2</v>
      </c>
      <c r="R121" s="21">
        <v>111</v>
      </c>
      <c r="S121" s="21">
        <v>0.458374</v>
      </c>
      <c r="T121">
        <f t="shared" si="14"/>
        <v>15.951975308641973</v>
      </c>
      <c r="U121">
        <f t="shared" si="15"/>
        <v>7.3217014350617271</v>
      </c>
      <c r="X121" s="9"/>
      <c r="Y121" s="21">
        <v>1.2710600000000001</v>
      </c>
      <c r="Z121" s="21">
        <v>15.6074</v>
      </c>
      <c r="AA121" s="21">
        <v>-1.24542E-2</v>
      </c>
      <c r="AB121" s="21">
        <v>111</v>
      </c>
      <c r="AC121" s="21">
        <v>1.2698400000000001</v>
      </c>
      <c r="AD121">
        <f t="shared" si="16"/>
        <v>15.375555555555556</v>
      </c>
      <c r="AE121">
        <f t="shared" si="17"/>
        <v>19.543253644444444</v>
      </c>
      <c r="AF121" s="9"/>
      <c r="AG121" s="21">
        <v>0.458984</v>
      </c>
      <c r="AH121" s="21">
        <v>19.486999999999998</v>
      </c>
      <c r="AI121" s="21">
        <v>-1.2716699999999999E-2</v>
      </c>
      <c r="AJ121" s="21">
        <v>111</v>
      </c>
      <c r="AK121" s="21">
        <v>0.45843499999999998</v>
      </c>
      <c r="AL121">
        <f t="shared" si="18"/>
        <v>15.699629629629626</v>
      </c>
      <c r="AM121">
        <f t="shared" si="19"/>
        <v>7.2058788059259244</v>
      </c>
      <c r="AP121" s="9"/>
      <c r="AQ121" s="21">
        <v>1.2710600000000001</v>
      </c>
      <c r="AR121" s="21">
        <v>25.105599999999999</v>
      </c>
      <c r="AS121" s="21">
        <v>-1.23535E-2</v>
      </c>
      <c r="AT121" s="21">
        <v>111</v>
      </c>
      <c r="AU121" s="21">
        <v>1.2704500000000001</v>
      </c>
      <c r="AV121">
        <f t="shared" si="20"/>
        <v>15.251234567901234</v>
      </c>
      <c r="AW121">
        <f t="shared" si="21"/>
        <v>19.385234209876543</v>
      </c>
      <c r="AX121" s="9"/>
      <c r="AY121" s="21">
        <v>0.458984</v>
      </c>
      <c r="AZ121" s="21">
        <v>28.985199999999999</v>
      </c>
      <c r="BA121" s="21">
        <v>-1.26251E-2</v>
      </c>
      <c r="BB121" s="21">
        <v>111</v>
      </c>
      <c r="BC121" s="21">
        <v>0.458374</v>
      </c>
      <c r="BD121">
        <f t="shared" si="22"/>
        <v>15.586543209876544</v>
      </c>
      <c r="BE121">
        <f t="shared" si="23"/>
        <v>7.1539739486419753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1.2660199999999999</v>
      </c>
      <c r="H122" s="21">
        <v>6.1642700000000001</v>
      </c>
      <c r="I122" s="21">
        <v>-1.27533E-2</v>
      </c>
      <c r="J122" s="21">
        <v>112</v>
      </c>
      <c r="K122" s="21">
        <v>1.2646500000000001</v>
      </c>
      <c r="L122">
        <f t="shared" si="12"/>
        <v>15.744814814814816</v>
      </c>
      <c r="M122">
        <f t="shared" si="13"/>
        <v>19.933250451851851</v>
      </c>
      <c r="N122" s="9"/>
      <c r="O122" s="21">
        <v>0.46401999999999999</v>
      </c>
      <c r="P122" s="21">
        <v>10.043900000000001</v>
      </c>
      <c r="Q122" s="21">
        <v>-1.2914999999999999E-2</v>
      </c>
      <c r="R122" s="21">
        <v>112</v>
      </c>
      <c r="S122" s="21">
        <v>0.46334799999999998</v>
      </c>
      <c r="T122">
        <f t="shared" si="14"/>
        <v>15.944444444444441</v>
      </c>
      <c r="U122">
        <f t="shared" si="15"/>
        <v>7.3985411111111095</v>
      </c>
      <c r="X122" s="9"/>
      <c r="Y122" s="21">
        <v>1.2660199999999999</v>
      </c>
      <c r="Z122" s="21">
        <v>15.6175</v>
      </c>
      <c r="AA122" s="21">
        <v>-1.2460300000000001E-2</v>
      </c>
      <c r="AB122" s="21">
        <v>112</v>
      </c>
      <c r="AC122" s="21">
        <v>1.26495</v>
      </c>
      <c r="AD122">
        <f t="shared" si="16"/>
        <v>15.383086419753086</v>
      </c>
      <c r="AE122">
        <f t="shared" si="17"/>
        <v>19.4752950691358</v>
      </c>
      <c r="AF122" s="9"/>
      <c r="AG122" s="21">
        <v>0.46401999999999999</v>
      </c>
      <c r="AH122" s="21">
        <v>19.4971</v>
      </c>
      <c r="AI122" s="21">
        <v>-1.2704500000000001E-2</v>
      </c>
      <c r="AJ122" s="21">
        <v>112</v>
      </c>
      <c r="AK122" s="21">
        <v>0.46334799999999998</v>
      </c>
      <c r="AL122">
        <f t="shared" si="18"/>
        <v>15.684567901234566</v>
      </c>
      <c r="AM122">
        <f t="shared" si="19"/>
        <v>7.2779531975308629</v>
      </c>
      <c r="AP122" s="9"/>
      <c r="AQ122" s="21">
        <v>1.2660199999999999</v>
      </c>
      <c r="AR122" s="21">
        <v>25.1157</v>
      </c>
      <c r="AS122" s="21">
        <v>-1.2374899999999999E-2</v>
      </c>
      <c r="AT122" s="21">
        <v>112</v>
      </c>
      <c r="AU122" s="21">
        <v>1.2652600000000001</v>
      </c>
      <c r="AV122">
        <f t="shared" si="20"/>
        <v>15.277654320987653</v>
      </c>
      <c r="AW122">
        <f t="shared" si="21"/>
        <v>19.341815923456785</v>
      </c>
      <c r="AX122" s="9"/>
      <c r="AY122" s="21">
        <v>0.46401999999999999</v>
      </c>
      <c r="AZ122" s="21">
        <v>28.9953</v>
      </c>
      <c r="BA122" s="21">
        <v>-1.26129E-2</v>
      </c>
      <c r="BB122" s="21">
        <v>112</v>
      </c>
      <c r="BC122" s="21">
        <v>0.46337899999999999</v>
      </c>
      <c r="BD122">
        <f t="shared" si="22"/>
        <v>15.571481481481479</v>
      </c>
      <c r="BE122">
        <f t="shared" si="23"/>
        <v>7.225478837037036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1.2609900000000001</v>
      </c>
      <c r="H123" s="21">
        <v>6.1743399999999999</v>
      </c>
      <c r="I123" s="21">
        <v>-1.2759400000000001E-2</v>
      </c>
      <c r="J123" s="21">
        <v>113</v>
      </c>
      <c r="K123" s="21">
        <v>1.26068</v>
      </c>
      <c r="L123">
        <f t="shared" si="12"/>
        <v>15.752345679012343</v>
      </c>
      <c r="M123">
        <f t="shared" si="13"/>
        <v>19.863550377777777</v>
      </c>
      <c r="N123" s="9"/>
      <c r="O123" s="21">
        <v>0.469055</v>
      </c>
      <c r="P123" s="21">
        <v>10.054</v>
      </c>
      <c r="Q123" s="21">
        <v>-1.2902800000000001E-2</v>
      </c>
      <c r="R123" s="21">
        <v>113</v>
      </c>
      <c r="S123" s="21">
        <v>0.46838400000000002</v>
      </c>
      <c r="T123">
        <f t="shared" si="14"/>
        <v>15.929382716049382</v>
      </c>
      <c r="U123">
        <f t="shared" si="15"/>
        <v>7.4717566098765431</v>
      </c>
      <c r="X123" s="9"/>
      <c r="Y123" s="21">
        <v>1.2609900000000001</v>
      </c>
      <c r="Z123" s="21">
        <v>15.6275</v>
      </c>
      <c r="AA123" s="21">
        <v>-1.24756E-2</v>
      </c>
      <c r="AB123" s="21">
        <v>113</v>
      </c>
      <c r="AC123" s="21">
        <v>1.26007</v>
      </c>
      <c r="AD123">
        <f t="shared" si="16"/>
        <v>15.401975308641974</v>
      </c>
      <c r="AE123">
        <f t="shared" si="17"/>
        <v>19.421736844444442</v>
      </c>
      <c r="AF123" s="9"/>
      <c r="AG123" s="21">
        <v>0.469055</v>
      </c>
      <c r="AH123" s="21">
        <v>19.507100000000001</v>
      </c>
      <c r="AI123" s="21">
        <v>-1.2689199999999999E-2</v>
      </c>
      <c r="AJ123" s="21">
        <v>113</v>
      </c>
      <c r="AK123" s="21">
        <v>0.46847499999999997</v>
      </c>
      <c r="AL123">
        <f t="shared" si="18"/>
        <v>15.665679012345679</v>
      </c>
      <c r="AM123">
        <f t="shared" si="19"/>
        <v>7.348065069135802</v>
      </c>
      <c r="AP123" s="9"/>
      <c r="AQ123" s="21">
        <v>1.2609900000000001</v>
      </c>
      <c r="AR123" s="21">
        <v>25.125800000000002</v>
      </c>
      <c r="AS123" s="21">
        <v>-1.23871E-2</v>
      </c>
      <c r="AT123" s="21">
        <v>113</v>
      </c>
      <c r="AU123" s="21">
        <v>1.2603800000000001</v>
      </c>
      <c r="AV123">
        <f t="shared" si="20"/>
        <v>15.292716049382715</v>
      </c>
      <c r="AW123">
        <f t="shared" si="21"/>
        <v>19.283962011111111</v>
      </c>
      <c r="AX123" s="9"/>
      <c r="AY123" s="21">
        <v>0.469055</v>
      </c>
      <c r="AZ123" s="21">
        <v>29.005400000000002</v>
      </c>
      <c r="BA123" s="21">
        <v>-1.26068E-2</v>
      </c>
      <c r="BB123" s="21">
        <v>113</v>
      </c>
      <c r="BC123" s="21">
        <v>0.468414</v>
      </c>
      <c r="BD123">
        <f t="shared" si="22"/>
        <v>15.56395061728395</v>
      </c>
      <c r="BE123">
        <f t="shared" si="23"/>
        <v>7.3003488567901229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1.2559499999999999</v>
      </c>
      <c r="H124" s="21">
        <v>6.1844099999999997</v>
      </c>
      <c r="I124" s="21">
        <v>-1.2759400000000001E-2</v>
      </c>
      <c r="J124" s="21">
        <v>114</v>
      </c>
      <c r="K124" s="21">
        <v>1.25519</v>
      </c>
      <c r="L124">
        <f t="shared" si="12"/>
        <v>15.752345679012343</v>
      </c>
      <c r="M124">
        <f t="shared" si="13"/>
        <v>19.78415855555555</v>
      </c>
      <c r="N124" s="9"/>
      <c r="O124" s="21">
        <v>0.47409099999999998</v>
      </c>
      <c r="P124" s="21">
        <v>10.064</v>
      </c>
      <c r="Q124" s="21">
        <v>-1.2893699999999999E-2</v>
      </c>
      <c r="R124" s="21">
        <v>114</v>
      </c>
      <c r="S124" s="21">
        <v>0.47344999999999998</v>
      </c>
      <c r="T124">
        <f t="shared" si="14"/>
        <v>15.918148148148147</v>
      </c>
      <c r="U124">
        <f t="shared" si="15"/>
        <v>7.5466507737037025</v>
      </c>
      <c r="X124" s="9"/>
      <c r="Y124" s="21">
        <v>1.2559499999999999</v>
      </c>
      <c r="Z124" s="21">
        <v>15.637600000000001</v>
      </c>
      <c r="AA124" s="21">
        <v>-1.24847E-2</v>
      </c>
      <c r="AB124" s="21">
        <v>114</v>
      </c>
      <c r="AC124" s="21">
        <v>1.25519</v>
      </c>
      <c r="AD124">
        <f t="shared" si="16"/>
        <v>15.413209876543208</v>
      </c>
      <c r="AE124">
        <f t="shared" si="17"/>
        <v>19.35822094444444</v>
      </c>
      <c r="AF124" s="9"/>
      <c r="AG124" s="21">
        <v>0.47409099999999998</v>
      </c>
      <c r="AH124" s="21">
        <v>19.517199999999999</v>
      </c>
      <c r="AI124" s="21">
        <v>-1.2670900000000001E-2</v>
      </c>
      <c r="AJ124" s="21">
        <v>114</v>
      </c>
      <c r="AK124" s="21">
        <v>0.47354099999999999</v>
      </c>
      <c r="AL124">
        <f t="shared" si="18"/>
        <v>15.643086419753088</v>
      </c>
      <c r="AM124">
        <f t="shared" si="19"/>
        <v>7.4162464838271607</v>
      </c>
      <c r="AP124" s="9"/>
      <c r="AQ124" s="21">
        <v>1.2559499999999999</v>
      </c>
      <c r="AR124" s="21">
        <v>25.1358</v>
      </c>
      <c r="AS124" s="21">
        <v>-1.2390099999999999E-2</v>
      </c>
      <c r="AT124" s="21">
        <v>114</v>
      </c>
      <c r="AU124" s="21">
        <v>1.25458</v>
      </c>
      <c r="AV124">
        <f t="shared" si="20"/>
        <v>15.296419753086418</v>
      </c>
      <c r="AW124">
        <f t="shared" si="21"/>
        <v>19.211538388888886</v>
      </c>
      <c r="AX124" s="9"/>
      <c r="AY124" s="21">
        <v>0.47409099999999998</v>
      </c>
      <c r="AZ124" s="21">
        <v>29.0154</v>
      </c>
      <c r="BA124" s="21">
        <v>-1.2600699999999999E-2</v>
      </c>
      <c r="BB124" s="21">
        <v>114</v>
      </c>
      <c r="BC124" s="21">
        <v>0.47351100000000002</v>
      </c>
      <c r="BD124">
        <f t="shared" si="22"/>
        <v>15.556419753086418</v>
      </c>
      <c r="BE124">
        <f t="shared" si="23"/>
        <v>7.3751585971604925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1.25092</v>
      </c>
      <c r="H125" s="21">
        <v>6.1944800000000004</v>
      </c>
      <c r="I125" s="21">
        <v>-1.27686E-2</v>
      </c>
      <c r="J125" s="21">
        <v>115</v>
      </c>
      <c r="K125" s="21">
        <v>1.25061</v>
      </c>
      <c r="L125">
        <f t="shared" si="12"/>
        <v>15.763703703703703</v>
      </c>
      <c r="M125">
        <f t="shared" si="13"/>
        <v>19.719132237037037</v>
      </c>
      <c r="N125" s="9"/>
      <c r="O125" s="21">
        <v>0.479126</v>
      </c>
      <c r="P125" s="21">
        <v>10.0741</v>
      </c>
      <c r="Q125" s="21">
        <v>-1.2881500000000001E-2</v>
      </c>
      <c r="R125" s="21">
        <v>115</v>
      </c>
      <c r="S125" s="21">
        <v>0.478516</v>
      </c>
      <c r="T125">
        <f t="shared" si="14"/>
        <v>15.903086419753087</v>
      </c>
      <c r="U125">
        <f t="shared" si="15"/>
        <v>7.6195821839506177</v>
      </c>
      <c r="X125" s="9"/>
      <c r="Y125" s="21">
        <v>1.25092</v>
      </c>
      <c r="Z125" s="21">
        <v>15.6477</v>
      </c>
      <c r="AA125" s="21">
        <v>-1.24969E-2</v>
      </c>
      <c r="AB125" s="21">
        <v>115</v>
      </c>
      <c r="AC125" s="21">
        <v>1.25</v>
      </c>
      <c r="AD125">
        <f t="shared" si="16"/>
        <v>15.428271604938271</v>
      </c>
      <c r="AE125">
        <f t="shared" si="17"/>
        <v>19.299533516049383</v>
      </c>
      <c r="AF125" s="9"/>
      <c r="AG125" s="21">
        <v>0.479126</v>
      </c>
      <c r="AH125" s="21">
        <v>19.5273</v>
      </c>
      <c r="AI125" s="21">
        <v>-1.26648E-2</v>
      </c>
      <c r="AJ125" s="21">
        <v>115</v>
      </c>
      <c r="AK125" s="21">
        <v>0.47854600000000003</v>
      </c>
      <c r="AL125">
        <f t="shared" si="18"/>
        <v>15.635555555555555</v>
      </c>
      <c r="AM125">
        <f t="shared" si="19"/>
        <v>7.4914011911111107</v>
      </c>
      <c r="AP125" s="9"/>
      <c r="AQ125" s="21">
        <v>1.25092</v>
      </c>
      <c r="AR125" s="21">
        <v>25.145900000000001</v>
      </c>
      <c r="AS125" s="21">
        <v>-1.2390099999999999E-2</v>
      </c>
      <c r="AT125" s="21">
        <v>115</v>
      </c>
      <c r="AU125" s="21">
        <v>1.24969</v>
      </c>
      <c r="AV125">
        <f t="shared" si="20"/>
        <v>15.296419753086418</v>
      </c>
      <c r="AW125">
        <f t="shared" si="21"/>
        <v>19.134597397530865</v>
      </c>
      <c r="AX125" s="9"/>
      <c r="AY125" s="21">
        <v>0.479126</v>
      </c>
      <c r="AZ125" s="21">
        <v>29.025500000000001</v>
      </c>
      <c r="BA125" s="21">
        <v>-1.2588500000000001E-2</v>
      </c>
      <c r="BB125" s="21">
        <v>115</v>
      </c>
      <c r="BC125" s="21">
        <v>0.47854600000000003</v>
      </c>
      <c r="BD125">
        <f t="shared" si="22"/>
        <v>15.541358024691359</v>
      </c>
      <c r="BE125">
        <f t="shared" si="23"/>
        <v>7.4462687049382721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1.2458800000000001</v>
      </c>
      <c r="H126" s="21">
        <v>6.2045500000000002</v>
      </c>
      <c r="I126" s="21">
        <v>-1.27686E-2</v>
      </c>
      <c r="J126" s="21">
        <v>116</v>
      </c>
      <c r="K126" s="21">
        <v>1.24451</v>
      </c>
      <c r="L126">
        <f t="shared" si="12"/>
        <v>15.763703703703703</v>
      </c>
      <c r="M126">
        <f t="shared" si="13"/>
        <v>19.639683170370372</v>
      </c>
      <c r="N126" s="9"/>
      <c r="O126" s="21">
        <v>0.48416100000000001</v>
      </c>
      <c r="P126" s="21">
        <v>10.084199999999999</v>
      </c>
      <c r="Q126" s="21">
        <v>-1.28754E-2</v>
      </c>
      <c r="R126" s="21">
        <v>116</v>
      </c>
      <c r="S126" s="21">
        <v>0.48348999999999998</v>
      </c>
      <c r="T126">
        <f t="shared" si="14"/>
        <v>15.895555555555555</v>
      </c>
      <c r="U126">
        <f t="shared" si="15"/>
        <v>7.6960080733333331</v>
      </c>
      <c r="X126" s="9"/>
      <c r="Y126" s="21">
        <v>1.2458800000000001</v>
      </c>
      <c r="Z126" s="21">
        <v>15.6577</v>
      </c>
      <c r="AA126" s="21">
        <v>-1.2512199999999999E-2</v>
      </c>
      <c r="AB126" s="21">
        <v>116</v>
      </c>
      <c r="AC126" s="21">
        <v>1.24512</v>
      </c>
      <c r="AD126">
        <f t="shared" si="16"/>
        <v>15.447160493827159</v>
      </c>
      <c r="AE126">
        <f t="shared" si="17"/>
        <v>19.245308316049382</v>
      </c>
      <c r="AF126" s="9"/>
      <c r="AG126" s="21">
        <v>0.48416100000000001</v>
      </c>
      <c r="AH126" s="21">
        <v>19.537400000000002</v>
      </c>
      <c r="AI126" s="21">
        <v>-1.26648E-2</v>
      </c>
      <c r="AJ126" s="21">
        <v>116</v>
      </c>
      <c r="AK126" s="21">
        <v>0.48352099999999998</v>
      </c>
      <c r="AL126">
        <f t="shared" si="18"/>
        <v>15.635555555555555</v>
      </c>
      <c r="AM126">
        <f t="shared" si="19"/>
        <v>7.5701262133333334</v>
      </c>
      <c r="AP126" s="9"/>
      <c r="AQ126" s="21">
        <v>1.2458800000000001</v>
      </c>
      <c r="AR126" s="21">
        <v>25.155999999999999</v>
      </c>
      <c r="AS126" s="21">
        <v>-1.23871E-2</v>
      </c>
      <c r="AT126" s="21">
        <v>116</v>
      </c>
      <c r="AU126" s="21">
        <v>1.24512</v>
      </c>
      <c r="AV126">
        <f t="shared" si="20"/>
        <v>15.292716049382715</v>
      </c>
      <c r="AW126">
        <f t="shared" si="21"/>
        <v>19.052889071604937</v>
      </c>
      <c r="AX126" s="9"/>
      <c r="AY126" s="21">
        <v>0.48416100000000001</v>
      </c>
      <c r="AZ126" s="21">
        <v>29.035599999999999</v>
      </c>
      <c r="BA126" s="21">
        <v>-1.2588500000000001E-2</v>
      </c>
      <c r="BB126" s="21">
        <v>116</v>
      </c>
      <c r="BC126" s="21">
        <v>0.48364299999999999</v>
      </c>
      <c r="BD126">
        <f t="shared" si="22"/>
        <v>15.541358024691359</v>
      </c>
      <c r="BE126">
        <f t="shared" si="23"/>
        <v>7.5245194425925934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1.2408399999999999</v>
      </c>
      <c r="H127" s="21">
        <v>6.2146299999999997</v>
      </c>
      <c r="I127" s="21">
        <v>-1.27747E-2</v>
      </c>
      <c r="J127" s="21">
        <v>117</v>
      </c>
      <c r="K127" s="21">
        <v>1.2396199999999999</v>
      </c>
      <c r="L127">
        <f t="shared" si="12"/>
        <v>15.771234567901235</v>
      </c>
      <c r="M127">
        <f t="shared" si="13"/>
        <v>19.569578701234569</v>
      </c>
      <c r="N127" s="9"/>
      <c r="O127" s="21">
        <v>0.48919699999999999</v>
      </c>
      <c r="P127" s="21">
        <v>10.094200000000001</v>
      </c>
      <c r="Q127" s="21">
        <v>-1.28632E-2</v>
      </c>
      <c r="R127" s="21">
        <v>117</v>
      </c>
      <c r="S127" s="21">
        <v>0.48855599999999999</v>
      </c>
      <c r="T127">
        <f t="shared" si="14"/>
        <v>15.880493827160493</v>
      </c>
      <c r="U127">
        <f t="shared" si="15"/>
        <v>7.7686899387654309</v>
      </c>
      <c r="X127" s="9"/>
      <c r="Y127" s="21">
        <v>1.2408399999999999</v>
      </c>
      <c r="Z127" s="21">
        <v>15.6678</v>
      </c>
      <c r="AA127" s="21">
        <v>-1.25183E-2</v>
      </c>
      <c r="AB127" s="21">
        <v>117</v>
      </c>
      <c r="AC127" s="21">
        <v>1.2402299999999999</v>
      </c>
      <c r="AD127">
        <f t="shared" si="16"/>
        <v>15.454691358024689</v>
      </c>
      <c r="AE127">
        <f t="shared" si="17"/>
        <v>19.176799224691354</v>
      </c>
      <c r="AF127" s="9"/>
      <c r="AG127" s="21">
        <v>0.48919699999999999</v>
      </c>
      <c r="AH127" s="21">
        <v>19.5474</v>
      </c>
      <c r="AI127" s="21">
        <v>-1.2670900000000001E-2</v>
      </c>
      <c r="AJ127" s="21">
        <v>117</v>
      </c>
      <c r="AK127" s="21">
        <v>0.48861700000000002</v>
      </c>
      <c r="AL127">
        <f t="shared" si="18"/>
        <v>15.643086419753088</v>
      </c>
      <c r="AM127">
        <f t="shared" si="19"/>
        <v>7.6525509472839515</v>
      </c>
      <c r="AP127" s="9"/>
      <c r="AQ127" s="21">
        <v>1.2408399999999999</v>
      </c>
      <c r="AR127" s="21">
        <v>25.166</v>
      </c>
      <c r="AS127" s="21">
        <v>-1.23962E-2</v>
      </c>
      <c r="AT127" s="21">
        <v>117</v>
      </c>
      <c r="AU127" s="21">
        <v>1.23993</v>
      </c>
      <c r="AV127">
        <f t="shared" si="20"/>
        <v>15.303950617283951</v>
      </c>
      <c r="AW127">
        <f t="shared" si="21"/>
        <v>18.989754083950615</v>
      </c>
      <c r="AX127" s="9"/>
      <c r="AY127" s="21">
        <v>0.48919699999999999</v>
      </c>
      <c r="AZ127" s="21">
        <v>29.0457</v>
      </c>
      <c r="BA127" s="21">
        <v>-1.2588500000000001E-2</v>
      </c>
      <c r="BB127" s="21">
        <v>117</v>
      </c>
      <c r="BC127" s="21">
        <v>0.488647</v>
      </c>
      <c r="BD127">
        <f t="shared" si="22"/>
        <v>15.541358024691359</v>
      </c>
      <c r="BE127">
        <f t="shared" si="23"/>
        <v>7.6027857216049384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1.2358100000000001</v>
      </c>
      <c r="H128" s="21">
        <v>6.2247000000000003</v>
      </c>
      <c r="I128" s="21">
        <v>-1.27808E-2</v>
      </c>
      <c r="J128" s="21">
        <v>118</v>
      </c>
      <c r="K128" s="21">
        <v>1.2347399999999999</v>
      </c>
      <c r="L128">
        <f t="shared" si="12"/>
        <v>15.778765432098764</v>
      </c>
      <c r="M128">
        <f t="shared" si="13"/>
        <v>19.499556108641976</v>
      </c>
      <c r="N128" s="9"/>
      <c r="O128" s="21">
        <v>0.494232</v>
      </c>
      <c r="P128" s="21">
        <v>10.1043</v>
      </c>
      <c r="Q128" s="21">
        <v>-1.28662E-2</v>
      </c>
      <c r="R128" s="21">
        <v>118</v>
      </c>
      <c r="S128" s="21">
        <v>0.49365199999999998</v>
      </c>
      <c r="T128">
        <f t="shared" si="14"/>
        <v>15.884197530864196</v>
      </c>
      <c r="U128">
        <f t="shared" si="15"/>
        <v>7.8504787140740735</v>
      </c>
      <c r="X128" s="9"/>
      <c r="Y128" s="21">
        <v>1.2358100000000001</v>
      </c>
      <c r="Z128" s="21">
        <v>15.677899999999999</v>
      </c>
      <c r="AA128" s="21">
        <v>-1.25214E-2</v>
      </c>
      <c r="AB128" s="21">
        <v>118</v>
      </c>
      <c r="AC128" s="21">
        <v>1.2341299999999999</v>
      </c>
      <c r="AD128">
        <f t="shared" si="16"/>
        <v>15.458518518518517</v>
      </c>
      <c r="AE128">
        <f t="shared" si="17"/>
        <v>19.103791770370368</v>
      </c>
      <c r="AF128" s="9"/>
      <c r="AG128" s="21">
        <v>0.494232</v>
      </c>
      <c r="AH128" s="21">
        <v>19.557500000000001</v>
      </c>
      <c r="AI128" s="21">
        <v>-1.26648E-2</v>
      </c>
      <c r="AJ128" s="21">
        <v>118</v>
      </c>
      <c r="AK128" s="21">
        <v>0.49368299999999998</v>
      </c>
      <c r="AL128">
        <f t="shared" si="18"/>
        <v>15.635555555555555</v>
      </c>
      <c r="AM128">
        <f t="shared" si="19"/>
        <v>7.727591893333333</v>
      </c>
      <c r="AP128" s="9"/>
      <c r="AQ128" s="21">
        <v>1.2358100000000001</v>
      </c>
      <c r="AR128" s="21">
        <v>25.176100000000002</v>
      </c>
      <c r="AS128" s="21">
        <v>-1.24023E-2</v>
      </c>
      <c r="AT128" s="21">
        <v>118</v>
      </c>
      <c r="AU128" s="21">
        <v>1.2347399999999999</v>
      </c>
      <c r="AV128">
        <f t="shared" si="20"/>
        <v>15.311481481481479</v>
      </c>
      <c r="AW128">
        <f t="shared" si="21"/>
        <v>18.922081929629627</v>
      </c>
      <c r="AX128" s="9"/>
      <c r="AY128" s="21">
        <v>0.494232</v>
      </c>
      <c r="AZ128" s="21">
        <v>29.055700000000002</v>
      </c>
      <c r="BA128" s="21">
        <v>-1.2594599999999999E-2</v>
      </c>
      <c r="BB128" s="21">
        <v>118</v>
      </c>
      <c r="BC128" s="21">
        <v>0.49368299999999998</v>
      </c>
      <c r="BD128">
        <f t="shared" si="22"/>
        <v>15.548888888888886</v>
      </c>
      <c r="BE128">
        <f t="shared" si="23"/>
        <v>7.6847584533333322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1.2307699999999999</v>
      </c>
      <c r="H129" s="21">
        <v>6.2347700000000001</v>
      </c>
      <c r="I129" s="21">
        <v>-1.27869E-2</v>
      </c>
      <c r="J129" s="21">
        <v>119</v>
      </c>
      <c r="K129" s="21">
        <v>1.2301599999999999</v>
      </c>
      <c r="L129">
        <f t="shared" si="12"/>
        <v>15.786296296296294</v>
      </c>
      <c r="M129">
        <f t="shared" si="13"/>
        <v>19.429299892592589</v>
      </c>
      <c r="N129" s="9"/>
      <c r="O129" s="21">
        <v>0.49926799999999999</v>
      </c>
      <c r="P129" s="21">
        <v>10.1144</v>
      </c>
      <c r="Q129" s="21">
        <v>-1.28662E-2</v>
      </c>
      <c r="R129" s="21">
        <v>119</v>
      </c>
      <c r="S129" s="21">
        <v>0.49865700000000002</v>
      </c>
      <c r="T129">
        <f t="shared" si="14"/>
        <v>15.884197530864196</v>
      </c>
      <c r="U129">
        <f t="shared" si="15"/>
        <v>7.9304715328395048</v>
      </c>
      <c r="X129" s="9"/>
      <c r="Y129" s="21">
        <v>1.2307699999999999</v>
      </c>
      <c r="Z129" s="21">
        <v>15.687900000000001</v>
      </c>
      <c r="AA129" s="21">
        <v>-1.25366E-2</v>
      </c>
      <c r="AB129" s="21">
        <v>119</v>
      </c>
      <c r="AC129" s="21">
        <v>1.2301599999999999</v>
      </c>
      <c r="AD129">
        <f t="shared" si="16"/>
        <v>15.477283950617283</v>
      </c>
      <c r="AE129">
        <f t="shared" si="17"/>
        <v>19.04897676790123</v>
      </c>
      <c r="AF129" s="9"/>
      <c r="AG129" s="21">
        <v>0.49926799999999999</v>
      </c>
      <c r="AH129" s="21">
        <v>19.567599999999999</v>
      </c>
      <c r="AI129" s="21">
        <v>-1.26617E-2</v>
      </c>
      <c r="AJ129" s="21">
        <v>119</v>
      </c>
      <c r="AK129" s="21">
        <v>0.49868800000000002</v>
      </c>
      <c r="AL129">
        <f t="shared" si="18"/>
        <v>15.631728395061728</v>
      </c>
      <c r="AM129">
        <f t="shared" si="19"/>
        <v>7.8044217723456786</v>
      </c>
      <c r="AP129" s="9"/>
      <c r="AQ129" s="21">
        <v>1.2307699999999999</v>
      </c>
      <c r="AR129" s="21">
        <v>25.186199999999999</v>
      </c>
      <c r="AS129" s="21">
        <v>-1.2417600000000001E-2</v>
      </c>
      <c r="AT129" s="21">
        <v>119</v>
      </c>
      <c r="AU129" s="21">
        <v>1.22986</v>
      </c>
      <c r="AV129">
        <f t="shared" si="20"/>
        <v>15.330370370370371</v>
      </c>
      <c r="AW129">
        <f t="shared" si="21"/>
        <v>18.868159940740739</v>
      </c>
      <c r="AX129" s="9"/>
      <c r="AY129" s="21">
        <v>0.49926799999999999</v>
      </c>
      <c r="AZ129" s="21">
        <v>29.065799999999999</v>
      </c>
      <c r="BA129" s="21">
        <v>-1.25916E-2</v>
      </c>
      <c r="BB129" s="21">
        <v>119</v>
      </c>
      <c r="BC129" s="21">
        <v>0.49865700000000002</v>
      </c>
      <c r="BD129">
        <f t="shared" si="22"/>
        <v>15.545185185185185</v>
      </c>
      <c r="BE129">
        <f t="shared" si="23"/>
        <v>7.7612135170370369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1.2257400000000001</v>
      </c>
      <c r="H130" s="21">
        <v>6.2448399999999999</v>
      </c>
      <c r="I130" s="21">
        <v>-1.2805199999999999E-2</v>
      </c>
      <c r="J130" s="21">
        <v>120</v>
      </c>
      <c r="K130" s="21">
        <v>1.2246699999999999</v>
      </c>
      <c r="L130">
        <f t="shared" si="12"/>
        <v>15.808888888888886</v>
      </c>
      <c r="M130">
        <f t="shared" si="13"/>
        <v>19.377587466666665</v>
      </c>
      <c r="N130" s="9"/>
      <c r="O130" s="21">
        <v>0.50430299999999995</v>
      </c>
      <c r="P130" s="21">
        <v>10.124499999999999</v>
      </c>
      <c r="Q130" s="21">
        <v>-1.28662E-2</v>
      </c>
      <c r="R130" s="21">
        <v>120</v>
      </c>
      <c r="S130" s="21">
        <v>0.50372300000000003</v>
      </c>
      <c r="T130">
        <f t="shared" si="14"/>
        <v>15.884197530864196</v>
      </c>
      <c r="U130">
        <f t="shared" si="15"/>
        <v>8.0104484674074055</v>
      </c>
      <c r="X130" s="9"/>
      <c r="Y130" s="21">
        <v>1.2257400000000001</v>
      </c>
      <c r="Z130" s="21">
        <v>15.698</v>
      </c>
      <c r="AA130" s="21">
        <v>-1.2560999999999999E-2</v>
      </c>
      <c r="AB130" s="21">
        <v>120</v>
      </c>
      <c r="AC130" s="21">
        <v>1.2246699999999999</v>
      </c>
      <c r="AD130">
        <f t="shared" si="16"/>
        <v>15.507407407407406</v>
      </c>
      <c r="AE130">
        <f t="shared" si="17"/>
        <v>19.008049555555555</v>
      </c>
      <c r="AF130" s="9"/>
      <c r="AG130" s="21">
        <v>0.50430299999999995</v>
      </c>
      <c r="AH130" s="21">
        <v>19.5776</v>
      </c>
      <c r="AI130" s="21">
        <v>-1.2649499999999999E-2</v>
      </c>
      <c r="AJ130" s="21">
        <v>120</v>
      </c>
      <c r="AK130" s="21">
        <v>0.50369299999999995</v>
      </c>
      <c r="AL130">
        <f t="shared" si="18"/>
        <v>15.616666666666664</v>
      </c>
      <c r="AM130">
        <f t="shared" si="19"/>
        <v>7.875531849999998</v>
      </c>
      <c r="AP130" s="9"/>
      <c r="AQ130" s="21">
        <v>1.2257400000000001</v>
      </c>
      <c r="AR130" s="21">
        <v>25.196300000000001</v>
      </c>
      <c r="AS130" s="21">
        <v>-1.24268E-2</v>
      </c>
      <c r="AT130" s="21">
        <v>120</v>
      </c>
      <c r="AU130" s="21">
        <v>1.2246699999999999</v>
      </c>
      <c r="AV130">
        <f t="shared" si="20"/>
        <v>15.341728395061727</v>
      </c>
      <c r="AW130">
        <f t="shared" si="21"/>
        <v>18.804970162962963</v>
      </c>
      <c r="AX130" s="9"/>
      <c r="AY130" s="21">
        <v>0.50430299999999995</v>
      </c>
      <c r="AZ130" s="21">
        <v>29.075900000000001</v>
      </c>
      <c r="BA130" s="21">
        <v>-1.2588500000000001E-2</v>
      </c>
      <c r="BB130" s="21">
        <v>120</v>
      </c>
      <c r="BC130" s="21">
        <v>0.50372300000000003</v>
      </c>
      <c r="BD130">
        <f t="shared" si="22"/>
        <v>15.541358024691359</v>
      </c>
      <c r="BE130">
        <f t="shared" si="23"/>
        <v>7.837553475925926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1.2206999999999999</v>
      </c>
      <c r="H131" s="21">
        <v>6.2549099999999997</v>
      </c>
      <c r="I131" s="21">
        <v>-1.2820399999999999E-2</v>
      </c>
      <c r="J131" s="21">
        <v>121</v>
      </c>
      <c r="K131" s="21">
        <v>1.2200899999999999</v>
      </c>
      <c r="L131">
        <f t="shared" si="12"/>
        <v>15.827654320987653</v>
      </c>
      <c r="M131">
        <f t="shared" si="13"/>
        <v>19.320817629629627</v>
      </c>
      <c r="N131" s="9"/>
      <c r="O131" s="21">
        <v>0.50933799999999996</v>
      </c>
      <c r="P131" s="21">
        <v>10.134499999999999</v>
      </c>
      <c r="Q131" s="21">
        <v>-1.28693E-2</v>
      </c>
      <c r="R131" s="21">
        <v>121</v>
      </c>
      <c r="S131" s="21">
        <v>0.50875899999999996</v>
      </c>
      <c r="T131">
        <f t="shared" si="14"/>
        <v>15.888024691358023</v>
      </c>
      <c r="U131">
        <f t="shared" si="15"/>
        <v>8.0923747202469123</v>
      </c>
      <c r="X131" s="9"/>
      <c r="Y131" s="21">
        <v>1.2206999999999999</v>
      </c>
      <c r="Z131" s="21">
        <v>15.7081</v>
      </c>
      <c r="AA131" s="21">
        <v>-1.25732E-2</v>
      </c>
      <c r="AB131" s="21">
        <v>121</v>
      </c>
      <c r="AC131" s="21">
        <v>1.2200899999999999</v>
      </c>
      <c r="AD131">
        <f t="shared" si="16"/>
        <v>15.522469135802467</v>
      </c>
      <c r="AE131">
        <f t="shared" si="17"/>
        <v>18.948278074074071</v>
      </c>
      <c r="AF131" s="9"/>
      <c r="AG131" s="21">
        <v>0.50933799999999996</v>
      </c>
      <c r="AH131" s="21">
        <v>19.587700000000002</v>
      </c>
      <c r="AI131" s="21">
        <v>-1.26465E-2</v>
      </c>
      <c r="AJ131" s="21">
        <v>121</v>
      </c>
      <c r="AK131" s="21">
        <v>0.50866699999999998</v>
      </c>
      <c r="AL131">
        <f t="shared" si="18"/>
        <v>15.612962962962962</v>
      </c>
      <c r="AM131">
        <f t="shared" si="19"/>
        <v>7.9522753296296287</v>
      </c>
      <c r="AP131" s="9"/>
      <c r="AQ131" s="21">
        <v>1.2206999999999999</v>
      </c>
      <c r="AR131" s="21">
        <v>25.206299999999999</v>
      </c>
      <c r="AS131" s="21">
        <v>-1.2442E-2</v>
      </c>
      <c r="AT131" s="21">
        <v>121</v>
      </c>
      <c r="AU131" s="21">
        <v>1.2197899999999999</v>
      </c>
      <c r="AV131">
        <f t="shared" si="20"/>
        <v>15.360493827160493</v>
      </c>
      <c r="AW131">
        <f t="shared" si="21"/>
        <v>18.750554814814812</v>
      </c>
      <c r="AX131" s="9"/>
      <c r="AY131" s="21">
        <v>0.50933799999999996</v>
      </c>
      <c r="AZ131" s="21">
        <v>29.085899999999999</v>
      </c>
      <c r="BA131" s="21">
        <v>-1.2588500000000001E-2</v>
      </c>
      <c r="BB131" s="21">
        <v>121</v>
      </c>
      <c r="BC131" s="21">
        <v>0.50872799999999996</v>
      </c>
      <c r="BD131">
        <f t="shared" si="22"/>
        <v>15.541358024691359</v>
      </c>
      <c r="BE131">
        <f t="shared" si="23"/>
        <v>7.9158042135802464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1.21567</v>
      </c>
      <c r="H132" s="21">
        <v>6.2649800000000004</v>
      </c>
      <c r="I132" s="21">
        <v>-1.28387E-2</v>
      </c>
      <c r="J132" s="21">
        <v>122</v>
      </c>
      <c r="K132" s="21">
        <v>1.2145999999999999</v>
      </c>
      <c r="L132">
        <f t="shared" si="12"/>
        <v>15.850246913580245</v>
      </c>
      <c r="M132">
        <f t="shared" si="13"/>
        <v>19.268669665432096</v>
      </c>
      <c r="N132" s="9"/>
      <c r="O132" s="21">
        <v>0.514374</v>
      </c>
      <c r="P132" s="21">
        <v>10.144600000000001</v>
      </c>
      <c r="Q132" s="21">
        <v>-1.28723E-2</v>
      </c>
      <c r="R132" s="21">
        <v>122</v>
      </c>
      <c r="S132" s="21">
        <v>0.513733</v>
      </c>
      <c r="T132">
        <f t="shared" si="14"/>
        <v>15.891728395061728</v>
      </c>
      <c r="U132">
        <f t="shared" si="15"/>
        <v>8.1742919014814817</v>
      </c>
      <c r="X132" s="9"/>
      <c r="Y132" s="21">
        <v>1.21567</v>
      </c>
      <c r="Z132" s="21">
        <v>15.7182</v>
      </c>
      <c r="AA132" s="21">
        <v>-1.2588500000000001E-2</v>
      </c>
      <c r="AB132" s="21">
        <v>122</v>
      </c>
      <c r="AC132" s="21">
        <v>1.2149000000000001</v>
      </c>
      <c r="AD132">
        <f t="shared" si="16"/>
        <v>15.541358024691359</v>
      </c>
      <c r="AE132">
        <f t="shared" si="17"/>
        <v>18.893162709876545</v>
      </c>
      <c r="AF132" s="9"/>
      <c r="AG132" s="21">
        <v>0.514374</v>
      </c>
      <c r="AH132" s="21">
        <v>19.597799999999999</v>
      </c>
      <c r="AI132" s="21">
        <v>-1.26526E-2</v>
      </c>
      <c r="AJ132" s="21">
        <v>122</v>
      </c>
      <c r="AK132" s="21">
        <v>0.513733</v>
      </c>
      <c r="AL132">
        <f t="shared" si="18"/>
        <v>15.620493827160493</v>
      </c>
      <c r="AM132">
        <f t="shared" si="19"/>
        <v>8.0347758918518508</v>
      </c>
      <c r="AP132" s="9"/>
      <c r="AQ132" s="21">
        <v>1.21567</v>
      </c>
      <c r="AR132" s="21">
        <v>25.2164</v>
      </c>
      <c r="AS132" s="21">
        <v>-1.24542E-2</v>
      </c>
      <c r="AT132" s="21">
        <v>122</v>
      </c>
      <c r="AU132" s="21">
        <v>1.2149000000000001</v>
      </c>
      <c r="AV132">
        <f t="shared" si="20"/>
        <v>15.375555555555556</v>
      </c>
      <c r="AW132">
        <f t="shared" si="21"/>
        <v>18.691601622222223</v>
      </c>
      <c r="AX132" s="9"/>
      <c r="AY132" s="21">
        <v>0.514374</v>
      </c>
      <c r="AZ132" s="21">
        <v>29.096</v>
      </c>
      <c r="BA132" s="21">
        <v>-1.25793E-2</v>
      </c>
      <c r="BB132" s="21">
        <v>122</v>
      </c>
      <c r="BC132" s="21">
        <v>0.513733</v>
      </c>
      <c r="BD132">
        <f t="shared" si="22"/>
        <v>15.53</v>
      </c>
      <c r="BE132">
        <f t="shared" si="23"/>
        <v>7.9882282199999999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1.2106300000000001</v>
      </c>
      <c r="H133" s="21">
        <v>6.2750500000000002</v>
      </c>
      <c r="I133" s="21">
        <v>-1.28571E-2</v>
      </c>
      <c r="J133" s="21">
        <v>123</v>
      </c>
      <c r="K133" s="21">
        <v>1.2094100000000001</v>
      </c>
      <c r="L133">
        <f t="shared" si="12"/>
        <v>15.87296296296296</v>
      </c>
      <c r="M133">
        <f t="shared" si="13"/>
        <v>19.216285151851849</v>
      </c>
      <c r="N133" s="9"/>
      <c r="O133" s="21">
        <v>0.51940900000000001</v>
      </c>
      <c r="P133" s="21">
        <v>10.1547</v>
      </c>
      <c r="Q133" s="21">
        <v>-1.28784E-2</v>
      </c>
      <c r="R133" s="21">
        <v>123</v>
      </c>
      <c r="S133" s="21">
        <v>0.51882899999999998</v>
      </c>
      <c r="T133">
        <f t="shared" si="14"/>
        <v>15.899259259259258</v>
      </c>
      <c r="U133">
        <f t="shared" si="15"/>
        <v>8.2582183525925927</v>
      </c>
      <c r="X133" s="9"/>
      <c r="Y133" s="21">
        <v>1.2106300000000001</v>
      </c>
      <c r="Z133" s="21">
        <v>15.728199999999999</v>
      </c>
      <c r="AA133" s="21">
        <v>-1.25977E-2</v>
      </c>
      <c r="AB133" s="21">
        <v>123</v>
      </c>
      <c r="AC133" s="21">
        <v>1.2100200000000001</v>
      </c>
      <c r="AD133">
        <f t="shared" si="16"/>
        <v>15.552716049382715</v>
      </c>
      <c r="AE133">
        <f t="shared" si="17"/>
        <v>18.828584630864199</v>
      </c>
      <c r="AF133" s="9"/>
      <c r="AG133" s="21">
        <v>0.51940900000000001</v>
      </c>
      <c r="AH133" s="21">
        <v>19.607900000000001</v>
      </c>
      <c r="AI133" s="21">
        <v>-1.2649499999999999E-2</v>
      </c>
      <c r="AJ133" s="21">
        <v>123</v>
      </c>
      <c r="AK133" s="21">
        <v>0.51882899999999998</v>
      </c>
      <c r="AL133">
        <f t="shared" si="18"/>
        <v>15.616666666666664</v>
      </c>
      <c r="AM133">
        <f t="shared" si="19"/>
        <v>8.1114372166666655</v>
      </c>
      <c r="AP133" s="9"/>
      <c r="AQ133" s="21">
        <v>1.2106300000000001</v>
      </c>
      <c r="AR133" s="21">
        <v>25.226500000000001</v>
      </c>
      <c r="AS133" s="21">
        <v>-1.2460300000000001E-2</v>
      </c>
      <c r="AT133" s="21">
        <v>123</v>
      </c>
      <c r="AU133" s="21">
        <v>1.2094100000000001</v>
      </c>
      <c r="AV133">
        <f t="shared" si="20"/>
        <v>15.383086419753086</v>
      </c>
      <c r="AW133">
        <f t="shared" si="21"/>
        <v>18.623225912345681</v>
      </c>
      <c r="AX133" s="9"/>
      <c r="AY133" s="21">
        <v>0.51940900000000001</v>
      </c>
      <c r="AZ133" s="21">
        <v>29.106100000000001</v>
      </c>
      <c r="BA133" s="21">
        <v>-1.25732E-2</v>
      </c>
      <c r="BB133" s="21">
        <v>123</v>
      </c>
      <c r="BC133" s="21">
        <v>0.51876800000000001</v>
      </c>
      <c r="BD133">
        <f t="shared" si="22"/>
        <v>15.522469135802467</v>
      </c>
      <c r="BE133">
        <f t="shared" si="23"/>
        <v>8.0625101713580243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1.2056</v>
      </c>
      <c r="H134" s="21">
        <v>6.28512</v>
      </c>
      <c r="I134" s="21">
        <v>-1.28662E-2</v>
      </c>
      <c r="J134" s="21">
        <v>124</v>
      </c>
      <c r="K134" s="21">
        <v>1.2045300000000001</v>
      </c>
      <c r="L134">
        <f t="shared" si="12"/>
        <v>15.884197530864196</v>
      </c>
      <c r="M134">
        <f t="shared" si="13"/>
        <v>19.149988543209876</v>
      </c>
      <c r="N134" s="9"/>
      <c r="O134" s="21">
        <v>0.52444500000000005</v>
      </c>
      <c r="P134" s="21">
        <v>10.1647</v>
      </c>
      <c r="Q134" s="21">
        <v>-1.28754E-2</v>
      </c>
      <c r="R134" s="21">
        <v>124</v>
      </c>
      <c r="S134" s="21">
        <v>0.52380400000000005</v>
      </c>
      <c r="T134">
        <f t="shared" si="14"/>
        <v>15.895555555555555</v>
      </c>
      <c r="U134">
        <f t="shared" si="15"/>
        <v>8.3363446333333346</v>
      </c>
      <c r="X134" s="9"/>
      <c r="Y134" s="21">
        <v>1.2056</v>
      </c>
      <c r="Z134" s="21">
        <v>15.738300000000001</v>
      </c>
      <c r="AA134" s="21">
        <v>-1.2616E-2</v>
      </c>
      <c r="AB134" s="21">
        <v>124</v>
      </c>
      <c r="AC134" s="21">
        <v>1.2048300000000001</v>
      </c>
      <c r="AD134">
        <f t="shared" si="16"/>
        <v>15.575308641975308</v>
      </c>
      <c r="AE134">
        <f t="shared" si="17"/>
        <v>18.777592098765432</v>
      </c>
      <c r="AF134" s="9"/>
      <c r="AG134" s="21">
        <v>0.52444500000000005</v>
      </c>
      <c r="AH134" s="21">
        <v>19.617899999999999</v>
      </c>
      <c r="AI134" s="21">
        <v>-1.26465E-2</v>
      </c>
      <c r="AJ134" s="21">
        <v>124</v>
      </c>
      <c r="AK134" s="21">
        <v>0.52380400000000005</v>
      </c>
      <c r="AL134">
        <f t="shared" si="18"/>
        <v>15.612962962962962</v>
      </c>
      <c r="AM134">
        <f t="shared" si="19"/>
        <v>8.1881403611111114</v>
      </c>
      <c r="AP134" s="9"/>
      <c r="AQ134" s="21">
        <v>1.2056</v>
      </c>
      <c r="AR134" s="21">
        <v>25.236499999999999</v>
      </c>
      <c r="AS134" s="21">
        <v>-1.2466400000000001E-2</v>
      </c>
      <c r="AT134" s="21">
        <v>124</v>
      </c>
      <c r="AU134" s="21">
        <v>1.2045300000000001</v>
      </c>
      <c r="AV134">
        <f t="shared" si="20"/>
        <v>15.390617283950617</v>
      </c>
      <c r="AW134">
        <f t="shared" si="21"/>
        <v>18.554928197530863</v>
      </c>
      <c r="AX134" s="9"/>
      <c r="AY134" s="21">
        <v>0.52444500000000005</v>
      </c>
      <c r="AZ134" s="21">
        <v>29.116199999999999</v>
      </c>
      <c r="BA134" s="21">
        <v>-1.2567099999999999E-2</v>
      </c>
      <c r="BB134" s="21">
        <v>124</v>
      </c>
      <c r="BC134" s="21">
        <v>0.52386500000000003</v>
      </c>
      <c r="BD134">
        <f t="shared" si="22"/>
        <v>15.514938271604937</v>
      </c>
      <c r="BE134">
        <f t="shared" si="23"/>
        <v>8.1367318018518517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1.2005600000000001</v>
      </c>
      <c r="H135" s="21">
        <v>6.2951899999999998</v>
      </c>
      <c r="I135" s="21">
        <v>-1.28754E-2</v>
      </c>
      <c r="J135" s="21">
        <v>125</v>
      </c>
      <c r="K135" s="21">
        <v>1.1999500000000001</v>
      </c>
      <c r="L135">
        <f t="shared" si="12"/>
        <v>15.895555555555555</v>
      </c>
      <c r="M135">
        <f t="shared" si="13"/>
        <v>19.083568177777778</v>
      </c>
      <c r="N135" s="9"/>
      <c r="O135" s="21">
        <v>0.52947999999999995</v>
      </c>
      <c r="P135" s="21">
        <v>10.174799999999999</v>
      </c>
      <c r="Q135" s="21">
        <v>-1.28723E-2</v>
      </c>
      <c r="R135" s="21">
        <v>125</v>
      </c>
      <c r="S135" s="21">
        <v>0.52883899999999995</v>
      </c>
      <c r="T135">
        <f t="shared" si="14"/>
        <v>15.891728395061728</v>
      </c>
      <c r="U135">
        <f t="shared" si="15"/>
        <v>8.4143523506172837</v>
      </c>
      <c r="X135" s="9"/>
      <c r="Y135" s="21">
        <v>1.2005600000000001</v>
      </c>
      <c r="Z135" s="21">
        <v>15.7484</v>
      </c>
      <c r="AA135" s="21">
        <v>-1.2628199999999999E-2</v>
      </c>
      <c r="AB135" s="21">
        <v>125</v>
      </c>
      <c r="AC135" s="21">
        <v>1.1999500000000001</v>
      </c>
      <c r="AD135">
        <f t="shared" si="16"/>
        <v>15.590370370370369</v>
      </c>
      <c r="AE135">
        <f t="shared" si="17"/>
        <v>18.71717505185185</v>
      </c>
      <c r="AF135" s="9"/>
      <c r="AG135" s="21">
        <v>0.52947999999999995</v>
      </c>
      <c r="AH135" s="21">
        <v>19.628</v>
      </c>
      <c r="AI135" s="21">
        <v>-1.26312E-2</v>
      </c>
      <c r="AJ135" s="21">
        <v>125</v>
      </c>
      <c r="AK135" s="21">
        <v>0.52893100000000004</v>
      </c>
      <c r="AL135">
        <f t="shared" si="18"/>
        <v>15.594074074074072</v>
      </c>
      <c r="AM135">
        <f t="shared" si="19"/>
        <v>8.256750340740739</v>
      </c>
      <c r="AP135" s="9"/>
      <c r="AQ135" s="21">
        <v>1.2005600000000001</v>
      </c>
      <c r="AR135" s="21">
        <v>25.246600000000001</v>
      </c>
      <c r="AS135" s="21">
        <v>-1.24695E-2</v>
      </c>
      <c r="AT135" s="21">
        <v>125</v>
      </c>
      <c r="AU135" s="21">
        <v>1.1990400000000001</v>
      </c>
      <c r="AV135">
        <f t="shared" si="20"/>
        <v>15.394444444444444</v>
      </c>
      <c r="AW135">
        <f t="shared" si="21"/>
        <v>18.481954222222221</v>
      </c>
      <c r="AX135" s="9"/>
      <c r="AY135" s="21">
        <v>0.52947999999999995</v>
      </c>
      <c r="AZ135" s="21">
        <v>29.126200000000001</v>
      </c>
      <c r="BA135" s="21">
        <v>-1.2567099999999999E-2</v>
      </c>
      <c r="BB135" s="21">
        <v>125</v>
      </c>
      <c r="BC135" s="21">
        <v>0.52893100000000004</v>
      </c>
      <c r="BD135">
        <f t="shared" si="22"/>
        <v>15.514938271604937</v>
      </c>
      <c r="BE135">
        <f t="shared" si="23"/>
        <v>8.214849516049382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1.19553</v>
      </c>
      <c r="H136" s="21">
        <v>6.3052599999999996</v>
      </c>
      <c r="I136" s="21">
        <v>-1.2887600000000001E-2</v>
      </c>
      <c r="J136" s="21">
        <v>126</v>
      </c>
      <c r="K136" s="21">
        <v>1.19476</v>
      </c>
      <c r="L136">
        <f t="shared" si="12"/>
        <v>15.910617283950618</v>
      </c>
      <c r="M136">
        <f t="shared" si="13"/>
        <v>19.021620281481482</v>
      </c>
      <c r="N136" s="9"/>
      <c r="O136" s="21">
        <v>0.53451499999999996</v>
      </c>
      <c r="P136" s="21">
        <v>10.184900000000001</v>
      </c>
      <c r="Q136" s="21">
        <v>-1.2860099999999999E-2</v>
      </c>
      <c r="R136" s="21">
        <v>126</v>
      </c>
      <c r="S136" s="21">
        <v>0.53387499999999999</v>
      </c>
      <c r="T136">
        <f t="shared" si="14"/>
        <v>15.876666666666663</v>
      </c>
      <c r="U136">
        <f t="shared" si="15"/>
        <v>8.4863164833333311</v>
      </c>
      <c r="X136" s="9"/>
      <c r="Y136" s="21">
        <v>1.19553</v>
      </c>
      <c r="Z136" s="21">
        <v>15.7584</v>
      </c>
      <c r="AA136" s="21">
        <v>-1.2637300000000001E-2</v>
      </c>
      <c r="AB136" s="21">
        <v>126</v>
      </c>
      <c r="AC136" s="21">
        <v>1.1944600000000001</v>
      </c>
      <c r="AD136">
        <f t="shared" si="16"/>
        <v>15.601604938271604</v>
      </c>
      <c r="AE136">
        <f t="shared" si="17"/>
        <v>18.65218675185185</v>
      </c>
      <c r="AF136" s="9"/>
      <c r="AG136" s="21">
        <v>0.53451499999999996</v>
      </c>
      <c r="AH136" s="21">
        <v>19.638100000000001</v>
      </c>
      <c r="AI136" s="21">
        <v>-1.2616E-2</v>
      </c>
      <c r="AJ136" s="21">
        <v>126</v>
      </c>
      <c r="AK136" s="21">
        <v>0.53390499999999996</v>
      </c>
      <c r="AL136">
        <f t="shared" si="18"/>
        <v>15.575308641975308</v>
      </c>
      <c r="AM136">
        <f t="shared" si="19"/>
        <v>8.3252360987654317</v>
      </c>
      <c r="AP136" s="9"/>
      <c r="AQ136" s="21">
        <v>1.19553</v>
      </c>
      <c r="AR136" s="21">
        <v>25.256699999999999</v>
      </c>
      <c r="AS136" s="21">
        <v>-1.2472499999999999E-2</v>
      </c>
      <c r="AT136" s="21">
        <v>126</v>
      </c>
      <c r="AU136" s="21">
        <v>1.1944600000000001</v>
      </c>
      <c r="AV136">
        <f t="shared" si="20"/>
        <v>15.398148148148147</v>
      </c>
      <c r="AW136">
        <f t="shared" si="21"/>
        <v>18.408948055555555</v>
      </c>
      <c r="AX136" s="9"/>
      <c r="AY136" s="21">
        <v>0.53451499999999996</v>
      </c>
      <c r="AZ136" s="21">
        <v>29.136299999999999</v>
      </c>
      <c r="BA136" s="21">
        <v>-1.25732E-2</v>
      </c>
      <c r="BB136" s="21">
        <v>126</v>
      </c>
      <c r="BC136" s="21">
        <v>0.53390499999999996</v>
      </c>
      <c r="BD136">
        <f t="shared" si="22"/>
        <v>15.522469135802467</v>
      </c>
      <c r="BE136">
        <f t="shared" si="23"/>
        <v>8.2969925901234554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1.19049</v>
      </c>
      <c r="H137" s="21">
        <v>6.31534</v>
      </c>
      <c r="I137" s="21">
        <v>-1.2896700000000001E-2</v>
      </c>
      <c r="J137" s="21">
        <v>127</v>
      </c>
      <c r="K137" s="21">
        <v>1.18927</v>
      </c>
      <c r="L137">
        <f t="shared" si="12"/>
        <v>15.92185185185185</v>
      </c>
      <c r="M137">
        <f t="shared" si="13"/>
        <v>18.95480541111111</v>
      </c>
      <c r="N137" s="9"/>
      <c r="O137" s="21">
        <v>0.539551</v>
      </c>
      <c r="P137" s="21">
        <v>10.195</v>
      </c>
      <c r="Q137" s="21">
        <v>-1.2851E-2</v>
      </c>
      <c r="R137" s="21">
        <v>127</v>
      </c>
      <c r="S137" s="21">
        <v>0.538879</v>
      </c>
      <c r="T137">
        <f t="shared" si="14"/>
        <v>15.865432098765432</v>
      </c>
      <c r="U137">
        <f t="shared" si="15"/>
        <v>8.5602097543209883</v>
      </c>
      <c r="X137" s="9"/>
      <c r="Y137" s="21">
        <v>1.19049</v>
      </c>
      <c r="Z137" s="21">
        <v>15.7685</v>
      </c>
      <c r="AA137" s="21">
        <v>-1.26404E-2</v>
      </c>
      <c r="AB137" s="21">
        <v>127</v>
      </c>
      <c r="AC137" s="21">
        <v>1.18988</v>
      </c>
      <c r="AD137">
        <f t="shared" si="16"/>
        <v>15.60543209876543</v>
      </c>
      <c r="AE137">
        <f t="shared" si="17"/>
        <v>18.578110859259258</v>
      </c>
      <c r="AF137" s="9"/>
      <c r="AG137" s="21">
        <v>0.539551</v>
      </c>
      <c r="AH137" s="21">
        <v>19.648099999999999</v>
      </c>
      <c r="AI137" s="21">
        <v>-1.26068E-2</v>
      </c>
      <c r="AJ137" s="21">
        <v>127</v>
      </c>
      <c r="AK137" s="21">
        <v>0.538879</v>
      </c>
      <c r="AL137">
        <f t="shared" si="18"/>
        <v>15.56395061728395</v>
      </c>
      <c r="AM137">
        <f t="shared" si="19"/>
        <v>8.397545119506173</v>
      </c>
      <c r="AP137" s="9"/>
      <c r="AQ137" s="21">
        <v>1.19049</v>
      </c>
      <c r="AR137" s="21">
        <v>25.2668</v>
      </c>
      <c r="AS137" s="21">
        <v>-1.24756E-2</v>
      </c>
      <c r="AT137" s="21">
        <v>127</v>
      </c>
      <c r="AU137" s="21">
        <v>1.1895800000000001</v>
      </c>
      <c r="AV137">
        <f t="shared" si="20"/>
        <v>15.401975308641974</v>
      </c>
      <c r="AW137">
        <f t="shared" si="21"/>
        <v>18.335897585185183</v>
      </c>
      <c r="AX137" s="9"/>
      <c r="AY137" s="21">
        <v>0.539551</v>
      </c>
      <c r="AZ137" s="21">
        <v>29.1464</v>
      </c>
      <c r="BA137" s="21">
        <v>-1.2588500000000001E-2</v>
      </c>
      <c r="BB137" s="21">
        <v>127</v>
      </c>
      <c r="BC137" s="21">
        <v>0.538879</v>
      </c>
      <c r="BD137">
        <f t="shared" si="22"/>
        <v>15.541358024691359</v>
      </c>
      <c r="BE137">
        <f t="shared" si="23"/>
        <v>8.385355263580248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1.18546</v>
      </c>
      <c r="H138" s="21">
        <v>6.3254099999999998</v>
      </c>
      <c r="I138" s="21">
        <v>-1.2902800000000001E-2</v>
      </c>
      <c r="J138" s="21">
        <v>128</v>
      </c>
      <c r="K138" s="21">
        <v>1.18469</v>
      </c>
      <c r="L138">
        <f t="shared" si="12"/>
        <v>15.929382716049382</v>
      </c>
      <c r="M138">
        <f t="shared" si="13"/>
        <v>18.883646034567899</v>
      </c>
      <c r="N138" s="9"/>
      <c r="O138" s="21">
        <v>0.54458600000000001</v>
      </c>
      <c r="P138" s="21">
        <v>10.205</v>
      </c>
      <c r="Q138" s="21">
        <v>-1.28387E-2</v>
      </c>
      <c r="R138" s="21">
        <v>128</v>
      </c>
      <c r="S138" s="21">
        <v>0.54397600000000002</v>
      </c>
      <c r="T138">
        <f t="shared" si="14"/>
        <v>15.850246913580245</v>
      </c>
      <c r="U138">
        <f t="shared" si="15"/>
        <v>8.6318225656790109</v>
      </c>
      <c r="X138" s="9"/>
      <c r="Y138" s="21">
        <v>1.18546</v>
      </c>
      <c r="Z138" s="21">
        <v>15.778600000000001</v>
      </c>
      <c r="AA138" s="21">
        <v>-1.2655599999999999E-2</v>
      </c>
      <c r="AB138" s="21">
        <v>128</v>
      </c>
      <c r="AC138" s="21">
        <v>1.1843900000000001</v>
      </c>
      <c r="AD138">
        <f t="shared" si="16"/>
        <v>15.624197530864196</v>
      </c>
      <c r="AE138">
        <f t="shared" si="17"/>
        <v>18.521861204938268</v>
      </c>
      <c r="AF138" s="9"/>
      <c r="AG138" s="21">
        <v>0.54458600000000001</v>
      </c>
      <c r="AH138" s="21">
        <v>19.658200000000001</v>
      </c>
      <c r="AI138" s="21">
        <v>-1.25977E-2</v>
      </c>
      <c r="AJ138" s="21">
        <v>128</v>
      </c>
      <c r="AK138" s="21">
        <v>0.54394500000000001</v>
      </c>
      <c r="AL138">
        <f t="shared" si="18"/>
        <v>15.552716049382715</v>
      </c>
      <c r="AM138">
        <f t="shared" si="19"/>
        <v>8.469791422469136</v>
      </c>
      <c r="AP138" s="9"/>
      <c r="AQ138" s="21">
        <v>1.18546</v>
      </c>
      <c r="AR138" s="21">
        <v>25.276800000000001</v>
      </c>
      <c r="AS138" s="21">
        <v>-1.24756E-2</v>
      </c>
      <c r="AT138" s="21">
        <v>128</v>
      </c>
      <c r="AU138" s="21">
        <v>1.18469</v>
      </c>
      <c r="AV138">
        <f t="shared" si="20"/>
        <v>15.401975308641974</v>
      </c>
      <c r="AW138">
        <f t="shared" si="21"/>
        <v>18.258425649382716</v>
      </c>
      <c r="AX138" s="9"/>
      <c r="AY138" s="21">
        <v>0.54458600000000001</v>
      </c>
      <c r="AZ138" s="21">
        <v>29.156400000000001</v>
      </c>
      <c r="BA138" s="21">
        <v>-1.2594599999999999E-2</v>
      </c>
      <c r="BB138" s="21">
        <v>128</v>
      </c>
      <c r="BC138" s="21">
        <v>0.54388400000000003</v>
      </c>
      <c r="BD138">
        <f t="shared" si="22"/>
        <v>15.548888888888886</v>
      </c>
      <c r="BE138">
        <f t="shared" si="23"/>
        <v>8.4677072044444426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1.18042</v>
      </c>
      <c r="H139" s="21">
        <v>6.3354799999999996</v>
      </c>
      <c r="I139" s="21">
        <v>-1.29211E-2</v>
      </c>
      <c r="J139" s="21">
        <v>129</v>
      </c>
      <c r="K139" s="21">
        <v>1.1792</v>
      </c>
      <c r="L139">
        <f t="shared" si="12"/>
        <v>15.951975308641973</v>
      </c>
      <c r="M139">
        <f t="shared" si="13"/>
        <v>18.830030693827158</v>
      </c>
      <c r="N139" s="9"/>
      <c r="O139" s="21">
        <v>0.54962200000000005</v>
      </c>
      <c r="P139" s="21">
        <v>10.2151</v>
      </c>
      <c r="Q139" s="21">
        <v>-1.28326E-2</v>
      </c>
      <c r="R139" s="21">
        <v>129</v>
      </c>
      <c r="S139" s="21">
        <v>0.54910300000000001</v>
      </c>
      <c r="T139">
        <f t="shared" si="14"/>
        <v>15.842716049382712</v>
      </c>
      <c r="U139">
        <f t="shared" si="15"/>
        <v>8.7075052804938267</v>
      </c>
      <c r="X139" s="9"/>
      <c r="Y139" s="21">
        <v>1.18042</v>
      </c>
      <c r="Z139" s="21">
        <v>15.7887</v>
      </c>
      <c r="AA139" s="21">
        <v>-1.2674E-2</v>
      </c>
      <c r="AB139" s="21">
        <v>129</v>
      </c>
      <c r="AC139" s="21">
        <v>1.17889</v>
      </c>
      <c r="AD139">
        <f t="shared" si="16"/>
        <v>15.646913580246911</v>
      </c>
      <c r="AE139">
        <f t="shared" si="17"/>
        <v>18.469929728395059</v>
      </c>
      <c r="AF139" s="9"/>
      <c r="AG139" s="21">
        <v>0.54962200000000005</v>
      </c>
      <c r="AH139" s="21">
        <v>19.668299999999999</v>
      </c>
      <c r="AI139" s="21">
        <v>-1.2588500000000001E-2</v>
      </c>
      <c r="AJ139" s="21">
        <v>129</v>
      </c>
      <c r="AK139" s="21">
        <v>0.54904200000000003</v>
      </c>
      <c r="AL139">
        <f t="shared" si="18"/>
        <v>15.541358024691359</v>
      </c>
      <c r="AM139">
        <f t="shared" si="19"/>
        <v>8.5418722802469151</v>
      </c>
      <c r="AP139" s="9"/>
      <c r="AQ139" s="21">
        <v>1.18042</v>
      </c>
      <c r="AR139" s="21">
        <v>25.286899999999999</v>
      </c>
      <c r="AS139" s="21">
        <v>-1.2478599999999999E-2</v>
      </c>
      <c r="AT139" s="21">
        <v>129</v>
      </c>
      <c r="AU139" s="21">
        <v>1.1792</v>
      </c>
      <c r="AV139">
        <f t="shared" si="20"/>
        <v>15.405679012345677</v>
      </c>
      <c r="AW139">
        <f t="shared" si="21"/>
        <v>18.185171619753085</v>
      </c>
      <c r="AX139" s="9"/>
      <c r="AY139" s="21">
        <v>0.54962200000000005</v>
      </c>
      <c r="AZ139" s="21">
        <v>29.166499999999999</v>
      </c>
      <c r="BA139" s="21">
        <v>-1.2600699999999999E-2</v>
      </c>
      <c r="BB139" s="21">
        <v>129</v>
      </c>
      <c r="BC139" s="21">
        <v>0.549072</v>
      </c>
      <c r="BD139">
        <f t="shared" si="22"/>
        <v>15.556419753086418</v>
      </c>
      <c r="BE139">
        <f t="shared" si="23"/>
        <v>8.5501505375308646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1.1753800000000001</v>
      </c>
      <c r="H140" s="21">
        <v>6.3455500000000002</v>
      </c>
      <c r="I140" s="21">
        <v>-1.29395E-2</v>
      </c>
      <c r="J140" s="21">
        <v>130</v>
      </c>
      <c r="K140" s="21">
        <v>1.17432</v>
      </c>
      <c r="L140">
        <f t="shared" ref="L140:L203" si="24">-I140/$F$2*1000</f>
        <v>15.974691358024689</v>
      </c>
      <c r="M140">
        <f t="shared" ref="M140:M203" si="25">L140*G140</f>
        <v>18.776332728395062</v>
      </c>
      <c r="N140" s="9"/>
      <c r="O140" s="21">
        <v>0.55465699999999996</v>
      </c>
      <c r="P140" s="21">
        <v>10.225199999999999</v>
      </c>
      <c r="Q140" s="21">
        <v>-1.2814300000000001E-2</v>
      </c>
      <c r="R140" s="21">
        <v>130</v>
      </c>
      <c r="S140" s="21">
        <v>0.55401599999999995</v>
      </c>
      <c r="T140">
        <f t="shared" ref="T140:T203" si="26">-Q140/$F$2*1000</f>
        <v>15.820123456790125</v>
      </c>
      <c r="U140">
        <f t="shared" ref="U140:U203" si="27">T140*O140</f>
        <v>8.7747422161728394</v>
      </c>
      <c r="X140" s="9"/>
      <c r="Y140" s="21">
        <v>1.1753800000000001</v>
      </c>
      <c r="Z140" s="21">
        <v>15.7987</v>
      </c>
      <c r="AA140" s="21">
        <v>-1.2683099999999999E-2</v>
      </c>
      <c r="AB140" s="21">
        <v>130</v>
      </c>
      <c r="AC140" s="21">
        <v>1.17523</v>
      </c>
      <c r="AD140">
        <f t="shared" ref="AD140:AD203" si="28">-AA140/$F$2*1000</f>
        <v>15.658148148148147</v>
      </c>
      <c r="AE140">
        <f t="shared" ref="AE140:AE203" si="29">AD140*Y140</f>
        <v>18.404274170370371</v>
      </c>
      <c r="AF140" s="9"/>
      <c r="AG140" s="21">
        <v>0.55465699999999996</v>
      </c>
      <c r="AH140" s="21">
        <v>19.6783</v>
      </c>
      <c r="AI140" s="21">
        <v>-1.2588500000000001E-2</v>
      </c>
      <c r="AJ140" s="21">
        <v>130</v>
      </c>
      <c r="AK140" s="21">
        <v>0.55398599999999998</v>
      </c>
      <c r="AL140">
        <f t="shared" ref="AL140:AL203" si="30">-AI140/$F$2*1000</f>
        <v>15.541358024691359</v>
      </c>
      <c r="AM140">
        <f t="shared" ref="AM140:AM203" si="31">AL140*AG140</f>
        <v>8.6201230179012338</v>
      </c>
      <c r="AP140" s="9"/>
      <c r="AQ140" s="21">
        <v>1.1753800000000001</v>
      </c>
      <c r="AR140" s="21">
        <v>25.297000000000001</v>
      </c>
      <c r="AS140" s="21">
        <v>-1.2478599999999999E-2</v>
      </c>
      <c r="AT140" s="21">
        <v>130</v>
      </c>
      <c r="AU140" s="21">
        <v>1.17462</v>
      </c>
      <c r="AV140">
        <f t="shared" ref="AV140:AV203" si="32">-AS140/$F$2*1000</f>
        <v>15.405679012345677</v>
      </c>
      <c r="AW140">
        <f t="shared" ref="AW140:AW203" si="33">AV140*AQ140</f>
        <v>18.107526997530865</v>
      </c>
      <c r="AX140" s="9"/>
      <c r="AY140" s="21">
        <v>0.55465699999999996</v>
      </c>
      <c r="AZ140" s="21">
        <v>29.176600000000001</v>
      </c>
      <c r="BA140" s="21">
        <v>-1.25916E-2</v>
      </c>
      <c r="BB140" s="21">
        <v>130</v>
      </c>
      <c r="BC140" s="21">
        <v>0.55401599999999995</v>
      </c>
      <c r="BD140">
        <f t="shared" ref="BD140:BD203" si="34">-BA140/$F$2*1000</f>
        <v>15.545185185185185</v>
      </c>
      <c r="BE140">
        <f t="shared" ref="BE140:BE203" si="35">BD140*AY140</f>
        <v>8.6222457792592575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1.17035</v>
      </c>
      <c r="H141" s="21">
        <v>6.35562</v>
      </c>
      <c r="I141" s="21">
        <v>-1.2948599999999999E-2</v>
      </c>
      <c r="J141" s="21">
        <v>131</v>
      </c>
      <c r="K141" s="21">
        <v>1.16974</v>
      </c>
      <c r="L141">
        <f t="shared" si="24"/>
        <v>15.985925925925924</v>
      </c>
      <c r="M141">
        <f t="shared" si="25"/>
        <v>18.709128407407405</v>
      </c>
      <c r="N141" s="9"/>
      <c r="O141" s="21">
        <v>0.55969199999999997</v>
      </c>
      <c r="P141" s="21">
        <v>10.235200000000001</v>
      </c>
      <c r="Q141" s="21">
        <v>-1.2805199999999999E-2</v>
      </c>
      <c r="R141" s="21">
        <v>131</v>
      </c>
      <c r="S141" s="21">
        <v>0.55914299999999995</v>
      </c>
      <c r="T141">
        <f t="shared" si="26"/>
        <v>15.808888888888886</v>
      </c>
      <c r="U141">
        <f t="shared" si="27"/>
        <v>8.8481086399999977</v>
      </c>
      <c r="X141" s="9"/>
      <c r="Y141" s="21">
        <v>1.17035</v>
      </c>
      <c r="Z141" s="21">
        <v>15.8088</v>
      </c>
      <c r="AA141" s="21">
        <v>-1.26923E-2</v>
      </c>
      <c r="AB141" s="21">
        <v>131</v>
      </c>
      <c r="AC141" s="21">
        <v>1.16943</v>
      </c>
      <c r="AD141">
        <f t="shared" si="28"/>
        <v>15.669506172839506</v>
      </c>
      <c r="AE141">
        <f t="shared" si="29"/>
        <v>18.338806549382717</v>
      </c>
      <c r="AF141" s="9"/>
      <c r="AG141" s="21">
        <v>0.55969199999999997</v>
      </c>
      <c r="AH141" s="21">
        <v>19.688400000000001</v>
      </c>
      <c r="AI141" s="21">
        <v>-1.25763E-2</v>
      </c>
      <c r="AJ141" s="21">
        <v>131</v>
      </c>
      <c r="AK141" s="21">
        <v>0.55917399999999995</v>
      </c>
      <c r="AL141">
        <f t="shared" si="30"/>
        <v>15.526296296296294</v>
      </c>
      <c r="AM141">
        <f t="shared" si="31"/>
        <v>8.6899438266666653</v>
      </c>
      <c r="AP141" s="9"/>
      <c r="AQ141" s="21">
        <v>1.17035</v>
      </c>
      <c r="AR141" s="21">
        <v>25.306999999999999</v>
      </c>
      <c r="AS141" s="21">
        <v>-1.24939E-2</v>
      </c>
      <c r="AT141" s="21">
        <v>131</v>
      </c>
      <c r="AU141" s="21">
        <v>1.16974</v>
      </c>
      <c r="AV141">
        <f t="shared" si="32"/>
        <v>15.424567901234568</v>
      </c>
      <c r="AW141">
        <f t="shared" si="33"/>
        <v>18.052143043209878</v>
      </c>
      <c r="AX141" s="9"/>
      <c r="AY141" s="21">
        <v>0.55969199999999997</v>
      </c>
      <c r="AZ141" s="21">
        <v>29.186599999999999</v>
      </c>
      <c r="BA141" s="21">
        <v>-1.25702E-2</v>
      </c>
      <c r="BB141" s="21">
        <v>131</v>
      </c>
      <c r="BC141" s="21">
        <v>0.55902099999999999</v>
      </c>
      <c r="BD141">
        <f t="shared" si="34"/>
        <v>15.518765432098766</v>
      </c>
      <c r="BE141">
        <f t="shared" si="35"/>
        <v>8.6857288622222217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1.1653100000000001</v>
      </c>
      <c r="H142" s="21">
        <v>6.3656899999999998</v>
      </c>
      <c r="I142" s="21">
        <v>-1.29578E-2</v>
      </c>
      <c r="J142" s="21">
        <v>132</v>
      </c>
      <c r="K142" s="21">
        <v>1.16394</v>
      </c>
      <c r="L142">
        <f t="shared" si="24"/>
        <v>15.997283950617284</v>
      </c>
      <c r="M142">
        <f t="shared" si="25"/>
        <v>18.641794960493829</v>
      </c>
      <c r="N142" s="9"/>
      <c r="O142" s="21">
        <v>0.56472800000000001</v>
      </c>
      <c r="P142" s="21">
        <v>10.2453</v>
      </c>
      <c r="Q142" s="21">
        <v>-1.2793000000000001E-2</v>
      </c>
      <c r="R142" s="21">
        <v>132</v>
      </c>
      <c r="S142" s="21">
        <v>0.56414799999999998</v>
      </c>
      <c r="T142">
        <f t="shared" si="26"/>
        <v>15.793827160493827</v>
      </c>
      <c r="U142">
        <f t="shared" si="27"/>
        <v>8.9192164246913581</v>
      </c>
      <c r="X142" s="9"/>
      <c r="Y142" s="21">
        <v>1.1653100000000001</v>
      </c>
      <c r="Z142" s="21">
        <v>15.818899999999999</v>
      </c>
      <c r="AA142" s="21">
        <v>-1.2716699999999999E-2</v>
      </c>
      <c r="AB142" s="21">
        <v>132</v>
      </c>
      <c r="AC142" s="21">
        <v>1.16547</v>
      </c>
      <c r="AD142">
        <f t="shared" si="28"/>
        <v>15.699629629629626</v>
      </c>
      <c r="AE142">
        <f t="shared" si="29"/>
        <v>18.2949354037037</v>
      </c>
      <c r="AF142" s="9"/>
      <c r="AG142" s="21">
        <v>0.56472800000000001</v>
      </c>
      <c r="AH142" s="21">
        <v>19.698499999999999</v>
      </c>
      <c r="AI142" s="21">
        <v>-1.25702E-2</v>
      </c>
      <c r="AJ142" s="21">
        <v>132</v>
      </c>
      <c r="AK142" s="21">
        <v>0.56408700000000001</v>
      </c>
      <c r="AL142">
        <f t="shared" si="30"/>
        <v>15.518765432098766</v>
      </c>
      <c r="AM142">
        <f t="shared" si="31"/>
        <v>8.7638813649382712</v>
      </c>
      <c r="AP142" s="9"/>
      <c r="AQ142" s="21">
        <v>1.1653100000000001</v>
      </c>
      <c r="AR142" s="21">
        <v>25.3171</v>
      </c>
      <c r="AS142" s="21">
        <v>-1.2506099999999999E-2</v>
      </c>
      <c r="AT142" s="21">
        <v>132</v>
      </c>
      <c r="AU142" s="21">
        <v>1.16486</v>
      </c>
      <c r="AV142">
        <f t="shared" si="32"/>
        <v>15.439629629629628</v>
      </c>
      <c r="AW142">
        <f t="shared" si="33"/>
        <v>17.991954803703702</v>
      </c>
      <c r="AX142" s="9"/>
      <c r="AY142" s="21">
        <v>0.56472800000000001</v>
      </c>
      <c r="AZ142" s="21">
        <v>29.1967</v>
      </c>
      <c r="BA142" s="21">
        <v>-1.2548800000000001E-2</v>
      </c>
      <c r="BB142" s="21">
        <v>132</v>
      </c>
      <c r="BC142" s="21">
        <v>0.564056</v>
      </c>
      <c r="BD142">
        <f t="shared" si="34"/>
        <v>15.492345679012345</v>
      </c>
      <c r="BE142">
        <f t="shared" si="35"/>
        <v>8.7489613906172838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1.16028</v>
      </c>
      <c r="H143" s="21">
        <v>6.3757599999999996</v>
      </c>
      <c r="I143" s="21">
        <v>-1.29608E-2</v>
      </c>
      <c r="J143" s="21">
        <v>133</v>
      </c>
      <c r="K143" s="21">
        <v>1.1593599999999999</v>
      </c>
      <c r="L143">
        <f t="shared" si="24"/>
        <v>16.000987654320987</v>
      </c>
      <c r="M143">
        <f t="shared" si="25"/>
        <v>18.565625955555554</v>
      </c>
      <c r="N143" s="9"/>
      <c r="O143" s="21">
        <v>0.56976300000000002</v>
      </c>
      <c r="P143" s="21">
        <v>10.2554</v>
      </c>
      <c r="Q143" s="21">
        <v>-1.27838E-2</v>
      </c>
      <c r="R143" s="21">
        <v>133</v>
      </c>
      <c r="S143" s="21">
        <v>0.569214</v>
      </c>
      <c r="T143">
        <f t="shared" si="26"/>
        <v>15.782469135802467</v>
      </c>
      <c r="U143">
        <f t="shared" si="27"/>
        <v>8.9922669622222209</v>
      </c>
      <c r="X143" s="9"/>
      <c r="Y143" s="21">
        <v>1.16028</v>
      </c>
      <c r="Z143" s="21">
        <v>15.828900000000001</v>
      </c>
      <c r="AA143" s="21">
        <v>-1.2722799999999999E-2</v>
      </c>
      <c r="AB143" s="21">
        <v>133</v>
      </c>
      <c r="AC143" s="21">
        <v>1.15967</v>
      </c>
      <c r="AD143">
        <f t="shared" si="28"/>
        <v>15.707160493827157</v>
      </c>
      <c r="AE143">
        <f t="shared" si="29"/>
        <v>18.224704177777774</v>
      </c>
      <c r="AF143" s="9"/>
      <c r="AG143" s="21">
        <v>0.56976300000000002</v>
      </c>
      <c r="AH143" s="21">
        <v>19.708600000000001</v>
      </c>
      <c r="AI143" s="21">
        <v>-1.25702E-2</v>
      </c>
      <c r="AJ143" s="21">
        <v>133</v>
      </c>
      <c r="AK143" s="21">
        <v>0.56918299999999999</v>
      </c>
      <c r="AL143">
        <f t="shared" si="30"/>
        <v>15.518765432098766</v>
      </c>
      <c r="AM143">
        <f t="shared" si="31"/>
        <v>8.8420183488888888</v>
      </c>
      <c r="AP143" s="9"/>
      <c r="AQ143" s="21">
        <v>1.16028</v>
      </c>
      <c r="AR143" s="21">
        <v>25.327200000000001</v>
      </c>
      <c r="AS143" s="21">
        <v>-1.25183E-2</v>
      </c>
      <c r="AT143" s="21">
        <v>133</v>
      </c>
      <c r="AU143" s="21">
        <v>1.1593599999999999</v>
      </c>
      <c r="AV143">
        <f t="shared" si="32"/>
        <v>15.454691358024689</v>
      </c>
      <c r="AW143">
        <f t="shared" si="33"/>
        <v>17.931769288888887</v>
      </c>
      <c r="AX143" s="9"/>
      <c r="AY143" s="21">
        <v>0.56976300000000002</v>
      </c>
      <c r="AZ143" s="21">
        <v>29.206800000000001</v>
      </c>
      <c r="BA143" s="21">
        <v>-1.25244E-2</v>
      </c>
      <c r="BB143" s="21">
        <v>133</v>
      </c>
      <c r="BC143" s="21">
        <v>0.56924399999999997</v>
      </c>
      <c r="BD143">
        <f t="shared" si="34"/>
        <v>15.462222222222222</v>
      </c>
      <c r="BE143">
        <f t="shared" si="35"/>
        <v>8.8098021200000005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1.15524</v>
      </c>
      <c r="H144" s="21">
        <v>6.3858300000000003</v>
      </c>
      <c r="I144" s="21">
        <v>-1.29608E-2</v>
      </c>
      <c r="J144" s="21">
        <v>134</v>
      </c>
      <c r="K144" s="21">
        <v>1.15448</v>
      </c>
      <c r="L144">
        <f t="shared" si="24"/>
        <v>16.000987654320987</v>
      </c>
      <c r="M144">
        <f t="shared" si="25"/>
        <v>18.484980977777777</v>
      </c>
      <c r="N144" s="9"/>
      <c r="O144" s="21">
        <v>0.57479899999999995</v>
      </c>
      <c r="P144" s="21">
        <v>10.2654</v>
      </c>
      <c r="Q144" s="21">
        <v>-1.27686E-2</v>
      </c>
      <c r="R144" s="21">
        <v>134</v>
      </c>
      <c r="S144" s="21">
        <v>0.57412700000000005</v>
      </c>
      <c r="T144">
        <f t="shared" si="26"/>
        <v>15.763703703703703</v>
      </c>
      <c r="U144">
        <f t="shared" si="27"/>
        <v>9.0609611251851838</v>
      </c>
      <c r="X144" s="9"/>
      <c r="Y144" s="21">
        <v>1.15524</v>
      </c>
      <c r="Z144" s="21">
        <v>15.839</v>
      </c>
      <c r="AA144" s="21">
        <v>-1.2731900000000001E-2</v>
      </c>
      <c r="AB144" s="21">
        <v>134</v>
      </c>
      <c r="AC144" s="21">
        <v>1.15448</v>
      </c>
      <c r="AD144">
        <f t="shared" si="28"/>
        <v>15.718395061728396</v>
      </c>
      <c r="AE144">
        <f t="shared" si="29"/>
        <v>18.158518711111114</v>
      </c>
      <c r="AF144" s="9"/>
      <c r="AG144" s="21">
        <v>0.57479899999999995</v>
      </c>
      <c r="AH144" s="21">
        <v>19.718599999999999</v>
      </c>
      <c r="AI144" s="21">
        <v>-1.25702E-2</v>
      </c>
      <c r="AJ144" s="21">
        <v>134</v>
      </c>
      <c r="AK144" s="21">
        <v>0.57415799999999995</v>
      </c>
      <c r="AL144">
        <f t="shared" si="30"/>
        <v>15.518765432098766</v>
      </c>
      <c r="AM144">
        <f t="shared" si="31"/>
        <v>8.9201708516049383</v>
      </c>
      <c r="AP144" s="9"/>
      <c r="AQ144" s="21">
        <v>1.15524</v>
      </c>
      <c r="AR144" s="21">
        <v>25.337199999999999</v>
      </c>
      <c r="AS144" s="21">
        <v>-1.25275E-2</v>
      </c>
      <c r="AT144" s="21">
        <v>134</v>
      </c>
      <c r="AU144" s="21">
        <v>1.15448</v>
      </c>
      <c r="AV144">
        <f t="shared" si="32"/>
        <v>15.466049382716049</v>
      </c>
      <c r="AW144">
        <f t="shared" si="33"/>
        <v>17.86699888888889</v>
      </c>
      <c r="AX144" s="9"/>
      <c r="AY144" s="21">
        <v>0.57479899999999995</v>
      </c>
      <c r="AZ144" s="21">
        <v>29.216899999999999</v>
      </c>
      <c r="BA144" s="21">
        <v>-1.2500000000000001E-2</v>
      </c>
      <c r="BB144" s="21">
        <v>134</v>
      </c>
      <c r="BC144" s="21">
        <v>0.57418800000000003</v>
      </c>
      <c r="BD144">
        <f t="shared" si="34"/>
        <v>15.432098765432098</v>
      </c>
      <c r="BE144">
        <f t="shared" si="35"/>
        <v>8.8703549382716034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1.15021</v>
      </c>
      <c r="H145" s="21">
        <v>6.3959000000000001</v>
      </c>
      <c r="I145" s="21">
        <v>-1.2976100000000001E-2</v>
      </c>
      <c r="J145" s="21">
        <v>135</v>
      </c>
      <c r="K145" s="21">
        <v>1.14899</v>
      </c>
      <c r="L145">
        <f t="shared" si="24"/>
        <v>16.019876543209875</v>
      </c>
      <c r="M145">
        <f t="shared" si="25"/>
        <v>18.42622219876543</v>
      </c>
      <c r="N145" s="9"/>
      <c r="O145" s="21">
        <v>0.57983399999999996</v>
      </c>
      <c r="P145" s="21">
        <v>10.275499999999999</v>
      </c>
      <c r="Q145" s="21">
        <v>-1.27563E-2</v>
      </c>
      <c r="R145" s="21">
        <v>135</v>
      </c>
      <c r="S145" s="21">
        <v>0.57916299999999998</v>
      </c>
      <c r="T145">
        <f t="shared" si="26"/>
        <v>15.748518518518516</v>
      </c>
      <c r="U145">
        <f t="shared" si="27"/>
        <v>9.1315264866666652</v>
      </c>
      <c r="X145" s="9"/>
      <c r="Y145" s="21">
        <v>1.15021</v>
      </c>
      <c r="Z145" s="21">
        <v>15.8491</v>
      </c>
      <c r="AA145" s="21">
        <v>-1.2731900000000001E-2</v>
      </c>
      <c r="AB145" s="21">
        <v>135</v>
      </c>
      <c r="AC145" s="21">
        <v>1.1492899999999999</v>
      </c>
      <c r="AD145">
        <f t="shared" si="28"/>
        <v>15.718395061728396</v>
      </c>
      <c r="AE145">
        <f t="shared" si="29"/>
        <v>18.079455183950618</v>
      </c>
      <c r="AF145" s="9"/>
      <c r="AG145" s="21">
        <v>0.57983399999999996</v>
      </c>
      <c r="AH145" s="21">
        <v>19.7287</v>
      </c>
      <c r="AI145" s="21">
        <v>-1.2560999999999999E-2</v>
      </c>
      <c r="AJ145" s="21">
        <v>135</v>
      </c>
      <c r="AK145" s="21">
        <v>0.57922399999999996</v>
      </c>
      <c r="AL145">
        <f t="shared" si="30"/>
        <v>15.507407407407406</v>
      </c>
      <c r="AM145">
        <f t="shared" si="31"/>
        <v>8.9917220666666662</v>
      </c>
      <c r="AP145" s="9"/>
      <c r="AQ145" s="21">
        <v>1.15021</v>
      </c>
      <c r="AR145" s="21">
        <v>25.347300000000001</v>
      </c>
      <c r="AS145" s="21">
        <v>-1.25366E-2</v>
      </c>
      <c r="AT145" s="21">
        <v>135</v>
      </c>
      <c r="AU145" s="21">
        <v>1.1492899999999999</v>
      </c>
      <c r="AV145">
        <f t="shared" si="32"/>
        <v>15.477283950617283</v>
      </c>
      <c r="AW145">
        <f t="shared" si="33"/>
        <v>17.802126772839504</v>
      </c>
      <c r="AX145" s="9"/>
      <c r="AY145" s="21">
        <v>0.57983399999999996</v>
      </c>
      <c r="AZ145" s="21">
        <v>29.226900000000001</v>
      </c>
      <c r="BA145" s="21">
        <v>-1.24908E-2</v>
      </c>
      <c r="BB145" s="21">
        <v>135</v>
      </c>
      <c r="BC145" s="21">
        <v>0.57925400000000005</v>
      </c>
      <c r="BD145">
        <f t="shared" si="34"/>
        <v>15.42074074074074</v>
      </c>
      <c r="BE145">
        <f t="shared" si="35"/>
        <v>8.9414697866666657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1.14517</v>
      </c>
      <c r="H146" s="21">
        <v>6.4059699999999999</v>
      </c>
      <c r="I146" s="21">
        <v>-1.2982199999999999E-2</v>
      </c>
      <c r="J146" s="21">
        <v>136</v>
      </c>
      <c r="K146" s="21">
        <v>1.1447099999999999</v>
      </c>
      <c r="L146">
        <f t="shared" si="24"/>
        <v>16.027407407407406</v>
      </c>
      <c r="M146">
        <f t="shared" si="25"/>
        <v>18.35410614074074</v>
      </c>
      <c r="N146" s="9"/>
      <c r="O146" s="21">
        <v>0.58486899999999997</v>
      </c>
      <c r="P146" s="21">
        <v>10.285600000000001</v>
      </c>
      <c r="Q146" s="21">
        <v>-1.27563E-2</v>
      </c>
      <c r="R146" s="21">
        <v>136</v>
      </c>
      <c r="S146" s="21">
        <v>0.58428999999999998</v>
      </c>
      <c r="T146">
        <f t="shared" si="26"/>
        <v>15.748518518518516</v>
      </c>
      <c r="U146">
        <f t="shared" si="27"/>
        <v>9.2108202774074055</v>
      </c>
      <c r="X146" s="9"/>
      <c r="Y146" s="21">
        <v>1.14517</v>
      </c>
      <c r="Z146" s="21">
        <v>15.8592</v>
      </c>
      <c r="AA146" s="21">
        <v>-1.2731900000000001E-2</v>
      </c>
      <c r="AB146" s="21">
        <v>136</v>
      </c>
      <c r="AC146" s="21">
        <v>1.1440999999999999</v>
      </c>
      <c r="AD146">
        <f t="shared" si="28"/>
        <v>15.718395061728396</v>
      </c>
      <c r="AE146">
        <f t="shared" si="29"/>
        <v>18.000234472839509</v>
      </c>
      <c r="AF146" s="9"/>
      <c r="AG146" s="21">
        <v>0.58486899999999997</v>
      </c>
      <c r="AH146" s="21">
        <v>19.738800000000001</v>
      </c>
      <c r="AI146" s="21">
        <v>-1.2554900000000001E-2</v>
      </c>
      <c r="AJ146" s="21">
        <v>136</v>
      </c>
      <c r="AK146" s="21">
        <v>0.58416699999999999</v>
      </c>
      <c r="AL146">
        <f t="shared" si="30"/>
        <v>15.499876543209876</v>
      </c>
      <c r="AM146">
        <f t="shared" si="31"/>
        <v>9.0653972939506158</v>
      </c>
      <c r="AP146" s="9"/>
      <c r="AQ146" s="21">
        <v>1.14517</v>
      </c>
      <c r="AR146" s="21">
        <v>25.357399999999998</v>
      </c>
      <c r="AS146" s="21">
        <v>-1.25519E-2</v>
      </c>
      <c r="AT146" s="21">
        <v>136</v>
      </c>
      <c r="AU146" s="21">
        <v>1.1440999999999999</v>
      </c>
      <c r="AV146">
        <f t="shared" si="32"/>
        <v>15.496172839506173</v>
      </c>
      <c r="AW146">
        <f t="shared" si="33"/>
        <v>17.745752250617283</v>
      </c>
      <c r="AX146" s="9"/>
      <c r="AY146" s="21">
        <v>0.58486899999999997</v>
      </c>
      <c r="AZ146" s="21">
        <v>29.236999999999998</v>
      </c>
      <c r="BA146" s="21">
        <v>-1.24817E-2</v>
      </c>
      <c r="BB146" s="21">
        <v>136</v>
      </c>
      <c r="BC146" s="21">
        <v>0.58428999999999998</v>
      </c>
      <c r="BD146">
        <f t="shared" si="34"/>
        <v>15.409506172839505</v>
      </c>
      <c r="BE146">
        <f t="shared" si="35"/>
        <v>9.0125424658024684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1.1401399999999999</v>
      </c>
      <c r="H147" s="21">
        <v>6.4160500000000003</v>
      </c>
      <c r="I147" s="21">
        <v>-1.2982199999999999E-2</v>
      </c>
      <c r="J147" s="21">
        <v>137</v>
      </c>
      <c r="K147" s="21">
        <v>1.1392199999999999</v>
      </c>
      <c r="L147">
        <f t="shared" si="24"/>
        <v>16.027407407407406</v>
      </c>
      <c r="M147">
        <f t="shared" si="25"/>
        <v>18.273488281481477</v>
      </c>
      <c r="N147" s="9"/>
      <c r="O147" s="21">
        <v>0.58990500000000001</v>
      </c>
      <c r="P147" s="21">
        <v>10.2957</v>
      </c>
      <c r="Q147" s="21">
        <v>-1.27563E-2</v>
      </c>
      <c r="R147" s="21">
        <v>137</v>
      </c>
      <c r="S147" s="21">
        <v>0.58932499999999999</v>
      </c>
      <c r="T147">
        <f t="shared" si="26"/>
        <v>15.748518518518516</v>
      </c>
      <c r="U147">
        <f t="shared" si="27"/>
        <v>9.2901298166666653</v>
      </c>
      <c r="X147" s="9"/>
      <c r="Y147" s="21">
        <v>1.1401399999999999</v>
      </c>
      <c r="Z147" s="21">
        <v>15.869199999999999</v>
      </c>
      <c r="AA147" s="21">
        <v>-1.2731900000000001E-2</v>
      </c>
      <c r="AB147" s="21">
        <v>137</v>
      </c>
      <c r="AC147" s="21">
        <v>1.1392199999999999</v>
      </c>
      <c r="AD147">
        <f t="shared" si="28"/>
        <v>15.718395061728396</v>
      </c>
      <c r="AE147">
        <f t="shared" si="29"/>
        <v>17.921170945679012</v>
      </c>
      <c r="AF147" s="9"/>
      <c r="AG147" s="21">
        <v>0.58990500000000001</v>
      </c>
      <c r="AH147" s="21">
        <v>19.748799999999999</v>
      </c>
      <c r="AI147" s="21">
        <v>-1.2545799999999999E-2</v>
      </c>
      <c r="AJ147" s="21">
        <v>137</v>
      </c>
      <c r="AK147" s="21">
        <v>0.58932499999999999</v>
      </c>
      <c r="AL147">
        <f t="shared" si="30"/>
        <v>15.48864197530864</v>
      </c>
      <c r="AM147">
        <f t="shared" si="31"/>
        <v>9.136827344444443</v>
      </c>
      <c r="AP147" s="9"/>
      <c r="AQ147" s="21">
        <v>1.1401399999999999</v>
      </c>
      <c r="AR147" s="21">
        <v>25.3675</v>
      </c>
      <c r="AS147" s="21">
        <v>-1.2560999999999999E-2</v>
      </c>
      <c r="AT147" s="21">
        <v>137</v>
      </c>
      <c r="AU147" s="21">
        <v>1.1389199999999999</v>
      </c>
      <c r="AV147">
        <f t="shared" si="32"/>
        <v>15.507407407407406</v>
      </c>
      <c r="AW147">
        <f t="shared" si="33"/>
        <v>17.680615481481478</v>
      </c>
      <c r="AX147" s="9"/>
      <c r="AY147" s="21">
        <v>0.58990500000000001</v>
      </c>
      <c r="AZ147" s="21">
        <v>29.2471</v>
      </c>
      <c r="BA147" s="21">
        <v>-1.2478599999999999E-2</v>
      </c>
      <c r="BB147" s="21">
        <v>137</v>
      </c>
      <c r="BC147" s="21">
        <v>0.58935499999999996</v>
      </c>
      <c r="BD147">
        <f t="shared" si="34"/>
        <v>15.405679012345677</v>
      </c>
      <c r="BE147">
        <f t="shared" si="35"/>
        <v>9.0878870777777774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1.1351</v>
      </c>
      <c r="H148" s="21">
        <v>6.4261200000000001</v>
      </c>
      <c r="I148" s="21">
        <v>-1.2985200000000001E-2</v>
      </c>
      <c r="J148" s="21">
        <v>138</v>
      </c>
      <c r="K148" s="21">
        <v>1.1340300000000001</v>
      </c>
      <c r="L148">
        <f t="shared" si="24"/>
        <v>16.031111111111109</v>
      </c>
      <c r="M148">
        <f t="shared" si="25"/>
        <v>18.196914222222219</v>
      </c>
      <c r="N148" s="9"/>
      <c r="O148" s="21">
        <v>0.59494000000000002</v>
      </c>
      <c r="P148" s="21">
        <v>10.3057</v>
      </c>
      <c r="Q148" s="21">
        <v>-1.27563E-2</v>
      </c>
      <c r="R148" s="21">
        <v>138</v>
      </c>
      <c r="S148" s="21">
        <v>0.59429900000000002</v>
      </c>
      <c r="T148">
        <f t="shared" si="26"/>
        <v>15.748518518518516</v>
      </c>
      <c r="U148">
        <f t="shared" si="27"/>
        <v>9.3694236074074055</v>
      </c>
      <c r="X148" s="9"/>
      <c r="Y148" s="21">
        <v>1.1351</v>
      </c>
      <c r="Z148" s="21">
        <v>15.879300000000001</v>
      </c>
      <c r="AA148" s="21">
        <v>-1.27289E-2</v>
      </c>
      <c r="AB148" s="21">
        <v>138</v>
      </c>
      <c r="AC148" s="21">
        <v>1.1340300000000001</v>
      </c>
      <c r="AD148">
        <f t="shared" si="28"/>
        <v>15.714691358024689</v>
      </c>
      <c r="AE148">
        <f t="shared" si="29"/>
        <v>17.837746160493825</v>
      </c>
      <c r="AF148" s="9"/>
      <c r="AG148" s="21">
        <v>0.59494000000000002</v>
      </c>
      <c r="AH148" s="21">
        <v>19.758900000000001</v>
      </c>
      <c r="AI148" s="21">
        <v>-1.2548800000000001E-2</v>
      </c>
      <c r="AJ148" s="21">
        <v>138</v>
      </c>
      <c r="AK148" s="21">
        <v>0.59423800000000004</v>
      </c>
      <c r="AL148">
        <f t="shared" si="30"/>
        <v>15.492345679012345</v>
      </c>
      <c r="AM148">
        <f t="shared" si="31"/>
        <v>9.2170161382716049</v>
      </c>
      <c r="AP148" s="9"/>
      <c r="AQ148" s="21">
        <v>1.1351</v>
      </c>
      <c r="AR148" s="21">
        <v>25.377500000000001</v>
      </c>
      <c r="AS148" s="21">
        <v>-1.2567099999999999E-2</v>
      </c>
      <c r="AT148" s="21">
        <v>138</v>
      </c>
      <c r="AU148" s="21">
        <v>1.1343399999999999</v>
      </c>
      <c r="AV148">
        <f t="shared" si="32"/>
        <v>15.514938271604937</v>
      </c>
      <c r="AW148">
        <f t="shared" si="33"/>
        <v>17.611006432098762</v>
      </c>
      <c r="AX148" s="9"/>
      <c r="AY148" s="21">
        <v>0.59494000000000002</v>
      </c>
      <c r="AZ148" s="21">
        <v>29.257100000000001</v>
      </c>
      <c r="BA148" s="21">
        <v>-1.24817E-2</v>
      </c>
      <c r="BB148" s="21">
        <v>138</v>
      </c>
      <c r="BC148" s="21">
        <v>0.59433000000000002</v>
      </c>
      <c r="BD148">
        <f t="shared" si="34"/>
        <v>15.409506172839505</v>
      </c>
      <c r="BE148">
        <f t="shared" si="35"/>
        <v>9.1677316024691358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1.1300699999999999</v>
      </c>
      <c r="H149" s="21">
        <v>6.4361899999999999</v>
      </c>
      <c r="I149" s="21">
        <v>-1.2997399999999999E-2</v>
      </c>
      <c r="J149" s="21">
        <v>139</v>
      </c>
      <c r="K149" s="21">
        <v>1.1288499999999999</v>
      </c>
      <c r="L149">
        <f t="shared" si="24"/>
        <v>16.04617283950617</v>
      </c>
      <c r="M149">
        <f t="shared" si="25"/>
        <v>18.133298540740736</v>
      </c>
      <c r="N149" s="9"/>
      <c r="O149" s="21">
        <v>0.59997599999999995</v>
      </c>
      <c r="P149" s="21">
        <v>10.315799999999999</v>
      </c>
      <c r="Q149" s="21">
        <v>-1.27441E-2</v>
      </c>
      <c r="R149" s="21">
        <v>139</v>
      </c>
      <c r="S149" s="21">
        <v>0.59939600000000004</v>
      </c>
      <c r="T149">
        <f t="shared" si="26"/>
        <v>15.733456790123457</v>
      </c>
      <c r="U149">
        <f t="shared" si="27"/>
        <v>9.4396964711111107</v>
      </c>
      <c r="X149" s="9"/>
      <c r="Y149" s="21">
        <v>1.1300699999999999</v>
      </c>
      <c r="Z149" s="21">
        <v>15.8894</v>
      </c>
      <c r="AA149" s="21">
        <v>-1.2731900000000001E-2</v>
      </c>
      <c r="AB149" s="21">
        <v>139</v>
      </c>
      <c r="AC149" s="21">
        <v>1.1291500000000001</v>
      </c>
      <c r="AD149">
        <f t="shared" si="28"/>
        <v>15.718395061728396</v>
      </c>
      <c r="AE149">
        <f t="shared" si="29"/>
        <v>17.762886707407407</v>
      </c>
      <c r="AF149" s="9"/>
      <c r="AG149" s="21">
        <v>0.59997599999999995</v>
      </c>
      <c r="AH149" s="21">
        <v>19.768999999999998</v>
      </c>
      <c r="AI149" s="21">
        <v>-1.25519E-2</v>
      </c>
      <c r="AJ149" s="21">
        <v>139</v>
      </c>
      <c r="AK149" s="21">
        <v>0.59930399999999995</v>
      </c>
      <c r="AL149">
        <f t="shared" si="30"/>
        <v>15.496172839506173</v>
      </c>
      <c r="AM149">
        <f t="shared" si="31"/>
        <v>9.2973317955555554</v>
      </c>
      <c r="AP149" s="9"/>
      <c r="AQ149" s="21">
        <v>1.1300699999999999</v>
      </c>
      <c r="AR149" s="21">
        <v>25.387599999999999</v>
      </c>
      <c r="AS149" s="21">
        <v>-1.25702E-2</v>
      </c>
      <c r="AT149" s="21">
        <v>139</v>
      </c>
      <c r="AU149" s="21">
        <v>1.1294599999999999</v>
      </c>
      <c r="AV149">
        <f t="shared" si="32"/>
        <v>15.518765432098766</v>
      </c>
      <c r="AW149">
        <f t="shared" si="33"/>
        <v>17.537291251851851</v>
      </c>
      <c r="AX149" s="9"/>
      <c r="AY149" s="21">
        <v>0.59997599999999995</v>
      </c>
      <c r="AZ149" s="21">
        <v>29.267199999999999</v>
      </c>
      <c r="BA149" s="21">
        <v>-1.2472499999999999E-2</v>
      </c>
      <c r="BB149" s="21">
        <v>139</v>
      </c>
      <c r="BC149" s="21">
        <v>0.59936500000000004</v>
      </c>
      <c r="BD149">
        <f t="shared" si="34"/>
        <v>15.398148148148147</v>
      </c>
      <c r="BE149">
        <f t="shared" si="35"/>
        <v>9.2385193333333326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1.12503</v>
      </c>
      <c r="H150" s="21">
        <v>6.4462599999999997</v>
      </c>
      <c r="I150" s="21">
        <v>-1.3003499999999999E-2</v>
      </c>
      <c r="J150" s="21">
        <v>140</v>
      </c>
      <c r="K150" s="21">
        <v>1.1236600000000001</v>
      </c>
      <c r="L150">
        <f t="shared" si="24"/>
        <v>16.0537037037037</v>
      </c>
      <c r="M150">
        <f t="shared" si="25"/>
        <v>18.060898277777774</v>
      </c>
      <c r="N150" s="9"/>
      <c r="O150" s="21">
        <v>0.60501099999999997</v>
      </c>
      <c r="P150" s="21">
        <v>10.325900000000001</v>
      </c>
      <c r="Q150" s="21">
        <v>-1.27411E-2</v>
      </c>
      <c r="R150" s="21">
        <v>140</v>
      </c>
      <c r="S150" s="21">
        <v>0.60430899999999999</v>
      </c>
      <c r="T150">
        <f t="shared" si="26"/>
        <v>15.729753086419752</v>
      </c>
      <c r="U150">
        <f t="shared" si="27"/>
        <v>9.5166736445679003</v>
      </c>
      <c r="X150" s="9"/>
      <c r="Y150" s="21">
        <v>1.12503</v>
      </c>
      <c r="Z150" s="21">
        <v>15.8994</v>
      </c>
      <c r="AA150" s="21">
        <v>-1.27411E-2</v>
      </c>
      <c r="AB150" s="21">
        <v>140</v>
      </c>
      <c r="AC150" s="21">
        <v>1.1239600000000001</v>
      </c>
      <c r="AD150">
        <f t="shared" si="28"/>
        <v>15.729753086419752</v>
      </c>
      <c r="AE150">
        <f t="shared" si="29"/>
        <v>17.696444114814813</v>
      </c>
      <c r="AF150" s="9"/>
      <c r="AG150" s="21">
        <v>0.60501099999999997</v>
      </c>
      <c r="AH150" s="21">
        <v>19.7791</v>
      </c>
      <c r="AI150" s="21">
        <v>-1.2545799999999999E-2</v>
      </c>
      <c r="AJ150" s="21">
        <v>140</v>
      </c>
      <c r="AK150" s="21">
        <v>0.60433999999999999</v>
      </c>
      <c r="AL150">
        <f t="shared" si="30"/>
        <v>15.48864197530864</v>
      </c>
      <c r="AM150">
        <f t="shared" si="31"/>
        <v>9.3707987701234554</v>
      </c>
      <c r="AP150" s="9"/>
      <c r="AQ150" s="21">
        <v>1.12503</v>
      </c>
      <c r="AR150" s="21">
        <v>25.3977</v>
      </c>
      <c r="AS150" s="21">
        <v>-1.25854E-2</v>
      </c>
      <c r="AT150" s="21">
        <v>140</v>
      </c>
      <c r="AU150" s="21">
        <v>1.1233500000000001</v>
      </c>
      <c r="AV150">
        <f t="shared" si="32"/>
        <v>15.53753086419753</v>
      </c>
      <c r="AW150">
        <f t="shared" si="33"/>
        <v>17.480188348148147</v>
      </c>
      <c r="AX150" s="9"/>
      <c r="AY150" s="21">
        <v>0.60501099999999997</v>
      </c>
      <c r="AZ150" s="21">
        <v>29.2773</v>
      </c>
      <c r="BA150" s="21">
        <v>-1.2472499999999999E-2</v>
      </c>
      <c r="BB150" s="21">
        <v>140</v>
      </c>
      <c r="BC150" s="21">
        <v>0.60436999999999996</v>
      </c>
      <c r="BD150">
        <f t="shared" si="34"/>
        <v>15.398148148148147</v>
      </c>
      <c r="BE150">
        <f t="shared" si="35"/>
        <v>9.3160490092592578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1.1200000000000001</v>
      </c>
      <c r="H151" s="21">
        <v>6.4563300000000003</v>
      </c>
      <c r="I151" s="21">
        <v>-1.3018800000000001E-2</v>
      </c>
      <c r="J151" s="21">
        <v>141</v>
      </c>
      <c r="K151" s="21">
        <v>1.1190800000000001</v>
      </c>
      <c r="L151">
        <f t="shared" si="24"/>
        <v>16.072592592592592</v>
      </c>
      <c r="M151">
        <f t="shared" si="25"/>
        <v>18.001303703703705</v>
      </c>
      <c r="N151" s="9"/>
      <c r="O151" s="21">
        <v>0.61004599999999998</v>
      </c>
      <c r="P151" s="21">
        <v>10.335900000000001</v>
      </c>
      <c r="Q151" s="21">
        <v>-1.27533E-2</v>
      </c>
      <c r="R151" s="21">
        <v>141</v>
      </c>
      <c r="S151" s="21">
        <v>0.60943599999999998</v>
      </c>
      <c r="T151">
        <f t="shared" si="26"/>
        <v>15.744814814814816</v>
      </c>
      <c r="U151">
        <f t="shared" si="27"/>
        <v>9.6050612985185193</v>
      </c>
      <c r="X151" s="9"/>
      <c r="Y151" s="21">
        <v>1.1200000000000001</v>
      </c>
      <c r="Z151" s="21">
        <v>15.9095</v>
      </c>
      <c r="AA151" s="21">
        <v>-1.2737999999999999E-2</v>
      </c>
      <c r="AB151" s="21">
        <v>141</v>
      </c>
      <c r="AC151" s="21">
        <v>1.1196900000000001</v>
      </c>
      <c r="AD151">
        <f t="shared" si="28"/>
        <v>15.725925925925925</v>
      </c>
      <c r="AE151">
        <f t="shared" si="29"/>
        <v>17.613037037037039</v>
      </c>
      <c r="AF151" s="9"/>
      <c r="AG151" s="21">
        <v>0.61004599999999998</v>
      </c>
      <c r="AH151" s="21">
        <v>19.789100000000001</v>
      </c>
      <c r="AI151" s="21">
        <v>-1.2539700000000001E-2</v>
      </c>
      <c r="AJ151" s="21">
        <v>141</v>
      </c>
      <c r="AK151" s="21">
        <v>0.609406</v>
      </c>
      <c r="AL151">
        <f t="shared" si="30"/>
        <v>15.48111111111111</v>
      </c>
      <c r="AM151">
        <f t="shared" si="31"/>
        <v>9.4441899088888874</v>
      </c>
      <c r="AP151" s="9"/>
      <c r="AQ151" s="21">
        <v>1.1200000000000001</v>
      </c>
      <c r="AR151" s="21">
        <v>25.407699999999998</v>
      </c>
      <c r="AS151" s="21">
        <v>-1.2600699999999999E-2</v>
      </c>
      <c r="AT151" s="21">
        <v>141</v>
      </c>
      <c r="AU151" s="21">
        <v>1.1190800000000001</v>
      </c>
      <c r="AV151">
        <f t="shared" si="32"/>
        <v>15.556419753086418</v>
      </c>
      <c r="AW151">
        <f t="shared" si="33"/>
        <v>17.423190123456791</v>
      </c>
      <c r="AX151" s="9"/>
      <c r="AY151" s="21">
        <v>0.61004599999999998</v>
      </c>
      <c r="AZ151" s="21">
        <v>29.287400000000002</v>
      </c>
      <c r="BA151" s="21">
        <v>-1.24756E-2</v>
      </c>
      <c r="BB151" s="21">
        <v>141</v>
      </c>
      <c r="BC151" s="21">
        <v>0.60946699999999998</v>
      </c>
      <c r="BD151">
        <f t="shared" si="34"/>
        <v>15.401975308641974</v>
      </c>
      <c r="BE151">
        <f t="shared" si="35"/>
        <v>9.3959134291358009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1.11496</v>
      </c>
      <c r="H152" s="21">
        <v>6.4664000000000001</v>
      </c>
      <c r="I152" s="21">
        <v>-1.3030999999999999E-2</v>
      </c>
      <c r="J152" s="21">
        <v>142</v>
      </c>
      <c r="K152" s="21">
        <v>1.1142000000000001</v>
      </c>
      <c r="L152">
        <f t="shared" si="24"/>
        <v>16.087654320987653</v>
      </c>
      <c r="M152">
        <f t="shared" si="25"/>
        <v>17.937091061728392</v>
      </c>
      <c r="N152" s="9"/>
      <c r="O152" s="21">
        <v>0.61508200000000002</v>
      </c>
      <c r="P152" s="21">
        <v>10.346</v>
      </c>
      <c r="Q152" s="21">
        <v>-1.27502E-2</v>
      </c>
      <c r="R152" s="21">
        <v>142</v>
      </c>
      <c r="S152" s="21">
        <v>0.61441000000000001</v>
      </c>
      <c r="T152">
        <f t="shared" si="26"/>
        <v>15.740987654320987</v>
      </c>
      <c r="U152">
        <f t="shared" si="27"/>
        <v>9.6819981683950616</v>
      </c>
      <c r="X152" s="9"/>
      <c r="Y152" s="21">
        <v>1.11496</v>
      </c>
      <c r="Z152" s="21">
        <v>15.919600000000001</v>
      </c>
      <c r="AA152" s="21">
        <v>-1.27441E-2</v>
      </c>
      <c r="AB152" s="21">
        <v>142</v>
      </c>
      <c r="AC152" s="21">
        <v>1.11389</v>
      </c>
      <c r="AD152">
        <f t="shared" si="28"/>
        <v>15.733456790123457</v>
      </c>
      <c r="AE152">
        <f t="shared" si="29"/>
        <v>17.542174982716048</v>
      </c>
      <c r="AF152" s="9"/>
      <c r="AG152" s="21">
        <v>0.61508200000000002</v>
      </c>
      <c r="AH152" s="21">
        <v>19.799199999999999</v>
      </c>
      <c r="AI152" s="21">
        <v>-1.25275E-2</v>
      </c>
      <c r="AJ152" s="21">
        <v>142</v>
      </c>
      <c r="AK152" s="21">
        <v>0.61447099999999999</v>
      </c>
      <c r="AL152">
        <f t="shared" si="30"/>
        <v>15.466049382716049</v>
      </c>
      <c r="AM152">
        <f t="shared" si="31"/>
        <v>9.5128885864197539</v>
      </c>
      <c r="AP152" s="9"/>
      <c r="AQ152" s="21">
        <v>1.11496</v>
      </c>
      <c r="AR152" s="21">
        <v>25.4178</v>
      </c>
      <c r="AS152" s="21">
        <v>-1.26038E-2</v>
      </c>
      <c r="AT152" s="21">
        <v>142</v>
      </c>
      <c r="AU152" s="21">
        <v>1.1142000000000001</v>
      </c>
      <c r="AV152">
        <f t="shared" si="32"/>
        <v>15.560246913580245</v>
      </c>
      <c r="AW152">
        <f t="shared" si="33"/>
        <v>17.349052898765429</v>
      </c>
      <c r="AX152" s="9"/>
      <c r="AY152" s="21">
        <v>0.61508200000000002</v>
      </c>
      <c r="AZ152" s="21">
        <v>29.2974</v>
      </c>
      <c r="BA152" s="21">
        <v>-1.24695E-2</v>
      </c>
      <c r="BB152" s="21">
        <v>142</v>
      </c>
      <c r="BC152" s="21">
        <v>0.61434900000000003</v>
      </c>
      <c r="BD152">
        <f t="shared" si="34"/>
        <v>15.394444444444444</v>
      </c>
      <c r="BE152">
        <f t="shared" si="35"/>
        <v>9.468845677777777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1.10992</v>
      </c>
      <c r="H153" s="21">
        <v>6.4764699999999999</v>
      </c>
      <c r="I153" s="21">
        <v>-1.3037099999999999E-2</v>
      </c>
      <c r="J153" s="21">
        <v>143</v>
      </c>
      <c r="K153" s="21">
        <v>1.10931</v>
      </c>
      <c r="L153">
        <f t="shared" si="24"/>
        <v>16.095185185185183</v>
      </c>
      <c r="M153">
        <f t="shared" si="25"/>
        <v>17.864367940740738</v>
      </c>
      <c r="N153" s="9"/>
      <c r="O153" s="21">
        <v>0.62011700000000003</v>
      </c>
      <c r="P153" s="21">
        <v>10.3561</v>
      </c>
      <c r="Q153" s="21">
        <v>-1.27472E-2</v>
      </c>
      <c r="R153" s="21">
        <v>143</v>
      </c>
      <c r="S153" s="21">
        <v>0.61941500000000005</v>
      </c>
      <c r="T153">
        <f t="shared" si="26"/>
        <v>15.737283950617284</v>
      </c>
      <c r="U153">
        <f t="shared" si="27"/>
        <v>9.7589573116049397</v>
      </c>
      <c r="X153" s="9"/>
      <c r="Y153" s="21">
        <v>1.10992</v>
      </c>
      <c r="Z153" s="21">
        <v>15.9297</v>
      </c>
      <c r="AA153" s="21">
        <v>-1.27472E-2</v>
      </c>
      <c r="AB153" s="21">
        <v>143</v>
      </c>
      <c r="AC153" s="21">
        <v>1.10931</v>
      </c>
      <c r="AD153">
        <f t="shared" si="28"/>
        <v>15.737283950617284</v>
      </c>
      <c r="AE153">
        <f t="shared" si="29"/>
        <v>17.467126202469135</v>
      </c>
      <c r="AF153" s="9"/>
      <c r="AG153" s="21">
        <v>0.62011700000000003</v>
      </c>
      <c r="AH153" s="21">
        <v>19.8093</v>
      </c>
      <c r="AI153" s="21">
        <v>-1.25214E-2</v>
      </c>
      <c r="AJ153" s="21">
        <v>143</v>
      </c>
      <c r="AK153" s="21">
        <v>0.61950700000000003</v>
      </c>
      <c r="AL153">
        <f t="shared" si="30"/>
        <v>15.458518518518517</v>
      </c>
      <c r="AM153">
        <f t="shared" si="31"/>
        <v>9.5860901281481468</v>
      </c>
      <c r="AP153" s="9"/>
      <c r="AQ153" s="21">
        <v>1.10992</v>
      </c>
      <c r="AR153" s="21">
        <v>25.427900000000001</v>
      </c>
      <c r="AS153" s="21">
        <v>-1.2622100000000001E-2</v>
      </c>
      <c r="AT153" s="21">
        <v>143</v>
      </c>
      <c r="AU153" s="21">
        <v>1.1087</v>
      </c>
      <c r="AV153">
        <f t="shared" si="32"/>
        <v>15.582839506172839</v>
      </c>
      <c r="AW153">
        <f t="shared" si="33"/>
        <v>17.295705224691357</v>
      </c>
      <c r="AX153" s="9"/>
      <c r="AY153" s="21">
        <v>0.62011700000000003</v>
      </c>
      <c r="AZ153" s="21">
        <v>29.307500000000001</v>
      </c>
      <c r="BA153" s="21">
        <v>-1.2460300000000001E-2</v>
      </c>
      <c r="BB153" s="21">
        <v>143</v>
      </c>
      <c r="BC153" s="21">
        <v>0.61947600000000003</v>
      </c>
      <c r="BD153">
        <f t="shared" si="34"/>
        <v>15.383086419753086</v>
      </c>
      <c r="BE153">
        <f t="shared" si="35"/>
        <v>9.5393134013580241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1.1048899999999999</v>
      </c>
      <c r="H154" s="21">
        <v>6.4865399999999998</v>
      </c>
      <c r="I154" s="21">
        <v>-1.30493E-2</v>
      </c>
      <c r="J154" s="21">
        <v>144</v>
      </c>
      <c r="K154" s="21">
        <v>1.10382</v>
      </c>
      <c r="L154">
        <f t="shared" si="24"/>
        <v>16.110246913580244</v>
      </c>
      <c r="M154">
        <f t="shared" si="25"/>
        <v>17.800050712345676</v>
      </c>
      <c r="N154" s="9"/>
      <c r="O154" s="21">
        <v>0.62515299999999996</v>
      </c>
      <c r="P154" s="21">
        <v>10.366199999999999</v>
      </c>
      <c r="Q154" s="21">
        <v>-1.27411E-2</v>
      </c>
      <c r="R154" s="21">
        <v>144</v>
      </c>
      <c r="S154" s="21">
        <v>0.62454200000000004</v>
      </c>
      <c r="T154">
        <f t="shared" si="26"/>
        <v>15.729753086419752</v>
      </c>
      <c r="U154">
        <f t="shared" si="27"/>
        <v>9.8335023312345662</v>
      </c>
      <c r="X154" s="9"/>
      <c r="Y154" s="21">
        <v>1.1048899999999999</v>
      </c>
      <c r="Z154" s="21">
        <v>15.9397</v>
      </c>
      <c r="AA154" s="21">
        <v>-1.27502E-2</v>
      </c>
      <c r="AB154" s="21">
        <v>144</v>
      </c>
      <c r="AC154" s="21">
        <v>1.1035200000000001</v>
      </c>
      <c r="AD154">
        <f t="shared" si="28"/>
        <v>15.740987654320987</v>
      </c>
      <c r="AE154">
        <f t="shared" si="29"/>
        <v>17.392059849382715</v>
      </c>
      <c r="AF154" s="9"/>
      <c r="AG154" s="21">
        <v>0.62515299999999996</v>
      </c>
      <c r="AH154" s="21">
        <v>19.819299999999998</v>
      </c>
      <c r="AI154" s="21">
        <v>-1.25031E-2</v>
      </c>
      <c r="AJ154" s="21">
        <v>144</v>
      </c>
      <c r="AK154" s="21">
        <v>0.62451199999999996</v>
      </c>
      <c r="AL154">
        <f t="shared" si="30"/>
        <v>15.435925925925924</v>
      </c>
      <c r="AM154">
        <f t="shared" si="31"/>
        <v>9.6498154003703682</v>
      </c>
      <c r="AP154" s="9"/>
      <c r="AQ154" s="21">
        <v>1.1048899999999999</v>
      </c>
      <c r="AR154" s="21">
        <v>25.437999999999999</v>
      </c>
      <c r="AS154" s="21">
        <v>-1.2634299999999999E-2</v>
      </c>
      <c r="AT154" s="21">
        <v>144</v>
      </c>
      <c r="AU154" s="21">
        <v>1.10321</v>
      </c>
      <c r="AV154">
        <f t="shared" si="32"/>
        <v>15.5979012345679</v>
      </c>
      <c r="AW154">
        <f t="shared" si="33"/>
        <v>17.233965095061727</v>
      </c>
      <c r="AX154" s="9"/>
      <c r="AY154" s="21">
        <v>0.62515299999999996</v>
      </c>
      <c r="AZ154" s="21">
        <v>29.317599999999999</v>
      </c>
      <c r="BA154" s="21">
        <v>-1.2451200000000001E-2</v>
      </c>
      <c r="BB154" s="21">
        <v>144</v>
      </c>
      <c r="BC154" s="21">
        <v>0.62451199999999996</v>
      </c>
      <c r="BD154">
        <f t="shared" si="34"/>
        <v>15.371851851851853</v>
      </c>
      <c r="BE154">
        <f t="shared" si="35"/>
        <v>9.6097593007407411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1.09985</v>
      </c>
      <c r="H155" s="21">
        <v>6.4966100000000004</v>
      </c>
      <c r="I155" s="21">
        <v>-1.3058500000000001E-2</v>
      </c>
      <c r="J155" s="21">
        <v>145</v>
      </c>
      <c r="K155" s="21">
        <v>1.09863</v>
      </c>
      <c r="L155">
        <f t="shared" si="24"/>
        <v>16.121604938271602</v>
      </c>
      <c r="M155">
        <f t="shared" si="25"/>
        <v>17.731347191358022</v>
      </c>
      <c r="N155" s="9"/>
      <c r="O155" s="21">
        <v>0.63018799999999997</v>
      </c>
      <c r="P155" s="21">
        <v>10.376200000000001</v>
      </c>
      <c r="Q155" s="21">
        <v>-1.27289E-2</v>
      </c>
      <c r="R155" s="21">
        <v>145</v>
      </c>
      <c r="S155" s="21">
        <v>0.62963899999999995</v>
      </c>
      <c r="T155">
        <f t="shared" si="26"/>
        <v>15.714691358024689</v>
      </c>
      <c r="U155">
        <f t="shared" si="27"/>
        <v>9.9032099175308623</v>
      </c>
      <c r="X155" s="9"/>
      <c r="Y155" s="21">
        <v>1.09985</v>
      </c>
      <c r="Z155" s="21">
        <v>15.9498</v>
      </c>
      <c r="AA155" s="21">
        <v>-1.27502E-2</v>
      </c>
      <c r="AB155" s="21">
        <v>145</v>
      </c>
      <c r="AC155" s="21">
        <v>1.09863</v>
      </c>
      <c r="AD155">
        <f t="shared" si="28"/>
        <v>15.740987654320987</v>
      </c>
      <c r="AE155">
        <f t="shared" si="29"/>
        <v>17.312725271604936</v>
      </c>
      <c r="AF155" s="9"/>
      <c r="AG155" s="21">
        <v>0.63018799999999997</v>
      </c>
      <c r="AH155" s="21">
        <v>19.8294</v>
      </c>
      <c r="AI155" s="21">
        <v>-1.24969E-2</v>
      </c>
      <c r="AJ155" s="21">
        <v>145</v>
      </c>
      <c r="AK155" s="21">
        <v>0.62963899999999995</v>
      </c>
      <c r="AL155">
        <f t="shared" si="30"/>
        <v>15.428271604938271</v>
      </c>
      <c r="AM155">
        <f t="shared" si="31"/>
        <v>9.7227116261728384</v>
      </c>
      <c r="AP155" s="9"/>
      <c r="AQ155" s="21">
        <v>1.09985</v>
      </c>
      <c r="AR155" s="21">
        <v>25.448</v>
      </c>
      <c r="AS155" s="21">
        <v>-1.26465E-2</v>
      </c>
      <c r="AT155" s="21">
        <v>145</v>
      </c>
      <c r="AU155" s="21">
        <v>1.09894</v>
      </c>
      <c r="AV155">
        <f t="shared" si="32"/>
        <v>15.612962962962962</v>
      </c>
      <c r="AW155">
        <f t="shared" si="33"/>
        <v>17.171917314814813</v>
      </c>
      <c r="AX155" s="9"/>
      <c r="AY155" s="21">
        <v>0.63018799999999997</v>
      </c>
      <c r="AZ155" s="21">
        <v>29.3276</v>
      </c>
      <c r="BA155" s="21">
        <v>-1.2445100000000001E-2</v>
      </c>
      <c r="BB155" s="21">
        <v>145</v>
      </c>
      <c r="BC155" s="21">
        <v>0.62954699999999997</v>
      </c>
      <c r="BD155">
        <f t="shared" si="34"/>
        <v>15.36432098765432</v>
      </c>
      <c r="BE155">
        <f t="shared" si="35"/>
        <v>9.6824107145679008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1.0948199999999999</v>
      </c>
      <c r="H156" s="21">
        <v>6.5066800000000002</v>
      </c>
      <c r="I156" s="21">
        <v>-1.30615E-2</v>
      </c>
      <c r="J156" s="21">
        <v>146</v>
      </c>
      <c r="K156" s="21">
        <v>1.09375</v>
      </c>
      <c r="L156">
        <f t="shared" si="24"/>
        <v>16.125308641975309</v>
      </c>
      <c r="M156">
        <f t="shared" si="25"/>
        <v>17.654310407407404</v>
      </c>
      <c r="N156" s="9"/>
      <c r="O156" s="21">
        <v>0.63522299999999998</v>
      </c>
      <c r="P156" s="21">
        <v>10.3863</v>
      </c>
      <c r="Q156" s="21">
        <v>-1.27197E-2</v>
      </c>
      <c r="R156" s="21">
        <v>146</v>
      </c>
      <c r="S156" s="21">
        <v>0.634521</v>
      </c>
      <c r="T156">
        <f t="shared" si="26"/>
        <v>15.703333333333333</v>
      </c>
      <c r="U156">
        <f t="shared" si="27"/>
        <v>9.9751185099999997</v>
      </c>
      <c r="X156" s="9"/>
      <c r="Y156" s="21">
        <v>1.0948199999999999</v>
      </c>
      <c r="Z156" s="21">
        <v>15.959899999999999</v>
      </c>
      <c r="AA156" s="21">
        <v>-1.27472E-2</v>
      </c>
      <c r="AB156" s="21">
        <v>146</v>
      </c>
      <c r="AC156" s="21">
        <v>1.09344</v>
      </c>
      <c r="AD156">
        <f t="shared" si="28"/>
        <v>15.737283950617284</v>
      </c>
      <c r="AE156">
        <f t="shared" si="29"/>
        <v>17.229493214814813</v>
      </c>
      <c r="AF156" s="9"/>
      <c r="AG156" s="21">
        <v>0.63522299999999998</v>
      </c>
      <c r="AH156" s="21">
        <v>19.839500000000001</v>
      </c>
      <c r="AI156" s="21">
        <v>-1.24908E-2</v>
      </c>
      <c r="AJ156" s="21">
        <v>146</v>
      </c>
      <c r="AK156" s="21">
        <v>0.63461299999999998</v>
      </c>
      <c r="AL156">
        <f t="shared" si="30"/>
        <v>15.42074074074074</v>
      </c>
      <c r="AM156">
        <f t="shared" si="31"/>
        <v>9.7956091955555546</v>
      </c>
      <c r="AP156" s="9"/>
      <c r="AQ156" s="21">
        <v>1.0948199999999999</v>
      </c>
      <c r="AR156" s="21">
        <v>25.458100000000002</v>
      </c>
      <c r="AS156" s="21">
        <v>-1.26587E-2</v>
      </c>
      <c r="AT156" s="21">
        <v>146</v>
      </c>
      <c r="AU156" s="21">
        <v>1.09314</v>
      </c>
      <c r="AV156">
        <f t="shared" si="32"/>
        <v>15.628024691358023</v>
      </c>
      <c r="AW156">
        <f t="shared" si="33"/>
        <v>17.10987399259259</v>
      </c>
      <c r="AX156" s="9"/>
      <c r="AY156" s="21">
        <v>0.63522299999999998</v>
      </c>
      <c r="AZ156" s="21">
        <v>29.337700000000002</v>
      </c>
      <c r="BA156" s="21">
        <v>-1.2439E-2</v>
      </c>
      <c r="BB156" s="21">
        <v>146</v>
      </c>
      <c r="BC156" s="21">
        <v>0.63467399999999996</v>
      </c>
      <c r="BD156">
        <f t="shared" si="34"/>
        <v>15.35679012345679</v>
      </c>
      <c r="BE156">
        <f t="shared" si="35"/>
        <v>9.7549862925925925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1.08978</v>
      </c>
      <c r="H157" s="21">
        <v>6.5167599999999997</v>
      </c>
      <c r="I157" s="21">
        <v>-1.30615E-2</v>
      </c>
      <c r="J157" s="21">
        <v>147</v>
      </c>
      <c r="K157" s="21">
        <v>1.08856</v>
      </c>
      <c r="L157">
        <f t="shared" si="24"/>
        <v>16.125308641975309</v>
      </c>
      <c r="M157">
        <f t="shared" si="25"/>
        <v>17.573038851851852</v>
      </c>
      <c r="N157" s="9"/>
      <c r="O157" s="21">
        <v>0.64025900000000002</v>
      </c>
      <c r="P157" s="21">
        <v>10.3964</v>
      </c>
      <c r="Q157" s="21">
        <v>-1.27197E-2</v>
      </c>
      <c r="R157" s="21">
        <v>147</v>
      </c>
      <c r="S157" s="21">
        <v>0.63961800000000002</v>
      </c>
      <c r="T157">
        <f t="shared" si="26"/>
        <v>15.703333333333333</v>
      </c>
      <c r="U157">
        <f t="shared" si="27"/>
        <v>10.054200496666667</v>
      </c>
      <c r="X157" s="9"/>
      <c r="Y157" s="21">
        <v>1.08978</v>
      </c>
      <c r="Z157" s="21">
        <v>15.969900000000001</v>
      </c>
      <c r="AA157" s="21">
        <v>-1.27472E-2</v>
      </c>
      <c r="AB157" s="21">
        <v>147</v>
      </c>
      <c r="AC157" s="21">
        <v>1.08887</v>
      </c>
      <c r="AD157">
        <f t="shared" si="28"/>
        <v>15.737283950617284</v>
      </c>
      <c r="AE157">
        <f t="shared" si="29"/>
        <v>17.150177303703703</v>
      </c>
      <c r="AF157" s="9"/>
      <c r="AG157" s="21">
        <v>0.64025900000000002</v>
      </c>
      <c r="AH157" s="21">
        <v>19.849599999999999</v>
      </c>
      <c r="AI157" s="21">
        <v>-1.2472499999999999E-2</v>
      </c>
      <c r="AJ157" s="21">
        <v>147</v>
      </c>
      <c r="AK157" s="21">
        <v>0.639679</v>
      </c>
      <c r="AL157">
        <f t="shared" si="30"/>
        <v>15.398148148148147</v>
      </c>
      <c r="AM157">
        <f t="shared" si="31"/>
        <v>9.8588029351851851</v>
      </c>
      <c r="AP157" s="9"/>
      <c r="AQ157" s="21">
        <v>1.08978</v>
      </c>
      <c r="AR157" s="21">
        <v>25.4682</v>
      </c>
      <c r="AS157" s="21">
        <v>-1.26617E-2</v>
      </c>
      <c r="AT157" s="21">
        <v>147</v>
      </c>
      <c r="AU157" s="21">
        <v>1.08856</v>
      </c>
      <c r="AV157">
        <f t="shared" si="32"/>
        <v>15.631728395061728</v>
      </c>
      <c r="AW157">
        <f t="shared" si="33"/>
        <v>17.035144970370368</v>
      </c>
      <c r="AX157" s="9"/>
      <c r="AY157" s="21">
        <v>0.64025900000000002</v>
      </c>
      <c r="AZ157" s="21">
        <v>29.347799999999999</v>
      </c>
      <c r="BA157" s="21">
        <v>-1.24298E-2</v>
      </c>
      <c r="BB157" s="21">
        <v>147</v>
      </c>
      <c r="BC157" s="21">
        <v>0.63964799999999999</v>
      </c>
      <c r="BD157">
        <f t="shared" si="34"/>
        <v>15.34543209876543</v>
      </c>
      <c r="BE157">
        <f t="shared" si="35"/>
        <v>9.8250510101234561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1.0847500000000001</v>
      </c>
      <c r="H158" s="21">
        <v>6.5268300000000004</v>
      </c>
      <c r="I158" s="21">
        <v>-1.3058500000000001E-2</v>
      </c>
      <c r="J158" s="21">
        <v>148</v>
      </c>
      <c r="K158" s="21">
        <v>1.0839799999999999</v>
      </c>
      <c r="L158">
        <f t="shared" si="24"/>
        <v>16.121604938271602</v>
      </c>
      <c r="M158">
        <f t="shared" si="25"/>
        <v>17.487910956790124</v>
      </c>
      <c r="N158" s="9"/>
      <c r="O158" s="21">
        <v>0.64529400000000003</v>
      </c>
      <c r="P158" s="21">
        <v>10.4064</v>
      </c>
      <c r="Q158" s="21">
        <v>-1.2722799999999999E-2</v>
      </c>
      <c r="R158" s="21">
        <v>148</v>
      </c>
      <c r="S158" s="21">
        <v>0.64477499999999999</v>
      </c>
      <c r="T158">
        <f t="shared" si="26"/>
        <v>15.707160493827157</v>
      </c>
      <c r="U158">
        <f t="shared" si="27"/>
        <v>10.135736423703701</v>
      </c>
      <c r="X158" s="9"/>
      <c r="Y158" s="21">
        <v>1.0847500000000001</v>
      </c>
      <c r="Z158" s="21">
        <v>15.98</v>
      </c>
      <c r="AA158" s="21">
        <v>-1.2759400000000001E-2</v>
      </c>
      <c r="AB158" s="21">
        <v>148</v>
      </c>
      <c r="AC158" s="21">
        <v>1.08368</v>
      </c>
      <c r="AD158">
        <f t="shared" si="28"/>
        <v>15.752345679012343</v>
      </c>
      <c r="AE158">
        <f t="shared" si="29"/>
        <v>17.087356975308641</v>
      </c>
      <c r="AF158" s="9"/>
      <c r="AG158" s="21">
        <v>0.64529400000000003</v>
      </c>
      <c r="AH158" s="21">
        <v>19.8596</v>
      </c>
      <c r="AI158" s="21">
        <v>-1.2466400000000001E-2</v>
      </c>
      <c r="AJ158" s="21">
        <v>148</v>
      </c>
      <c r="AK158" s="21">
        <v>0.64471400000000001</v>
      </c>
      <c r="AL158">
        <f t="shared" si="30"/>
        <v>15.390617283950617</v>
      </c>
      <c r="AM158">
        <f t="shared" si="31"/>
        <v>9.9314729896296292</v>
      </c>
      <c r="AP158" s="9"/>
      <c r="AQ158" s="21">
        <v>1.0847500000000001</v>
      </c>
      <c r="AR158" s="21">
        <v>25.478200000000001</v>
      </c>
      <c r="AS158" s="21">
        <v>-1.26648E-2</v>
      </c>
      <c r="AT158" s="21">
        <v>148</v>
      </c>
      <c r="AU158" s="21">
        <v>1.0833699999999999</v>
      </c>
      <c r="AV158">
        <f t="shared" si="32"/>
        <v>15.635555555555555</v>
      </c>
      <c r="AW158">
        <f t="shared" si="33"/>
        <v>16.96066888888889</v>
      </c>
      <c r="AX158" s="9"/>
      <c r="AY158" s="21">
        <v>0.64529400000000003</v>
      </c>
      <c r="AZ158" s="21">
        <v>29.357900000000001</v>
      </c>
      <c r="BA158" s="21">
        <v>-1.24146E-2</v>
      </c>
      <c r="BB158" s="21">
        <v>148</v>
      </c>
      <c r="BC158" s="21">
        <v>0.64471400000000001</v>
      </c>
      <c r="BD158">
        <f t="shared" si="34"/>
        <v>15.326666666666666</v>
      </c>
      <c r="BE158">
        <f t="shared" si="35"/>
        <v>9.8902060400000007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1.0797099999999999</v>
      </c>
      <c r="H159" s="21">
        <v>6.5369000000000002</v>
      </c>
      <c r="I159" s="21">
        <v>-1.3064600000000001E-2</v>
      </c>
      <c r="J159" s="21">
        <v>149</v>
      </c>
      <c r="K159" s="21">
        <v>1.0784899999999999</v>
      </c>
      <c r="L159">
        <f t="shared" si="24"/>
        <v>16.129135802469136</v>
      </c>
      <c r="M159">
        <f t="shared" si="25"/>
        <v>17.41478921728395</v>
      </c>
      <c r="N159" s="9"/>
      <c r="O159" s="21">
        <v>0.65032999999999996</v>
      </c>
      <c r="P159" s="21">
        <v>10.416499999999999</v>
      </c>
      <c r="Q159" s="21">
        <v>-1.27075E-2</v>
      </c>
      <c r="R159" s="21">
        <v>149</v>
      </c>
      <c r="S159" s="21">
        <v>0.64971900000000005</v>
      </c>
      <c r="T159">
        <f t="shared" si="26"/>
        <v>15.68827160493827</v>
      </c>
      <c r="U159">
        <f t="shared" si="27"/>
        <v>10.202553672839505</v>
      </c>
      <c r="X159" s="9"/>
      <c r="Y159" s="21">
        <v>1.0797099999999999</v>
      </c>
      <c r="Z159" s="21">
        <v>15.9901</v>
      </c>
      <c r="AA159" s="21">
        <v>-1.27686E-2</v>
      </c>
      <c r="AB159" s="21">
        <v>149</v>
      </c>
      <c r="AC159" s="21">
        <v>1.07819</v>
      </c>
      <c r="AD159">
        <f t="shared" si="28"/>
        <v>15.763703703703703</v>
      </c>
      <c r="AE159">
        <f t="shared" si="29"/>
        <v>17.020228525925923</v>
      </c>
      <c r="AF159" s="9"/>
      <c r="AG159" s="21">
        <v>0.65032999999999996</v>
      </c>
      <c r="AH159" s="21">
        <v>19.869700000000002</v>
      </c>
      <c r="AI159" s="21">
        <v>-1.2463399999999999E-2</v>
      </c>
      <c r="AJ159" s="21">
        <v>149</v>
      </c>
      <c r="AK159" s="21">
        <v>0.64965799999999996</v>
      </c>
      <c r="AL159">
        <f t="shared" si="30"/>
        <v>15.386913580246912</v>
      </c>
      <c r="AM159">
        <f t="shared" si="31"/>
        <v>10.006571508641974</v>
      </c>
      <c r="AP159" s="9"/>
      <c r="AQ159" s="21">
        <v>1.0797099999999999</v>
      </c>
      <c r="AR159" s="21">
        <v>25.488299999999999</v>
      </c>
      <c r="AS159" s="21">
        <v>-1.2670900000000001E-2</v>
      </c>
      <c r="AT159" s="21">
        <v>149</v>
      </c>
      <c r="AU159" s="21">
        <v>1.07941</v>
      </c>
      <c r="AV159">
        <f t="shared" si="32"/>
        <v>15.643086419753088</v>
      </c>
      <c r="AW159">
        <f t="shared" si="33"/>
        <v>16.889996838271607</v>
      </c>
      <c r="AX159" s="9"/>
      <c r="AY159" s="21">
        <v>0.65032999999999996</v>
      </c>
      <c r="AZ159" s="21">
        <v>29.367899999999999</v>
      </c>
      <c r="BA159" s="21">
        <v>-1.24084E-2</v>
      </c>
      <c r="BB159" s="21">
        <v>149</v>
      </c>
      <c r="BC159" s="21">
        <v>0.64981100000000003</v>
      </c>
      <c r="BD159">
        <f t="shared" si="34"/>
        <v>15.319012345679011</v>
      </c>
      <c r="BE159">
        <f t="shared" si="35"/>
        <v>9.9624132987654317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1.0746800000000001</v>
      </c>
      <c r="H160" s="21">
        <v>6.54697</v>
      </c>
      <c r="I160" s="21">
        <v>-1.3070699999999999E-2</v>
      </c>
      <c r="J160" s="21">
        <v>150</v>
      </c>
      <c r="K160" s="21">
        <v>1.07361</v>
      </c>
      <c r="L160">
        <f t="shared" si="24"/>
        <v>16.136666666666663</v>
      </c>
      <c r="M160">
        <f t="shared" si="25"/>
        <v>17.341752933333332</v>
      </c>
      <c r="N160" s="9"/>
      <c r="O160" s="21">
        <v>0.65536499999999998</v>
      </c>
      <c r="P160" s="21">
        <v>10.426600000000001</v>
      </c>
      <c r="Q160" s="21">
        <v>-1.2704500000000001E-2</v>
      </c>
      <c r="R160" s="21">
        <v>150</v>
      </c>
      <c r="S160" s="21">
        <v>0.65478499999999995</v>
      </c>
      <c r="T160">
        <f t="shared" si="26"/>
        <v>15.684567901234566</v>
      </c>
      <c r="U160">
        <f t="shared" si="27"/>
        <v>10.279116842592591</v>
      </c>
      <c r="X160" s="9"/>
      <c r="Y160" s="21">
        <v>1.0746800000000001</v>
      </c>
      <c r="Z160" s="21">
        <v>16.0002</v>
      </c>
      <c r="AA160" s="21">
        <v>-1.2765500000000001E-2</v>
      </c>
      <c r="AB160" s="21">
        <v>150</v>
      </c>
      <c r="AC160" s="21">
        <v>1.0739099999999999</v>
      </c>
      <c r="AD160">
        <f t="shared" si="28"/>
        <v>15.759876543209876</v>
      </c>
      <c r="AE160">
        <f t="shared" si="29"/>
        <v>16.936824123456791</v>
      </c>
      <c r="AF160" s="9"/>
      <c r="AG160" s="21">
        <v>0.65536499999999998</v>
      </c>
      <c r="AH160" s="21">
        <v>19.879799999999999</v>
      </c>
      <c r="AI160" s="21">
        <v>-1.24695E-2</v>
      </c>
      <c r="AJ160" s="21">
        <v>150</v>
      </c>
      <c r="AK160" s="21">
        <v>0.65481599999999995</v>
      </c>
      <c r="AL160">
        <f t="shared" si="30"/>
        <v>15.394444444444444</v>
      </c>
      <c r="AM160">
        <f t="shared" si="31"/>
        <v>10.088980083333333</v>
      </c>
      <c r="AP160" s="9"/>
      <c r="AQ160" s="21">
        <v>1.0746800000000001</v>
      </c>
      <c r="AR160" s="21">
        <v>25.4984</v>
      </c>
      <c r="AS160" s="21">
        <v>-1.26678E-2</v>
      </c>
      <c r="AT160" s="21">
        <v>150</v>
      </c>
      <c r="AU160" s="21">
        <v>1.0739099999999999</v>
      </c>
      <c r="AV160">
        <f t="shared" si="32"/>
        <v>15.639259259259259</v>
      </c>
      <c r="AW160">
        <f t="shared" si="33"/>
        <v>16.807199140740742</v>
      </c>
      <c r="AX160" s="9"/>
      <c r="AY160" s="21">
        <v>0.65536499999999998</v>
      </c>
      <c r="AZ160" s="21">
        <v>29.378</v>
      </c>
      <c r="BA160" s="21">
        <v>-1.24023E-2</v>
      </c>
      <c r="BB160" s="21">
        <v>150</v>
      </c>
      <c r="BC160" s="21">
        <v>0.65472399999999997</v>
      </c>
      <c r="BD160">
        <f t="shared" si="34"/>
        <v>15.311481481481479</v>
      </c>
      <c r="BE160">
        <f t="shared" si="35"/>
        <v>10.034609061111109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1.0696399999999999</v>
      </c>
      <c r="H161" s="21">
        <v>6.5570399999999998</v>
      </c>
      <c r="I161" s="21">
        <v>-1.3070699999999999E-2</v>
      </c>
      <c r="J161" s="21">
        <v>151</v>
      </c>
      <c r="K161" s="21">
        <v>1.06873</v>
      </c>
      <c r="L161">
        <f t="shared" si="24"/>
        <v>16.136666666666663</v>
      </c>
      <c r="M161">
        <f t="shared" si="25"/>
        <v>17.260424133333327</v>
      </c>
      <c r="N161" s="9"/>
      <c r="O161" s="21">
        <v>0.66039999999999999</v>
      </c>
      <c r="P161" s="21">
        <v>10.4367</v>
      </c>
      <c r="Q161" s="21">
        <v>-1.26953E-2</v>
      </c>
      <c r="R161" s="21">
        <v>151</v>
      </c>
      <c r="S161" s="21">
        <v>0.65985099999999997</v>
      </c>
      <c r="T161">
        <f t="shared" si="26"/>
        <v>15.67320987654321</v>
      </c>
      <c r="U161">
        <f t="shared" si="27"/>
        <v>10.350587802469136</v>
      </c>
      <c r="X161" s="9"/>
      <c r="Y161" s="21">
        <v>1.0696399999999999</v>
      </c>
      <c r="Z161" s="21">
        <v>16.010200000000001</v>
      </c>
      <c r="AA161" s="21">
        <v>-1.27747E-2</v>
      </c>
      <c r="AB161" s="21">
        <v>151</v>
      </c>
      <c r="AC161" s="21">
        <v>1.06812</v>
      </c>
      <c r="AD161">
        <f t="shared" si="28"/>
        <v>15.771234567901235</v>
      </c>
      <c r="AE161">
        <f t="shared" si="29"/>
        <v>16.869543343209877</v>
      </c>
      <c r="AF161" s="9"/>
      <c r="AG161" s="21">
        <v>0.66039999999999999</v>
      </c>
      <c r="AH161" s="21">
        <v>19.889800000000001</v>
      </c>
      <c r="AI161" s="21">
        <v>-1.24542E-2</v>
      </c>
      <c r="AJ161" s="21">
        <v>151</v>
      </c>
      <c r="AK161" s="21">
        <v>0.65978999999999999</v>
      </c>
      <c r="AL161">
        <f t="shared" si="30"/>
        <v>15.375555555555556</v>
      </c>
      <c r="AM161">
        <f t="shared" si="31"/>
        <v>10.154016888888888</v>
      </c>
      <c r="AP161" s="9"/>
      <c r="AQ161" s="21">
        <v>1.0696399999999999</v>
      </c>
      <c r="AR161" s="21">
        <v>25.508500000000002</v>
      </c>
      <c r="AS161" s="21">
        <v>-1.2655599999999999E-2</v>
      </c>
      <c r="AT161" s="21">
        <v>151</v>
      </c>
      <c r="AU161" s="21">
        <v>1.0684199999999999</v>
      </c>
      <c r="AV161">
        <f t="shared" si="32"/>
        <v>15.624197530864196</v>
      </c>
      <c r="AW161">
        <f t="shared" si="33"/>
        <v>16.712266646913577</v>
      </c>
      <c r="AX161" s="9"/>
      <c r="AY161" s="21">
        <v>0.66039999999999999</v>
      </c>
      <c r="AZ161" s="21">
        <v>29.388100000000001</v>
      </c>
      <c r="BA161" s="21">
        <v>-1.24054E-2</v>
      </c>
      <c r="BB161" s="21">
        <v>151</v>
      </c>
      <c r="BC161" s="21">
        <v>0.65972900000000001</v>
      </c>
      <c r="BD161">
        <f t="shared" si="34"/>
        <v>15.315308641975308</v>
      </c>
      <c r="BE161">
        <f t="shared" si="35"/>
        <v>10.114229827160493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1.0646100000000001</v>
      </c>
      <c r="H162" s="21">
        <v>6.5671099999999996</v>
      </c>
      <c r="I162" s="21">
        <v>-1.3070699999999999E-2</v>
      </c>
      <c r="J162" s="21">
        <v>152</v>
      </c>
      <c r="K162" s="21">
        <v>1.0638399999999999</v>
      </c>
      <c r="L162">
        <f t="shared" si="24"/>
        <v>16.136666666666663</v>
      </c>
      <c r="M162">
        <f t="shared" si="25"/>
        <v>17.179256699999996</v>
      </c>
      <c r="N162" s="9"/>
      <c r="O162" s="21">
        <v>0.66543600000000003</v>
      </c>
      <c r="P162" s="21">
        <v>10.4467</v>
      </c>
      <c r="Q162" s="21">
        <v>-1.26801E-2</v>
      </c>
      <c r="R162" s="21">
        <v>152</v>
      </c>
      <c r="S162" s="21">
        <v>0.664825</v>
      </c>
      <c r="T162">
        <f t="shared" si="26"/>
        <v>15.654444444444444</v>
      </c>
      <c r="U162">
        <f t="shared" si="27"/>
        <v>10.417030893333333</v>
      </c>
      <c r="X162" s="9"/>
      <c r="Y162" s="21">
        <v>1.0646100000000001</v>
      </c>
      <c r="Z162" s="21">
        <v>16.020299999999999</v>
      </c>
      <c r="AA162" s="21">
        <v>-1.27838E-2</v>
      </c>
      <c r="AB162" s="21">
        <v>152</v>
      </c>
      <c r="AC162" s="21">
        <v>1.0635399999999999</v>
      </c>
      <c r="AD162">
        <f t="shared" si="28"/>
        <v>15.782469135802467</v>
      </c>
      <c r="AE162">
        <f t="shared" si="29"/>
        <v>16.802174466666663</v>
      </c>
      <c r="AF162" s="9"/>
      <c r="AG162" s="21">
        <v>0.66543600000000003</v>
      </c>
      <c r="AH162" s="21">
        <v>19.899899999999999</v>
      </c>
      <c r="AI162" s="21">
        <v>-1.24329E-2</v>
      </c>
      <c r="AJ162" s="21">
        <v>152</v>
      </c>
      <c r="AK162" s="21">
        <v>0.664856</v>
      </c>
      <c r="AL162">
        <f t="shared" si="30"/>
        <v>15.349259259259259</v>
      </c>
      <c r="AM162">
        <f t="shared" si="31"/>
        <v>10.213949684444446</v>
      </c>
      <c r="AP162" s="9"/>
      <c r="AQ162" s="21">
        <v>1.0646100000000001</v>
      </c>
      <c r="AR162" s="21">
        <v>25.5185</v>
      </c>
      <c r="AS162" s="21">
        <v>-1.26678E-2</v>
      </c>
      <c r="AT162" s="21">
        <v>152</v>
      </c>
      <c r="AU162" s="21">
        <v>1.0635399999999999</v>
      </c>
      <c r="AV162">
        <f t="shared" si="32"/>
        <v>15.639259259259259</v>
      </c>
      <c r="AW162">
        <f t="shared" si="33"/>
        <v>16.649711799999999</v>
      </c>
      <c r="AX162" s="9"/>
      <c r="AY162" s="21">
        <v>0.66543600000000003</v>
      </c>
      <c r="AZ162" s="21">
        <v>29.398099999999999</v>
      </c>
      <c r="BA162" s="21">
        <v>-1.23962E-2</v>
      </c>
      <c r="BB162" s="21">
        <v>152</v>
      </c>
      <c r="BC162" s="21">
        <v>0.664856</v>
      </c>
      <c r="BD162">
        <f t="shared" si="34"/>
        <v>15.303950617283951</v>
      </c>
      <c r="BE162">
        <f t="shared" si="35"/>
        <v>10.183799682962963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1.0595699999999999</v>
      </c>
      <c r="H163" s="21">
        <v>6.5771800000000002</v>
      </c>
      <c r="I163" s="21">
        <v>-1.3070699999999999E-2</v>
      </c>
      <c r="J163" s="21">
        <v>153</v>
      </c>
      <c r="K163" s="21">
        <v>1.0592699999999999</v>
      </c>
      <c r="L163">
        <f t="shared" si="24"/>
        <v>16.136666666666663</v>
      </c>
      <c r="M163">
        <f t="shared" si="25"/>
        <v>17.097927899999995</v>
      </c>
      <c r="N163" s="9"/>
      <c r="O163" s="21">
        <v>0.67047100000000004</v>
      </c>
      <c r="P163" s="21">
        <v>10.456799999999999</v>
      </c>
      <c r="Q163" s="21">
        <v>-1.26678E-2</v>
      </c>
      <c r="R163" s="21">
        <v>153</v>
      </c>
      <c r="S163" s="21">
        <v>0.66983000000000004</v>
      </c>
      <c r="T163">
        <f t="shared" si="26"/>
        <v>15.639259259259259</v>
      </c>
      <c r="U163">
        <f t="shared" si="27"/>
        <v>10.485669794814815</v>
      </c>
      <c r="X163" s="9"/>
      <c r="Y163" s="21">
        <v>1.0595699999999999</v>
      </c>
      <c r="Z163" s="21">
        <v>16.0304</v>
      </c>
      <c r="AA163" s="21">
        <v>-1.2796E-2</v>
      </c>
      <c r="AB163" s="21">
        <v>153</v>
      </c>
      <c r="AC163" s="21">
        <v>1.0586500000000001</v>
      </c>
      <c r="AD163">
        <f t="shared" si="28"/>
        <v>15.79753086419753</v>
      </c>
      <c r="AE163">
        <f t="shared" si="29"/>
        <v>16.738589777777776</v>
      </c>
      <c r="AF163" s="9"/>
      <c r="AG163" s="21">
        <v>0.67047100000000004</v>
      </c>
      <c r="AH163" s="21">
        <v>19.91</v>
      </c>
      <c r="AI163" s="21">
        <v>-1.2423699999999999E-2</v>
      </c>
      <c r="AJ163" s="21">
        <v>153</v>
      </c>
      <c r="AK163" s="21">
        <v>0.66983000000000004</v>
      </c>
      <c r="AL163">
        <f t="shared" si="30"/>
        <v>15.3379012345679</v>
      </c>
      <c r="AM163">
        <f t="shared" si="31"/>
        <v>10.283617978641974</v>
      </c>
      <c r="AP163" s="9"/>
      <c r="AQ163" s="21">
        <v>1.0595699999999999</v>
      </c>
      <c r="AR163" s="21">
        <v>25.528600000000001</v>
      </c>
      <c r="AS163" s="21">
        <v>-1.26801E-2</v>
      </c>
      <c r="AT163" s="21">
        <v>153</v>
      </c>
      <c r="AU163" s="21">
        <v>1.0580400000000001</v>
      </c>
      <c r="AV163">
        <f t="shared" si="32"/>
        <v>15.654444444444444</v>
      </c>
      <c r="AW163">
        <f t="shared" si="33"/>
        <v>16.586979699999997</v>
      </c>
      <c r="AX163" s="9"/>
      <c r="AY163" s="21">
        <v>0.67047100000000004</v>
      </c>
      <c r="AZ163" s="21">
        <v>29.408200000000001</v>
      </c>
      <c r="BA163" s="21">
        <v>-1.2374899999999999E-2</v>
      </c>
      <c r="BB163" s="21">
        <v>153</v>
      </c>
      <c r="BC163" s="21">
        <v>0.66986100000000004</v>
      </c>
      <c r="BD163">
        <f t="shared" si="34"/>
        <v>15.277654320987653</v>
      </c>
      <c r="BE163">
        <f t="shared" si="35"/>
        <v>10.243224170246913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1.05453</v>
      </c>
      <c r="H164" s="21">
        <v>6.58725</v>
      </c>
      <c r="I164" s="21">
        <v>-1.3070699999999999E-2</v>
      </c>
      <c r="J164" s="21">
        <v>154</v>
      </c>
      <c r="K164" s="21">
        <v>1.0534699999999999</v>
      </c>
      <c r="L164">
        <f t="shared" si="24"/>
        <v>16.136666666666663</v>
      </c>
      <c r="M164">
        <f t="shared" si="25"/>
        <v>17.016599099999997</v>
      </c>
      <c r="N164" s="9"/>
      <c r="O164" s="21">
        <v>0.67550699999999997</v>
      </c>
      <c r="P164" s="21">
        <v>10.466900000000001</v>
      </c>
      <c r="Q164" s="21">
        <v>-1.26526E-2</v>
      </c>
      <c r="R164" s="21">
        <v>154</v>
      </c>
      <c r="S164" s="21">
        <v>0.67486599999999997</v>
      </c>
      <c r="T164">
        <f t="shared" si="26"/>
        <v>15.620493827160493</v>
      </c>
      <c r="U164">
        <f t="shared" si="27"/>
        <v>10.551752923703702</v>
      </c>
      <c r="X164" s="9"/>
      <c r="Y164" s="21">
        <v>1.05453</v>
      </c>
      <c r="Z164" s="21">
        <v>16.040400000000002</v>
      </c>
      <c r="AA164" s="21">
        <v>-1.28082E-2</v>
      </c>
      <c r="AB164" s="21">
        <v>154</v>
      </c>
      <c r="AC164" s="21">
        <v>1.0534699999999999</v>
      </c>
      <c r="AD164">
        <f t="shared" si="28"/>
        <v>15.812592592592594</v>
      </c>
      <c r="AE164">
        <f t="shared" si="29"/>
        <v>16.674853266666666</v>
      </c>
      <c r="AF164" s="9"/>
      <c r="AG164" s="21">
        <v>0.67550699999999997</v>
      </c>
      <c r="AH164" s="21">
        <v>19.920100000000001</v>
      </c>
      <c r="AI164" s="21">
        <v>-1.24146E-2</v>
      </c>
      <c r="AJ164" s="21">
        <v>154</v>
      </c>
      <c r="AK164" s="21">
        <v>0.67489600000000005</v>
      </c>
      <c r="AL164">
        <f t="shared" si="30"/>
        <v>15.326666666666666</v>
      </c>
      <c r="AM164">
        <f t="shared" si="31"/>
        <v>10.35327062</v>
      </c>
      <c r="AP164" s="9"/>
      <c r="AQ164" s="21">
        <v>1.05453</v>
      </c>
      <c r="AR164" s="21">
        <v>25.538699999999999</v>
      </c>
      <c r="AS164" s="21">
        <v>-1.2683099999999999E-2</v>
      </c>
      <c r="AT164" s="21">
        <v>154</v>
      </c>
      <c r="AU164" s="21">
        <v>1.0531600000000001</v>
      </c>
      <c r="AV164">
        <f t="shared" si="32"/>
        <v>15.658148148148147</v>
      </c>
      <c r="AW164">
        <f t="shared" si="33"/>
        <v>16.511986966666665</v>
      </c>
      <c r="AX164" s="9"/>
      <c r="AY164" s="21">
        <v>0.67550699999999997</v>
      </c>
      <c r="AZ164" s="21">
        <v>29.418299999999999</v>
      </c>
      <c r="BA164" s="21">
        <v>-1.2368799999999999E-2</v>
      </c>
      <c r="BB164" s="21">
        <v>154</v>
      </c>
      <c r="BC164" s="21">
        <v>0.67477399999999998</v>
      </c>
      <c r="BD164">
        <f t="shared" si="34"/>
        <v>15.270123456790122</v>
      </c>
      <c r="BE164">
        <f t="shared" si="35"/>
        <v>10.315075285925925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1.0495000000000001</v>
      </c>
      <c r="H165" s="21">
        <v>6.5973199999999999</v>
      </c>
      <c r="I165" s="21">
        <v>-1.3064600000000001E-2</v>
      </c>
      <c r="J165" s="21">
        <v>155</v>
      </c>
      <c r="K165" s="21">
        <v>1.0479700000000001</v>
      </c>
      <c r="L165">
        <f t="shared" si="24"/>
        <v>16.129135802469136</v>
      </c>
      <c r="M165">
        <f t="shared" si="25"/>
        <v>16.927528024691359</v>
      </c>
      <c r="N165" s="9"/>
      <c r="O165" s="21">
        <v>0.68054199999999998</v>
      </c>
      <c r="P165" s="21">
        <v>10.476900000000001</v>
      </c>
      <c r="Q165" s="21">
        <v>-1.26526E-2</v>
      </c>
      <c r="R165" s="21">
        <v>155</v>
      </c>
      <c r="S165" s="21">
        <v>0.67990099999999998</v>
      </c>
      <c r="T165">
        <f t="shared" si="26"/>
        <v>15.620493827160493</v>
      </c>
      <c r="U165">
        <f t="shared" si="27"/>
        <v>10.630402110123455</v>
      </c>
      <c r="X165" s="9"/>
      <c r="Y165" s="21">
        <v>1.0495000000000001</v>
      </c>
      <c r="Z165" s="21">
        <v>16.0505</v>
      </c>
      <c r="AA165" s="21">
        <v>-1.2811299999999999E-2</v>
      </c>
      <c r="AB165" s="21">
        <v>155</v>
      </c>
      <c r="AC165" s="21">
        <v>1.0485800000000001</v>
      </c>
      <c r="AD165">
        <f t="shared" si="28"/>
        <v>15.816419753086418</v>
      </c>
      <c r="AE165">
        <f t="shared" si="29"/>
        <v>16.599332530864196</v>
      </c>
      <c r="AF165" s="9"/>
      <c r="AG165" s="21">
        <v>0.68054199999999998</v>
      </c>
      <c r="AH165" s="21">
        <v>19.930099999999999</v>
      </c>
      <c r="AI165" s="21">
        <v>-1.24207E-2</v>
      </c>
      <c r="AJ165" s="21">
        <v>155</v>
      </c>
      <c r="AK165" s="21">
        <v>0.67993199999999998</v>
      </c>
      <c r="AL165">
        <f t="shared" si="30"/>
        <v>15.334197530864195</v>
      </c>
      <c r="AM165">
        <f t="shared" si="31"/>
        <v>10.43556545604938</v>
      </c>
      <c r="AP165" s="9"/>
      <c r="AQ165" s="21">
        <v>1.0495000000000001</v>
      </c>
      <c r="AR165" s="21">
        <v>25.5487</v>
      </c>
      <c r="AS165" s="21">
        <v>-1.26923E-2</v>
      </c>
      <c r="AT165" s="21">
        <v>155</v>
      </c>
      <c r="AU165" s="21">
        <v>1.0479700000000001</v>
      </c>
      <c r="AV165">
        <f t="shared" si="32"/>
        <v>15.669506172839506</v>
      </c>
      <c r="AW165">
        <f t="shared" si="33"/>
        <v>16.445146728395063</v>
      </c>
      <c r="AX165" s="9"/>
      <c r="AY165" s="21">
        <v>0.68054199999999998</v>
      </c>
      <c r="AZ165" s="21">
        <v>29.4284</v>
      </c>
      <c r="BA165" s="21">
        <v>-1.2356600000000001E-2</v>
      </c>
      <c r="BB165" s="21">
        <v>155</v>
      </c>
      <c r="BC165" s="21">
        <v>0.67990099999999998</v>
      </c>
      <c r="BD165">
        <f t="shared" si="34"/>
        <v>15.255061728395061</v>
      </c>
      <c r="BE165">
        <f t="shared" si="35"/>
        <v>10.381710218765431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1.0444599999999999</v>
      </c>
      <c r="H166" s="21">
        <v>6.6073899999999997</v>
      </c>
      <c r="I166" s="21">
        <v>-1.3064600000000001E-2</v>
      </c>
      <c r="J166" s="21">
        <v>156</v>
      </c>
      <c r="K166" s="21">
        <v>1.0430900000000001</v>
      </c>
      <c r="L166">
        <f t="shared" si="24"/>
        <v>16.129135802469136</v>
      </c>
      <c r="M166">
        <f t="shared" si="25"/>
        <v>16.846237180246913</v>
      </c>
      <c r="N166" s="9"/>
      <c r="O166" s="21">
        <v>0.68557699999999999</v>
      </c>
      <c r="P166" s="21">
        <v>10.487</v>
      </c>
      <c r="Q166" s="21">
        <v>-1.26465E-2</v>
      </c>
      <c r="R166" s="21">
        <v>156</v>
      </c>
      <c r="S166" s="21">
        <v>0.68493700000000002</v>
      </c>
      <c r="T166">
        <f t="shared" si="26"/>
        <v>15.612962962962962</v>
      </c>
      <c r="U166">
        <f t="shared" si="27"/>
        <v>10.703888309259259</v>
      </c>
      <c r="X166" s="9"/>
      <c r="Y166" s="21">
        <v>1.0444599999999999</v>
      </c>
      <c r="Z166" s="21">
        <v>16.060600000000001</v>
      </c>
      <c r="AA166" s="21">
        <v>-1.2811299999999999E-2</v>
      </c>
      <c r="AB166" s="21">
        <v>156</v>
      </c>
      <c r="AC166" s="21">
        <v>1.0434000000000001</v>
      </c>
      <c r="AD166">
        <f t="shared" si="28"/>
        <v>15.816419753086418</v>
      </c>
      <c r="AE166">
        <f t="shared" si="29"/>
        <v>16.519617775308639</v>
      </c>
      <c r="AF166" s="9"/>
      <c r="AG166" s="21">
        <v>0.68557699999999999</v>
      </c>
      <c r="AH166" s="21">
        <v>19.940200000000001</v>
      </c>
      <c r="AI166" s="21">
        <v>-1.2417600000000001E-2</v>
      </c>
      <c r="AJ166" s="21">
        <v>156</v>
      </c>
      <c r="AK166" s="21">
        <v>0.68496699999999999</v>
      </c>
      <c r="AL166">
        <f t="shared" si="30"/>
        <v>15.330370370370371</v>
      </c>
      <c r="AM166">
        <f t="shared" si="31"/>
        <v>10.510149327407408</v>
      </c>
      <c r="AP166" s="9"/>
      <c r="AQ166" s="21">
        <v>1.0444599999999999</v>
      </c>
      <c r="AR166" s="21">
        <v>25.558800000000002</v>
      </c>
      <c r="AS166" s="21">
        <v>-1.2704500000000001E-2</v>
      </c>
      <c r="AT166" s="21">
        <v>156</v>
      </c>
      <c r="AU166" s="21">
        <v>1.0440100000000001</v>
      </c>
      <c r="AV166">
        <f t="shared" si="32"/>
        <v>15.684567901234566</v>
      </c>
      <c r="AW166">
        <f t="shared" si="33"/>
        <v>16.381903790123452</v>
      </c>
      <c r="AX166" s="9"/>
      <c r="AY166" s="21">
        <v>0.68557699999999999</v>
      </c>
      <c r="AZ166" s="21">
        <v>29.438400000000001</v>
      </c>
      <c r="BA166" s="21">
        <v>-1.23505E-2</v>
      </c>
      <c r="BB166" s="21">
        <v>156</v>
      </c>
      <c r="BC166" s="21">
        <v>0.68496699999999999</v>
      </c>
      <c r="BD166">
        <f t="shared" si="34"/>
        <v>15.247530864197531</v>
      </c>
      <c r="BE166">
        <f t="shared" si="35"/>
        <v>10.45335646728395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1.0394300000000001</v>
      </c>
      <c r="H167" s="21">
        <v>6.61747</v>
      </c>
      <c r="I167" s="21">
        <v>-1.30676E-2</v>
      </c>
      <c r="J167" s="21">
        <v>157</v>
      </c>
      <c r="K167" s="21">
        <v>1.03851</v>
      </c>
      <c r="L167">
        <f t="shared" si="24"/>
        <v>16.132839506172839</v>
      </c>
      <c r="M167">
        <f t="shared" si="25"/>
        <v>16.768957367901237</v>
      </c>
      <c r="N167" s="9"/>
      <c r="O167" s="21">
        <v>0.69061300000000003</v>
      </c>
      <c r="P167" s="21">
        <v>10.4971</v>
      </c>
      <c r="Q167" s="21">
        <v>-1.26465E-2</v>
      </c>
      <c r="R167" s="21">
        <v>157</v>
      </c>
      <c r="S167" s="21">
        <v>0.69006299999999998</v>
      </c>
      <c r="T167">
        <f t="shared" si="26"/>
        <v>15.612962962962962</v>
      </c>
      <c r="U167">
        <f t="shared" si="27"/>
        <v>10.782515190740741</v>
      </c>
      <c r="X167" s="9"/>
      <c r="Y167" s="21">
        <v>1.0394300000000001</v>
      </c>
      <c r="Z167" s="21">
        <v>16.070599999999999</v>
      </c>
      <c r="AA167" s="21">
        <v>-1.2814300000000001E-2</v>
      </c>
      <c r="AB167" s="21">
        <v>157</v>
      </c>
      <c r="AC167" s="21">
        <v>1.03912</v>
      </c>
      <c r="AD167">
        <f t="shared" si="28"/>
        <v>15.820123456790125</v>
      </c>
      <c r="AE167">
        <f t="shared" si="29"/>
        <v>16.443910924691359</v>
      </c>
      <c r="AF167" s="9"/>
      <c r="AG167" s="21">
        <v>0.69061300000000003</v>
      </c>
      <c r="AH167" s="21">
        <v>19.950299999999999</v>
      </c>
      <c r="AI167" s="21">
        <v>-1.2417600000000001E-2</v>
      </c>
      <c r="AJ167" s="21">
        <v>157</v>
      </c>
      <c r="AK167" s="21">
        <v>0.690002</v>
      </c>
      <c r="AL167">
        <f t="shared" si="30"/>
        <v>15.330370370370371</v>
      </c>
      <c r="AM167">
        <f t="shared" si="31"/>
        <v>10.587353072592594</v>
      </c>
      <c r="AP167" s="9"/>
      <c r="AQ167" s="21">
        <v>1.0394300000000001</v>
      </c>
      <c r="AR167" s="21">
        <v>25.568899999999999</v>
      </c>
      <c r="AS167" s="21">
        <v>-1.27136E-2</v>
      </c>
      <c r="AT167" s="21">
        <v>157</v>
      </c>
      <c r="AU167" s="21">
        <v>1.03912</v>
      </c>
      <c r="AV167">
        <f t="shared" si="32"/>
        <v>15.695802469135801</v>
      </c>
      <c r="AW167">
        <f t="shared" si="33"/>
        <v>16.314687960493828</v>
      </c>
      <c r="AX167" s="9"/>
      <c r="AY167" s="21">
        <v>0.69061300000000003</v>
      </c>
      <c r="AZ167" s="21">
        <v>29.448499999999999</v>
      </c>
      <c r="BA167" s="21">
        <v>-1.2335199999999999E-2</v>
      </c>
      <c r="BB167" s="21">
        <v>157</v>
      </c>
      <c r="BC167" s="21">
        <v>0.69003300000000001</v>
      </c>
      <c r="BD167">
        <f t="shared" si="34"/>
        <v>15.228641975308641</v>
      </c>
      <c r="BE167">
        <f t="shared" si="35"/>
        <v>10.517098120493827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1.0343899999999999</v>
      </c>
      <c r="H168" s="21">
        <v>6.6275399999999998</v>
      </c>
      <c r="I168" s="21">
        <v>-1.3079800000000001E-2</v>
      </c>
      <c r="J168" s="21">
        <v>158</v>
      </c>
      <c r="K168" s="21">
        <v>1.0333300000000001</v>
      </c>
      <c r="L168">
        <f t="shared" si="24"/>
        <v>16.147901234567904</v>
      </c>
      <c r="M168">
        <f t="shared" si="25"/>
        <v>16.703227558024693</v>
      </c>
      <c r="N168" s="9"/>
      <c r="O168" s="21">
        <v>0.69564800000000004</v>
      </c>
      <c r="P168" s="21">
        <v>10.507199999999999</v>
      </c>
      <c r="Q168" s="21">
        <v>-1.2637300000000001E-2</v>
      </c>
      <c r="R168" s="21">
        <v>158</v>
      </c>
      <c r="S168" s="21">
        <v>0.69500700000000004</v>
      </c>
      <c r="T168">
        <f t="shared" si="26"/>
        <v>15.601604938271604</v>
      </c>
      <c r="U168">
        <f t="shared" si="27"/>
        <v>10.853225272098765</v>
      </c>
      <c r="X168" s="9"/>
      <c r="Y168" s="21">
        <v>1.0343899999999999</v>
      </c>
      <c r="Z168" s="21">
        <v>16.0807</v>
      </c>
      <c r="AA168" s="21">
        <v>-1.28174E-2</v>
      </c>
      <c r="AB168" s="21">
        <v>158</v>
      </c>
      <c r="AC168" s="21">
        <v>1.03363</v>
      </c>
      <c r="AD168">
        <f t="shared" si="28"/>
        <v>15.82395061728395</v>
      </c>
      <c r="AE168">
        <f t="shared" si="29"/>
        <v>16.368136279012344</v>
      </c>
      <c r="AF168" s="9"/>
      <c r="AG168" s="21">
        <v>0.69564800000000004</v>
      </c>
      <c r="AH168" s="21">
        <v>19.9603</v>
      </c>
      <c r="AI168" s="21">
        <v>-1.2411500000000001E-2</v>
      </c>
      <c r="AJ168" s="21">
        <v>158</v>
      </c>
      <c r="AK168" s="21">
        <v>0.69500700000000004</v>
      </c>
      <c r="AL168">
        <f t="shared" si="30"/>
        <v>15.322839506172839</v>
      </c>
      <c r="AM168">
        <f t="shared" si="31"/>
        <v>10.659302656790123</v>
      </c>
      <c r="AP168" s="9"/>
      <c r="AQ168" s="21">
        <v>1.0343899999999999</v>
      </c>
      <c r="AR168" s="21">
        <v>25.579000000000001</v>
      </c>
      <c r="AS168" s="21">
        <v>-1.27197E-2</v>
      </c>
      <c r="AT168" s="21">
        <v>158</v>
      </c>
      <c r="AU168" s="21">
        <v>1.0333300000000001</v>
      </c>
      <c r="AV168">
        <f t="shared" si="32"/>
        <v>15.703333333333333</v>
      </c>
      <c r="AW168">
        <f t="shared" si="33"/>
        <v>16.243370966666664</v>
      </c>
      <c r="AX168" s="9"/>
      <c r="AY168" s="21">
        <v>0.69564800000000004</v>
      </c>
      <c r="AZ168" s="21">
        <v>29.458600000000001</v>
      </c>
      <c r="BA168" s="21">
        <v>-1.23138E-2</v>
      </c>
      <c r="BB168" s="21">
        <v>158</v>
      </c>
      <c r="BC168" s="21">
        <v>0.69503800000000004</v>
      </c>
      <c r="BD168">
        <f t="shared" si="34"/>
        <v>15.202222222222222</v>
      </c>
      <c r="BE168">
        <f t="shared" si="35"/>
        <v>10.575395484444444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1.0293600000000001</v>
      </c>
      <c r="H169" s="21">
        <v>6.6376099999999996</v>
      </c>
      <c r="I169" s="21">
        <v>-1.3091999999999999E-2</v>
      </c>
      <c r="J169" s="21">
        <v>159</v>
      </c>
      <c r="K169" s="21">
        <v>1.0275300000000001</v>
      </c>
      <c r="L169">
        <f t="shared" si="24"/>
        <v>16.162962962962961</v>
      </c>
      <c r="M169">
        <f t="shared" si="25"/>
        <v>16.637507555555555</v>
      </c>
      <c r="N169" s="9"/>
      <c r="O169" s="21">
        <v>0.70068399999999997</v>
      </c>
      <c r="P169" s="21">
        <v>10.517200000000001</v>
      </c>
      <c r="Q169" s="21">
        <v>-1.2619E-2</v>
      </c>
      <c r="R169" s="21">
        <v>159</v>
      </c>
      <c r="S169" s="21">
        <v>0.70004299999999997</v>
      </c>
      <c r="T169">
        <f t="shared" si="26"/>
        <v>15.579012345679011</v>
      </c>
      <c r="U169">
        <f t="shared" si="27"/>
        <v>10.915964686419752</v>
      </c>
      <c r="X169" s="9"/>
      <c r="Y169" s="21">
        <v>1.0293600000000001</v>
      </c>
      <c r="Z169" s="21">
        <v>16.090800000000002</v>
      </c>
      <c r="AA169" s="21">
        <v>-1.28296E-2</v>
      </c>
      <c r="AB169" s="21">
        <v>159</v>
      </c>
      <c r="AC169" s="21">
        <v>1.02783</v>
      </c>
      <c r="AD169">
        <f t="shared" si="28"/>
        <v>15.839012345679013</v>
      </c>
      <c r="AE169">
        <f t="shared" si="29"/>
        <v>16.304045748148148</v>
      </c>
      <c r="AF169" s="9"/>
      <c r="AG169" s="21">
        <v>0.70068399999999997</v>
      </c>
      <c r="AH169" s="21">
        <v>19.970400000000001</v>
      </c>
      <c r="AI169" s="21">
        <v>-1.24023E-2</v>
      </c>
      <c r="AJ169" s="21">
        <v>159</v>
      </c>
      <c r="AK169" s="21">
        <v>0.70010399999999995</v>
      </c>
      <c r="AL169">
        <f t="shared" si="30"/>
        <v>15.311481481481479</v>
      </c>
      <c r="AM169">
        <f t="shared" si="31"/>
        <v>10.728510090370369</v>
      </c>
      <c r="AP169" s="9"/>
      <c r="AQ169" s="21">
        <v>1.0293600000000001</v>
      </c>
      <c r="AR169" s="21">
        <v>25.588999999999999</v>
      </c>
      <c r="AS169" s="21">
        <v>-1.27136E-2</v>
      </c>
      <c r="AT169" s="21">
        <v>159</v>
      </c>
      <c r="AU169" s="21">
        <v>1.02783</v>
      </c>
      <c r="AV169">
        <f t="shared" si="32"/>
        <v>15.695802469135801</v>
      </c>
      <c r="AW169">
        <f t="shared" si="33"/>
        <v>16.156631229629628</v>
      </c>
      <c r="AX169" s="9"/>
      <c r="AY169" s="21">
        <v>0.70068399999999997</v>
      </c>
      <c r="AZ169" s="21">
        <v>29.468599999999999</v>
      </c>
      <c r="BA169" s="21">
        <v>-1.23077E-2</v>
      </c>
      <c r="BB169" s="21">
        <v>159</v>
      </c>
      <c r="BC169" s="21">
        <v>0.70007299999999995</v>
      </c>
      <c r="BD169">
        <f t="shared" si="34"/>
        <v>15.19469135802469</v>
      </c>
      <c r="BE169">
        <f t="shared" si="35"/>
        <v>10.646677119506171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1.0243199999999999</v>
      </c>
      <c r="H170" s="21">
        <v>6.6476800000000003</v>
      </c>
      <c r="I170" s="21">
        <v>-1.3110399999999999E-2</v>
      </c>
      <c r="J170" s="21">
        <v>160</v>
      </c>
      <c r="K170" s="21">
        <v>1.02356</v>
      </c>
      <c r="L170">
        <f t="shared" si="24"/>
        <v>16.185679012345677</v>
      </c>
      <c r="M170">
        <f t="shared" si="25"/>
        <v>16.579314725925922</v>
      </c>
      <c r="N170" s="9"/>
      <c r="O170" s="21">
        <v>0.70571899999999999</v>
      </c>
      <c r="P170" s="21">
        <v>10.5273</v>
      </c>
      <c r="Q170" s="21">
        <v>-1.25977E-2</v>
      </c>
      <c r="R170" s="21">
        <v>160</v>
      </c>
      <c r="S170" s="21">
        <v>0.70516999999999996</v>
      </c>
      <c r="T170">
        <f t="shared" si="26"/>
        <v>15.552716049382715</v>
      </c>
      <c r="U170">
        <f t="shared" si="27"/>
        <v>10.975847217654319</v>
      </c>
      <c r="X170" s="9"/>
      <c r="Y170" s="21">
        <v>1.0243199999999999</v>
      </c>
      <c r="Z170" s="21">
        <v>16.100899999999999</v>
      </c>
      <c r="AA170" s="21">
        <v>-1.28448E-2</v>
      </c>
      <c r="AB170" s="21">
        <v>160</v>
      </c>
      <c r="AC170" s="21">
        <v>1.02356</v>
      </c>
      <c r="AD170">
        <f t="shared" si="28"/>
        <v>15.857777777777777</v>
      </c>
      <c r="AE170">
        <f t="shared" si="29"/>
        <v>16.24343893333333</v>
      </c>
      <c r="AF170" s="9"/>
      <c r="AG170" s="21">
        <v>0.70571899999999999</v>
      </c>
      <c r="AH170" s="21">
        <v>19.980499999999999</v>
      </c>
      <c r="AI170" s="21">
        <v>-1.2390099999999999E-2</v>
      </c>
      <c r="AJ170" s="21">
        <v>160</v>
      </c>
      <c r="AK170" s="21">
        <v>0.70507799999999998</v>
      </c>
      <c r="AL170">
        <f t="shared" si="30"/>
        <v>15.296419753086418</v>
      </c>
      <c r="AM170">
        <f t="shared" si="31"/>
        <v>10.794974051728394</v>
      </c>
      <c r="AP170" s="9"/>
      <c r="AQ170" s="21">
        <v>1.0243199999999999</v>
      </c>
      <c r="AR170" s="21">
        <v>25.5991</v>
      </c>
      <c r="AS170" s="21">
        <v>-1.27136E-2</v>
      </c>
      <c r="AT170" s="21">
        <v>160</v>
      </c>
      <c r="AU170" s="21">
        <v>1.02386</v>
      </c>
      <c r="AV170">
        <f t="shared" si="32"/>
        <v>15.695802469135801</v>
      </c>
      <c r="AW170">
        <f t="shared" si="33"/>
        <v>16.077524385185182</v>
      </c>
      <c r="AX170" s="9"/>
      <c r="AY170" s="21">
        <v>0.70571899999999999</v>
      </c>
      <c r="AZ170" s="21">
        <v>29.4787</v>
      </c>
      <c r="BA170" s="21">
        <v>-1.23138E-2</v>
      </c>
      <c r="BB170" s="21">
        <v>160</v>
      </c>
      <c r="BC170" s="21">
        <v>0.70520000000000005</v>
      </c>
      <c r="BD170">
        <f t="shared" si="34"/>
        <v>15.202222222222222</v>
      </c>
      <c r="BE170">
        <f t="shared" si="35"/>
        <v>10.728497064444444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1.01929</v>
      </c>
      <c r="H171" s="21">
        <v>6.6577500000000001</v>
      </c>
      <c r="I171" s="21">
        <v>-1.3119499999999999E-2</v>
      </c>
      <c r="J171" s="21">
        <v>161</v>
      </c>
      <c r="K171" s="21">
        <v>1.01837</v>
      </c>
      <c r="L171">
        <f t="shared" si="24"/>
        <v>16.19691358024691</v>
      </c>
      <c r="M171">
        <f t="shared" si="25"/>
        <v>16.509352043209873</v>
      </c>
      <c r="N171" s="9"/>
      <c r="O171" s="21">
        <v>0.710754</v>
      </c>
      <c r="P171" s="21">
        <v>10.5374</v>
      </c>
      <c r="Q171" s="21">
        <v>-1.25854E-2</v>
      </c>
      <c r="R171" s="21">
        <v>161</v>
      </c>
      <c r="S171" s="21">
        <v>0.71011400000000002</v>
      </c>
      <c r="T171">
        <f t="shared" si="26"/>
        <v>15.53753086419753</v>
      </c>
      <c r="U171">
        <f t="shared" si="27"/>
        <v>11.043362211851852</v>
      </c>
      <c r="X171" s="9"/>
      <c r="Y171" s="21">
        <v>1.01929</v>
      </c>
      <c r="Z171" s="21">
        <v>16.110900000000001</v>
      </c>
      <c r="AA171" s="21">
        <v>-1.2854000000000001E-2</v>
      </c>
      <c r="AB171" s="21">
        <v>161</v>
      </c>
      <c r="AC171" s="21">
        <v>1.01837</v>
      </c>
      <c r="AD171">
        <f t="shared" si="28"/>
        <v>15.869135802469136</v>
      </c>
      <c r="AE171">
        <f t="shared" si="29"/>
        <v>16.175251432098765</v>
      </c>
      <c r="AF171" s="9"/>
      <c r="AG171" s="21">
        <v>0.710754</v>
      </c>
      <c r="AH171" s="21">
        <v>19.990500000000001</v>
      </c>
      <c r="AI171" s="21">
        <v>-1.2381E-2</v>
      </c>
      <c r="AJ171" s="21">
        <v>161</v>
      </c>
      <c r="AK171" s="21">
        <v>0.71011400000000002</v>
      </c>
      <c r="AL171">
        <f t="shared" si="30"/>
        <v>15.285185185185183</v>
      </c>
      <c r="AM171">
        <f t="shared" si="31"/>
        <v>10.864006511111109</v>
      </c>
      <c r="AP171" s="9"/>
      <c r="AQ171" s="21">
        <v>1.01929</v>
      </c>
      <c r="AR171" s="21">
        <v>25.609200000000001</v>
      </c>
      <c r="AS171" s="21">
        <v>-1.2716699999999999E-2</v>
      </c>
      <c r="AT171" s="21">
        <v>161</v>
      </c>
      <c r="AU171" s="21">
        <v>1.01807</v>
      </c>
      <c r="AV171">
        <f t="shared" si="32"/>
        <v>15.699629629629626</v>
      </c>
      <c r="AW171">
        <f t="shared" si="33"/>
        <v>16.002475485185183</v>
      </c>
      <c r="AX171" s="9"/>
      <c r="AY171" s="21">
        <v>0.710754</v>
      </c>
      <c r="AZ171" s="21">
        <v>29.488800000000001</v>
      </c>
      <c r="BA171" s="21">
        <v>-1.23199E-2</v>
      </c>
      <c r="BB171" s="21">
        <v>161</v>
      </c>
      <c r="BC171" s="21">
        <v>0.710175</v>
      </c>
      <c r="BD171">
        <f t="shared" si="34"/>
        <v>15.209753086419752</v>
      </c>
      <c r="BE171">
        <f t="shared" si="35"/>
        <v>10.810392845185184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1.0142500000000001</v>
      </c>
      <c r="H172" s="21">
        <v>6.6678199999999999</v>
      </c>
      <c r="I172" s="21">
        <v>-1.31287E-2</v>
      </c>
      <c r="J172" s="21">
        <v>162</v>
      </c>
      <c r="K172" s="21">
        <v>1.01349</v>
      </c>
      <c r="L172">
        <f t="shared" si="24"/>
        <v>16.208271604938268</v>
      </c>
      <c r="M172">
        <f t="shared" si="25"/>
        <v>16.439239475308639</v>
      </c>
      <c r="N172" s="9"/>
      <c r="O172" s="21">
        <v>0.71579000000000004</v>
      </c>
      <c r="P172" s="21">
        <v>10.5474</v>
      </c>
      <c r="Q172" s="21">
        <v>-1.2582400000000001E-2</v>
      </c>
      <c r="R172" s="21">
        <v>162</v>
      </c>
      <c r="S172" s="21">
        <v>0.71521000000000001</v>
      </c>
      <c r="T172">
        <f t="shared" si="26"/>
        <v>15.533827160493827</v>
      </c>
      <c r="U172">
        <f t="shared" si="27"/>
        <v>11.118958143209877</v>
      </c>
      <c r="X172" s="9"/>
      <c r="Y172" s="21">
        <v>1.0142500000000001</v>
      </c>
      <c r="Z172" s="21">
        <v>16.120999999999999</v>
      </c>
      <c r="AA172" s="21">
        <v>-1.28723E-2</v>
      </c>
      <c r="AB172" s="21">
        <v>162</v>
      </c>
      <c r="AC172" s="21">
        <v>1.01288</v>
      </c>
      <c r="AD172">
        <f t="shared" si="28"/>
        <v>15.891728395061728</v>
      </c>
      <c r="AE172">
        <f t="shared" si="29"/>
        <v>16.118185524691359</v>
      </c>
      <c r="AF172" s="9"/>
      <c r="AG172" s="21">
        <v>0.71579000000000004</v>
      </c>
      <c r="AH172" s="21">
        <v>20.000599999999999</v>
      </c>
      <c r="AI172" s="21">
        <v>-1.2377900000000001E-2</v>
      </c>
      <c r="AJ172" s="21">
        <v>162</v>
      </c>
      <c r="AK172" s="21">
        <v>0.71523999999999999</v>
      </c>
      <c r="AL172">
        <f t="shared" si="30"/>
        <v>15.281358024691359</v>
      </c>
      <c r="AM172">
        <f t="shared" si="31"/>
        <v>10.938243260493829</v>
      </c>
      <c r="AP172" s="9"/>
      <c r="AQ172" s="21">
        <v>1.0142500000000001</v>
      </c>
      <c r="AR172" s="21">
        <v>25.619199999999999</v>
      </c>
      <c r="AS172" s="21">
        <v>-1.27289E-2</v>
      </c>
      <c r="AT172" s="21">
        <v>162</v>
      </c>
      <c r="AU172" s="21">
        <v>1.01349</v>
      </c>
      <c r="AV172">
        <f t="shared" si="32"/>
        <v>15.714691358024689</v>
      </c>
      <c r="AW172">
        <f t="shared" si="33"/>
        <v>15.938625709876543</v>
      </c>
      <c r="AX172" s="9"/>
      <c r="AY172" s="21">
        <v>0.71579000000000004</v>
      </c>
      <c r="AZ172" s="21">
        <v>29.498799999999999</v>
      </c>
      <c r="BA172" s="21">
        <v>-1.2326E-2</v>
      </c>
      <c r="BB172" s="21">
        <v>162</v>
      </c>
      <c r="BC172" s="21">
        <v>0.71521000000000001</v>
      </c>
      <c r="BD172">
        <f t="shared" si="34"/>
        <v>15.217283950617283</v>
      </c>
      <c r="BE172">
        <f t="shared" si="35"/>
        <v>10.892379679012345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1.00922</v>
      </c>
      <c r="H173" s="21">
        <v>6.6778899999999997</v>
      </c>
      <c r="I173" s="21">
        <v>-1.31439E-2</v>
      </c>
      <c r="J173" s="21">
        <v>163</v>
      </c>
      <c r="K173" s="21">
        <v>1.00861</v>
      </c>
      <c r="L173">
        <f t="shared" si="24"/>
        <v>16.227037037037036</v>
      </c>
      <c r="M173">
        <f t="shared" si="25"/>
        <v>16.376650318518518</v>
      </c>
      <c r="N173" s="9"/>
      <c r="O173" s="21">
        <v>0.72082500000000005</v>
      </c>
      <c r="P173" s="21">
        <v>10.557499999999999</v>
      </c>
      <c r="Q173" s="21">
        <v>-1.25702E-2</v>
      </c>
      <c r="R173" s="21">
        <v>163</v>
      </c>
      <c r="S173" s="21">
        <v>0.72015399999999996</v>
      </c>
      <c r="T173">
        <f t="shared" si="26"/>
        <v>15.518765432098766</v>
      </c>
      <c r="U173">
        <f t="shared" si="27"/>
        <v>11.186314092592594</v>
      </c>
      <c r="X173" s="9"/>
      <c r="Y173" s="21">
        <v>1.00922</v>
      </c>
      <c r="Z173" s="21">
        <v>16.1311</v>
      </c>
      <c r="AA173" s="21">
        <v>-1.28845E-2</v>
      </c>
      <c r="AB173" s="21">
        <v>163</v>
      </c>
      <c r="AC173" s="21">
        <v>1.00891</v>
      </c>
      <c r="AD173">
        <f t="shared" si="28"/>
        <v>15.906790123456791</v>
      </c>
      <c r="AE173">
        <f t="shared" si="29"/>
        <v>16.053450728395063</v>
      </c>
      <c r="AF173" s="9"/>
      <c r="AG173" s="21">
        <v>0.72082500000000005</v>
      </c>
      <c r="AH173" s="21">
        <v>20.0107</v>
      </c>
      <c r="AI173" s="21">
        <v>-1.23657E-2</v>
      </c>
      <c r="AJ173" s="21">
        <v>163</v>
      </c>
      <c r="AK173" s="21">
        <v>0.72024500000000002</v>
      </c>
      <c r="AL173">
        <f t="shared" si="30"/>
        <v>15.266296296296295</v>
      </c>
      <c r="AM173">
        <f t="shared" si="31"/>
        <v>11.004328027777778</v>
      </c>
      <c r="AP173" s="9"/>
      <c r="AQ173" s="21">
        <v>1.00922</v>
      </c>
      <c r="AR173" s="21">
        <v>25.629300000000001</v>
      </c>
      <c r="AS173" s="21">
        <v>-1.2737999999999999E-2</v>
      </c>
      <c r="AT173" s="21">
        <v>163</v>
      </c>
      <c r="AU173" s="21">
        <v>1.0083</v>
      </c>
      <c r="AV173">
        <f t="shared" si="32"/>
        <v>15.725925925925925</v>
      </c>
      <c r="AW173">
        <f t="shared" si="33"/>
        <v>15.870918962962962</v>
      </c>
      <c r="AX173" s="9"/>
      <c r="AY173" s="21">
        <v>0.72082500000000005</v>
      </c>
      <c r="AZ173" s="21">
        <v>29.508900000000001</v>
      </c>
      <c r="BA173" s="21">
        <v>-1.23322E-2</v>
      </c>
      <c r="BB173" s="21">
        <v>163</v>
      </c>
      <c r="BC173" s="21">
        <v>0.72021500000000005</v>
      </c>
      <c r="BD173">
        <f t="shared" si="34"/>
        <v>15.224938271604938</v>
      </c>
      <c r="BE173">
        <f t="shared" si="35"/>
        <v>10.974516129629629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1.0041800000000001</v>
      </c>
      <c r="H174" s="21">
        <v>6.6879600000000003</v>
      </c>
      <c r="I174" s="21">
        <v>-1.3153099999999999E-2</v>
      </c>
      <c r="J174" s="21">
        <v>164</v>
      </c>
      <c r="K174" s="21">
        <v>1.00403</v>
      </c>
      <c r="L174">
        <f t="shared" si="24"/>
        <v>16.238395061728394</v>
      </c>
      <c r="M174">
        <f t="shared" si="25"/>
        <v>16.306271553086418</v>
      </c>
      <c r="N174" s="9"/>
      <c r="O174" s="21">
        <v>0.72586099999999998</v>
      </c>
      <c r="P174" s="21">
        <v>10.567600000000001</v>
      </c>
      <c r="Q174" s="21">
        <v>-1.2560999999999999E-2</v>
      </c>
      <c r="R174" s="21">
        <v>164</v>
      </c>
      <c r="S174" s="21">
        <v>0.72524999999999995</v>
      </c>
      <c r="T174">
        <f t="shared" si="26"/>
        <v>15.507407407407406</v>
      </c>
      <c r="U174">
        <f t="shared" si="27"/>
        <v>11.256222248148147</v>
      </c>
      <c r="X174" s="9"/>
      <c r="Y174" s="21">
        <v>1.0041800000000001</v>
      </c>
      <c r="Z174" s="21">
        <v>16.141100000000002</v>
      </c>
      <c r="AA174" s="21">
        <v>-1.2887600000000001E-2</v>
      </c>
      <c r="AB174" s="21">
        <v>164</v>
      </c>
      <c r="AC174" s="21">
        <v>1.00342</v>
      </c>
      <c r="AD174">
        <f t="shared" si="28"/>
        <v>15.910617283950618</v>
      </c>
      <c r="AE174">
        <f t="shared" si="29"/>
        <v>15.977123664197533</v>
      </c>
      <c r="AF174" s="9"/>
      <c r="AG174" s="21">
        <v>0.72586099999999998</v>
      </c>
      <c r="AH174" s="21">
        <v>20.020800000000001</v>
      </c>
      <c r="AI174" s="21">
        <v>-1.23505E-2</v>
      </c>
      <c r="AJ174" s="21">
        <v>164</v>
      </c>
      <c r="AK174" s="21">
        <v>0.72528099999999995</v>
      </c>
      <c r="AL174">
        <f t="shared" si="30"/>
        <v>15.247530864197531</v>
      </c>
      <c r="AM174">
        <f t="shared" si="31"/>
        <v>11.067588000617283</v>
      </c>
      <c r="AP174" s="9"/>
      <c r="AQ174" s="21">
        <v>1.0041800000000001</v>
      </c>
      <c r="AR174" s="21">
        <v>25.639399999999998</v>
      </c>
      <c r="AS174" s="21">
        <v>-1.27502E-2</v>
      </c>
      <c r="AT174" s="21">
        <v>164</v>
      </c>
      <c r="AU174" s="21">
        <v>1.0037199999999999</v>
      </c>
      <c r="AV174">
        <f t="shared" si="32"/>
        <v>15.740987654320987</v>
      </c>
      <c r="AW174">
        <f t="shared" si="33"/>
        <v>15.806784982716049</v>
      </c>
      <c r="AX174" s="9"/>
      <c r="AY174" s="21">
        <v>0.72586099999999998</v>
      </c>
      <c r="AZ174" s="21">
        <v>29.518999999999998</v>
      </c>
      <c r="BA174" s="21">
        <v>-1.2326E-2</v>
      </c>
      <c r="BB174" s="21">
        <v>164</v>
      </c>
      <c r="BC174" s="21">
        <v>0.72528099999999995</v>
      </c>
      <c r="BD174">
        <f t="shared" si="34"/>
        <v>15.217283950617283</v>
      </c>
      <c r="BE174">
        <f t="shared" si="35"/>
        <v>11.045632945679012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0.99914599999999998</v>
      </c>
      <c r="H175" s="21">
        <v>6.6980300000000002</v>
      </c>
      <c r="I175" s="21">
        <v>-1.3153099999999999E-2</v>
      </c>
      <c r="J175" s="21">
        <v>165</v>
      </c>
      <c r="K175" s="21">
        <v>0.99853499999999995</v>
      </c>
      <c r="L175">
        <f t="shared" si="24"/>
        <v>16.238395061728394</v>
      </c>
      <c r="M175">
        <f t="shared" si="25"/>
        <v>16.224527472345677</v>
      </c>
      <c r="N175" s="9"/>
      <c r="O175" s="21">
        <v>0.73089599999999999</v>
      </c>
      <c r="P175" s="21">
        <v>10.5776</v>
      </c>
      <c r="Q175" s="21">
        <v>-1.25519E-2</v>
      </c>
      <c r="R175" s="21">
        <v>165</v>
      </c>
      <c r="S175" s="21">
        <v>0.73031599999999997</v>
      </c>
      <c r="T175">
        <f t="shared" si="26"/>
        <v>15.496172839506173</v>
      </c>
      <c r="U175">
        <f t="shared" si="27"/>
        <v>11.326090743703704</v>
      </c>
      <c r="X175" s="9"/>
      <c r="Y175" s="21">
        <v>0.99914599999999998</v>
      </c>
      <c r="Z175" s="21">
        <v>16.151199999999999</v>
      </c>
      <c r="AA175" s="21">
        <v>-1.2893699999999999E-2</v>
      </c>
      <c r="AB175" s="21">
        <v>165</v>
      </c>
      <c r="AC175" s="21">
        <v>0.99792499999999995</v>
      </c>
      <c r="AD175">
        <f t="shared" si="28"/>
        <v>15.918148148148147</v>
      </c>
      <c r="AE175">
        <f t="shared" si="29"/>
        <v>15.904554049629628</v>
      </c>
      <c r="AF175" s="9"/>
      <c r="AG175" s="21">
        <v>0.73089599999999999</v>
      </c>
      <c r="AH175" s="21">
        <v>20.030799999999999</v>
      </c>
      <c r="AI175" s="21">
        <v>-1.2335199999999999E-2</v>
      </c>
      <c r="AJ175" s="21">
        <v>165</v>
      </c>
      <c r="AK175" s="21">
        <v>0.73025499999999999</v>
      </c>
      <c r="AL175">
        <f t="shared" si="30"/>
        <v>15.228641975308641</v>
      </c>
      <c r="AM175">
        <f t="shared" si="31"/>
        <v>11.130553505185183</v>
      </c>
      <c r="AP175" s="9"/>
      <c r="AQ175" s="21">
        <v>0.99914599999999998</v>
      </c>
      <c r="AR175" s="21">
        <v>25.6494</v>
      </c>
      <c r="AS175" s="21">
        <v>-1.2759400000000001E-2</v>
      </c>
      <c r="AT175" s="21">
        <v>165</v>
      </c>
      <c r="AU175" s="21">
        <v>0.99822999999999995</v>
      </c>
      <c r="AV175">
        <f t="shared" si="32"/>
        <v>15.752345679012343</v>
      </c>
      <c r="AW175">
        <f t="shared" si="33"/>
        <v>15.738893175802467</v>
      </c>
      <c r="AX175" s="9"/>
      <c r="AY175" s="21">
        <v>0.73089599999999999</v>
      </c>
      <c r="AZ175" s="21">
        <v>29.5291</v>
      </c>
      <c r="BA175" s="21">
        <v>-1.23047E-2</v>
      </c>
      <c r="BB175" s="21">
        <v>165</v>
      </c>
      <c r="BC175" s="21">
        <v>0.73028599999999999</v>
      </c>
      <c r="BD175">
        <f t="shared" si="34"/>
        <v>15.190987654320987</v>
      </c>
      <c r="BE175">
        <f t="shared" si="35"/>
        <v>11.103032112592592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0.99411000000000005</v>
      </c>
      <c r="H176" s="21">
        <v>6.7081</v>
      </c>
      <c r="I176" s="21">
        <v>-1.315E-2</v>
      </c>
      <c r="J176" s="21">
        <v>166</v>
      </c>
      <c r="K176" s="21">
        <v>0.99334699999999998</v>
      </c>
      <c r="L176">
        <f t="shared" si="24"/>
        <v>16.234567901234566</v>
      </c>
      <c r="M176">
        <f t="shared" si="25"/>
        <v>16.138946296296297</v>
      </c>
      <c r="N176" s="9"/>
      <c r="O176" s="21">
        <v>0.735931</v>
      </c>
      <c r="P176" s="21">
        <v>10.5877</v>
      </c>
      <c r="Q176" s="21">
        <v>-1.25366E-2</v>
      </c>
      <c r="R176" s="21">
        <v>166</v>
      </c>
      <c r="S176" s="21">
        <v>0.73541299999999998</v>
      </c>
      <c r="T176">
        <f t="shared" si="26"/>
        <v>15.477283950617283</v>
      </c>
      <c r="U176">
        <f t="shared" si="27"/>
        <v>11.390213055061727</v>
      </c>
      <c r="X176" s="9"/>
      <c r="Y176" s="21">
        <v>0.99411000000000005</v>
      </c>
      <c r="Z176" s="21">
        <v>16.161300000000001</v>
      </c>
      <c r="AA176" s="21">
        <v>-1.2912E-2</v>
      </c>
      <c r="AB176" s="21">
        <v>166</v>
      </c>
      <c r="AC176" s="21">
        <v>0.99334699999999998</v>
      </c>
      <c r="AD176">
        <f t="shared" si="28"/>
        <v>15.940740740740738</v>
      </c>
      <c r="AE176">
        <f t="shared" si="29"/>
        <v>15.846849777777775</v>
      </c>
      <c r="AF176" s="9"/>
      <c r="AG176" s="21">
        <v>0.735931</v>
      </c>
      <c r="AH176" s="21">
        <v>20.040900000000001</v>
      </c>
      <c r="AI176" s="21">
        <v>-1.2323000000000001E-2</v>
      </c>
      <c r="AJ176" s="21">
        <v>166</v>
      </c>
      <c r="AK176" s="21">
        <v>0.73526000000000002</v>
      </c>
      <c r="AL176">
        <f t="shared" si="30"/>
        <v>15.213580246913581</v>
      </c>
      <c r="AM176">
        <f t="shared" si="31"/>
        <v>11.19614532469136</v>
      </c>
      <c r="AP176" s="9"/>
      <c r="AQ176" s="21">
        <v>0.99411000000000005</v>
      </c>
      <c r="AR176" s="21">
        <v>25.659500000000001</v>
      </c>
      <c r="AS176" s="21">
        <v>-1.27625E-2</v>
      </c>
      <c r="AT176" s="21">
        <v>166</v>
      </c>
      <c r="AU176" s="21">
        <v>0.99304199999999998</v>
      </c>
      <c r="AV176">
        <f t="shared" si="32"/>
        <v>15.756172839506172</v>
      </c>
      <c r="AW176">
        <f t="shared" si="33"/>
        <v>15.663368981481481</v>
      </c>
      <c r="AX176" s="9"/>
      <c r="AY176" s="21">
        <v>0.735931</v>
      </c>
      <c r="AZ176" s="21">
        <v>29.539100000000001</v>
      </c>
      <c r="BA176" s="21">
        <v>-1.2289400000000001E-2</v>
      </c>
      <c r="BB176" s="21">
        <v>166</v>
      </c>
      <c r="BC176" s="21">
        <v>0.735321</v>
      </c>
      <c r="BD176">
        <f t="shared" si="34"/>
        <v>15.172098765432098</v>
      </c>
      <c r="BE176">
        <f t="shared" si="35"/>
        <v>11.165617816543209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0.98907500000000004</v>
      </c>
      <c r="H177" s="21">
        <v>6.7181800000000003</v>
      </c>
      <c r="I177" s="21">
        <v>-1.3147000000000001E-2</v>
      </c>
      <c r="J177" s="21">
        <v>167</v>
      </c>
      <c r="K177" s="21">
        <v>0.98785400000000001</v>
      </c>
      <c r="L177">
        <f t="shared" si="24"/>
        <v>16.230864197530863</v>
      </c>
      <c r="M177">
        <f t="shared" si="25"/>
        <v>16.05354200617284</v>
      </c>
      <c r="N177" s="9"/>
      <c r="O177" s="21">
        <v>0.74096700000000004</v>
      </c>
      <c r="P177" s="21">
        <v>10.597799999999999</v>
      </c>
      <c r="Q177" s="21">
        <v>-1.25305E-2</v>
      </c>
      <c r="R177" s="21">
        <v>167</v>
      </c>
      <c r="S177" s="21">
        <v>0.74041699999999999</v>
      </c>
      <c r="T177">
        <f t="shared" si="26"/>
        <v>15.469753086419752</v>
      </c>
      <c r="U177">
        <f t="shared" si="27"/>
        <v>11.462576535185185</v>
      </c>
      <c r="X177" s="9"/>
      <c r="Y177" s="21">
        <v>0.98907500000000004</v>
      </c>
      <c r="Z177" s="21">
        <v>16.171399999999998</v>
      </c>
      <c r="AA177" s="21">
        <v>-1.2912E-2</v>
      </c>
      <c r="AB177" s="21">
        <v>167</v>
      </c>
      <c r="AC177" s="21">
        <v>0.98846400000000001</v>
      </c>
      <c r="AD177">
        <f t="shared" si="28"/>
        <v>15.940740740740738</v>
      </c>
      <c r="AE177">
        <f t="shared" si="29"/>
        <v>15.766588148148147</v>
      </c>
      <c r="AF177" s="9"/>
      <c r="AG177" s="21">
        <v>0.74096700000000004</v>
      </c>
      <c r="AH177" s="21">
        <v>20.050999999999998</v>
      </c>
      <c r="AI177" s="21">
        <v>-1.2335199999999999E-2</v>
      </c>
      <c r="AJ177" s="21">
        <v>167</v>
      </c>
      <c r="AK177" s="21">
        <v>0.74038700000000002</v>
      </c>
      <c r="AL177">
        <f t="shared" si="30"/>
        <v>15.228641975308641</v>
      </c>
      <c r="AM177">
        <f t="shared" si="31"/>
        <v>11.283921158518519</v>
      </c>
      <c r="AP177" s="9"/>
      <c r="AQ177" s="21">
        <v>0.98907500000000004</v>
      </c>
      <c r="AR177" s="21">
        <v>25.669599999999999</v>
      </c>
      <c r="AS177" s="21">
        <v>-1.2759400000000001E-2</v>
      </c>
      <c r="AT177" s="21">
        <v>167</v>
      </c>
      <c r="AU177" s="21">
        <v>0.98846400000000001</v>
      </c>
      <c r="AV177">
        <f t="shared" si="32"/>
        <v>15.752345679012343</v>
      </c>
      <c r="AW177">
        <f t="shared" si="33"/>
        <v>15.580251302469135</v>
      </c>
      <c r="AX177" s="9"/>
      <c r="AY177" s="21">
        <v>0.74096700000000004</v>
      </c>
      <c r="AZ177" s="21">
        <v>29.549199999999999</v>
      </c>
      <c r="BA177" s="21">
        <v>-1.2280299999999999E-2</v>
      </c>
      <c r="BB177" s="21">
        <v>167</v>
      </c>
      <c r="BC177" s="21">
        <v>0.74038700000000002</v>
      </c>
      <c r="BD177">
        <f t="shared" si="34"/>
        <v>15.160864197530863</v>
      </c>
      <c r="BE177">
        <f t="shared" si="35"/>
        <v>11.233700061851852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0.984039</v>
      </c>
      <c r="H178" s="21">
        <v>6.7282500000000001</v>
      </c>
      <c r="I178" s="21">
        <v>-1.3147000000000001E-2</v>
      </c>
      <c r="J178" s="21">
        <v>168</v>
      </c>
      <c r="K178" s="21">
        <v>0.98297100000000004</v>
      </c>
      <c r="L178">
        <f t="shared" si="24"/>
        <v>16.230864197530863</v>
      </c>
      <c r="M178">
        <f t="shared" si="25"/>
        <v>15.971803374074073</v>
      </c>
      <c r="N178" s="9"/>
      <c r="O178" s="21">
        <v>0.74600200000000005</v>
      </c>
      <c r="P178" s="21">
        <v>10.607900000000001</v>
      </c>
      <c r="Q178" s="21">
        <v>-1.25244E-2</v>
      </c>
      <c r="R178" s="21">
        <v>168</v>
      </c>
      <c r="S178" s="21">
        <v>0.74542200000000003</v>
      </c>
      <c r="T178">
        <f t="shared" si="26"/>
        <v>15.462222222222222</v>
      </c>
      <c r="U178">
        <f t="shared" si="27"/>
        <v>11.534848702222222</v>
      </c>
      <c r="X178" s="9"/>
      <c r="Y178" s="21">
        <v>0.984039</v>
      </c>
      <c r="Z178" s="21">
        <v>16.1814</v>
      </c>
      <c r="AA178" s="21">
        <v>-1.29181E-2</v>
      </c>
      <c r="AB178" s="21">
        <v>168</v>
      </c>
      <c r="AC178" s="21">
        <v>0.98297100000000004</v>
      </c>
      <c r="AD178">
        <f t="shared" si="28"/>
        <v>15.94827160493827</v>
      </c>
      <c r="AE178">
        <f t="shared" si="29"/>
        <v>15.693721241851851</v>
      </c>
      <c r="AF178" s="9"/>
      <c r="AG178" s="21">
        <v>0.74600200000000005</v>
      </c>
      <c r="AH178" s="21">
        <v>20.061</v>
      </c>
      <c r="AI178" s="21">
        <v>-1.23322E-2</v>
      </c>
      <c r="AJ178" s="21">
        <v>168</v>
      </c>
      <c r="AK178" s="21">
        <v>0.74539200000000005</v>
      </c>
      <c r="AL178">
        <f t="shared" si="30"/>
        <v>15.224938271604938</v>
      </c>
      <c r="AM178">
        <f t="shared" si="31"/>
        <v>11.357834400493827</v>
      </c>
      <c r="AP178" s="9"/>
      <c r="AQ178" s="21">
        <v>0.984039</v>
      </c>
      <c r="AR178" s="21">
        <v>25.6797</v>
      </c>
      <c r="AS178" s="21">
        <v>-1.27625E-2</v>
      </c>
      <c r="AT178" s="21">
        <v>168</v>
      </c>
      <c r="AU178" s="21">
        <v>0.98297100000000004</v>
      </c>
      <c r="AV178">
        <f t="shared" si="32"/>
        <v>15.756172839506172</v>
      </c>
      <c r="AW178">
        <f t="shared" si="33"/>
        <v>15.504688564814815</v>
      </c>
      <c r="AX178" s="9"/>
      <c r="AY178" s="21">
        <v>0.74600200000000005</v>
      </c>
      <c r="AZ178" s="21">
        <v>29.5593</v>
      </c>
      <c r="BA178" s="21">
        <v>-1.2265E-2</v>
      </c>
      <c r="BB178" s="21">
        <v>168</v>
      </c>
      <c r="BC178" s="21">
        <v>0.74548300000000001</v>
      </c>
      <c r="BD178">
        <f t="shared" si="34"/>
        <v>15.141975308641973</v>
      </c>
      <c r="BE178">
        <f t="shared" si="35"/>
        <v>11.295943864197531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0.97900399999999999</v>
      </c>
      <c r="H179" s="21">
        <v>6.7383199999999999</v>
      </c>
      <c r="I179" s="21">
        <v>-1.31561E-2</v>
      </c>
      <c r="J179" s="21">
        <v>169</v>
      </c>
      <c r="K179" s="21">
        <v>0.97808799999999996</v>
      </c>
      <c r="L179">
        <f t="shared" si="24"/>
        <v>16.2420987654321</v>
      </c>
      <c r="M179">
        <f t="shared" si="25"/>
        <v>15.901079659753087</v>
      </c>
      <c r="N179" s="9"/>
      <c r="O179" s="21">
        <v>0.75103799999999998</v>
      </c>
      <c r="P179" s="21">
        <v>10.617900000000001</v>
      </c>
      <c r="Q179" s="21">
        <v>-1.25214E-2</v>
      </c>
      <c r="R179" s="21">
        <v>169</v>
      </c>
      <c r="S179" s="21">
        <v>0.75036599999999998</v>
      </c>
      <c r="T179">
        <f t="shared" si="26"/>
        <v>15.458518518518517</v>
      </c>
      <c r="U179">
        <f t="shared" si="27"/>
        <v>11.60993483111111</v>
      </c>
      <c r="X179" s="9"/>
      <c r="Y179" s="21">
        <v>0.97900399999999999</v>
      </c>
      <c r="Z179" s="21">
        <v>16.191500000000001</v>
      </c>
      <c r="AA179" s="21">
        <v>-1.2914999999999999E-2</v>
      </c>
      <c r="AB179" s="21">
        <v>169</v>
      </c>
      <c r="AC179" s="21">
        <v>0.97778299999999996</v>
      </c>
      <c r="AD179">
        <f t="shared" si="28"/>
        <v>15.944444444444441</v>
      </c>
      <c r="AE179">
        <f t="shared" si="29"/>
        <v>15.609674888888886</v>
      </c>
      <c r="AF179" s="9"/>
      <c r="AG179" s="21">
        <v>0.75103799999999998</v>
      </c>
      <c r="AH179" s="21">
        <v>20.071100000000001</v>
      </c>
      <c r="AI179" s="21">
        <v>-1.2326E-2</v>
      </c>
      <c r="AJ179" s="21">
        <v>169</v>
      </c>
      <c r="AK179" s="21">
        <v>0.75039699999999998</v>
      </c>
      <c r="AL179">
        <f t="shared" si="30"/>
        <v>15.217283950617283</v>
      </c>
      <c r="AM179">
        <f t="shared" si="31"/>
        <v>11.428758503703703</v>
      </c>
      <c r="AP179" s="9"/>
      <c r="AQ179" s="21">
        <v>0.97900399999999999</v>
      </c>
      <c r="AR179" s="21">
        <v>25.689699999999998</v>
      </c>
      <c r="AS179" s="21">
        <v>-1.2765500000000001E-2</v>
      </c>
      <c r="AT179" s="21">
        <v>169</v>
      </c>
      <c r="AU179" s="21">
        <v>0.97808799999999996</v>
      </c>
      <c r="AV179">
        <f t="shared" si="32"/>
        <v>15.759876543209876</v>
      </c>
      <c r="AW179">
        <f t="shared" si="33"/>
        <v>15.42898217530864</v>
      </c>
      <c r="AX179" s="9"/>
      <c r="AY179" s="21">
        <v>0.75103799999999998</v>
      </c>
      <c r="AZ179" s="21">
        <v>29.569299999999998</v>
      </c>
      <c r="BA179" s="21">
        <v>-1.2246699999999999E-2</v>
      </c>
      <c r="BB179" s="21">
        <v>169</v>
      </c>
      <c r="BC179" s="21">
        <v>0.75042699999999996</v>
      </c>
      <c r="BD179">
        <f t="shared" si="34"/>
        <v>15.11938271604938</v>
      </c>
      <c r="BE179">
        <f t="shared" si="35"/>
        <v>11.355230956296294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0.97396899999999997</v>
      </c>
      <c r="H180" s="21">
        <v>6.7483899999999997</v>
      </c>
      <c r="I180" s="21">
        <v>-1.3174399999999999E-2</v>
      </c>
      <c r="J180" s="21">
        <v>170</v>
      </c>
      <c r="K180" s="21">
        <v>0.97289999999999999</v>
      </c>
      <c r="L180">
        <f t="shared" si="24"/>
        <v>16.264691358024692</v>
      </c>
      <c r="M180">
        <f t="shared" si="25"/>
        <v>15.841305177283951</v>
      </c>
      <c r="N180" s="9"/>
      <c r="O180" s="21">
        <v>0.756073</v>
      </c>
      <c r="P180" s="21">
        <v>10.628</v>
      </c>
      <c r="Q180" s="21">
        <v>-1.25183E-2</v>
      </c>
      <c r="R180" s="21">
        <v>170</v>
      </c>
      <c r="S180" s="21">
        <v>0.75531000000000004</v>
      </c>
      <c r="T180">
        <f t="shared" si="26"/>
        <v>15.454691358024689</v>
      </c>
      <c r="U180">
        <f t="shared" si="27"/>
        <v>11.684874859135801</v>
      </c>
      <c r="X180" s="9"/>
      <c r="Y180" s="21">
        <v>0.97396899999999997</v>
      </c>
      <c r="Z180" s="21">
        <v>16.201599999999999</v>
      </c>
      <c r="AA180" s="21">
        <v>-1.2908899999999999E-2</v>
      </c>
      <c r="AB180" s="21">
        <v>170</v>
      </c>
      <c r="AC180" s="21">
        <v>0.97259499999999999</v>
      </c>
      <c r="AD180">
        <f t="shared" si="28"/>
        <v>15.936913580246911</v>
      </c>
      <c r="AE180">
        <f t="shared" si="29"/>
        <v>15.522059782839502</v>
      </c>
      <c r="AF180" s="9"/>
      <c r="AG180" s="21">
        <v>0.756073</v>
      </c>
      <c r="AH180" s="21">
        <v>20.081199999999999</v>
      </c>
      <c r="AI180" s="21">
        <v>-1.23199E-2</v>
      </c>
      <c r="AJ180" s="21">
        <v>170</v>
      </c>
      <c r="AK180" s="21">
        <v>0.75531000000000004</v>
      </c>
      <c r="AL180">
        <f t="shared" si="30"/>
        <v>15.209753086419752</v>
      </c>
      <c r="AM180">
        <f t="shared" si="31"/>
        <v>11.499683645308641</v>
      </c>
      <c r="AP180" s="9"/>
      <c r="AQ180" s="21">
        <v>0.97396899999999997</v>
      </c>
      <c r="AR180" s="21">
        <v>25.6998</v>
      </c>
      <c r="AS180" s="21">
        <v>-1.2777699999999999E-2</v>
      </c>
      <c r="AT180" s="21">
        <v>170</v>
      </c>
      <c r="AU180" s="21">
        <v>0.97289999999999999</v>
      </c>
      <c r="AV180">
        <f t="shared" si="32"/>
        <v>15.774938271604935</v>
      </c>
      <c r="AW180">
        <f t="shared" si="33"/>
        <v>15.364300853456786</v>
      </c>
      <c r="AX180" s="9"/>
      <c r="AY180" s="21">
        <v>0.756073</v>
      </c>
      <c r="AZ180" s="21">
        <v>29.5794</v>
      </c>
      <c r="BA180" s="21">
        <v>-1.22375E-2</v>
      </c>
      <c r="BB180" s="21">
        <v>170</v>
      </c>
      <c r="BC180" s="21">
        <v>0.75500500000000004</v>
      </c>
      <c r="BD180">
        <f t="shared" si="34"/>
        <v>15.108024691358024</v>
      </c>
      <c r="BE180">
        <f t="shared" si="35"/>
        <v>11.422769552469134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0.96893300000000004</v>
      </c>
      <c r="H181" s="21">
        <v>6.7584600000000004</v>
      </c>
      <c r="I181" s="21">
        <v>-1.31927E-2</v>
      </c>
      <c r="J181" s="21">
        <v>171</v>
      </c>
      <c r="K181" s="21">
        <v>0.96801800000000005</v>
      </c>
      <c r="L181">
        <f t="shared" si="24"/>
        <v>16.287283950617283</v>
      </c>
      <c r="M181">
        <f t="shared" si="25"/>
        <v>15.781286900123456</v>
      </c>
      <c r="N181" s="9"/>
      <c r="O181" s="21">
        <v>0.76110800000000001</v>
      </c>
      <c r="P181" s="21">
        <v>10.6381</v>
      </c>
      <c r="Q181" s="21">
        <v>-1.25153E-2</v>
      </c>
      <c r="R181" s="21">
        <v>171</v>
      </c>
      <c r="S181" s="21">
        <v>0.76019300000000001</v>
      </c>
      <c r="T181">
        <f t="shared" si="26"/>
        <v>15.450987654320988</v>
      </c>
      <c r="U181">
        <f t="shared" si="27"/>
        <v>11.759870311604939</v>
      </c>
      <c r="X181" s="9"/>
      <c r="Y181" s="21">
        <v>0.96893300000000004</v>
      </c>
      <c r="Z181" s="21">
        <v>16.211600000000001</v>
      </c>
      <c r="AA181" s="21">
        <v>-1.2902800000000001E-2</v>
      </c>
      <c r="AB181" s="21">
        <v>171</v>
      </c>
      <c r="AC181" s="21">
        <v>0.96801800000000005</v>
      </c>
      <c r="AD181">
        <f t="shared" si="28"/>
        <v>15.929382716049382</v>
      </c>
      <c r="AE181">
        <f t="shared" si="29"/>
        <v>15.434504583209877</v>
      </c>
      <c r="AF181" s="9"/>
      <c r="AG181" s="21">
        <v>0.76110800000000001</v>
      </c>
      <c r="AH181" s="21">
        <v>20.0913</v>
      </c>
      <c r="AI181" s="21">
        <v>-1.23138E-2</v>
      </c>
      <c r="AJ181" s="21">
        <v>171</v>
      </c>
      <c r="AK181" s="21">
        <v>0.76080300000000001</v>
      </c>
      <c r="AL181">
        <f t="shared" si="30"/>
        <v>15.202222222222222</v>
      </c>
      <c r="AM181">
        <f t="shared" si="31"/>
        <v>11.570532951111112</v>
      </c>
      <c r="AP181" s="9"/>
      <c r="AQ181" s="21">
        <v>0.96893300000000004</v>
      </c>
      <c r="AR181" s="21">
        <v>25.709900000000001</v>
      </c>
      <c r="AS181" s="21">
        <v>-1.27869E-2</v>
      </c>
      <c r="AT181" s="21">
        <v>171</v>
      </c>
      <c r="AU181" s="21">
        <v>0.96801800000000005</v>
      </c>
      <c r="AV181">
        <f t="shared" si="32"/>
        <v>15.786296296296294</v>
      </c>
      <c r="AW181">
        <f t="shared" si="33"/>
        <v>15.295863429259258</v>
      </c>
      <c r="AX181" s="9"/>
      <c r="AY181" s="21">
        <v>0.76110800000000001</v>
      </c>
      <c r="AZ181" s="21">
        <v>29.589500000000001</v>
      </c>
      <c r="BA181" s="21">
        <v>-1.22375E-2</v>
      </c>
      <c r="BB181" s="21">
        <v>171</v>
      </c>
      <c r="BC181" s="21">
        <v>0.76049800000000001</v>
      </c>
      <c r="BD181">
        <f t="shared" si="34"/>
        <v>15.108024691358024</v>
      </c>
      <c r="BE181">
        <f t="shared" si="35"/>
        <v>11.498838456790123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0.96389800000000003</v>
      </c>
      <c r="H182" s="21">
        <v>6.7685300000000002</v>
      </c>
      <c r="I182" s="21">
        <v>-1.32111E-2</v>
      </c>
      <c r="J182" s="21">
        <v>172</v>
      </c>
      <c r="K182" s="21">
        <v>0.96252400000000005</v>
      </c>
      <c r="L182">
        <f t="shared" si="24"/>
        <v>16.309999999999999</v>
      </c>
      <c r="M182">
        <f t="shared" si="25"/>
        <v>15.721176379999999</v>
      </c>
      <c r="N182" s="9"/>
      <c r="O182" s="21">
        <v>0.76614400000000005</v>
      </c>
      <c r="P182" s="21">
        <v>10.648099999999999</v>
      </c>
      <c r="Q182" s="21">
        <v>-1.25031E-2</v>
      </c>
      <c r="R182" s="21">
        <v>172</v>
      </c>
      <c r="S182" s="21">
        <v>0.76477099999999998</v>
      </c>
      <c r="T182">
        <f t="shared" si="26"/>
        <v>15.435925925925924</v>
      </c>
      <c r="U182">
        <f t="shared" si="27"/>
        <v>11.826142032592591</v>
      </c>
      <c r="X182" s="9"/>
      <c r="Y182" s="21">
        <v>0.96389800000000003</v>
      </c>
      <c r="Z182" s="21">
        <v>16.221699999999998</v>
      </c>
      <c r="AA182" s="21">
        <v>-1.29059E-2</v>
      </c>
      <c r="AB182" s="21">
        <v>172</v>
      </c>
      <c r="AC182" s="21">
        <v>0.96282999999999996</v>
      </c>
      <c r="AD182">
        <f t="shared" si="28"/>
        <v>15.933209876543209</v>
      </c>
      <c r="AE182">
        <f t="shared" si="29"/>
        <v>15.357989133580247</v>
      </c>
      <c r="AF182" s="9"/>
      <c r="AG182" s="21">
        <v>0.76614400000000005</v>
      </c>
      <c r="AH182" s="21">
        <v>20.101299999999998</v>
      </c>
      <c r="AI182" s="21">
        <v>-1.23077E-2</v>
      </c>
      <c r="AJ182" s="21">
        <v>172</v>
      </c>
      <c r="AK182" s="21">
        <v>0.76507599999999998</v>
      </c>
      <c r="AL182">
        <f t="shared" si="30"/>
        <v>15.19469135802469</v>
      </c>
      <c r="AM182">
        <f t="shared" si="31"/>
        <v>11.641321615802468</v>
      </c>
      <c r="AP182" s="9"/>
      <c r="AQ182" s="21">
        <v>0.96389800000000003</v>
      </c>
      <c r="AR182" s="21">
        <v>25.719899999999999</v>
      </c>
      <c r="AS182" s="21">
        <v>-1.2793000000000001E-2</v>
      </c>
      <c r="AT182" s="21">
        <v>172</v>
      </c>
      <c r="AU182" s="21">
        <v>0.96252400000000005</v>
      </c>
      <c r="AV182">
        <f t="shared" si="32"/>
        <v>15.793827160493827</v>
      </c>
      <c r="AW182">
        <f t="shared" si="33"/>
        <v>15.223638412345679</v>
      </c>
      <c r="AX182" s="9"/>
      <c r="AY182" s="21">
        <v>0.76614400000000005</v>
      </c>
      <c r="AZ182" s="21">
        <v>29.599599999999999</v>
      </c>
      <c r="BA182" s="21">
        <v>-1.22314E-2</v>
      </c>
      <c r="BB182" s="21">
        <v>172</v>
      </c>
      <c r="BC182" s="21">
        <v>0.76538099999999998</v>
      </c>
      <c r="BD182">
        <f t="shared" si="34"/>
        <v>15.100493827160493</v>
      </c>
      <c r="BE182">
        <f t="shared" si="35"/>
        <v>11.569152742716049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0.95886199999999999</v>
      </c>
      <c r="H183" s="21">
        <v>6.7786</v>
      </c>
      <c r="I183" s="21">
        <v>-1.32111E-2</v>
      </c>
      <c r="J183" s="21">
        <v>173</v>
      </c>
      <c r="K183" s="21">
        <v>0.95764199999999999</v>
      </c>
      <c r="L183">
        <f t="shared" si="24"/>
        <v>16.309999999999999</v>
      </c>
      <c r="M183">
        <f t="shared" si="25"/>
        <v>15.639039219999999</v>
      </c>
      <c r="N183" s="9"/>
      <c r="O183" s="21">
        <v>0.77117899999999995</v>
      </c>
      <c r="P183" s="21">
        <v>10.658200000000001</v>
      </c>
      <c r="Q183" s="21">
        <v>-1.24847E-2</v>
      </c>
      <c r="R183" s="21">
        <v>173</v>
      </c>
      <c r="S183" s="21">
        <v>0.76995800000000003</v>
      </c>
      <c r="T183">
        <f t="shared" si="26"/>
        <v>15.413209876543208</v>
      </c>
      <c r="U183">
        <f t="shared" si="27"/>
        <v>11.886343779382713</v>
      </c>
      <c r="X183" s="9"/>
      <c r="Y183" s="21">
        <v>0.95886199999999999</v>
      </c>
      <c r="Z183" s="21">
        <v>16.2318</v>
      </c>
      <c r="AA183" s="21">
        <v>-1.29059E-2</v>
      </c>
      <c r="AB183" s="21">
        <v>173</v>
      </c>
      <c r="AC183" s="21">
        <v>0.95764199999999999</v>
      </c>
      <c r="AD183">
        <f t="shared" si="28"/>
        <v>15.933209876543209</v>
      </c>
      <c r="AE183">
        <f t="shared" si="29"/>
        <v>15.277749488641975</v>
      </c>
      <c r="AF183" s="9"/>
      <c r="AG183" s="21">
        <v>0.77117899999999995</v>
      </c>
      <c r="AH183" s="21">
        <v>20.1114</v>
      </c>
      <c r="AI183" s="21">
        <v>-1.2295499999999999E-2</v>
      </c>
      <c r="AJ183" s="21">
        <v>173</v>
      </c>
      <c r="AK183" s="21">
        <v>0.77087399999999995</v>
      </c>
      <c r="AL183">
        <f t="shared" si="30"/>
        <v>15.179629629629629</v>
      </c>
      <c r="AM183">
        <f t="shared" si="31"/>
        <v>11.706211598148146</v>
      </c>
      <c r="AP183" s="9"/>
      <c r="AQ183" s="21">
        <v>0.95886199999999999</v>
      </c>
      <c r="AR183" s="21">
        <v>25.73</v>
      </c>
      <c r="AS183" s="21">
        <v>-1.2805199999999999E-2</v>
      </c>
      <c r="AT183" s="21">
        <v>173</v>
      </c>
      <c r="AU183" s="21">
        <v>0.95764199999999999</v>
      </c>
      <c r="AV183">
        <f t="shared" si="32"/>
        <v>15.808888888888886</v>
      </c>
      <c r="AW183">
        <f t="shared" si="33"/>
        <v>15.158542817777775</v>
      </c>
      <c r="AX183" s="9"/>
      <c r="AY183" s="21">
        <v>0.77117899999999995</v>
      </c>
      <c r="AZ183" s="21">
        <v>29.6096</v>
      </c>
      <c r="BA183" s="21">
        <v>-1.22375E-2</v>
      </c>
      <c r="BB183" s="21">
        <v>173</v>
      </c>
      <c r="BC183" s="21">
        <v>0.77087399999999995</v>
      </c>
      <c r="BD183">
        <f t="shared" si="34"/>
        <v>15.108024691358024</v>
      </c>
      <c r="BE183">
        <f t="shared" si="35"/>
        <v>11.650991373456788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0.95382699999999998</v>
      </c>
      <c r="H184" s="21">
        <v>6.7886699999999998</v>
      </c>
      <c r="I184" s="21">
        <v>-1.3214099999999999E-2</v>
      </c>
      <c r="J184" s="21">
        <v>174</v>
      </c>
      <c r="K184" s="21">
        <v>0.95306400000000002</v>
      </c>
      <c r="L184">
        <f t="shared" si="24"/>
        <v>16.313703703703702</v>
      </c>
      <c r="M184">
        <f t="shared" si="25"/>
        <v>15.560451062592591</v>
      </c>
      <c r="N184" s="9"/>
      <c r="O184" s="21">
        <v>0.77621499999999999</v>
      </c>
      <c r="P184" s="21">
        <v>10.6683</v>
      </c>
      <c r="Q184" s="21">
        <v>-1.24695E-2</v>
      </c>
      <c r="R184" s="21">
        <v>174</v>
      </c>
      <c r="S184" s="21">
        <v>0.774841</v>
      </c>
      <c r="T184">
        <f t="shared" si="26"/>
        <v>15.394444444444444</v>
      </c>
      <c r="U184">
        <f t="shared" si="27"/>
        <v>11.949398694444444</v>
      </c>
      <c r="X184" s="9"/>
      <c r="Y184" s="21">
        <v>0.95382699999999998</v>
      </c>
      <c r="Z184" s="21">
        <v>16.241900000000001</v>
      </c>
      <c r="AA184" s="21">
        <v>-1.2902800000000001E-2</v>
      </c>
      <c r="AB184" s="21">
        <v>174</v>
      </c>
      <c r="AC184" s="21">
        <v>0.95275900000000002</v>
      </c>
      <c r="AD184">
        <f t="shared" si="28"/>
        <v>15.929382716049382</v>
      </c>
      <c r="AE184">
        <f t="shared" si="29"/>
        <v>15.193875327901234</v>
      </c>
      <c r="AF184" s="9"/>
      <c r="AG184" s="21">
        <v>0.77621499999999999</v>
      </c>
      <c r="AH184" s="21">
        <v>20.121500000000001</v>
      </c>
      <c r="AI184" s="21">
        <v>-1.22833E-2</v>
      </c>
      <c r="AJ184" s="21">
        <v>174</v>
      </c>
      <c r="AK184" s="21">
        <v>0.77545200000000003</v>
      </c>
      <c r="AL184">
        <f t="shared" si="30"/>
        <v>15.164567901234568</v>
      </c>
      <c r="AM184">
        <f t="shared" si="31"/>
        <v>11.770965073456789</v>
      </c>
      <c r="AP184" s="9"/>
      <c r="AQ184" s="21">
        <v>0.95382699999999998</v>
      </c>
      <c r="AR184" s="21">
        <v>25.740100000000002</v>
      </c>
      <c r="AS184" s="21">
        <v>-1.2826499999999999E-2</v>
      </c>
      <c r="AT184" s="21">
        <v>174</v>
      </c>
      <c r="AU184" s="21">
        <v>0.95306400000000002</v>
      </c>
      <c r="AV184">
        <f t="shared" si="32"/>
        <v>15.835185185185185</v>
      </c>
      <c r="AW184">
        <f t="shared" si="33"/>
        <v>15.104027179629629</v>
      </c>
      <c r="AX184" s="9"/>
      <c r="AY184" s="21">
        <v>0.77621499999999999</v>
      </c>
      <c r="AZ184" s="21">
        <v>29.619700000000002</v>
      </c>
      <c r="BA184" s="21">
        <v>-1.22375E-2</v>
      </c>
      <c r="BB184" s="21">
        <v>174</v>
      </c>
      <c r="BC184" s="21">
        <v>0.774841</v>
      </c>
      <c r="BD184">
        <f t="shared" si="34"/>
        <v>15.108024691358024</v>
      </c>
      <c r="BE184">
        <f t="shared" si="35"/>
        <v>11.727075385802468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0.94879199999999997</v>
      </c>
      <c r="H185" s="21">
        <v>6.7987399999999996</v>
      </c>
      <c r="I185" s="21">
        <v>-1.32263E-2</v>
      </c>
      <c r="J185" s="21">
        <v>175</v>
      </c>
      <c r="K185" s="21">
        <v>0.94757100000000005</v>
      </c>
      <c r="L185">
        <f t="shared" si="24"/>
        <v>16.328765432098766</v>
      </c>
      <c r="M185">
        <f t="shared" si="25"/>
        <v>15.492602011851853</v>
      </c>
      <c r="N185" s="9"/>
      <c r="O185" s="21">
        <v>0.78125</v>
      </c>
      <c r="P185" s="21">
        <v>10.6784</v>
      </c>
      <c r="Q185" s="21">
        <v>-1.2445100000000001E-2</v>
      </c>
      <c r="R185" s="21">
        <v>175</v>
      </c>
      <c r="S185" s="21">
        <v>0.78002899999999997</v>
      </c>
      <c r="T185">
        <f t="shared" si="26"/>
        <v>15.36432098765432</v>
      </c>
      <c r="U185">
        <f t="shared" si="27"/>
        <v>12.003375771604938</v>
      </c>
      <c r="X185" s="9"/>
      <c r="Y185" s="21">
        <v>0.94879199999999997</v>
      </c>
      <c r="Z185" s="21">
        <v>16.251899999999999</v>
      </c>
      <c r="AA185" s="21">
        <v>-1.2899799999999999E-2</v>
      </c>
      <c r="AB185" s="21">
        <v>175</v>
      </c>
      <c r="AC185" s="21">
        <v>0.94787600000000005</v>
      </c>
      <c r="AD185">
        <f t="shared" si="28"/>
        <v>15.925679012345679</v>
      </c>
      <c r="AE185">
        <f t="shared" si="29"/>
        <v>15.11015684148148</v>
      </c>
      <c r="AF185" s="9"/>
      <c r="AG185" s="21">
        <v>0.78125</v>
      </c>
      <c r="AH185" s="21">
        <v>20.131499999999999</v>
      </c>
      <c r="AI185" s="21">
        <v>-1.2274200000000001E-2</v>
      </c>
      <c r="AJ185" s="21">
        <v>175</v>
      </c>
      <c r="AK185" s="21">
        <v>0.78064</v>
      </c>
      <c r="AL185">
        <f t="shared" si="30"/>
        <v>15.153333333333332</v>
      </c>
      <c r="AM185">
        <f t="shared" si="31"/>
        <v>11.838541666666666</v>
      </c>
      <c r="AP185" s="9"/>
      <c r="AQ185" s="21">
        <v>0.94879199999999997</v>
      </c>
      <c r="AR185" s="21">
        <v>25.7502</v>
      </c>
      <c r="AS185" s="21">
        <v>-1.28357E-2</v>
      </c>
      <c r="AT185" s="21">
        <v>175</v>
      </c>
      <c r="AU185" s="21">
        <v>0.94757100000000005</v>
      </c>
      <c r="AV185">
        <f t="shared" si="32"/>
        <v>15.846543209876542</v>
      </c>
      <c r="AW185">
        <f t="shared" si="33"/>
        <v>15.035073425185184</v>
      </c>
      <c r="AX185" s="9"/>
      <c r="AY185" s="21">
        <v>0.78125</v>
      </c>
      <c r="AZ185" s="21">
        <v>29.629799999999999</v>
      </c>
      <c r="BA185" s="21">
        <v>-1.2234500000000001E-2</v>
      </c>
      <c r="BB185" s="21">
        <v>175</v>
      </c>
      <c r="BC185" s="21">
        <v>0.78002899999999997</v>
      </c>
      <c r="BD185">
        <f t="shared" si="34"/>
        <v>15.104320987654321</v>
      </c>
      <c r="BE185">
        <f t="shared" si="35"/>
        <v>11.800250771604938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0.94375600000000004</v>
      </c>
      <c r="H186" s="21">
        <v>6.8088100000000003</v>
      </c>
      <c r="I186" s="21">
        <v>-1.32324E-2</v>
      </c>
      <c r="J186" s="21">
        <v>176</v>
      </c>
      <c r="K186" s="21">
        <v>0.94238299999999997</v>
      </c>
      <c r="L186">
        <f t="shared" si="24"/>
        <v>16.336296296296297</v>
      </c>
      <c r="M186">
        <f t="shared" si="25"/>
        <v>15.417477647407409</v>
      </c>
      <c r="N186" s="9"/>
      <c r="O186" s="21">
        <v>0.78628500000000001</v>
      </c>
      <c r="P186" s="21">
        <v>10.6884</v>
      </c>
      <c r="Q186" s="21">
        <v>-1.24359E-2</v>
      </c>
      <c r="R186" s="21">
        <v>176</v>
      </c>
      <c r="S186" s="21">
        <v>0.78521700000000005</v>
      </c>
      <c r="T186">
        <f t="shared" si="26"/>
        <v>15.352962962962962</v>
      </c>
      <c r="U186">
        <f t="shared" si="27"/>
        <v>12.071804483333333</v>
      </c>
      <c r="X186" s="9"/>
      <c r="Y186" s="21">
        <v>0.94375600000000004</v>
      </c>
      <c r="Z186" s="21">
        <v>16.262</v>
      </c>
      <c r="AA186" s="21">
        <v>-1.2902800000000001E-2</v>
      </c>
      <c r="AB186" s="21">
        <v>176</v>
      </c>
      <c r="AC186" s="21">
        <v>0.94238299999999997</v>
      </c>
      <c r="AD186">
        <f t="shared" si="28"/>
        <v>15.929382716049382</v>
      </c>
      <c r="AE186">
        <f t="shared" si="29"/>
        <v>15.033450514567901</v>
      </c>
      <c r="AF186" s="9"/>
      <c r="AG186" s="21">
        <v>0.78628500000000001</v>
      </c>
      <c r="AH186" s="21">
        <v>20.1416</v>
      </c>
      <c r="AI186" s="21">
        <v>-1.2265E-2</v>
      </c>
      <c r="AJ186" s="21">
        <v>176</v>
      </c>
      <c r="AK186" s="21">
        <v>0.78521700000000005</v>
      </c>
      <c r="AL186">
        <f t="shared" si="30"/>
        <v>15.141975308641973</v>
      </c>
      <c r="AM186">
        <f t="shared" si="31"/>
        <v>11.905908055555553</v>
      </c>
      <c r="AP186" s="9"/>
      <c r="AQ186" s="21">
        <v>0.94375600000000004</v>
      </c>
      <c r="AR186" s="21">
        <v>25.760200000000001</v>
      </c>
      <c r="AS186" s="21">
        <v>-1.28418E-2</v>
      </c>
      <c r="AT186" s="21">
        <v>176</v>
      </c>
      <c r="AU186" s="21">
        <v>0.94299299999999997</v>
      </c>
      <c r="AV186">
        <f t="shared" si="32"/>
        <v>15.854074074074072</v>
      </c>
      <c r="AW186">
        <f t="shared" si="33"/>
        <v>14.96237753185185</v>
      </c>
      <c r="AX186" s="9"/>
      <c r="AY186" s="21">
        <v>0.78628500000000001</v>
      </c>
      <c r="AZ186" s="21">
        <v>29.639800000000001</v>
      </c>
      <c r="BA186" s="21">
        <v>-1.22253E-2</v>
      </c>
      <c r="BB186" s="21">
        <v>176</v>
      </c>
      <c r="BC186" s="21">
        <v>0.78521700000000005</v>
      </c>
      <c r="BD186">
        <f t="shared" si="34"/>
        <v>15.092962962962961</v>
      </c>
      <c r="BE186">
        <f t="shared" si="35"/>
        <v>11.867370383333332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0.93872100000000003</v>
      </c>
      <c r="H187" s="21">
        <v>6.8188899999999997</v>
      </c>
      <c r="I187" s="21">
        <v>-1.32385E-2</v>
      </c>
      <c r="J187" s="21">
        <v>177</v>
      </c>
      <c r="K187" s="21">
        <v>0.937805</v>
      </c>
      <c r="L187">
        <f t="shared" si="24"/>
        <v>16.343827160493824</v>
      </c>
      <c r="M187">
        <f t="shared" si="25"/>
        <v>15.342293775925922</v>
      </c>
      <c r="N187" s="9"/>
      <c r="O187" s="21">
        <v>0.79132100000000005</v>
      </c>
      <c r="P187" s="21">
        <v>10.698499999999999</v>
      </c>
      <c r="Q187" s="21">
        <v>-1.24207E-2</v>
      </c>
      <c r="R187" s="21">
        <v>177</v>
      </c>
      <c r="S187" s="21">
        <v>0.79010000000000002</v>
      </c>
      <c r="T187">
        <f t="shared" si="26"/>
        <v>15.334197530864195</v>
      </c>
      <c r="U187">
        <f t="shared" si="27"/>
        <v>12.134272524320986</v>
      </c>
      <c r="X187" s="9"/>
      <c r="Y187" s="21">
        <v>0.93872100000000003</v>
      </c>
      <c r="Z187" s="21">
        <v>16.272099999999998</v>
      </c>
      <c r="AA187" s="21">
        <v>-1.2896700000000001E-2</v>
      </c>
      <c r="AB187" s="21">
        <v>177</v>
      </c>
      <c r="AC187" s="21">
        <v>0.937805</v>
      </c>
      <c r="AD187">
        <f t="shared" si="28"/>
        <v>15.92185185185185</v>
      </c>
      <c r="AE187">
        <f t="shared" si="29"/>
        <v>14.94617669222222</v>
      </c>
      <c r="AF187" s="9"/>
      <c r="AG187" s="21">
        <v>0.79132100000000005</v>
      </c>
      <c r="AH187" s="21">
        <v>20.151700000000002</v>
      </c>
      <c r="AI187" s="21">
        <v>-1.22589E-2</v>
      </c>
      <c r="AJ187" s="21">
        <v>177</v>
      </c>
      <c r="AK187" s="21">
        <v>0.79040500000000002</v>
      </c>
      <c r="AL187">
        <f t="shared" si="30"/>
        <v>15.134444444444444</v>
      </c>
      <c r="AM187">
        <f t="shared" si="31"/>
        <v>11.976203712222222</v>
      </c>
      <c r="AP187" s="9"/>
      <c r="AQ187" s="21">
        <v>0.93872100000000003</v>
      </c>
      <c r="AR187" s="21">
        <v>25.770299999999999</v>
      </c>
      <c r="AS187" s="21">
        <v>-1.28448E-2</v>
      </c>
      <c r="AT187" s="21">
        <v>177</v>
      </c>
      <c r="AU187" s="21">
        <v>0.9375</v>
      </c>
      <c r="AV187">
        <f t="shared" si="32"/>
        <v>15.857777777777777</v>
      </c>
      <c r="AW187">
        <f t="shared" si="33"/>
        <v>14.886029013333333</v>
      </c>
      <c r="AX187" s="9"/>
      <c r="AY187" s="21">
        <v>0.79132100000000005</v>
      </c>
      <c r="AZ187" s="21">
        <v>29.649899999999999</v>
      </c>
      <c r="BA187" s="21">
        <v>-1.2213099999999999E-2</v>
      </c>
      <c r="BB187" s="21">
        <v>177</v>
      </c>
      <c r="BC187" s="21">
        <v>0.79040500000000002</v>
      </c>
      <c r="BD187">
        <f t="shared" si="34"/>
        <v>15.0779012345679</v>
      </c>
      <c r="BE187">
        <f t="shared" si="35"/>
        <v>11.931459882839507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0.93368499999999999</v>
      </c>
      <c r="H188" s="21">
        <v>6.8289600000000004</v>
      </c>
      <c r="I188" s="21">
        <v>-1.32446E-2</v>
      </c>
      <c r="J188" s="21">
        <v>178</v>
      </c>
      <c r="K188" s="21">
        <v>0.93261700000000003</v>
      </c>
      <c r="L188">
        <f t="shared" si="24"/>
        <v>16.351358024691358</v>
      </c>
      <c r="M188">
        <f t="shared" si="25"/>
        <v>15.267017717283951</v>
      </c>
      <c r="N188" s="9"/>
      <c r="O188" s="21">
        <v>0.79635599999999995</v>
      </c>
      <c r="P188" s="21">
        <v>10.708600000000001</v>
      </c>
      <c r="Q188" s="21">
        <v>-1.2411500000000001E-2</v>
      </c>
      <c r="R188" s="21">
        <v>178</v>
      </c>
      <c r="S188" s="21">
        <v>0.794983</v>
      </c>
      <c r="T188">
        <f t="shared" si="26"/>
        <v>15.322839506172839</v>
      </c>
      <c r="U188">
        <f t="shared" si="27"/>
        <v>12.202435177777776</v>
      </c>
      <c r="X188" s="9"/>
      <c r="Y188" s="21">
        <v>0.93368499999999999</v>
      </c>
      <c r="Z188" s="21">
        <v>16.2821</v>
      </c>
      <c r="AA188" s="21">
        <v>-1.2887600000000001E-2</v>
      </c>
      <c r="AB188" s="21">
        <v>178</v>
      </c>
      <c r="AC188" s="21">
        <v>0.93261700000000003</v>
      </c>
      <c r="AD188">
        <f t="shared" si="28"/>
        <v>15.910617283950618</v>
      </c>
      <c r="AE188">
        <f t="shared" si="29"/>
        <v>14.855504698765433</v>
      </c>
      <c r="AF188" s="9"/>
      <c r="AG188" s="21">
        <v>0.79635599999999995</v>
      </c>
      <c r="AH188" s="21">
        <v>20.161799999999999</v>
      </c>
      <c r="AI188" s="21">
        <v>-1.2246699999999999E-2</v>
      </c>
      <c r="AJ188" s="21">
        <v>178</v>
      </c>
      <c r="AK188" s="21">
        <v>0.79528799999999999</v>
      </c>
      <c r="AL188">
        <f t="shared" si="30"/>
        <v>15.11938271604938</v>
      </c>
      <c r="AM188">
        <f t="shared" si="31"/>
        <v>12.040411142222219</v>
      </c>
      <c r="AP188" s="9"/>
      <c r="AQ188" s="21">
        <v>0.93368499999999999</v>
      </c>
      <c r="AR188" s="21">
        <v>25.7804</v>
      </c>
      <c r="AS188" s="21">
        <v>-1.2847900000000001E-2</v>
      </c>
      <c r="AT188" s="21">
        <v>178</v>
      </c>
      <c r="AU188" s="21">
        <v>0.93261700000000003</v>
      </c>
      <c r="AV188">
        <f t="shared" si="32"/>
        <v>15.861604938271604</v>
      </c>
      <c r="AW188">
        <f t="shared" si="33"/>
        <v>14.809742606790122</v>
      </c>
      <c r="AX188" s="9"/>
      <c r="AY188" s="21">
        <v>0.79635599999999995</v>
      </c>
      <c r="AZ188" s="21">
        <v>29.66</v>
      </c>
      <c r="BA188" s="21">
        <v>-1.2207000000000001E-2</v>
      </c>
      <c r="BB188" s="21">
        <v>178</v>
      </c>
      <c r="BC188" s="21">
        <v>0.794983</v>
      </c>
      <c r="BD188">
        <f t="shared" si="34"/>
        <v>15.070370370370371</v>
      </c>
      <c r="BE188">
        <f t="shared" si="35"/>
        <v>12.001379866666667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0.92864999999999998</v>
      </c>
      <c r="H189" s="21">
        <v>6.8390300000000002</v>
      </c>
      <c r="I189" s="21">
        <v>-1.32446E-2</v>
      </c>
      <c r="J189" s="21">
        <v>179</v>
      </c>
      <c r="K189" s="21">
        <v>0.92742899999999995</v>
      </c>
      <c r="L189">
        <f t="shared" si="24"/>
        <v>16.351358024691358</v>
      </c>
      <c r="M189">
        <f t="shared" si="25"/>
        <v>15.18468862962963</v>
      </c>
      <c r="N189" s="9"/>
      <c r="O189" s="21">
        <v>0.80139199999999999</v>
      </c>
      <c r="P189" s="21">
        <v>10.7186</v>
      </c>
      <c r="Q189" s="21">
        <v>-1.24023E-2</v>
      </c>
      <c r="R189" s="21">
        <v>179</v>
      </c>
      <c r="S189" s="21">
        <v>0.80047599999999997</v>
      </c>
      <c r="T189">
        <f t="shared" si="26"/>
        <v>15.311481481481479</v>
      </c>
      <c r="U189">
        <f t="shared" si="27"/>
        <v>12.270498767407405</v>
      </c>
      <c r="X189" s="9"/>
      <c r="Y189" s="21">
        <v>0.92864999999999998</v>
      </c>
      <c r="Z189" s="21">
        <v>16.292200000000001</v>
      </c>
      <c r="AA189" s="21">
        <v>-1.28906E-2</v>
      </c>
      <c r="AB189" s="21">
        <v>179</v>
      </c>
      <c r="AC189" s="21">
        <v>0.92742899999999995</v>
      </c>
      <c r="AD189">
        <f t="shared" si="28"/>
        <v>15.914320987654323</v>
      </c>
      <c r="AE189">
        <f t="shared" si="29"/>
        <v>14.778834185185186</v>
      </c>
      <c r="AF189" s="9"/>
      <c r="AG189" s="21">
        <v>0.80139199999999999</v>
      </c>
      <c r="AH189" s="21">
        <v>20.171800000000001</v>
      </c>
      <c r="AI189" s="21">
        <v>-1.22314E-2</v>
      </c>
      <c r="AJ189" s="21">
        <v>179</v>
      </c>
      <c r="AK189" s="21">
        <v>0.80078099999999997</v>
      </c>
      <c r="AL189">
        <f t="shared" si="30"/>
        <v>15.100493827160493</v>
      </c>
      <c r="AM189">
        <f t="shared" si="31"/>
        <v>12.101414949135801</v>
      </c>
      <c r="AP189" s="9"/>
      <c r="AQ189" s="21">
        <v>0.92864999999999998</v>
      </c>
      <c r="AR189" s="21">
        <v>25.790400000000002</v>
      </c>
      <c r="AS189" s="21">
        <v>-1.28418E-2</v>
      </c>
      <c r="AT189" s="21">
        <v>179</v>
      </c>
      <c r="AU189" s="21">
        <v>0.92803999999999998</v>
      </c>
      <c r="AV189">
        <f t="shared" si="32"/>
        <v>15.854074074074072</v>
      </c>
      <c r="AW189">
        <f t="shared" si="33"/>
        <v>14.722885888888886</v>
      </c>
      <c r="AX189" s="9"/>
      <c r="AY189" s="21">
        <v>0.80139199999999999</v>
      </c>
      <c r="AZ189" s="21">
        <v>29.670100000000001</v>
      </c>
      <c r="BA189" s="21">
        <v>-1.22101E-2</v>
      </c>
      <c r="BB189" s="21">
        <v>179</v>
      </c>
      <c r="BC189" s="21">
        <v>0.80047599999999997</v>
      </c>
      <c r="BD189">
        <f t="shared" si="34"/>
        <v>15.074197530864195</v>
      </c>
      <c r="BE189">
        <f t="shared" si="35"/>
        <v>12.080341307654319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0.92361499999999996</v>
      </c>
      <c r="H190" s="21">
        <v>6.8491</v>
      </c>
      <c r="I190" s="21">
        <v>-1.32446E-2</v>
      </c>
      <c r="J190" s="21">
        <v>180</v>
      </c>
      <c r="K190" s="21">
        <v>0.92315700000000001</v>
      </c>
      <c r="L190">
        <f t="shared" si="24"/>
        <v>16.351358024691358</v>
      </c>
      <c r="M190">
        <f t="shared" si="25"/>
        <v>15.102359541975307</v>
      </c>
      <c r="N190" s="9"/>
      <c r="O190" s="21">
        <v>0.806427</v>
      </c>
      <c r="P190" s="21">
        <v>10.7287</v>
      </c>
      <c r="Q190" s="21">
        <v>-1.24054E-2</v>
      </c>
      <c r="R190" s="21">
        <v>180</v>
      </c>
      <c r="S190" s="21">
        <v>0.80535900000000005</v>
      </c>
      <c r="T190">
        <f t="shared" si="26"/>
        <v>15.315308641975308</v>
      </c>
      <c r="U190">
        <f t="shared" si="27"/>
        <v>12.350678402222222</v>
      </c>
      <c r="X190" s="9"/>
      <c r="Y190" s="21">
        <v>0.92361499999999996</v>
      </c>
      <c r="Z190" s="21">
        <v>16.302299999999999</v>
      </c>
      <c r="AA190" s="21">
        <v>-1.2902800000000001E-2</v>
      </c>
      <c r="AB190" s="21">
        <v>180</v>
      </c>
      <c r="AC190" s="21">
        <v>0.92285200000000001</v>
      </c>
      <c r="AD190">
        <f t="shared" si="28"/>
        <v>15.929382716049382</v>
      </c>
      <c r="AE190">
        <f t="shared" si="29"/>
        <v>14.71261681728395</v>
      </c>
      <c r="AF190" s="9"/>
      <c r="AG190" s="21">
        <v>0.806427</v>
      </c>
      <c r="AH190" s="21">
        <v>20.181899999999999</v>
      </c>
      <c r="AI190" s="21">
        <v>-1.22284E-2</v>
      </c>
      <c r="AJ190" s="21">
        <v>180</v>
      </c>
      <c r="AK190" s="21">
        <v>0.80566400000000005</v>
      </c>
      <c r="AL190">
        <f t="shared" si="30"/>
        <v>15.096790123456788</v>
      </c>
      <c r="AM190">
        <f t="shared" si="31"/>
        <v>12.174459168888887</v>
      </c>
      <c r="AP190" s="9"/>
      <c r="AQ190" s="21">
        <v>0.92361499999999996</v>
      </c>
      <c r="AR190" s="21">
        <v>25.8005</v>
      </c>
      <c r="AS190" s="21">
        <v>-1.28387E-2</v>
      </c>
      <c r="AT190" s="21">
        <v>180</v>
      </c>
      <c r="AU190" s="21">
        <v>0.92254599999999998</v>
      </c>
      <c r="AV190">
        <f t="shared" si="32"/>
        <v>15.850246913580245</v>
      </c>
      <c r="AW190">
        <f t="shared" si="33"/>
        <v>14.639525803086418</v>
      </c>
      <c r="AX190" s="9"/>
      <c r="AY190" s="21">
        <v>0.806427</v>
      </c>
      <c r="AZ190" s="21">
        <v>29.680099999999999</v>
      </c>
      <c r="BA190" s="21">
        <v>-1.22192E-2</v>
      </c>
      <c r="BB190" s="21">
        <v>180</v>
      </c>
      <c r="BC190" s="21">
        <v>0.80535900000000005</v>
      </c>
      <c r="BD190">
        <f t="shared" si="34"/>
        <v>15.08543209876543</v>
      </c>
      <c r="BE190">
        <f t="shared" si="35"/>
        <v>12.16529975111111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0.91857900000000003</v>
      </c>
      <c r="H191" s="21">
        <v>6.8591699999999998</v>
      </c>
      <c r="I191" s="21">
        <v>-1.3241599999999999E-2</v>
      </c>
      <c r="J191" s="21">
        <v>181</v>
      </c>
      <c r="K191" s="21">
        <v>0.91735800000000001</v>
      </c>
      <c r="L191">
        <f t="shared" si="24"/>
        <v>16.347654320987651</v>
      </c>
      <c r="M191">
        <f t="shared" si="25"/>
        <v>15.016611958518515</v>
      </c>
      <c r="N191" s="9"/>
      <c r="O191" s="21">
        <v>0.81146200000000002</v>
      </c>
      <c r="P191" s="21">
        <v>10.738799999999999</v>
      </c>
      <c r="Q191" s="21">
        <v>-1.2411500000000001E-2</v>
      </c>
      <c r="R191" s="21">
        <v>181</v>
      </c>
      <c r="S191" s="21">
        <v>0.81054700000000002</v>
      </c>
      <c r="T191">
        <f t="shared" si="26"/>
        <v>15.322839506172839</v>
      </c>
      <c r="U191">
        <f t="shared" si="27"/>
        <v>12.433901991358024</v>
      </c>
      <c r="X191" s="9"/>
      <c r="Y191" s="21">
        <v>0.91857900000000003</v>
      </c>
      <c r="Z191" s="21">
        <v>16.3124</v>
      </c>
      <c r="AA191" s="21">
        <v>-1.2912E-2</v>
      </c>
      <c r="AB191" s="21">
        <v>181</v>
      </c>
      <c r="AC191" s="21">
        <v>0.91735800000000001</v>
      </c>
      <c r="AD191">
        <f t="shared" si="28"/>
        <v>15.940740740740738</v>
      </c>
      <c r="AE191">
        <f t="shared" si="29"/>
        <v>14.642829688888886</v>
      </c>
      <c r="AF191" s="9"/>
      <c r="AG191" s="21">
        <v>0.81146200000000002</v>
      </c>
      <c r="AH191" s="21">
        <v>20.192</v>
      </c>
      <c r="AI191" s="21">
        <v>-1.2234500000000001E-2</v>
      </c>
      <c r="AJ191" s="21">
        <v>181</v>
      </c>
      <c r="AK191" s="21">
        <v>0.81054700000000002</v>
      </c>
      <c r="AL191">
        <f t="shared" si="30"/>
        <v>15.104320987654321</v>
      </c>
      <c r="AM191">
        <f t="shared" si="31"/>
        <v>12.256582517283951</v>
      </c>
      <c r="AP191" s="9"/>
      <c r="AQ191" s="21">
        <v>0.91857900000000003</v>
      </c>
      <c r="AR191" s="21">
        <v>25.810600000000001</v>
      </c>
      <c r="AS191" s="21">
        <v>-1.28387E-2</v>
      </c>
      <c r="AT191" s="21">
        <v>181</v>
      </c>
      <c r="AU191" s="21">
        <v>0.91796900000000003</v>
      </c>
      <c r="AV191">
        <f t="shared" si="32"/>
        <v>15.850246913580245</v>
      </c>
      <c r="AW191">
        <f t="shared" si="33"/>
        <v>14.559703959629628</v>
      </c>
      <c r="AX191" s="9"/>
      <c r="AY191" s="21">
        <v>0.81146200000000002</v>
      </c>
      <c r="AZ191" s="21">
        <v>29.690200000000001</v>
      </c>
      <c r="BA191" s="21">
        <v>-1.2213099999999999E-2</v>
      </c>
      <c r="BB191" s="21">
        <v>181</v>
      </c>
      <c r="BC191" s="21">
        <v>0.81024200000000002</v>
      </c>
      <c r="BD191">
        <f t="shared" si="34"/>
        <v>15.0779012345679</v>
      </c>
      <c r="BE191">
        <f t="shared" si="35"/>
        <v>12.235143891604938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0.91354400000000002</v>
      </c>
      <c r="H192" s="21">
        <v>6.8692399999999996</v>
      </c>
      <c r="I192" s="21">
        <v>-1.3229400000000001E-2</v>
      </c>
      <c r="J192" s="21">
        <v>182</v>
      </c>
      <c r="K192" s="21">
        <v>0.91278099999999995</v>
      </c>
      <c r="L192">
        <f t="shared" si="24"/>
        <v>16.332592592592594</v>
      </c>
      <c r="M192">
        <f t="shared" si="25"/>
        <v>14.920541967407409</v>
      </c>
      <c r="N192" s="9"/>
      <c r="O192" s="21">
        <v>0.81649799999999995</v>
      </c>
      <c r="P192" s="21">
        <v>10.748900000000001</v>
      </c>
      <c r="Q192" s="21">
        <v>-1.24084E-2</v>
      </c>
      <c r="R192" s="21">
        <v>182</v>
      </c>
      <c r="S192" s="21">
        <v>0.81542999999999999</v>
      </c>
      <c r="T192">
        <f t="shared" si="26"/>
        <v>15.319012345679011</v>
      </c>
      <c r="U192">
        <f t="shared" si="27"/>
        <v>12.50794294222222</v>
      </c>
      <c r="X192" s="9"/>
      <c r="Y192" s="21">
        <v>0.91354400000000002</v>
      </c>
      <c r="Z192" s="21">
        <v>16.322399999999998</v>
      </c>
      <c r="AA192" s="21">
        <v>-1.29181E-2</v>
      </c>
      <c r="AB192" s="21">
        <v>182</v>
      </c>
      <c r="AC192" s="21">
        <v>0.91247599999999995</v>
      </c>
      <c r="AD192">
        <f t="shared" si="28"/>
        <v>15.94827160493827</v>
      </c>
      <c r="AE192">
        <f t="shared" si="29"/>
        <v>14.569447835061727</v>
      </c>
      <c r="AF192" s="9"/>
      <c r="AG192" s="21">
        <v>0.81649799999999995</v>
      </c>
      <c r="AH192" s="21">
        <v>20.202000000000002</v>
      </c>
      <c r="AI192" s="21">
        <v>-1.2234500000000001E-2</v>
      </c>
      <c r="AJ192" s="21">
        <v>182</v>
      </c>
      <c r="AK192" s="21">
        <v>0.81573499999999999</v>
      </c>
      <c r="AL192">
        <f t="shared" si="30"/>
        <v>15.104320987654321</v>
      </c>
      <c r="AM192">
        <f t="shared" si="31"/>
        <v>12.332647877777777</v>
      </c>
      <c r="AP192" s="9"/>
      <c r="AQ192" s="21">
        <v>0.91354400000000002</v>
      </c>
      <c r="AR192" s="21">
        <v>25.820699999999999</v>
      </c>
      <c r="AS192" s="21">
        <v>-1.28418E-2</v>
      </c>
      <c r="AT192" s="21">
        <v>182</v>
      </c>
      <c r="AU192" s="21">
        <v>0.91247599999999995</v>
      </c>
      <c r="AV192">
        <f t="shared" si="32"/>
        <v>15.854074074074072</v>
      </c>
      <c r="AW192">
        <f t="shared" si="33"/>
        <v>14.483394245925924</v>
      </c>
      <c r="AX192" s="9"/>
      <c r="AY192" s="21">
        <v>0.81649799999999995</v>
      </c>
      <c r="AZ192" s="21">
        <v>29.700299999999999</v>
      </c>
      <c r="BA192" s="21">
        <v>-1.2197899999999999E-2</v>
      </c>
      <c r="BB192" s="21">
        <v>182</v>
      </c>
      <c r="BC192" s="21">
        <v>0.81573499999999999</v>
      </c>
      <c r="BD192">
        <f t="shared" si="34"/>
        <v>15.059135802469134</v>
      </c>
      <c r="BE192">
        <f t="shared" si="35"/>
        <v>12.295754264444442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0.90850799999999998</v>
      </c>
      <c r="H193" s="21">
        <v>6.8793100000000003</v>
      </c>
      <c r="I193" s="21">
        <v>-1.32233E-2</v>
      </c>
      <c r="J193" s="21">
        <v>183</v>
      </c>
      <c r="K193" s="21">
        <v>0.90789799999999998</v>
      </c>
      <c r="L193">
        <f t="shared" si="24"/>
        <v>16.32506172839506</v>
      </c>
      <c r="M193">
        <f t="shared" si="25"/>
        <v>14.831449180740739</v>
      </c>
      <c r="N193" s="9"/>
      <c r="O193" s="21">
        <v>0.82153299999999996</v>
      </c>
      <c r="P193" s="21">
        <v>10.758900000000001</v>
      </c>
      <c r="Q193" s="21">
        <v>-1.24146E-2</v>
      </c>
      <c r="R193" s="21">
        <v>183</v>
      </c>
      <c r="S193" s="21">
        <v>0.82061799999999996</v>
      </c>
      <c r="T193">
        <f t="shared" si="26"/>
        <v>15.326666666666666</v>
      </c>
      <c r="U193">
        <f t="shared" si="27"/>
        <v>12.591362446666666</v>
      </c>
      <c r="X193" s="9"/>
      <c r="Y193" s="21">
        <v>0.90850799999999998</v>
      </c>
      <c r="Z193" s="21">
        <v>16.3325</v>
      </c>
      <c r="AA193" s="21">
        <v>-1.29181E-2</v>
      </c>
      <c r="AB193" s="21">
        <v>183</v>
      </c>
      <c r="AC193" s="21">
        <v>0.90728799999999998</v>
      </c>
      <c r="AD193">
        <f t="shared" si="28"/>
        <v>15.94827160493827</v>
      </c>
      <c r="AE193">
        <f t="shared" si="29"/>
        <v>14.489132339259259</v>
      </c>
      <c r="AF193" s="9"/>
      <c r="AG193" s="21">
        <v>0.82153299999999996</v>
      </c>
      <c r="AH193" s="21">
        <v>20.2121</v>
      </c>
      <c r="AI193" s="21">
        <v>-1.22314E-2</v>
      </c>
      <c r="AJ193" s="21">
        <v>183</v>
      </c>
      <c r="AK193" s="21">
        <v>0.82092299999999996</v>
      </c>
      <c r="AL193">
        <f t="shared" si="30"/>
        <v>15.100493827160493</v>
      </c>
      <c r="AM193">
        <f t="shared" si="31"/>
        <v>12.40555399530864</v>
      </c>
      <c r="AP193" s="9"/>
      <c r="AQ193" s="21">
        <v>0.90850799999999998</v>
      </c>
      <c r="AR193" s="21">
        <v>25.8307</v>
      </c>
      <c r="AS193" s="21">
        <v>-1.28418E-2</v>
      </c>
      <c r="AT193" s="21">
        <v>183</v>
      </c>
      <c r="AU193" s="21">
        <v>0.90759299999999998</v>
      </c>
      <c r="AV193">
        <f t="shared" si="32"/>
        <v>15.854074074074072</v>
      </c>
      <c r="AW193">
        <f t="shared" si="33"/>
        <v>14.403553128888886</v>
      </c>
      <c r="AX193" s="9"/>
      <c r="AY193" s="21">
        <v>0.82153299999999996</v>
      </c>
      <c r="AZ193" s="21">
        <v>29.7103</v>
      </c>
      <c r="BA193" s="21">
        <v>-1.21826E-2</v>
      </c>
      <c r="BB193" s="21">
        <v>183</v>
      </c>
      <c r="BC193" s="21">
        <v>0.82061799999999996</v>
      </c>
      <c r="BD193">
        <f t="shared" si="34"/>
        <v>15.040246913580246</v>
      </c>
      <c r="BE193">
        <f t="shared" si="35"/>
        <v>12.356059167654319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0.90347299999999997</v>
      </c>
      <c r="H194" s="21">
        <v>6.8893800000000001</v>
      </c>
      <c r="I194" s="21">
        <v>-1.32233E-2</v>
      </c>
      <c r="J194" s="21">
        <v>184</v>
      </c>
      <c r="K194" s="21">
        <v>0.90332000000000001</v>
      </c>
      <c r="L194">
        <f t="shared" si="24"/>
        <v>16.32506172839506</v>
      </c>
      <c r="M194">
        <f t="shared" si="25"/>
        <v>14.749252494938268</v>
      </c>
      <c r="N194" s="9"/>
      <c r="O194" s="21">
        <v>0.826569</v>
      </c>
      <c r="P194" s="21">
        <v>10.769</v>
      </c>
      <c r="Q194" s="21">
        <v>-1.23993E-2</v>
      </c>
      <c r="R194" s="21">
        <v>184</v>
      </c>
      <c r="S194" s="21">
        <v>0.82580600000000004</v>
      </c>
      <c r="T194">
        <f t="shared" si="26"/>
        <v>15.307777777777778</v>
      </c>
      <c r="U194">
        <f t="shared" si="27"/>
        <v>12.652934569999999</v>
      </c>
      <c r="X194" s="9"/>
      <c r="Y194" s="21">
        <v>0.90347299999999997</v>
      </c>
      <c r="Z194" s="21">
        <v>16.342600000000001</v>
      </c>
      <c r="AA194" s="21">
        <v>-1.29211E-2</v>
      </c>
      <c r="AB194" s="21">
        <v>184</v>
      </c>
      <c r="AC194" s="21">
        <v>0.90271000000000001</v>
      </c>
      <c r="AD194">
        <f t="shared" si="28"/>
        <v>15.951975308641973</v>
      </c>
      <c r="AE194">
        <f t="shared" si="29"/>
        <v>14.412178988024689</v>
      </c>
      <c r="AF194" s="9"/>
      <c r="AG194" s="21">
        <v>0.826569</v>
      </c>
      <c r="AH194" s="21">
        <v>20.222200000000001</v>
      </c>
      <c r="AI194" s="21">
        <v>-1.22253E-2</v>
      </c>
      <c r="AJ194" s="21">
        <v>184</v>
      </c>
      <c r="AK194" s="21">
        <v>0.82519500000000001</v>
      </c>
      <c r="AL194">
        <f t="shared" si="30"/>
        <v>15.092962962962961</v>
      </c>
      <c r="AM194">
        <f t="shared" si="31"/>
        <v>12.475375303333331</v>
      </c>
      <c r="AP194" s="9"/>
      <c r="AQ194" s="21">
        <v>0.90347299999999997</v>
      </c>
      <c r="AR194" s="21">
        <v>25.840800000000002</v>
      </c>
      <c r="AS194" s="21">
        <v>-1.2851E-2</v>
      </c>
      <c r="AT194" s="21">
        <v>184</v>
      </c>
      <c r="AU194" s="21">
        <v>0.90301500000000001</v>
      </c>
      <c r="AV194">
        <f t="shared" si="32"/>
        <v>15.865432098765432</v>
      </c>
      <c r="AW194">
        <f t="shared" si="33"/>
        <v>14.3339895345679</v>
      </c>
      <c r="AX194" s="9"/>
      <c r="AY194" s="21">
        <v>0.826569</v>
      </c>
      <c r="AZ194" s="21">
        <v>29.720400000000001</v>
      </c>
      <c r="BA194" s="21">
        <v>-1.21765E-2</v>
      </c>
      <c r="BB194" s="21">
        <v>184</v>
      </c>
      <c r="BC194" s="21">
        <v>0.82580600000000004</v>
      </c>
      <c r="BD194">
        <f t="shared" si="34"/>
        <v>15.032716049382715</v>
      </c>
      <c r="BE194">
        <f t="shared" si="35"/>
        <v>12.425577072222222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0.89843799999999996</v>
      </c>
      <c r="H195" s="21">
        <v>6.8994499999999999</v>
      </c>
      <c r="I195" s="21">
        <v>-1.3229400000000001E-2</v>
      </c>
      <c r="J195" s="21">
        <v>185</v>
      </c>
      <c r="K195" s="21">
        <v>0.89660600000000001</v>
      </c>
      <c r="L195">
        <f t="shared" si="24"/>
        <v>16.332592592592594</v>
      </c>
      <c r="M195">
        <f t="shared" si="25"/>
        <v>14.673821823703705</v>
      </c>
      <c r="N195" s="9"/>
      <c r="O195" s="21">
        <v>0.83160400000000001</v>
      </c>
      <c r="P195" s="21">
        <v>10.7791</v>
      </c>
      <c r="Q195" s="21">
        <v>-1.23932E-2</v>
      </c>
      <c r="R195" s="21">
        <v>185</v>
      </c>
      <c r="S195" s="21">
        <v>0.83099400000000001</v>
      </c>
      <c r="T195">
        <f t="shared" si="26"/>
        <v>15.300246913580246</v>
      </c>
      <c r="U195">
        <f t="shared" si="27"/>
        <v>12.723746534320986</v>
      </c>
      <c r="X195" s="9"/>
      <c r="Y195" s="21">
        <v>0.89843799999999996</v>
      </c>
      <c r="Z195" s="21">
        <v>16.352599999999999</v>
      </c>
      <c r="AA195" s="21">
        <v>-1.29333E-2</v>
      </c>
      <c r="AB195" s="21">
        <v>185</v>
      </c>
      <c r="AC195" s="21">
        <v>0.89721700000000004</v>
      </c>
      <c r="AD195">
        <f t="shared" si="28"/>
        <v>15.967037037037036</v>
      </c>
      <c r="AE195">
        <f t="shared" si="29"/>
        <v>14.345392821481481</v>
      </c>
      <c r="AF195" s="9"/>
      <c r="AG195" s="21">
        <v>0.83160400000000001</v>
      </c>
      <c r="AH195" s="21">
        <v>20.232299999999999</v>
      </c>
      <c r="AI195" s="21">
        <v>-1.22162E-2</v>
      </c>
      <c r="AJ195" s="21">
        <v>185</v>
      </c>
      <c r="AK195" s="21">
        <v>0.83068799999999998</v>
      </c>
      <c r="AL195">
        <f t="shared" si="30"/>
        <v>15.081728395061727</v>
      </c>
      <c r="AM195">
        <f t="shared" si="31"/>
        <v>12.542025660246912</v>
      </c>
      <c r="AP195" s="9"/>
      <c r="AQ195" s="21">
        <v>0.89843799999999996</v>
      </c>
      <c r="AR195" s="21">
        <v>25.850899999999999</v>
      </c>
      <c r="AS195" s="21">
        <v>-1.2851E-2</v>
      </c>
      <c r="AT195" s="21">
        <v>185</v>
      </c>
      <c r="AU195" s="21">
        <v>0.89813200000000004</v>
      </c>
      <c r="AV195">
        <f t="shared" si="32"/>
        <v>15.865432098765432</v>
      </c>
      <c r="AW195">
        <f t="shared" si="33"/>
        <v>14.254107083950617</v>
      </c>
      <c r="AX195" s="9"/>
      <c r="AY195" s="21">
        <v>0.83160400000000001</v>
      </c>
      <c r="AZ195" s="21">
        <v>29.730499999999999</v>
      </c>
      <c r="BA195" s="21">
        <v>-1.2164299999999999E-2</v>
      </c>
      <c r="BB195" s="21">
        <v>185</v>
      </c>
      <c r="BC195" s="21">
        <v>0.83099400000000001</v>
      </c>
      <c r="BD195">
        <f t="shared" si="34"/>
        <v>15.017654320987653</v>
      </c>
      <c r="BE195">
        <f t="shared" si="35"/>
        <v>12.488741403950616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0.89340200000000003</v>
      </c>
      <c r="H196" s="21">
        <v>6.9095199999999997</v>
      </c>
      <c r="I196" s="21">
        <v>-1.32385E-2</v>
      </c>
      <c r="J196" s="21">
        <v>186</v>
      </c>
      <c r="K196" s="21">
        <v>0.89263899999999996</v>
      </c>
      <c r="L196">
        <f t="shared" si="24"/>
        <v>16.343827160493824</v>
      </c>
      <c r="M196">
        <f t="shared" si="25"/>
        <v>14.601607872839503</v>
      </c>
      <c r="N196" s="9"/>
      <c r="O196" s="21">
        <v>0.83663900000000002</v>
      </c>
      <c r="P196" s="21">
        <v>10.789099999999999</v>
      </c>
      <c r="Q196" s="21">
        <v>-1.2390099999999999E-2</v>
      </c>
      <c r="R196" s="21">
        <v>186</v>
      </c>
      <c r="S196" s="21">
        <v>0.83618199999999998</v>
      </c>
      <c r="T196">
        <f t="shared" si="26"/>
        <v>15.296419753086418</v>
      </c>
      <c r="U196">
        <f t="shared" si="27"/>
        <v>12.797581325802469</v>
      </c>
      <c r="X196" s="9"/>
      <c r="Y196" s="21">
        <v>0.89340200000000003</v>
      </c>
      <c r="Z196" s="21">
        <v>16.3627</v>
      </c>
      <c r="AA196" s="21">
        <v>-1.29456E-2</v>
      </c>
      <c r="AB196" s="21">
        <v>186</v>
      </c>
      <c r="AC196" s="21">
        <v>0.89233399999999996</v>
      </c>
      <c r="AD196">
        <f t="shared" si="28"/>
        <v>15.982222222222221</v>
      </c>
      <c r="AE196">
        <f t="shared" si="29"/>
        <v>14.278549297777777</v>
      </c>
      <c r="AF196" s="9"/>
      <c r="AG196" s="21">
        <v>0.83663900000000002</v>
      </c>
      <c r="AH196" s="21">
        <v>20.2423</v>
      </c>
      <c r="AI196" s="21">
        <v>-1.2200900000000001E-2</v>
      </c>
      <c r="AJ196" s="21">
        <v>186</v>
      </c>
      <c r="AK196" s="21">
        <v>0.83587599999999995</v>
      </c>
      <c r="AL196">
        <f t="shared" si="30"/>
        <v>15.062839506172839</v>
      </c>
      <c r="AM196">
        <f t="shared" si="31"/>
        <v>12.602158981604939</v>
      </c>
      <c r="AP196" s="9"/>
      <c r="AQ196" s="21">
        <v>0.89340200000000003</v>
      </c>
      <c r="AR196" s="21">
        <v>25.860900000000001</v>
      </c>
      <c r="AS196" s="21">
        <v>-1.28571E-2</v>
      </c>
      <c r="AT196" s="21">
        <v>186</v>
      </c>
      <c r="AU196" s="21">
        <v>0.89294399999999996</v>
      </c>
      <c r="AV196">
        <f t="shared" si="32"/>
        <v>15.87296296296296</v>
      </c>
      <c r="AW196">
        <f t="shared" si="33"/>
        <v>14.180936857037036</v>
      </c>
      <c r="AX196" s="9"/>
      <c r="AY196" s="21">
        <v>0.83663900000000002</v>
      </c>
      <c r="AZ196" s="21">
        <v>29.740600000000001</v>
      </c>
      <c r="BA196" s="21">
        <v>-1.2149E-2</v>
      </c>
      <c r="BB196" s="21">
        <v>186</v>
      </c>
      <c r="BC196" s="21">
        <v>0.83587599999999995</v>
      </c>
      <c r="BD196">
        <f t="shared" si="34"/>
        <v>14.998765432098764</v>
      </c>
      <c r="BE196">
        <f t="shared" si="35"/>
        <v>12.548552112345678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0.88836700000000002</v>
      </c>
      <c r="H197" s="21">
        <v>6.9196</v>
      </c>
      <c r="I197" s="21">
        <v>-1.3250700000000001E-2</v>
      </c>
      <c r="J197" s="21">
        <v>187</v>
      </c>
      <c r="K197" s="21">
        <v>0.88775599999999999</v>
      </c>
      <c r="L197">
        <f t="shared" si="24"/>
        <v>16.358888888888888</v>
      </c>
      <c r="M197">
        <f t="shared" si="25"/>
        <v>14.532697045555555</v>
      </c>
      <c r="N197" s="9"/>
      <c r="O197" s="21">
        <v>0.84167499999999995</v>
      </c>
      <c r="P197" s="21">
        <v>10.799200000000001</v>
      </c>
      <c r="Q197" s="21">
        <v>-1.2374899999999999E-2</v>
      </c>
      <c r="R197" s="21">
        <v>187</v>
      </c>
      <c r="S197" s="21">
        <v>0.84106400000000003</v>
      </c>
      <c r="T197">
        <f t="shared" si="26"/>
        <v>15.277654320987653</v>
      </c>
      <c r="U197">
        <f t="shared" si="27"/>
        <v>12.858819700617282</v>
      </c>
      <c r="X197" s="9"/>
      <c r="Y197" s="21">
        <v>0.88836700000000002</v>
      </c>
      <c r="Z197" s="21">
        <v>16.372800000000002</v>
      </c>
      <c r="AA197" s="21">
        <v>-1.29547E-2</v>
      </c>
      <c r="AB197" s="21">
        <v>187</v>
      </c>
      <c r="AC197" s="21">
        <v>0.88714599999999999</v>
      </c>
      <c r="AD197">
        <f t="shared" si="28"/>
        <v>15.993456790123457</v>
      </c>
      <c r="AE197">
        <f t="shared" si="29"/>
        <v>14.208059228271605</v>
      </c>
      <c r="AF197" s="9"/>
      <c r="AG197" s="21">
        <v>0.84167499999999995</v>
      </c>
      <c r="AH197" s="21">
        <v>20.252400000000002</v>
      </c>
      <c r="AI197" s="21">
        <v>-1.2185700000000001E-2</v>
      </c>
      <c r="AJ197" s="21">
        <v>187</v>
      </c>
      <c r="AK197" s="21">
        <v>0.84045400000000003</v>
      </c>
      <c r="AL197">
        <f t="shared" si="30"/>
        <v>15.044074074074075</v>
      </c>
      <c r="AM197">
        <f t="shared" si="31"/>
        <v>12.662221046296297</v>
      </c>
      <c r="AP197" s="9"/>
      <c r="AQ197" s="21">
        <v>0.88836700000000002</v>
      </c>
      <c r="AR197" s="21">
        <v>25.870999999999999</v>
      </c>
      <c r="AS197" s="21">
        <v>-1.2854000000000001E-2</v>
      </c>
      <c r="AT197" s="21">
        <v>187</v>
      </c>
      <c r="AU197" s="21">
        <v>0.88775599999999999</v>
      </c>
      <c r="AV197">
        <f t="shared" si="32"/>
        <v>15.869135802469136</v>
      </c>
      <c r="AW197">
        <f t="shared" si="33"/>
        <v>14.0976165654321</v>
      </c>
      <c r="AX197" s="9"/>
      <c r="AY197" s="21">
        <v>0.84167499999999995</v>
      </c>
      <c r="AZ197" s="21">
        <v>29.750599999999999</v>
      </c>
      <c r="BA197" s="21">
        <v>-1.2130699999999999E-2</v>
      </c>
      <c r="BB197" s="21">
        <v>187</v>
      </c>
      <c r="BC197" s="21">
        <v>0.84075900000000003</v>
      </c>
      <c r="BD197">
        <f t="shared" si="34"/>
        <v>14.976172839506171</v>
      </c>
      <c r="BE197">
        <f t="shared" si="35"/>
        <v>12.605070274691355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0.88333099999999998</v>
      </c>
      <c r="H198" s="21">
        <v>6.9296699999999998</v>
      </c>
      <c r="I198" s="21">
        <v>-1.32599E-2</v>
      </c>
      <c r="J198" s="21">
        <v>188</v>
      </c>
      <c r="K198" s="21">
        <v>0.88256800000000002</v>
      </c>
      <c r="L198">
        <f t="shared" si="24"/>
        <v>16.370246913580246</v>
      </c>
      <c r="M198">
        <f t="shared" si="25"/>
        <v>14.460346576419752</v>
      </c>
      <c r="N198" s="9"/>
      <c r="O198" s="21">
        <v>0.84670999999999996</v>
      </c>
      <c r="P198" s="21">
        <v>10.8093</v>
      </c>
      <c r="Q198" s="21">
        <v>-1.2356600000000001E-2</v>
      </c>
      <c r="R198" s="21">
        <v>188</v>
      </c>
      <c r="S198" s="21">
        <v>0.846252</v>
      </c>
      <c r="T198">
        <f t="shared" si="26"/>
        <v>15.255061728395061</v>
      </c>
      <c r="U198">
        <f t="shared" si="27"/>
        <v>12.916613316049382</v>
      </c>
      <c r="X198" s="9"/>
      <c r="Y198" s="21">
        <v>0.88333099999999998</v>
      </c>
      <c r="Z198" s="21">
        <v>16.3828</v>
      </c>
      <c r="AA198" s="21">
        <v>-1.29669E-2</v>
      </c>
      <c r="AB198" s="21">
        <v>188</v>
      </c>
      <c r="AC198" s="21">
        <v>0.88287400000000005</v>
      </c>
      <c r="AD198">
        <f t="shared" si="28"/>
        <v>16.008518518518514</v>
      </c>
      <c r="AE198">
        <f t="shared" si="29"/>
        <v>14.140820671481476</v>
      </c>
      <c r="AF198" s="9"/>
      <c r="AG198" s="21">
        <v>0.84670999999999996</v>
      </c>
      <c r="AH198" s="21">
        <v>20.262499999999999</v>
      </c>
      <c r="AI198" s="21">
        <v>-1.21796E-2</v>
      </c>
      <c r="AJ198" s="21">
        <v>188</v>
      </c>
      <c r="AK198" s="21">
        <v>0.84533700000000001</v>
      </c>
      <c r="AL198">
        <f t="shared" si="30"/>
        <v>15.036543209876543</v>
      </c>
      <c r="AM198">
        <f t="shared" si="31"/>
        <v>12.731591501234567</v>
      </c>
      <c r="AP198" s="9"/>
      <c r="AQ198" s="21">
        <v>0.88333099999999998</v>
      </c>
      <c r="AR198" s="21">
        <v>25.8811</v>
      </c>
      <c r="AS198" s="21">
        <v>-1.28632E-2</v>
      </c>
      <c r="AT198" s="21">
        <v>188</v>
      </c>
      <c r="AU198" s="21">
        <v>0.88226300000000002</v>
      </c>
      <c r="AV198">
        <f t="shared" si="32"/>
        <v>15.880493827160493</v>
      </c>
      <c r="AW198">
        <f t="shared" si="33"/>
        <v>14.027732492839505</v>
      </c>
      <c r="AX198" s="9"/>
      <c r="AY198" s="21">
        <v>0.84670999999999996</v>
      </c>
      <c r="AZ198" s="21">
        <v>29.7607</v>
      </c>
      <c r="BA198" s="21">
        <v>-1.2118500000000001E-2</v>
      </c>
      <c r="BB198" s="21">
        <v>188</v>
      </c>
      <c r="BC198" s="21">
        <v>0.845642</v>
      </c>
      <c r="BD198">
        <f t="shared" si="34"/>
        <v>14.96111111111111</v>
      </c>
      <c r="BE198">
        <f t="shared" si="35"/>
        <v>12.667722388888889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0.87829599999999997</v>
      </c>
      <c r="H199" s="21">
        <v>6.9397399999999996</v>
      </c>
      <c r="I199" s="21">
        <v>-1.32782E-2</v>
      </c>
      <c r="J199" s="21">
        <v>189</v>
      </c>
      <c r="K199" s="21">
        <v>0.87707500000000005</v>
      </c>
      <c r="L199">
        <f t="shared" si="24"/>
        <v>16.392839506172837</v>
      </c>
      <c r="M199">
        <f t="shared" si="25"/>
        <v>14.397765366913578</v>
      </c>
      <c r="N199" s="9"/>
      <c r="O199" s="21">
        <v>0.851746</v>
      </c>
      <c r="P199" s="21">
        <v>10.8194</v>
      </c>
      <c r="Q199" s="21">
        <v>-1.23535E-2</v>
      </c>
      <c r="R199" s="21">
        <v>189</v>
      </c>
      <c r="S199" s="21">
        <v>0.85082999999999998</v>
      </c>
      <c r="T199">
        <f t="shared" si="26"/>
        <v>15.251234567901234</v>
      </c>
      <c r="U199">
        <f t="shared" si="27"/>
        <v>12.990178038271605</v>
      </c>
      <c r="X199" s="9"/>
      <c r="Y199" s="21">
        <v>0.87829599999999997</v>
      </c>
      <c r="Z199" s="21">
        <v>16.392900000000001</v>
      </c>
      <c r="AA199" s="21">
        <v>-1.2976100000000001E-2</v>
      </c>
      <c r="AB199" s="21">
        <v>189</v>
      </c>
      <c r="AC199" s="21">
        <v>0.87738000000000005</v>
      </c>
      <c r="AD199">
        <f t="shared" si="28"/>
        <v>16.019876543209875</v>
      </c>
      <c r="AE199">
        <f t="shared" si="29"/>
        <v>14.070193488395059</v>
      </c>
      <c r="AF199" s="9"/>
      <c r="AG199" s="21">
        <v>0.851746</v>
      </c>
      <c r="AH199" s="21">
        <v>20.272500000000001</v>
      </c>
      <c r="AI199" s="21">
        <v>-1.2185700000000001E-2</v>
      </c>
      <c r="AJ199" s="21">
        <v>189</v>
      </c>
      <c r="AK199" s="21">
        <v>0.85082999999999998</v>
      </c>
      <c r="AL199">
        <f t="shared" si="30"/>
        <v>15.044074074074075</v>
      </c>
      <c r="AM199">
        <f t="shared" si="31"/>
        <v>12.813729916296298</v>
      </c>
      <c r="AP199" s="9"/>
      <c r="AQ199" s="21">
        <v>0.87829599999999997</v>
      </c>
      <c r="AR199" s="21">
        <v>25.891200000000001</v>
      </c>
      <c r="AS199" s="21">
        <v>-1.28723E-2</v>
      </c>
      <c r="AT199" s="21">
        <v>189</v>
      </c>
      <c r="AU199" s="21">
        <v>0.87768599999999997</v>
      </c>
      <c r="AV199">
        <f t="shared" si="32"/>
        <v>15.891728395061728</v>
      </c>
      <c r="AW199">
        <f t="shared" si="33"/>
        <v>13.957641482469135</v>
      </c>
      <c r="AX199" s="9"/>
      <c r="AY199" s="21">
        <v>0.851746</v>
      </c>
      <c r="AZ199" s="21">
        <v>29.770800000000001</v>
      </c>
      <c r="BA199" s="21">
        <v>-1.21002E-2</v>
      </c>
      <c r="BB199" s="21">
        <v>189</v>
      </c>
      <c r="BC199" s="21">
        <v>0.85082999999999998</v>
      </c>
      <c r="BD199">
        <f t="shared" si="34"/>
        <v>14.938518518518517</v>
      </c>
      <c r="BE199">
        <f t="shared" si="35"/>
        <v>12.723823394074072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0.87326000000000004</v>
      </c>
      <c r="H200" s="21">
        <v>6.9498100000000003</v>
      </c>
      <c r="I200" s="21">
        <v>-1.3284300000000001E-2</v>
      </c>
      <c r="J200" s="21">
        <v>190</v>
      </c>
      <c r="K200" s="21">
        <v>0.87219199999999997</v>
      </c>
      <c r="L200">
        <f t="shared" si="24"/>
        <v>16.400370370370371</v>
      </c>
      <c r="M200">
        <f t="shared" si="25"/>
        <v>14.321787429629632</v>
      </c>
      <c r="N200" s="9"/>
      <c r="O200" s="21">
        <v>0.85678100000000001</v>
      </c>
      <c r="P200" s="21">
        <v>10.8294</v>
      </c>
      <c r="Q200" s="21">
        <v>-1.23535E-2</v>
      </c>
      <c r="R200" s="21">
        <v>190</v>
      </c>
      <c r="S200" s="21">
        <v>0.85601799999999995</v>
      </c>
      <c r="T200">
        <f t="shared" si="26"/>
        <v>15.251234567901234</v>
      </c>
      <c r="U200">
        <f t="shared" si="27"/>
        <v>13.066968004320987</v>
      </c>
      <c r="X200" s="9"/>
      <c r="Y200" s="21">
        <v>0.87326000000000004</v>
      </c>
      <c r="Z200" s="21">
        <v>16.402999999999999</v>
      </c>
      <c r="AA200" s="21">
        <v>-1.2988299999999999E-2</v>
      </c>
      <c r="AB200" s="21">
        <v>190</v>
      </c>
      <c r="AC200" s="21">
        <v>0.872803</v>
      </c>
      <c r="AD200">
        <f t="shared" si="28"/>
        <v>16.034938271604936</v>
      </c>
      <c r="AE200">
        <f t="shared" si="29"/>
        <v>14.002670195061727</v>
      </c>
      <c r="AF200" s="9"/>
      <c r="AG200" s="21">
        <v>0.85678100000000001</v>
      </c>
      <c r="AH200" s="21">
        <v>20.282599999999999</v>
      </c>
      <c r="AI200" s="21">
        <v>-1.21796E-2</v>
      </c>
      <c r="AJ200" s="21">
        <v>190</v>
      </c>
      <c r="AK200" s="21">
        <v>0.85632299999999995</v>
      </c>
      <c r="AL200">
        <f t="shared" si="30"/>
        <v>15.036543209876543</v>
      </c>
      <c r="AM200">
        <f t="shared" si="31"/>
        <v>12.883024527901235</v>
      </c>
      <c r="AP200" s="9"/>
      <c r="AQ200" s="21">
        <v>0.87326000000000004</v>
      </c>
      <c r="AR200" s="21">
        <v>25.901199999999999</v>
      </c>
      <c r="AS200" s="21">
        <v>-1.28662E-2</v>
      </c>
      <c r="AT200" s="21">
        <v>190</v>
      </c>
      <c r="AU200" s="21">
        <v>0.87219199999999997</v>
      </c>
      <c r="AV200">
        <f t="shared" si="32"/>
        <v>15.884197530864196</v>
      </c>
      <c r="AW200">
        <f t="shared" si="33"/>
        <v>13.871034335802468</v>
      </c>
      <c r="AX200" s="9"/>
      <c r="AY200" s="21">
        <v>0.85678100000000001</v>
      </c>
      <c r="AZ200" s="21">
        <v>29.780799999999999</v>
      </c>
      <c r="BA200" s="21">
        <v>-1.2075799999999999E-2</v>
      </c>
      <c r="BB200" s="21">
        <v>190</v>
      </c>
      <c r="BC200" s="21">
        <v>0.85601799999999995</v>
      </c>
      <c r="BD200">
        <f t="shared" si="34"/>
        <v>14.908395061728394</v>
      </c>
      <c r="BE200">
        <f t="shared" si="35"/>
        <v>12.773229629382715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0.86822500000000002</v>
      </c>
      <c r="H201" s="21">
        <v>6.9598800000000001</v>
      </c>
      <c r="I201" s="21">
        <v>-1.3296499999999999E-2</v>
      </c>
      <c r="J201" s="21">
        <v>191</v>
      </c>
      <c r="K201" s="21">
        <v>0.86731000000000003</v>
      </c>
      <c r="L201">
        <f t="shared" si="24"/>
        <v>16.415432098765429</v>
      </c>
      <c r="M201">
        <f t="shared" si="25"/>
        <v>14.252288533950615</v>
      </c>
      <c r="N201" s="9"/>
      <c r="O201" s="21">
        <v>0.86181600000000003</v>
      </c>
      <c r="P201" s="21">
        <v>10.839499999999999</v>
      </c>
      <c r="Q201" s="21">
        <v>-1.23444E-2</v>
      </c>
      <c r="R201" s="21">
        <v>191</v>
      </c>
      <c r="S201" s="21">
        <v>0.86090100000000003</v>
      </c>
      <c r="T201">
        <f t="shared" si="26"/>
        <v>15.239999999999998</v>
      </c>
      <c r="U201">
        <f t="shared" si="27"/>
        <v>13.13407584</v>
      </c>
      <c r="X201" s="9"/>
      <c r="Y201" s="21">
        <v>0.86822500000000002</v>
      </c>
      <c r="Z201" s="21">
        <v>16.4131</v>
      </c>
      <c r="AA201" s="21">
        <v>-1.2991300000000001E-2</v>
      </c>
      <c r="AB201" s="21">
        <v>191</v>
      </c>
      <c r="AC201" s="21">
        <v>0.86731000000000003</v>
      </c>
      <c r="AD201">
        <f t="shared" si="28"/>
        <v>16.038641975308643</v>
      </c>
      <c r="AE201">
        <f t="shared" si="29"/>
        <v>13.925149929012347</v>
      </c>
      <c r="AF201" s="9"/>
      <c r="AG201" s="21">
        <v>0.86181600000000003</v>
      </c>
      <c r="AH201" s="21">
        <v>20.2927</v>
      </c>
      <c r="AI201" s="21">
        <v>-1.2158199999999999E-2</v>
      </c>
      <c r="AJ201" s="21">
        <v>191</v>
      </c>
      <c r="AK201" s="21">
        <v>0.86090100000000003</v>
      </c>
      <c r="AL201">
        <f t="shared" si="30"/>
        <v>15.010123456790122</v>
      </c>
      <c r="AM201">
        <f t="shared" si="31"/>
        <v>12.935964557037037</v>
      </c>
      <c r="AP201" s="9"/>
      <c r="AQ201" s="21">
        <v>0.86822500000000002</v>
      </c>
      <c r="AR201" s="21">
        <v>25.911300000000001</v>
      </c>
      <c r="AS201" s="21">
        <v>-1.28632E-2</v>
      </c>
      <c r="AT201" s="21">
        <v>191</v>
      </c>
      <c r="AU201" s="21">
        <v>0.86731000000000003</v>
      </c>
      <c r="AV201">
        <f t="shared" si="32"/>
        <v>15.880493827160493</v>
      </c>
      <c r="AW201">
        <f t="shared" si="33"/>
        <v>13.787841753086418</v>
      </c>
      <c r="AX201" s="9"/>
      <c r="AY201" s="21">
        <v>0.86181600000000003</v>
      </c>
      <c r="AZ201" s="21">
        <v>29.790900000000001</v>
      </c>
      <c r="BA201" s="21">
        <v>-1.20544E-2</v>
      </c>
      <c r="BB201" s="21">
        <v>191</v>
      </c>
      <c r="BC201" s="21">
        <v>0.86090100000000003</v>
      </c>
      <c r="BD201">
        <f t="shared" si="34"/>
        <v>14.881975308641973</v>
      </c>
      <c r="BE201">
        <f t="shared" si="35"/>
        <v>12.825524432592591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0.86319000000000001</v>
      </c>
      <c r="H202" s="21">
        <v>6.9699499999999999</v>
      </c>
      <c r="I202" s="21">
        <v>-1.32996E-2</v>
      </c>
      <c r="J202" s="21">
        <v>192</v>
      </c>
      <c r="K202" s="21">
        <v>0.86242700000000005</v>
      </c>
      <c r="L202">
        <f t="shared" si="24"/>
        <v>16.41925925925926</v>
      </c>
      <c r="M202">
        <f t="shared" si="25"/>
        <v>14.1729404</v>
      </c>
      <c r="N202" s="9"/>
      <c r="O202" s="21">
        <v>0.86685199999999996</v>
      </c>
      <c r="P202" s="21">
        <v>10.849600000000001</v>
      </c>
      <c r="Q202" s="21">
        <v>-1.23322E-2</v>
      </c>
      <c r="R202" s="21">
        <v>192</v>
      </c>
      <c r="S202" s="21">
        <v>0.865784</v>
      </c>
      <c r="T202">
        <f t="shared" si="26"/>
        <v>15.224938271604938</v>
      </c>
      <c r="U202">
        <f t="shared" si="27"/>
        <v>13.197768190617282</v>
      </c>
      <c r="X202" s="9"/>
      <c r="Y202" s="21">
        <v>0.86319000000000001</v>
      </c>
      <c r="Z202" s="21">
        <v>16.423100000000002</v>
      </c>
      <c r="AA202" s="21">
        <v>-1.2997399999999999E-2</v>
      </c>
      <c r="AB202" s="21">
        <v>192</v>
      </c>
      <c r="AC202" s="21">
        <v>0.86242700000000005</v>
      </c>
      <c r="AD202">
        <f t="shared" si="28"/>
        <v>16.04617283950617</v>
      </c>
      <c r="AE202">
        <f t="shared" si="29"/>
        <v>13.85089593333333</v>
      </c>
      <c r="AF202" s="9"/>
      <c r="AG202" s="21">
        <v>0.86685199999999996</v>
      </c>
      <c r="AH202" s="21">
        <v>20.302700000000002</v>
      </c>
      <c r="AI202" s="21">
        <v>-1.2146000000000001E-2</v>
      </c>
      <c r="AJ202" s="21">
        <v>192</v>
      </c>
      <c r="AK202" s="21">
        <v>0.865784</v>
      </c>
      <c r="AL202">
        <f t="shared" si="30"/>
        <v>14.995061728395061</v>
      </c>
      <c r="AM202">
        <f t="shared" si="31"/>
        <v>12.998499249382714</v>
      </c>
      <c r="AP202" s="9"/>
      <c r="AQ202" s="21">
        <v>0.86319000000000001</v>
      </c>
      <c r="AR202" s="21">
        <v>25.921399999999998</v>
      </c>
      <c r="AS202" s="21">
        <v>-1.28571E-2</v>
      </c>
      <c r="AT202" s="21">
        <v>192</v>
      </c>
      <c r="AU202" s="21">
        <v>0.86242700000000005</v>
      </c>
      <c r="AV202">
        <f t="shared" si="32"/>
        <v>15.87296296296296</v>
      </c>
      <c r="AW202">
        <f t="shared" si="33"/>
        <v>13.701382899999999</v>
      </c>
      <c r="AX202" s="9"/>
      <c r="AY202" s="21">
        <v>0.86685199999999996</v>
      </c>
      <c r="AZ202" s="21">
        <v>29.800999999999998</v>
      </c>
      <c r="BA202" s="21">
        <v>-1.20331E-2</v>
      </c>
      <c r="BB202" s="21">
        <v>192</v>
      </c>
      <c r="BC202" s="21">
        <v>0.865784</v>
      </c>
      <c r="BD202">
        <f t="shared" si="34"/>
        <v>14.855679012345679</v>
      </c>
      <c r="BE202">
        <f t="shared" si="35"/>
        <v>12.877675063209875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0.85815399999999997</v>
      </c>
      <c r="H203" s="21">
        <v>6.9800199999999997</v>
      </c>
      <c r="I203" s="21">
        <v>-1.32935E-2</v>
      </c>
      <c r="J203" s="21">
        <v>193</v>
      </c>
      <c r="K203" s="21">
        <v>0.85723899999999997</v>
      </c>
      <c r="L203">
        <f t="shared" si="24"/>
        <v>16.411728395061726</v>
      </c>
      <c r="M203">
        <f t="shared" si="25"/>
        <v>14.0837903691358</v>
      </c>
      <c r="N203" s="9"/>
      <c r="O203" s="21">
        <v>0.87188699999999997</v>
      </c>
      <c r="P203" s="21">
        <v>10.8596</v>
      </c>
      <c r="Q203" s="21">
        <v>-1.23108E-2</v>
      </c>
      <c r="R203" s="21">
        <v>193</v>
      </c>
      <c r="S203" s="21">
        <v>0.87097199999999997</v>
      </c>
      <c r="T203">
        <f t="shared" si="26"/>
        <v>15.198518518518517</v>
      </c>
      <c r="U203">
        <f t="shared" si="27"/>
        <v>13.251390715555553</v>
      </c>
      <c r="X203" s="9"/>
      <c r="Y203" s="21">
        <v>0.85815399999999997</v>
      </c>
      <c r="Z203" s="21">
        <v>16.433199999999999</v>
      </c>
      <c r="AA203" s="21">
        <v>-1.3003499999999999E-2</v>
      </c>
      <c r="AB203" s="21">
        <v>193</v>
      </c>
      <c r="AC203" s="21">
        <v>0.85723899999999997</v>
      </c>
      <c r="AD203">
        <f t="shared" si="28"/>
        <v>16.0537037037037</v>
      </c>
      <c r="AE203">
        <f t="shared" si="29"/>
        <v>13.776550048148145</v>
      </c>
      <c r="AF203" s="9"/>
      <c r="AG203" s="21">
        <v>0.87188699999999997</v>
      </c>
      <c r="AH203" s="21">
        <v>20.312799999999999</v>
      </c>
      <c r="AI203" s="21">
        <v>-1.2130699999999999E-2</v>
      </c>
      <c r="AJ203" s="21">
        <v>193</v>
      </c>
      <c r="AK203" s="21">
        <v>0.87097199999999997</v>
      </c>
      <c r="AL203">
        <f t="shared" si="30"/>
        <v>14.976172839506171</v>
      </c>
      <c r="AM203">
        <f t="shared" si="31"/>
        <v>13.057530408518517</v>
      </c>
      <c r="AP203" s="9"/>
      <c r="AQ203" s="21">
        <v>0.85815399999999997</v>
      </c>
      <c r="AR203" s="21">
        <v>25.9314</v>
      </c>
      <c r="AS203" s="21">
        <v>-1.2860099999999999E-2</v>
      </c>
      <c r="AT203" s="21">
        <v>193</v>
      </c>
      <c r="AU203" s="21">
        <v>0.85723899999999997</v>
      </c>
      <c r="AV203">
        <f t="shared" si="32"/>
        <v>15.876666666666663</v>
      </c>
      <c r="AW203">
        <f t="shared" si="33"/>
        <v>13.624625006666664</v>
      </c>
      <c r="AX203" s="9"/>
      <c r="AY203" s="21">
        <v>0.87188699999999997</v>
      </c>
      <c r="AZ203" s="21">
        <v>29.8111</v>
      </c>
      <c r="BA203" s="21">
        <v>-1.20178E-2</v>
      </c>
      <c r="BB203" s="21">
        <v>193</v>
      </c>
      <c r="BC203" s="21">
        <v>0.87127699999999997</v>
      </c>
      <c r="BD203">
        <f t="shared" si="34"/>
        <v>14.836790123456788</v>
      </c>
      <c r="BE203">
        <f t="shared" si="35"/>
        <v>12.936004430370369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0.85311899999999996</v>
      </c>
      <c r="H204" s="21">
        <v>6.9900900000000004</v>
      </c>
      <c r="I204" s="21">
        <v>-1.3290400000000001E-2</v>
      </c>
      <c r="J204" s="21">
        <v>194</v>
      </c>
      <c r="K204" s="21">
        <v>0.852051</v>
      </c>
      <c r="L204">
        <f t="shared" ref="L204:L267" si="36">-I204/$F$2*1000</f>
        <v>16.407901234567902</v>
      </c>
      <c r="M204">
        <f t="shared" ref="M204:M267" si="37">L204*G204</f>
        <v>13.997892293333333</v>
      </c>
      <c r="N204" s="9"/>
      <c r="O204" s="21">
        <v>0.87692300000000001</v>
      </c>
      <c r="P204" s="21">
        <v>10.8697</v>
      </c>
      <c r="Q204" s="21">
        <v>-1.22986E-2</v>
      </c>
      <c r="R204" s="21">
        <v>194</v>
      </c>
      <c r="S204" s="21">
        <v>0.87646500000000005</v>
      </c>
      <c r="T204">
        <f t="shared" ref="T204:T267" si="38">-Q204/$F$2*1000</f>
        <v>15.183456790123456</v>
      </c>
      <c r="U204">
        <f t="shared" ref="U204:U267" si="39">T204*O204</f>
        <v>13.314722478765432</v>
      </c>
      <c r="X204" s="9"/>
      <c r="Y204" s="21">
        <v>0.85311899999999996</v>
      </c>
      <c r="Z204" s="21">
        <v>16.443300000000001</v>
      </c>
      <c r="AA204" s="21">
        <v>-1.30157E-2</v>
      </c>
      <c r="AB204" s="21">
        <v>194</v>
      </c>
      <c r="AC204" s="21">
        <v>0.852356</v>
      </c>
      <c r="AD204">
        <f t="shared" ref="AD204:AD267" si="40">-AA204/$F$2*1000</f>
        <v>16.068765432098765</v>
      </c>
      <c r="AE204">
        <f t="shared" ref="AE204:AE267" si="41">AD204*Y204</f>
        <v>13.708569096666665</v>
      </c>
      <c r="AF204" s="9"/>
      <c r="AG204" s="21">
        <v>0.87692300000000001</v>
      </c>
      <c r="AH204" s="21">
        <v>20.322900000000001</v>
      </c>
      <c r="AI204" s="21">
        <v>-1.2124599999999999E-2</v>
      </c>
      <c r="AJ204" s="21">
        <v>194</v>
      </c>
      <c r="AK204" s="21">
        <v>0.87616000000000005</v>
      </c>
      <c r="AL204">
        <f t="shared" ref="AL204:AL267" si="42">-AI204/$F$2*1000</f>
        <v>14.968641975308641</v>
      </c>
      <c r="AM204">
        <f t="shared" ref="AM204:AM267" si="43">AL204*AG204</f>
        <v>13.12634642691358</v>
      </c>
      <c r="AP204" s="9"/>
      <c r="AQ204" s="21">
        <v>0.85311899999999996</v>
      </c>
      <c r="AR204" s="21">
        <v>25.941500000000001</v>
      </c>
      <c r="AS204" s="21">
        <v>-1.28754E-2</v>
      </c>
      <c r="AT204" s="21">
        <v>194</v>
      </c>
      <c r="AU204" s="21">
        <v>0.851746</v>
      </c>
      <c r="AV204">
        <f t="shared" ref="AV204:AV267" si="44">-AS204/$F$2*1000</f>
        <v>15.895555555555555</v>
      </c>
      <c r="AW204">
        <f t="shared" ref="AW204:AW267" si="45">AV204*AQ204</f>
        <v>13.560800459999999</v>
      </c>
      <c r="AX204" s="9"/>
      <c r="AY204" s="21">
        <v>0.87692300000000001</v>
      </c>
      <c r="AZ204" s="21">
        <v>29.821100000000001</v>
      </c>
      <c r="BA204" s="21">
        <v>-1.2008700000000001E-2</v>
      </c>
      <c r="BB204" s="21">
        <v>194</v>
      </c>
      <c r="BC204" s="21">
        <v>0.87616000000000005</v>
      </c>
      <c r="BD204">
        <f t="shared" ref="BD204:BD267" si="46">-BA204/$F$2*1000</f>
        <v>14.825555555555555</v>
      </c>
      <c r="BE204">
        <f t="shared" ref="BE204:BE267" si="47">BD204*AY204</f>
        <v>13.000870654444444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0.84808300000000003</v>
      </c>
      <c r="H205" s="21">
        <v>7.0001600000000002</v>
      </c>
      <c r="I205" s="21">
        <v>-1.3284300000000001E-2</v>
      </c>
      <c r="J205" s="21">
        <v>195</v>
      </c>
      <c r="K205" s="21">
        <v>0.84747300000000003</v>
      </c>
      <c r="L205">
        <f t="shared" si="36"/>
        <v>16.400370370370371</v>
      </c>
      <c r="M205">
        <f t="shared" si="37"/>
        <v>13.908875304814817</v>
      </c>
      <c r="N205" s="9"/>
      <c r="O205" s="21">
        <v>0.88195800000000002</v>
      </c>
      <c r="P205" s="21">
        <v>10.879799999999999</v>
      </c>
      <c r="Q205" s="21">
        <v>-1.2286399999999999E-2</v>
      </c>
      <c r="R205" s="21">
        <v>195</v>
      </c>
      <c r="S205" s="21">
        <v>0.88104199999999999</v>
      </c>
      <c r="T205">
        <f t="shared" si="38"/>
        <v>15.168395061728393</v>
      </c>
      <c r="U205">
        <f t="shared" si="39"/>
        <v>13.37788737185185</v>
      </c>
      <c r="X205" s="9"/>
      <c r="Y205" s="21">
        <v>0.84808300000000003</v>
      </c>
      <c r="Z205" s="21">
        <v>16.453299999999999</v>
      </c>
      <c r="AA205" s="21">
        <v>-1.3030999999999999E-2</v>
      </c>
      <c r="AB205" s="21">
        <v>195</v>
      </c>
      <c r="AC205" s="21">
        <v>0.84716800000000003</v>
      </c>
      <c r="AD205">
        <f t="shared" si="40"/>
        <v>16.087654320987653</v>
      </c>
      <c r="AE205">
        <f t="shared" si="41"/>
        <v>13.643666139506172</v>
      </c>
      <c r="AF205" s="9"/>
      <c r="AG205" s="21">
        <v>0.88195800000000002</v>
      </c>
      <c r="AH205" s="21">
        <v>20.332999999999998</v>
      </c>
      <c r="AI205" s="21">
        <v>-1.2112400000000001E-2</v>
      </c>
      <c r="AJ205" s="21">
        <v>195</v>
      </c>
      <c r="AK205" s="21">
        <v>0.88073699999999999</v>
      </c>
      <c r="AL205">
        <f t="shared" si="42"/>
        <v>14.95358024691358</v>
      </c>
      <c r="AM205">
        <f t="shared" si="43"/>
        <v>13.188429727407408</v>
      </c>
      <c r="AP205" s="9"/>
      <c r="AQ205" s="21">
        <v>0.84808300000000003</v>
      </c>
      <c r="AR205" s="21">
        <v>25.951599999999999</v>
      </c>
      <c r="AS205" s="21">
        <v>-1.2893699999999999E-2</v>
      </c>
      <c r="AT205" s="21">
        <v>195</v>
      </c>
      <c r="AU205" s="21">
        <v>0.84747300000000003</v>
      </c>
      <c r="AV205">
        <f t="shared" si="44"/>
        <v>15.918148148148147</v>
      </c>
      <c r="AW205">
        <f t="shared" si="45"/>
        <v>13.499910835925926</v>
      </c>
      <c r="AX205" s="9"/>
      <c r="AY205" s="21">
        <v>0.88195800000000002</v>
      </c>
      <c r="AZ205" s="21">
        <v>29.831199999999999</v>
      </c>
      <c r="BA205" s="21">
        <v>-1.20026E-2</v>
      </c>
      <c r="BB205" s="21">
        <v>195</v>
      </c>
      <c r="BC205" s="21">
        <v>0.88073699999999999</v>
      </c>
      <c r="BD205">
        <f t="shared" si="46"/>
        <v>14.818024691358024</v>
      </c>
      <c r="BE205">
        <f t="shared" si="47"/>
        <v>13.06887542074074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0.84304800000000002</v>
      </c>
      <c r="H206" s="21">
        <v>7.01023</v>
      </c>
      <c r="I206" s="21">
        <v>-1.32874E-2</v>
      </c>
      <c r="J206" s="21">
        <v>196</v>
      </c>
      <c r="K206" s="21">
        <v>0.84228499999999995</v>
      </c>
      <c r="L206">
        <f t="shared" si="36"/>
        <v>16.404197530864195</v>
      </c>
      <c r="M206">
        <f t="shared" si="37"/>
        <v>13.829525919999998</v>
      </c>
      <c r="N206" s="9"/>
      <c r="O206" s="21">
        <v>0.88699300000000003</v>
      </c>
      <c r="P206" s="21">
        <v>10.889799999999999</v>
      </c>
      <c r="Q206" s="21">
        <v>-1.2286399999999999E-2</v>
      </c>
      <c r="R206" s="21">
        <v>196</v>
      </c>
      <c r="S206" s="21">
        <v>0.88592499999999996</v>
      </c>
      <c r="T206">
        <f t="shared" si="38"/>
        <v>15.168395061728393</v>
      </c>
      <c r="U206">
        <f t="shared" si="39"/>
        <v>13.454260240987653</v>
      </c>
      <c r="X206" s="9"/>
      <c r="Y206" s="21">
        <v>0.84304800000000002</v>
      </c>
      <c r="Z206" s="21">
        <v>16.4634</v>
      </c>
      <c r="AA206" s="21">
        <v>-1.3030999999999999E-2</v>
      </c>
      <c r="AB206" s="21">
        <v>196</v>
      </c>
      <c r="AC206" s="21">
        <v>0.84228499999999995</v>
      </c>
      <c r="AD206">
        <f t="shared" si="40"/>
        <v>16.087654320987653</v>
      </c>
      <c r="AE206">
        <f t="shared" si="41"/>
        <v>13.562664799999999</v>
      </c>
      <c r="AF206" s="9"/>
      <c r="AG206" s="21">
        <v>0.88699300000000003</v>
      </c>
      <c r="AH206" s="21">
        <v>20.343</v>
      </c>
      <c r="AI206" s="21">
        <v>-1.20941E-2</v>
      </c>
      <c r="AJ206" s="21">
        <v>196</v>
      </c>
      <c r="AK206" s="21">
        <v>0.88592499999999996</v>
      </c>
      <c r="AL206">
        <f t="shared" si="42"/>
        <v>14.930987654320987</v>
      </c>
      <c r="AM206">
        <f t="shared" si="43"/>
        <v>13.243681532469136</v>
      </c>
      <c r="AP206" s="9"/>
      <c r="AQ206" s="21">
        <v>0.84304800000000002</v>
      </c>
      <c r="AR206" s="21">
        <v>25.961600000000001</v>
      </c>
      <c r="AS206" s="21">
        <v>-1.2902800000000001E-2</v>
      </c>
      <c r="AT206" s="21">
        <v>196</v>
      </c>
      <c r="AU206" s="21">
        <v>0.84258999999999995</v>
      </c>
      <c r="AV206">
        <f t="shared" si="44"/>
        <v>15.929382716049382</v>
      </c>
      <c r="AW206">
        <f t="shared" si="45"/>
        <v>13.42923424</v>
      </c>
      <c r="AX206" s="9"/>
      <c r="AY206" s="21">
        <v>0.88699300000000003</v>
      </c>
      <c r="AZ206" s="21">
        <v>29.8413</v>
      </c>
      <c r="BA206" s="21">
        <v>-1.1987299999999999E-2</v>
      </c>
      <c r="BB206" s="21">
        <v>196</v>
      </c>
      <c r="BC206" s="21">
        <v>0.88622999999999996</v>
      </c>
      <c r="BD206">
        <f t="shared" si="46"/>
        <v>14.799135802469134</v>
      </c>
      <c r="BE206">
        <f t="shared" si="47"/>
        <v>13.126729862839506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0.83801300000000001</v>
      </c>
      <c r="H207" s="21">
        <v>7.0203100000000003</v>
      </c>
      <c r="I207" s="21">
        <v>-1.3281299999999999E-2</v>
      </c>
      <c r="J207" s="21">
        <v>197</v>
      </c>
      <c r="K207" s="21">
        <v>0.83740199999999998</v>
      </c>
      <c r="L207">
        <f t="shared" si="36"/>
        <v>16.396666666666665</v>
      </c>
      <c r="M207">
        <f t="shared" si="37"/>
        <v>13.740619823333331</v>
      </c>
      <c r="N207" s="9"/>
      <c r="O207" s="21">
        <v>0.89202899999999996</v>
      </c>
      <c r="P207" s="21">
        <v>10.899900000000001</v>
      </c>
      <c r="Q207" s="21">
        <v>-1.22833E-2</v>
      </c>
      <c r="R207" s="21">
        <v>197</v>
      </c>
      <c r="S207" s="21">
        <v>0.89141800000000004</v>
      </c>
      <c r="T207">
        <f t="shared" si="38"/>
        <v>15.164567901234568</v>
      </c>
      <c r="U207">
        <f t="shared" si="39"/>
        <v>13.52723434037037</v>
      </c>
      <c r="X207" s="9"/>
      <c r="Y207" s="21">
        <v>0.83801300000000001</v>
      </c>
      <c r="Z207" s="21">
        <v>16.473500000000001</v>
      </c>
      <c r="AA207" s="21">
        <v>-1.3030999999999999E-2</v>
      </c>
      <c r="AB207" s="21">
        <v>197</v>
      </c>
      <c r="AC207" s="21">
        <v>0.83679199999999998</v>
      </c>
      <c r="AD207">
        <f t="shared" si="40"/>
        <v>16.087654320987653</v>
      </c>
      <c r="AE207">
        <f t="shared" si="41"/>
        <v>13.481663460493825</v>
      </c>
      <c r="AF207" s="9"/>
      <c r="AG207" s="21">
        <v>0.89202899999999996</v>
      </c>
      <c r="AH207" s="21">
        <v>20.353100000000001</v>
      </c>
      <c r="AI207" s="21">
        <v>-1.2085E-2</v>
      </c>
      <c r="AJ207" s="21">
        <v>197</v>
      </c>
      <c r="AK207" s="21">
        <v>0.89080800000000004</v>
      </c>
      <c r="AL207">
        <f t="shared" si="42"/>
        <v>14.919753086419753</v>
      </c>
      <c r="AM207">
        <f t="shared" si="43"/>
        <v>13.308852425925926</v>
      </c>
      <c r="AP207" s="9"/>
      <c r="AQ207" s="21">
        <v>0.83801300000000001</v>
      </c>
      <c r="AR207" s="21">
        <v>25.971699999999998</v>
      </c>
      <c r="AS207" s="21">
        <v>-1.2896700000000001E-2</v>
      </c>
      <c r="AT207" s="21">
        <v>197</v>
      </c>
      <c r="AU207" s="21">
        <v>0.83709699999999998</v>
      </c>
      <c r="AV207">
        <f t="shared" si="44"/>
        <v>15.92185185185185</v>
      </c>
      <c r="AW207">
        <f t="shared" si="45"/>
        <v>13.342718835925924</v>
      </c>
      <c r="AX207" s="9"/>
      <c r="AY207" s="21">
        <v>0.89202899999999996</v>
      </c>
      <c r="AZ207" s="21">
        <v>29.851299999999998</v>
      </c>
      <c r="BA207" s="21">
        <v>-1.1975100000000001E-2</v>
      </c>
      <c r="BB207" s="21">
        <v>197</v>
      </c>
      <c r="BC207" s="21">
        <v>0.89111300000000004</v>
      </c>
      <c r="BD207">
        <f t="shared" si="46"/>
        <v>14.784074074074075</v>
      </c>
      <c r="BE207">
        <f t="shared" si="47"/>
        <v>13.187822812222223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0.83297699999999997</v>
      </c>
      <c r="H208" s="21">
        <v>7.0303800000000001</v>
      </c>
      <c r="I208" s="21">
        <v>-1.3281299999999999E-2</v>
      </c>
      <c r="J208" s="21">
        <v>198</v>
      </c>
      <c r="K208" s="21">
        <v>0.83252000000000004</v>
      </c>
      <c r="L208">
        <f t="shared" si="36"/>
        <v>16.396666666666665</v>
      </c>
      <c r="M208">
        <f t="shared" si="37"/>
        <v>13.658046209999998</v>
      </c>
      <c r="N208" s="9"/>
      <c r="O208" s="21">
        <v>0.89706399999999997</v>
      </c>
      <c r="P208" s="21">
        <v>10.91</v>
      </c>
      <c r="Q208" s="21">
        <v>-1.2280299999999999E-2</v>
      </c>
      <c r="R208" s="21">
        <v>198</v>
      </c>
      <c r="S208" s="21">
        <v>0.89660600000000001</v>
      </c>
      <c r="T208">
        <f t="shared" si="38"/>
        <v>15.160864197530863</v>
      </c>
      <c r="U208">
        <f t="shared" si="39"/>
        <v>13.600265480493826</v>
      </c>
      <c r="X208" s="9"/>
      <c r="Y208" s="21">
        <v>0.83297699999999997</v>
      </c>
      <c r="Z208" s="21">
        <v>16.483599999999999</v>
      </c>
      <c r="AA208" s="21">
        <v>-1.3030999999999999E-2</v>
      </c>
      <c r="AB208" s="21">
        <v>198</v>
      </c>
      <c r="AC208" s="21">
        <v>0.83221400000000001</v>
      </c>
      <c r="AD208">
        <f t="shared" si="40"/>
        <v>16.087654320987653</v>
      </c>
      <c r="AE208">
        <f t="shared" si="41"/>
        <v>13.400646033333333</v>
      </c>
      <c r="AF208" s="9"/>
      <c r="AG208" s="21">
        <v>0.89706399999999997</v>
      </c>
      <c r="AH208" s="21">
        <v>20.363199999999999</v>
      </c>
      <c r="AI208" s="21">
        <v>-1.20789E-2</v>
      </c>
      <c r="AJ208" s="21">
        <v>198</v>
      </c>
      <c r="AK208" s="21">
        <v>0.89630100000000001</v>
      </c>
      <c r="AL208">
        <f t="shared" si="42"/>
        <v>14.912222222222221</v>
      </c>
      <c r="AM208">
        <f t="shared" si="43"/>
        <v>13.377217715555554</v>
      </c>
      <c r="AP208" s="9"/>
      <c r="AQ208" s="21">
        <v>0.83297699999999997</v>
      </c>
      <c r="AR208" s="21">
        <v>25.9818</v>
      </c>
      <c r="AS208" s="21">
        <v>-1.2902800000000001E-2</v>
      </c>
      <c r="AT208" s="21">
        <v>198</v>
      </c>
      <c r="AU208" s="21">
        <v>0.83190900000000001</v>
      </c>
      <c r="AV208">
        <f t="shared" si="44"/>
        <v>15.929382716049382</v>
      </c>
      <c r="AW208">
        <f t="shared" si="45"/>
        <v>13.268809426666666</v>
      </c>
      <c r="AX208" s="9"/>
      <c r="AY208" s="21">
        <v>0.89706399999999997</v>
      </c>
      <c r="AZ208" s="21">
        <v>29.8614</v>
      </c>
      <c r="BA208" s="21">
        <v>-1.19568E-2</v>
      </c>
      <c r="BB208" s="21">
        <v>198</v>
      </c>
      <c r="BC208" s="21">
        <v>0.89599600000000001</v>
      </c>
      <c r="BD208">
        <f t="shared" si="46"/>
        <v>14.761481481481482</v>
      </c>
      <c r="BE208">
        <f t="shared" si="47"/>
        <v>13.241993623703705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0.82794199999999996</v>
      </c>
      <c r="H209" s="21">
        <v>7.0404499999999999</v>
      </c>
      <c r="I209" s="21">
        <v>-1.3290400000000001E-2</v>
      </c>
      <c r="J209" s="21">
        <v>199</v>
      </c>
      <c r="K209" s="21">
        <v>0.82672100000000004</v>
      </c>
      <c r="L209">
        <f t="shared" si="36"/>
        <v>16.407901234567902</v>
      </c>
      <c r="M209">
        <f t="shared" si="37"/>
        <v>13.584790563950618</v>
      </c>
      <c r="N209" s="9"/>
      <c r="O209" s="21">
        <v>0.90210000000000001</v>
      </c>
      <c r="P209" s="21">
        <v>10.9201</v>
      </c>
      <c r="Q209" s="21">
        <v>-1.2280299999999999E-2</v>
      </c>
      <c r="R209" s="21">
        <v>199</v>
      </c>
      <c r="S209" s="21">
        <v>0.90118399999999999</v>
      </c>
      <c r="T209">
        <f t="shared" si="38"/>
        <v>15.160864197530863</v>
      </c>
      <c r="U209">
        <f t="shared" si="39"/>
        <v>13.676615592592592</v>
      </c>
      <c r="X209" s="9"/>
      <c r="Y209" s="21">
        <v>0.82794199999999996</v>
      </c>
      <c r="Z209" s="21">
        <v>16.493600000000001</v>
      </c>
      <c r="AA209" s="21">
        <v>-1.3030999999999999E-2</v>
      </c>
      <c r="AB209" s="21">
        <v>199</v>
      </c>
      <c r="AC209" s="21">
        <v>0.82733199999999996</v>
      </c>
      <c r="AD209">
        <f t="shared" si="40"/>
        <v>16.087654320987653</v>
      </c>
      <c r="AE209">
        <f t="shared" si="41"/>
        <v>13.31964469382716</v>
      </c>
      <c r="AF209" s="9"/>
      <c r="AG209" s="21">
        <v>0.90210000000000001</v>
      </c>
      <c r="AH209" s="21">
        <v>20.373200000000001</v>
      </c>
      <c r="AI209" s="21">
        <v>-1.20667E-2</v>
      </c>
      <c r="AJ209" s="21">
        <v>199</v>
      </c>
      <c r="AK209" s="21">
        <v>0.90148899999999998</v>
      </c>
      <c r="AL209">
        <f t="shared" si="42"/>
        <v>14.89716049382716</v>
      </c>
      <c r="AM209">
        <f t="shared" si="43"/>
        <v>13.438728481481482</v>
      </c>
      <c r="AP209" s="9"/>
      <c r="AQ209" s="21">
        <v>0.82794199999999996</v>
      </c>
      <c r="AR209" s="21">
        <v>25.991900000000001</v>
      </c>
      <c r="AS209" s="21">
        <v>-1.2908899999999999E-2</v>
      </c>
      <c r="AT209" s="21">
        <v>199</v>
      </c>
      <c r="AU209" s="21">
        <v>0.82702600000000004</v>
      </c>
      <c r="AV209">
        <f t="shared" si="44"/>
        <v>15.936913580246911</v>
      </c>
      <c r="AW209">
        <f t="shared" si="45"/>
        <v>13.194840103456787</v>
      </c>
      <c r="AX209" s="9"/>
      <c r="AY209" s="21">
        <v>0.90210000000000001</v>
      </c>
      <c r="AZ209" s="21">
        <v>29.871500000000001</v>
      </c>
      <c r="BA209" s="21">
        <v>-1.19446E-2</v>
      </c>
      <c r="BB209" s="21">
        <v>199</v>
      </c>
      <c r="BC209" s="21">
        <v>0.90087899999999999</v>
      </c>
      <c r="BD209">
        <f t="shared" si="46"/>
        <v>14.746419753086418</v>
      </c>
      <c r="BE209">
        <f t="shared" si="47"/>
        <v>13.302745259259257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0.82290600000000003</v>
      </c>
      <c r="H210" s="21">
        <v>7.0505199999999997</v>
      </c>
      <c r="I210" s="21">
        <v>-1.3290400000000001E-2</v>
      </c>
      <c r="J210" s="21">
        <v>200</v>
      </c>
      <c r="K210" s="21">
        <v>0.82214399999999999</v>
      </c>
      <c r="L210">
        <f t="shared" si="36"/>
        <v>16.407901234567902</v>
      </c>
      <c r="M210">
        <f t="shared" si="37"/>
        <v>13.502160373333334</v>
      </c>
      <c r="N210" s="9"/>
      <c r="O210" s="21">
        <v>0.90713500000000002</v>
      </c>
      <c r="P210" s="21">
        <v>10.930099999999999</v>
      </c>
      <c r="Q210" s="21">
        <v>-1.22833E-2</v>
      </c>
      <c r="R210" s="21">
        <v>200</v>
      </c>
      <c r="S210" s="21">
        <v>0.90606699999999996</v>
      </c>
      <c r="T210">
        <f t="shared" si="38"/>
        <v>15.164567901234568</v>
      </c>
      <c r="U210">
        <f t="shared" si="39"/>
        <v>13.756310303086421</v>
      </c>
      <c r="X210" s="9"/>
      <c r="Y210" s="21">
        <v>0.82290600000000003</v>
      </c>
      <c r="Z210" s="21">
        <v>16.503699999999998</v>
      </c>
      <c r="AA210" s="21">
        <v>-1.3037099999999999E-2</v>
      </c>
      <c r="AB210" s="21">
        <v>200</v>
      </c>
      <c r="AC210" s="21">
        <v>0.82183799999999996</v>
      </c>
      <c r="AD210">
        <f t="shared" si="40"/>
        <v>16.095185185185183</v>
      </c>
      <c r="AE210">
        <f t="shared" si="41"/>
        <v>13.244824459999998</v>
      </c>
      <c r="AF210" s="9"/>
      <c r="AG210" s="21">
        <v>0.90713500000000002</v>
      </c>
      <c r="AH210" s="21">
        <v>20.383299999999998</v>
      </c>
      <c r="AI210" s="21">
        <v>-1.2063600000000001E-2</v>
      </c>
      <c r="AJ210" s="21">
        <v>200</v>
      </c>
      <c r="AK210" s="21">
        <v>0.90606699999999996</v>
      </c>
      <c r="AL210">
        <f t="shared" si="42"/>
        <v>14.893333333333333</v>
      </c>
      <c r="AM210">
        <f t="shared" si="43"/>
        <v>13.510263933333333</v>
      </c>
      <c r="AP210" s="9"/>
      <c r="AQ210" s="21">
        <v>0.82290600000000003</v>
      </c>
      <c r="AR210" s="21">
        <v>26.001899999999999</v>
      </c>
      <c r="AS210" s="21">
        <v>-1.29181E-2</v>
      </c>
      <c r="AT210" s="21">
        <v>200</v>
      </c>
      <c r="AU210" s="21">
        <v>0.82183799999999996</v>
      </c>
      <c r="AV210">
        <f t="shared" si="44"/>
        <v>15.94827160493827</v>
      </c>
      <c r="AW210">
        <f t="shared" si="45"/>
        <v>13.123928393333333</v>
      </c>
      <c r="AX210" s="9"/>
      <c r="AY210" s="21">
        <v>0.90713500000000002</v>
      </c>
      <c r="AZ210" s="21">
        <v>29.881499999999999</v>
      </c>
      <c r="BA210" s="21">
        <v>-1.1935400000000001E-2</v>
      </c>
      <c r="BB210" s="21">
        <v>200</v>
      </c>
      <c r="BC210" s="21">
        <v>0.90606699999999996</v>
      </c>
      <c r="BD210">
        <f t="shared" si="46"/>
        <v>14.735061728395062</v>
      </c>
      <c r="BE210">
        <f t="shared" si="47"/>
        <v>13.366690220987655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0.81787100000000001</v>
      </c>
      <c r="H211" s="21">
        <v>7.0605900000000004</v>
      </c>
      <c r="I211" s="21">
        <v>-1.3290400000000001E-2</v>
      </c>
      <c r="J211" s="21">
        <v>201</v>
      </c>
      <c r="K211" s="21">
        <v>0.81726100000000002</v>
      </c>
      <c r="L211">
        <f t="shared" si="36"/>
        <v>16.407901234567902</v>
      </c>
      <c r="M211">
        <f t="shared" si="37"/>
        <v>13.419546590617285</v>
      </c>
      <c r="N211" s="9"/>
      <c r="O211" s="21">
        <v>0.91217000000000004</v>
      </c>
      <c r="P211" s="21">
        <v>10.940200000000001</v>
      </c>
      <c r="Q211" s="21">
        <v>-1.22772E-2</v>
      </c>
      <c r="R211" s="21">
        <v>201</v>
      </c>
      <c r="S211" s="21">
        <v>0.91125500000000004</v>
      </c>
      <c r="T211">
        <f t="shared" si="38"/>
        <v>15.157037037037037</v>
      </c>
      <c r="U211">
        <f t="shared" si="39"/>
        <v>13.825794474074074</v>
      </c>
      <c r="X211" s="9"/>
      <c r="Y211" s="21">
        <v>0.81787100000000001</v>
      </c>
      <c r="Z211" s="21">
        <v>16.5138</v>
      </c>
      <c r="AA211" s="21">
        <v>-1.3030999999999999E-2</v>
      </c>
      <c r="AB211" s="21">
        <v>201</v>
      </c>
      <c r="AC211" s="21">
        <v>0.81664999999999999</v>
      </c>
      <c r="AD211">
        <f t="shared" si="40"/>
        <v>16.087654320987653</v>
      </c>
      <c r="AE211">
        <f t="shared" si="41"/>
        <v>13.157625927160494</v>
      </c>
      <c r="AF211" s="9"/>
      <c r="AG211" s="21">
        <v>0.91217000000000004</v>
      </c>
      <c r="AH211" s="21">
        <v>20.3934</v>
      </c>
      <c r="AI211" s="21">
        <v>-1.2057500000000001E-2</v>
      </c>
      <c r="AJ211" s="21">
        <v>201</v>
      </c>
      <c r="AK211" s="21">
        <v>0.91156000000000004</v>
      </c>
      <c r="AL211">
        <f t="shared" si="42"/>
        <v>14.885802469135802</v>
      </c>
      <c r="AM211">
        <f t="shared" si="43"/>
        <v>13.578382438271605</v>
      </c>
      <c r="AP211" s="9"/>
      <c r="AQ211" s="21">
        <v>0.81787100000000001</v>
      </c>
      <c r="AR211" s="21">
        <v>26.012</v>
      </c>
      <c r="AS211" s="21">
        <v>-1.29333E-2</v>
      </c>
      <c r="AT211" s="21">
        <v>201</v>
      </c>
      <c r="AU211" s="21">
        <v>0.81726100000000002</v>
      </c>
      <c r="AV211">
        <f t="shared" si="44"/>
        <v>15.967037037037036</v>
      </c>
      <c r="AW211">
        <f t="shared" si="45"/>
        <v>13.058976548518517</v>
      </c>
      <c r="AX211" s="9"/>
      <c r="AY211" s="21">
        <v>0.91217000000000004</v>
      </c>
      <c r="AZ211" s="21">
        <v>29.8916</v>
      </c>
      <c r="BA211" s="21">
        <v>-1.19232E-2</v>
      </c>
      <c r="BB211" s="21">
        <v>201</v>
      </c>
      <c r="BC211" s="21">
        <v>0.91186500000000004</v>
      </c>
      <c r="BD211">
        <f t="shared" si="46"/>
        <v>14.719999999999999</v>
      </c>
      <c r="BE211">
        <f t="shared" si="47"/>
        <v>13.427142399999999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0.812836</v>
      </c>
      <c r="H212" s="21">
        <v>7.0706600000000002</v>
      </c>
      <c r="I212" s="21">
        <v>-1.3281299999999999E-2</v>
      </c>
      <c r="J212" s="21">
        <v>202</v>
      </c>
      <c r="K212" s="21">
        <v>0.81176800000000005</v>
      </c>
      <c r="L212">
        <f t="shared" si="36"/>
        <v>16.396666666666665</v>
      </c>
      <c r="M212">
        <f t="shared" si="37"/>
        <v>13.327800946666665</v>
      </c>
      <c r="N212" s="9"/>
      <c r="O212" s="21">
        <v>0.91720599999999997</v>
      </c>
      <c r="P212" s="21">
        <v>10.9503</v>
      </c>
      <c r="Q212" s="21">
        <v>-1.2265E-2</v>
      </c>
      <c r="R212" s="21">
        <v>202</v>
      </c>
      <c r="S212" s="21">
        <v>0.91644300000000001</v>
      </c>
      <c r="T212">
        <f t="shared" si="38"/>
        <v>15.141975308641973</v>
      </c>
      <c r="U212">
        <f t="shared" si="39"/>
        <v>13.888310604938269</v>
      </c>
      <c r="X212" s="9"/>
      <c r="Y212" s="21">
        <v>0.812836</v>
      </c>
      <c r="Z212" s="21">
        <v>16.523800000000001</v>
      </c>
      <c r="AA212" s="21">
        <v>-1.30341E-2</v>
      </c>
      <c r="AB212" s="21">
        <v>202</v>
      </c>
      <c r="AC212" s="21">
        <v>0.81207300000000004</v>
      </c>
      <c r="AD212">
        <f t="shared" si="40"/>
        <v>16.09148148148148</v>
      </c>
      <c r="AE212">
        <f t="shared" si="41"/>
        <v>13.07973544148148</v>
      </c>
      <c r="AF212" s="9"/>
      <c r="AG212" s="21">
        <v>0.91720599999999997</v>
      </c>
      <c r="AH212" s="21">
        <v>20.403500000000001</v>
      </c>
      <c r="AI212" s="21">
        <v>-1.20453E-2</v>
      </c>
      <c r="AJ212" s="21">
        <v>202</v>
      </c>
      <c r="AK212" s="21">
        <v>0.91644300000000001</v>
      </c>
      <c r="AL212">
        <f t="shared" si="42"/>
        <v>14.870740740740739</v>
      </c>
      <c r="AM212">
        <f t="shared" si="43"/>
        <v>13.63953263185185</v>
      </c>
      <c r="AP212" s="9"/>
      <c r="AQ212" s="21">
        <v>0.812836</v>
      </c>
      <c r="AR212" s="21">
        <v>26.022099999999998</v>
      </c>
      <c r="AS212" s="21">
        <v>-1.2936400000000001E-2</v>
      </c>
      <c r="AT212" s="21">
        <v>202</v>
      </c>
      <c r="AU212" s="21">
        <v>0.81237800000000004</v>
      </c>
      <c r="AV212">
        <f t="shared" si="44"/>
        <v>15.970864197530865</v>
      </c>
      <c r="AW212">
        <f t="shared" si="45"/>
        <v>12.981693370864198</v>
      </c>
      <c r="AX212" s="9"/>
      <c r="AY212" s="21">
        <v>0.91720599999999997</v>
      </c>
      <c r="AZ212" s="21">
        <v>29.901700000000002</v>
      </c>
      <c r="BA212" s="21">
        <v>-1.19049E-2</v>
      </c>
      <c r="BB212" s="21">
        <v>202</v>
      </c>
      <c r="BC212" s="21">
        <v>0.91613800000000001</v>
      </c>
      <c r="BD212">
        <f t="shared" si="46"/>
        <v>14.697407407407406</v>
      </c>
      <c r="BE212">
        <f t="shared" si="47"/>
        <v>13.480550258518516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0.80779999999999996</v>
      </c>
      <c r="H213" s="21">
        <v>7.08073</v>
      </c>
      <c r="I213" s="21">
        <v>-1.3281299999999999E-2</v>
      </c>
      <c r="J213" s="21">
        <v>203</v>
      </c>
      <c r="K213" s="21">
        <v>0.80657999999999996</v>
      </c>
      <c r="L213">
        <f t="shared" si="36"/>
        <v>16.396666666666665</v>
      </c>
      <c r="M213">
        <f t="shared" si="37"/>
        <v>13.245227333333331</v>
      </c>
      <c r="N213" s="9"/>
      <c r="O213" s="21">
        <v>0.92224099999999998</v>
      </c>
      <c r="P213" s="21">
        <v>10.9603</v>
      </c>
      <c r="Q213" s="21">
        <v>-1.2252799999999999E-2</v>
      </c>
      <c r="R213" s="21">
        <v>203</v>
      </c>
      <c r="S213" s="21">
        <v>0.92163099999999998</v>
      </c>
      <c r="T213">
        <f t="shared" si="38"/>
        <v>15.126913580246912</v>
      </c>
      <c r="U213">
        <f t="shared" si="39"/>
        <v>13.950659907160492</v>
      </c>
      <c r="X213" s="9"/>
      <c r="Y213" s="21">
        <v>0.80779999999999996</v>
      </c>
      <c r="Z213" s="21">
        <v>16.533899999999999</v>
      </c>
      <c r="AA213" s="21">
        <v>-1.30341E-2</v>
      </c>
      <c r="AB213" s="21">
        <v>203</v>
      </c>
      <c r="AC213" s="21">
        <v>0.80688499999999996</v>
      </c>
      <c r="AD213">
        <f t="shared" si="40"/>
        <v>16.09148148148148</v>
      </c>
      <c r="AE213">
        <f t="shared" si="41"/>
        <v>12.998698740740739</v>
      </c>
      <c r="AF213" s="9"/>
      <c r="AG213" s="21">
        <v>0.92224099999999998</v>
      </c>
      <c r="AH213" s="21">
        <v>20.413499999999999</v>
      </c>
      <c r="AI213" s="21">
        <v>-1.2036099999999999E-2</v>
      </c>
      <c r="AJ213" s="21">
        <v>203</v>
      </c>
      <c r="AK213" s="21">
        <v>0.92132599999999998</v>
      </c>
      <c r="AL213">
        <f t="shared" si="42"/>
        <v>14.85938271604938</v>
      </c>
      <c r="AM213">
        <f t="shared" si="43"/>
        <v>13.703931975432095</v>
      </c>
      <c r="AP213" s="9"/>
      <c r="AQ213" s="21">
        <v>0.80779999999999996</v>
      </c>
      <c r="AR213" s="21">
        <v>26.0321</v>
      </c>
      <c r="AS213" s="21">
        <v>-1.29456E-2</v>
      </c>
      <c r="AT213" s="21">
        <v>203</v>
      </c>
      <c r="AU213" s="21">
        <v>0.80688499999999996</v>
      </c>
      <c r="AV213">
        <f t="shared" si="44"/>
        <v>15.982222222222221</v>
      </c>
      <c r="AW213">
        <f t="shared" si="45"/>
        <v>12.91043911111111</v>
      </c>
      <c r="AX213" s="9"/>
      <c r="AY213" s="21">
        <v>0.92224099999999998</v>
      </c>
      <c r="AZ213" s="21">
        <v>29.911799999999999</v>
      </c>
      <c r="BA213" s="21">
        <v>-1.19019E-2</v>
      </c>
      <c r="BB213" s="21">
        <v>203</v>
      </c>
      <c r="BC213" s="21">
        <v>0.92132599999999998</v>
      </c>
      <c r="BD213">
        <f t="shared" si="46"/>
        <v>14.693703703703703</v>
      </c>
      <c r="BE213">
        <f t="shared" si="47"/>
        <v>13.551135997407407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0.80276499999999995</v>
      </c>
      <c r="H214" s="21">
        <v>7.0907999999999998</v>
      </c>
      <c r="I214" s="21">
        <v>-1.3281299999999999E-2</v>
      </c>
      <c r="J214" s="21">
        <v>204</v>
      </c>
      <c r="K214" s="21">
        <v>0.80230699999999999</v>
      </c>
      <c r="L214">
        <f t="shared" si="36"/>
        <v>16.396666666666665</v>
      </c>
      <c r="M214">
        <f t="shared" si="37"/>
        <v>13.162670116666664</v>
      </c>
      <c r="N214" s="9"/>
      <c r="O214" s="21">
        <v>0.92727700000000002</v>
      </c>
      <c r="P214" s="21">
        <v>10.9704</v>
      </c>
      <c r="Q214" s="21">
        <v>-1.22437E-2</v>
      </c>
      <c r="R214" s="21">
        <v>204</v>
      </c>
      <c r="S214" s="21">
        <v>0.92620800000000003</v>
      </c>
      <c r="T214">
        <f t="shared" si="38"/>
        <v>15.115679012345678</v>
      </c>
      <c r="U214">
        <f t="shared" si="39"/>
        <v>14.016421487530863</v>
      </c>
      <c r="X214" s="9"/>
      <c r="Y214" s="21">
        <v>0.80276499999999995</v>
      </c>
      <c r="Z214" s="21">
        <v>16.544</v>
      </c>
      <c r="AA214" s="21">
        <v>-1.3037099999999999E-2</v>
      </c>
      <c r="AB214" s="21">
        <v>204</v>
      </c>
      <c r="AC214" s="21">
        <v>0.80169699999999999</v>
      </c>
      <c r="AD214">
        <f t="shared" si="40"/>
        <v>16.095185185185183</v>
      </c>
      <c r="AE214">
        <f t="shared" si="41"/>
        <v>12.920651335185182</v>
      </c>
      <c r="AF214" s="9"/>
      <c r="AG214" s="21">
        <v>0.92727700000000002</v>
      </c>
      <c r="AH214" s="21">
        <v>20.4236</v>
      </c>
      <c r="AI214" s="21">
        <v>-1.2023900000000001E-2</v>
      </c>
      <c r="AJ214" s="21">
        <v>204</v>
      </c>
      <c r="AK214" s="21">
        <v>0.92590300000000003</v>
      </c>
      <c r="AL214">
        <f t="shared" si="42"/>
        <v>14.844320987654321</v>
      </c>
      <c r="AM214">
        <f t="shared" si="43"/>
        <v>13.764797432469136</v>
      </c>
      <c r="AP214" s="9"/>
      <c r="AQ214" s="21">
        <v>0.80276499999999995</v>
      </c>
      <c r="AR214" s="21">
        <v>26.042200000000001</v>
      </c>
      <c r="AS214" s="21">
        <v>-1.29517E-2</v>
      </c>
      <c r="AT214" s="21">
        <v>204</v>
      </c>
      <c r="AU214" s="21">
        <v>0.80230699999999999</v>
      </c>
      <c r="AV214">
        <f t="shared" si="44"/>
        <v>15.989753086419752</v>
      </c>
      <c r="AW214">
        <f t="shared" si="45"/>
        <v>12.836014136419751</v>
      </c>
      <c r="AX214" s="9"/>
      <c r="AY214" s="21">
        <v>0.92727700000000002</v>
      </c>
      <c r="AZ214" s="21">
        <v>29.921800000000001</v>
      </c>
      <c r="BA214" s="21">
        <v>-1.18958E-2</v>
      </c>
      <c r="BB214" s="21">
        <v>204</v>
      </c>
      <c r="BC214" s="21">
        <v>0.92681899999999995</v>
      </c>
      <c r="BD214">
        <f t="shared" si="46"/>
        <v>14.686172839506172</v>
      </c>
      <c r="BE214">
        <f t="shared" si="47"/>
        <v>13.618150292098765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0.79772900000000002</v>
      </c>
      <c r="H215" s="21">
        <v>7.1008699999999996</v>
      </c>
      <c r="I215" s="21">
        <v>-1.32782E-2</v>
      </c>
      <c r="J215" s="21">
        <v>205</v>
      </c>
      <c r="K215" s="21">
        <v>0.79650900000000002</v>
      </c>
      <c r="L215">
        <f t="shared" si="36"/>
        <v>16.392839506172837</v>
      </c>
      <c r="M215">
        <f t="shared" si="37"/>
        <v>13.077043466419752</v>
      </c>
      <c r="N215" s="9"/>
      <c r="O215" s="21">
        <v>0.93231200000000003</v>
      </c>
      <c r="P215" s="21">
        <v>10.980499999999999</v>
      </c>
      <c r="Q215" s="21">
        <v>-1.22375E-2</v>
      </c>
      <c r="R215" s="21">
        <v>205</v>
      </c>
      <c r="S215" s="21">
        <v>0.931091</v>
      </c>
      <c r="T215">
        <f t="shared" si="38"/>
        <v>15.108024691358024</v>
      </c>
      <c r="U215">
        <f t="shared" si="39"/>
        <v>14.085392716049382</v>
      </c>
      <c r="X215" s="9"/>
      <c r="Y215" s="21">
        <v>0.79772900000000002</v>
      </c>
      <c r="Z215" s="21">
        <v>16.554099999999998</v>
      </c>
      <c r="AA215" s="21">
        <v>-1.3037099999999999E-2</v>
      </c>
      <c r="AB215" s="21">
        <v>205</v>
      </c>
      <c r="AC215" s="21">
        <v>0.79681400000000002</v>
      </c>
      <c r="AD215">
        <f t="shared" si="40"/>
        <v>16.095185185185183</v>
      </c>
      <c r="AE215">
        <f t="shared" si="41"/>
        <v>12.839595982592591</v>
      </c>
      <c r="AF215" s="9"/>
      <c r="AG215" s="21">
        <v>0.93231200000000003</v>
      </c>
      <c r="AH215" s="21">
        <v>20.433700000000002</v>
      </c>
      <c r="AI215" s="21">
        <v>-1.2014800000000001E-2</v>
      </c>
      <c r="AJ215" s="21">
        <v>205</v>
      </c>
      <c r="AK215" s="21">
        <v>0.931396</v>
      </c>
      <c r="AL215">
        <f t="shared" si="42"/>
        <v>14.833086419753087</v>
      </c>
      <c r="AM215">
        <f t="shared" si="43"/>
        <v>13.829064466172841</v>
      </c>
      <c r="AP215" s="9"/>
      <c r="AQ215" s="21">
        <v>0.79772900000000002</v>
      </c>
      <c r="AR215" s="21">
        <v>26.052299999999999</v>
      </c>
      <c r="AS215" s="21">
        <v>-1.29639E-2</v>
      </c>
      <c r="AT215" s="21">
        <v>205</v>
      </c>
      <c r="AU215" s="21">
        <v>0.79681400000000002</v>
      </c>
      <c r="AV215">
        <f t="shared" si="44"/>
        <v>16.004814814814814</v>
      </c>
      <c r="AW215">
        <f t="shared" si="45"/>
        <v>12.767504917407408</v>
      </c>
      <c r="AX215" s="9"/>
      <c r="AY215" s="21">
        <v>0.93231200000000003</v>
      </c>
      <c r="AZ215" s="21">
        <v>29.931899999999999</v>
      </c>
      <c r="BA215" s="21">
        <v>-1.18835E-2</v>
      </c>
      <c r="BB215" s="21">
        <v>205</v>
      </c>
      <c r="BC215" s="21">
        <v>0.931396</v>
      </c>
      <c r="BD215">
        <f t="shared" si="46"/>
        <v>14.670987654320987</v>
      </c>
      <c r="BE215">
        <f t="shared" si="47"/>
        <v>13.677937841975309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0.79269400000000001</v>
      </c>
      <c r="H216" s="21">
        <v>7.1109400000000003</v>
      </c>
      <c r="I216" s="21">
        <v>-1.3284300000000001E-2</v>
      </c>
      <c r="J216" s="21">
        <v>206</v>
      </c>
      <c r="K216" s="21">
        <v>0.79162600000000005</v>
      </c>
      <c r="L216">
        <f t="shared" si="36"/>
        <v>16.400370370370371</v>
      </c>
      <c r="M216">
        <f t="shared" si="37"/>
        <v>13.000475190370372</v>
      </c>
      <c r="N216" s="9"/>
      <c r="O216" s="21">
        <v>0.93734700000000004</v>
      </c>
      <c r="P216" s="21">
        <v>10.990600000000001</v>
      </c>
      <c r="Q216" s="21">
        <v>-1.22284E-2</v>
      </c>
      <c r="R216" s="21">
        <v>206</v>
      </c>
      <c r="S216" s="21">
        <v>0.93627899999999997</v>
      </c>
      <c r="T216">
        <f t="shared" si="38"/>
        <v>15.096790123456788</v>
      </c>
      <c r="U216">
        <f t="shared" si="39"/>
        <v>14.150930931851851</v>
      </c>
      <c r="X216" s="9"/>
      <c r="Y216" s="21">
        <v>0.79269400000000001</v>
      </c>
      <c r="Z216" s="21">
        <v>16.5641</v>
      </c>
      <c r="AA216" s="21">
        <v>-1.30463E-2</v>
      </c>
      <c r="AB216" s="21">
        <v>206</v>
      </c>
      <c r="AC216" s="21">
        <v>0.79193100000000005</v>
      </c>
      <c r="AD216">
        <f t="shared" si="40"/>
        <v>16.106543209876545</v>
      </c>
      <c r="AE216">
        <f t="shared" si="41"/>
        <v>12.767560163209877</v>
      </c>
      <c r="AF216" s="9"/>
      <c r="AG216" s="21">
        <v>0.93734700000000004</v>
      </c>
      <c r="AH216" s="21">
        <v>20.4437</v>
      </c>
      <c r="AI216" s="21">
        <v>-1.20026E-2</v>
      </c>
      <c r="AJ216" s="21">
        <v>206</v>
      </c>
      <c r="AK216" s="21">
        <v>0.93658399999999997</v>
      </c>
      <c r="AL216">
        <f t="shared" si="42"/>
        <v>14.818024691358024</v>
      </c>
      <c r="AM216">
        <f t="shared" si="43"/>
        <v>13.889630990370371</v>
      </c>
      <c r="AP216" s="9"/>
      <c r="AQ216" s="21">
        <v>0.79269400000000001</v>
      </c>
      <c r="AR216" s="21">
        <v>26.0624</v>
      </c>
      <c r="AS216" s="21">
        <v>-1.29639E-2</v>
      </c>
      <c r="AT216" s="21">
        <v>206</v>
      </c>
      <c r="AU216" s="21">
        <v>0.79223600000000005</v>
      </c>
      <c r="AV216">
        <f t="shared" si="44"/>
        <v>16.004814814814814</v>
      </c>
      <c r="AW216">
        <f t="shared" si="45"/>
        <v>12.686920674814814</v>
      </c>
      <c r="AX216" s="9"/>
      <c r="AY216" s="21">
        <v>0.93734700000000004</v>
      </c>
      <c r="AZ216" s="21">
        <v>29.942</v>
      </c>
      <c r="BA216" s="21">
        <v>-1.18744E-2</v>
      </c>
      <c r="BB216" s="21">
        <v>206</v>
      </c>
      <c r="BC216" s="21">
        <v>0.93658399999999997</v>
      </c>
      <c r="BD216">
        <f t="shared" si="46"/>
        <v>14.659753086419753</v>
      </c>
      <c r="BE216">
        <f t="shared" si="47"/>
        <v>13.741275576296298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0.787659</v>
      </c>
      <c r="H217" s="21">
        <v>7.1210199999999997</v>
      </c>
      <c r="I217" s="21">
        <v>-1.3296499999999999E-2</v>
      </c>
      <c r="J217" s="21">
        <v>207</v>
      </c>
      <c r="K217" s="21">
        <v>0.78643799999999997</v>
      </c>
      <c r="L217">
        <f t="shared" si="36"/>
        <v>16.415432098765429</v>
      </c>
      <c r="M217">
        <f t="shared" si="37"/>
        <v>12.929762831481479</v>
      </c>
      <c r="N217" s="9"/>
      <c r="O217" s="21">
        <v>0.94238299999999997</v>
      </c>
      <c r="P217" s="21">
        <v>11.0006</v>
      </c>
      <c r="Q217" s="21">
        <v>-1.2200900000000001E-2</v>
      </c>
      <c r="R217" s="21">
        <v>207</v>
      </c>
      <c r="S217" s="21">
        <v>0.94146700000000005</v>
      </c>
      <c r="T217">
        <f t="shared" si="38"/>
        <v>15.062839506172839</v>
      </c>
      <c r="U217">
        <f t="shared" si="39"/>
        <v>14.194963882345679</v>
      </c>
      <c r="X217" s="9"/>
      <c r="Y217" s="21">
        <v>0.787659</v>
      </c>
      <c r="Z217" s="21">
        <v>16.574200000000001</v>
      </c>
      <c r="AA217" s="21">
        <v>-1.30524E-2</v>
      </c>
      <c r="AB217" s="21">
        <v>207</v>
      </c>
      <c r="AC217" s="21">
        <v>0.78643799999999997</v>
      </c>
      <c r="AD217">
        <f t="shared" si="40"/>
        <v>16.114074074074072</v>
      </c>
      <c r="AE217">
        <f t="shared" si="41"/>
        <v>12.692395471111109</v>
      </c>
      <c r="AF217" s="9"/>
      <c r="AG217" s="21">
        <v>0.94238299999999997</v>
      </c>
      <c r="AH217" s="21">
        <v>20.453800000000001</v>
      </c>
      <c r="AI217" s="21">
        <v>-1.19843E-2</v>
      </c>
      <c r="AJ217" s="21">
        <v>207</v>
      </c>
      <c r="AK217" s="21">
        <v>0.94177200000000005</v>
      </c>
      <c r="AL217">
        <f t="shared" si="42"/>
        <v>14.795432098765431</v>
      </c>
      <c r="AM217">
        <f t="shared" si="43"/>
        <v>13.942963687530863</v>
      </c>
      <c r="AP217" s="9"/>
      <c r="AQ217" s="21">
        <v>0.787659</v>
      </c>
      <c r="AR217" s="21">
        <v>26.072399999999998</v>
      </c>
      <c r="AS217" s="21">
        <v>-1.29669E-2</v>
      </c>
      <c r="AT217" s="21">
        <v>207</v>
      </c>
      <c r="AU217" s="21">
        <v>0.78643799999999997</v>
      </c>
      <c r="AV217">
        <f t="shared" si="44"/>
        <v>16.008518518518514</v>
      </c>
      <c r="AW217">
        <f t="shared" si="45"/>
        <v>12.609253687777775</v>
      </c>
      <c r="AX217" s="9"/>
      <c r="AY217" s="21">
        <v>0.94238299999999997</v>
      </c>
      <c r="AZ217" s="21">
        <v>29.952000000000002</v>
      </c>
      <c r="BA217" s="21">
        <v>-1.1865199999999999E-2</v>
      </c>
      <c r="BB217" s="21">
        <v>207</v>
      </c>
      <c r="BC217" s="21">
        <v>0.94116200000000005</v>
      </c>
      <c r="BD217">
        <f t="shared" si="46"/>
        <v>14.648395061728394</v>
      </c>
      <c r="BE217">
        <f t="shared" si="47"/>
        <v>13.804398483456788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0.78262299999999996</v>
      </c>
      <c r="H218" s="21">
        <v>7.1310900000000004</v>
      </c>
      <c r="I218" s="21">
        <v>-1.32996E-2</v>
      </c>
      <c r="J218" s="21">
        <v>208</v>
      </c>
      <c r="K218" s="21">
        <v>0.78186</v>
      </c>
      <c r="L218">
        <f t="shared" si="36"/>
        <v>16.41925925925926</v>
      </c>
      <c r="M218">
        <f t="shared" si="37"/>
        <v>12.850089939259259</v>
      </c>
      <c r="N218" s="9"/>
      <c r="O218" s="21">
        <v>0.94741799999999998</v>
      </c>
      <c r="P218" s="21">
        <v>11.0107</v>
      </c>
      <c r="Q218" s="21">
        <v>-1.21735E-2</v>
      </c>
      <c r="R218" s="21">
        <v>208</v>
      </c>
      <c r="S218" s="21">
        <v>0.94635000000000002</v>
      </c>
      <c r="T218">
        <f t="shared" si="38"/>
        <v>15.029012345679011</v>
      </c>
      <c r="U218">
        <f t="shared" si="39"/>
        <v>14.238756818518517</v>
      </c>
      <c r="X218" s="9"/>
      <c r="Y218" s="21">
        <v>0.78262299999999996</v>
      </c>
      <c r="Z218" s="21">
        <v>16.584299999999999</v>
      </c>
      <c r="AA218" s="21">
        <v>-1.30554E-2</v>
      </c>
      <c r="AB218" s="21">
        <v>208</v>
      </c>
      <c r="AC218" s="21">
        <v>0.78186</v>
      </c>
      <c r="AD218">
        <f t="shared" si="40"/>
        <v>16.117777777777775</v>
      </c>
      <c r="AE218">
        <f t="shared" si="41"/>
        <v>12.614143597777774</v>
      </c>
      <c r="AF218" s="9"/>
      <c r="AG218" s="21">
        <v>0.94741799999999998</v>
      </c>
      <c r="AH218" s="21">
        <v>20.463899999999999</v>
      </c>
      <c r="AI218" s="21">
        <v>-1.1972E-2</v>
      </c>
      <c r="AJ218" s="21">
        <v>208</v>
      </c>
      <c r="AK218" s="21">
        <v>0.94665500000000002</v>
      </c>
      <c r="AL218">
        <f t="shared" si="42"/>
        <v>14.780246913580246</v>
      </c>
      <c r="AM218">
        <f t="shared" si="43"/>
        <v>14.003071970370369</v>
      </c>
      <c r="AP218" s="9"/>
      <c r="AQ218" s="21">
        <v>0.78262299999999996</v>
      </c>
      <c r="AR218" s="21">
        <v>26.0825</v>
      </c>
      <c r="AS218" s="21">
        <v>-1.2970000000000001E-2</v>
      </c>
      <c r="AT218" s="21">
        <v>208</v>
      </c>
      <c r="AU218" s="21">
        <v>0.78186</v>
      </c>
      <c r="AV218">
        <f t="shared" si="44"/>
        <v>16.012345679012348</v>
      </c>
      <c r="AW218">
        <f t="shared" si="45"/>
        <v>12.53163001234568</v>
      </c>
      <c r="AX218" s="9"/>
      <c r="AY218" s="21">
        <v>0.94741799999999998</v>
      </c>
      <c r="AZ218" s="21">
        <v>29.9621</v>
      </c>
      <c r="BA218" s="21">
        <v>-1.1859099999999999E-2</v>
      </c>
      <c r="BB218" s="21">
        <v>208</v>
      </c>
      <c r="BC218" s="21">
        <v>0.94635000000000002</v>
      </c>
      <c r="BD218">
        <f t="shared" si="46"/>
        <v>14.640864197530862</v>
      </c>
      <c r="BE218">
        <f t="shared" si="47"/>
        <v>13.871018276296294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0.77758799999999995</v>
      </c>
      <c r="H219" s="21">
        <v>7.1411600000000002</v>
      </c>
      <c r="I219" s="21">
        <v>-1.3302599999999999E-2</v>
      </c>
      <c r="J219" s="21">
        <v>209</v>
      </c>
      <c r="K219" s="21">
        <v>0.77728299999999995</v>
      </c>
      <c r="L219">
        <f t="shared" si="36"/>
        <v>16.422962962962963</v>
      </c>
      <c r="M219">
        <f t="shared" si="37"/>
        <v>12.770298924444443</v>
      </c>
      <c r="N219" s="9"/>
      <c r="O219" s="21">
        <v>0.95245400000000002</v>
      </c>
      <c r="P219" s="21">
        <v>11.020799999999999</v>
      </c>
      <c r="Q219" s="21">
        <v>-1.2158199999999999E-2</v>
      </c>
      <c r="R219" s="21">
        <v>209</v>
      </c>
      <c r="S219" s="21">
        <v>0.95184299999999999</v>
      </c>
      <c r="T219">
        <f t="shared" si="38"/>
        <v>15.010123456790122</v>
      </c>
      <c r="U219">
        <f t="shared" si="39"/>
        <v>14.296452126913579</v>
      </c>
      <c r="X219" s="9"/>
      <c r="Y219" s="21">
        <v>0.77758799999999995</v>
      </c>
      <c r="Z219" s="21">
        <v>16.5943</v>
      </c>
      <c r="AA219" s="21">
        <v>-1.3070699999999999E-2</v>
      </c>
      <c r="AB219" s="21">
        <v>209</v>
      </c>
      <c r="AC219" s="21">
        <v>0.77667200000000003</v>
      </c>
      <c r="AD219">
        <f t="shared" si="40"/>
        <v>16.136666666666663</v>
      </c>
      <c r="AE219">
        <f t="shared" si="41"/>
        <v>12.547678359999997</v>
      </c>
      <c r="AF219" s="9"/>
      <c r="AG219" s="21">
        <v>0.95245400000000002</v>
      </c>
      <c r="AH219" s="21">
        <v>20.474</v>
      </c>
      <c r="AI219" s="21">
        <v>-1.19629E-2</v>
      </c>
      <c r="AJ219" s="21">
        <v>209</v>
      </c>
      <c r="AK219" s="21">
        <v>0.951233</v>
      </c>
      <c r="AL219">
        <f t="shared" si="42"/>
        <v>14.769012345679011</v>
      </c>
      <c r="AM219">
        <f t="shared" si="43"/>
        <v>14.066804884691356</v>
      </c>
      <c r="AP219" s="9"/>
      <c r="AQ219" s="21">
        <v>0.77758799999999995</v>
      </c>
      <c r="AR219" s="21">
        <v>26.092600000000001</v>
      </c>
      <c r="AS219" s="21">
        <v>-1.29669E-2</v>
      </c>
      <c r="AT219" s="21">
        <v>209</v>
      </c>
      <c r="AU219" s="21">
        <v>0.77697799999999995</v>
      </c>
      <c r="AV219">
        <f t="shared" si="44"/>
        <v>16.008518518518514</v>
      </c>
      <c r="AW219">
        <f t="shared" si="45"/>
        <v>12.448031897777774</v>
      </c>
      <c r="AX219" s="9"/>
      <c r="AY219" s="21">
        <v>0.95245400000000002</v>
      </c>
      <c r="AZ219" s="21">
        <v>29.972200000000001</v>
      </c>
      <c r="BA219" s="21">
        <v>-1.18469E-2</v>
      </c>
      <c r="BB219" s="21">
        <v>209</v>
      </c>
      <c r="BC219" s="21">
        <v>0.95184299999999999</v>
      </c>
      <c r="BD219">
        <f t="shared" si="46"/>
        <v>14.625802469135802</v>
      </c>
      <c r="BE219">
        <f t="shared" si="47"/>
        <v>13.930404064938271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0.77255200000000002</v>
      </c>
      <c r="H220" s="21">
        <v>7.15123</v>
      </c>
      <c r="I220" s="21">
        <v>-1.33118E-2</v>
      </c>
      <c r="J220" s="21">
        <v>210</v>
      </c>
      <c r="K220" s="21">
        <v>0.77239999999999998</v>
      </c>
      <c r="L220">
        <f t="shared" si="36"/>
        <v>16.434320987654321</v>
      </c>
      <c r="M220">
        <f t="shared" si="37"/>
        <v>12.696367547654321</v>
      </c>
      <c r="N220" s="9"/>
      <c r="O220" s="21">
        <v>0.95748900000000003</v>
      </c>
      <c r="P220" s="21">
        <v>11.030799999999999</v>
      </c>
      <c r="Q220" s="21">
        <v>-1.2152100000000001E-2</v>
      </c>
      <c r="R220" s="21">
        <v>210</v>
      </c>
      <c r="S220" s="21">
        <v>0.95642099999999997</v>
      </c>
      <c r="T220">
        <f t="shared" si="38"/>
        <v>15.002592592592592</v>
      </c>
      <c r="U220">
        <f t="shared" si="39"/>
        <v>14.364817378888889</v>
      </c>
      <c r="X220" s="9"/>
      <c r="Y220" s="21">
        <v>0.77255200000000002</v>
      </c>
      <c r="Z220" s="21">
        <v>16.604399999999998</v>
      </c>
      <c r="AA220" s="21">
        <v>-1.3085899999999999E-2</v>
      </c>
      <c r="AB220" s="21">
        <v>210</v>
      </c>
      <c r="AC220" s="21">
        <v>0.77117899999999995</v>
      </c>
      <c r="AD220">
        <f t="shared" si="40"/>
        <v>16.155432098765431</v>
      </c>
      <c r="AE220">
        <f t="shared" si="41"/>
        <v>12.48091137876543</v>
      </c>
      <c r="AF220" s="9"/>
      <c r="AG220" s="21">
        <v>0.95748900000000003</v>
      </c>
      <c r="AH220" s="21">
        <v>20.484000000000002</v>
      </c>
      <c r="AI220" s="21">
        <v>-1.19568E-2</v>
      </c>
      <c r="AJ220" s="21">
        <v>210</v>
      </c>
      <c r="AK220" s="21">
        <v>0.95581099999999997</v>
      </c>
      <c r="AL220">
        <f t="shared" si="42"/>
        <v>14.761481481481482</v>
      </c>
      <c r="AM220">
        <f t="shared" si="43"/>
        <v>14.133956142222223</v>
      </c>
      <c r="AP220" s="9"/>
      <c r="AQ220" s="21">
        <v>0.77255200000000002</v>
      </c>
      <c r="AR220" s="21">
        <v>26.102599999999999</v>
      </c>
      <c r="AS220" s="21">
        <v>-1.29608E-2</v>
      </c>
      <c r="AT220" s="21">
        <v>210</v>
      </c>
      <c r="AU220" s="21">
        <v>0.77117899999999995</v>
      </c>
      <c r="AV220">
        <f t="shared" si="44"/>
        <v>16.000987654320987</v>
      </c>
      <c r="AW220">
        <f t="shared" si="45"/>
        <v>12.361595014320988</v>
      </c>
      <c r="AX220" s="9"/>
      <c r="AY220" s="21">
        <v>0.95748900000000003</v>
      </c>
      <c r="AZ220" s="21">
        <v>29.982299999999999</v>
      </c>
      <c r="BA220" s="21">
        <v>-1.18408E-2</v>
      </c>
      <c r="BB220" s="21">
        <v>210</v>
      </c>
      <c r="BC220" s="21">
        <v>0.95611599999999997</v>
      </c>
      <c r="BD220">
        <f t="shared" si="46"/>
        <v>14.618271604938272</v>
      </c>
      <c r="BE220">
        <f t="shared" si="47"/>
        <v>13.996834260740741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0.767517</v>
      </c>
      <c r="H221" s="21">
        <v>7.1612999999999998</v>
      </c>
      <c r="I221" s="21">
        <v>-1.33209E-2</v>
      </c>
      <c r="J221" s="21">
        <v>211</v>
      </c>
      <c r="K221" s="21">
        <v>0.76660200000000001</v>
      </c>
      <c r="L221">
        <f t="shared" si="36"/>
        <v>16.445555555555554</v>
      </c>
      <c r="M221">
        <f t="shared" si="37"/>
        <v>12.622243463333332</v>
      </c>
      <c r="N221" s="9"/>
      <c r="O221" s="21">
        <v>0.96252400000000005</v>
      </c>
      <c r="P221" s="21">
        <v>11.040900000000001</v>
      </c>
      <c r="Q221" s="21">
        <v>-1.2146000000000001E-2</v>
      </c>
      <c r="R221" s="21">
        <v>211</v>
      </c>
      <c r="S221" s="21">
        <v>0.96160900000000005</v>
      </c>
      <c r="T221">
        <f t="shared" si="38"/>
        <v>14.995061728395061</v>
      </c>
      <c r="U221">
        <f t="shared" si="39"/>
        <v>14.433106795061729</v>
      </c>
      <c r="X221" s="9"/>
      <c r="Y221" s="21">
        <v>0.767517</v>
      </c>
      <c r="Z221" s="21">
        <v>16.6145</v>
      </c>
      <c r="AA221" s="21">
        <v>-1.3089E-2</v>
      </c>
      <c r="AB221" s="21">
        <v>211</v>
      </c>
      <c r="AC221" s="21">
        <v>0.76690700000000001</v>
      </c>
      <c r="AD221">
        <f t="shared" si="40"/>
        <v>16.159259259259258</v>
      </c>
      <c r="AE221">
        <f t="shared" si="41"/>
        <v>12.402506188888887</v>
      </c>
      <c r="AF221" s="9"/>
      <c r="AG221" s="21">
        <v>0.96252400000000005</v>
      </c>
      <c r="AH221" s="21">
        <v>20.4941</v>
      </c>
      <c r="AI221" s="21">
        <v>-1.19446E-2</v>
      </c>
      <c r="AJ221" s="21">
        <v>211</v>
      </c>
      <c r="AK221" s="21">
        <v>0.96130400000000005</v>
      </c>
      <c r="AL221">
        <f t="shared" si="42"/>
        <v>14.746419753086418</v>
      </c>
      <c r="AM221">
        <f t="shared" si="43"/>
        <v>14.193782926419752</v>
      </c>
      <c r="AP221" s="9"/>
      <c r="AQ221" s="21">
        <v>0.767517</v>
      </c>
      <c r="AR221" s="21">
        <v>26.1127</v>
      </c>
      <c r="AS221" s="21">
        <v>-1.2948599999999999E-2</v>
      </c>
      <c r="AT221" s="21">
        <v>211</v>
      </c>
      <c r="AU221" s="21">
        <v>0.76690700000000001</v>
      </c>
      <c r="AV221">
        <f t="shared" si="44"/>
        <v>15.985925925925924</v>
      </c>
      <c r="AW221">
        <f t="shared" si="45"/>
        <v>12.269469908888889</v>
      </c>
      <c r="AX221" s="9"/>
      <c r="AY221" s="21">
        <v>0.96252400000000005</v>
      </c>
      <c r="AZ221" s="21">
        <v>29.9923</v>
      </c>
      <c r="BA221" s="21">
        <v>-1.1831700000000001E-2</v>
      </c>
      <c r="BB221" s="21">
        <v>211</v>
      </c>
      <c r="BC221" s="21">
        <v>0.96130400000000005</v>
      </c>
      <c r="BD221">
        <f t="shared" si="46"/>
        <v>14.607037037037037</v>
      </c>
      <c r="BE221">
        <f t="shared" si="47"/>
        <v>14.059623717037038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0.76248199999999999</v>
      </c>
      <c r="H222" s="21">
        <v>7.1713699999999996</v>
      </c>
      <c r="I222" s="21">
        <v>-1.3330099999999999E-2</v>
      </c>
      <c r="J222" s="21">
        <v>212</v>
      </c>
      <c r="K222" s="21">
        <v>0.76141400000000004</v>
      </c>
      <c r="L222">
        <f t="shared" si="36"/>
        <v>16.456913580246912</v>
      </c>
      <c r="M222">
        <f t="shared" si="37"/>
        <v>12.548100380493826</v>
      </c>
      <c r="N222" s="9"/>
      <c r="O222" s="21">
        <v>0.96755999999999998</v>
      </c>
      <c r="P222" s="21">
        <v>11.051</v>
      </c>
      <c r="Q222" s="21">
        <v>-1.21399E-2</v>
      </c>
      <c r="R222" s="21">
        <v>212</v>
      </c>
      <c r="S222" s="21">
        <v>0.96710200000000002</v>
      </c>
      <c r="T222">
        <f t="shared" si="38"/>
        <v>14.987530864197531</v>
      </c>
      <c r="U222">
        <f t="shared" si="39"/>
        <v>14.501335362962962</v>
      </c>
      <c r="X222" s="9"/>
      <c r="Y222" s="21">
        <v>0.76248199999999999</v>
      </c>
      <c r="Z222" s="21">
        <v>16.624600000000001</v>
      </c>
      <c r="AA222" s="21">
        <v>-1.30829E-2</v>
      </c>
      <c r="AB222" s="21">
        <v>212</v>
      </c>
      <c r="AC222" s="21">
        <v>0.76171900000000003</v>
      </c>
      <c r="AD222">
        <f t="shared" si="40"/>
        <v>16.151728395061728</v>
      </c>
      <c r="AE222">
        <f t="shared" si="41"/>
        <v>12.315402170123456</v>
      </c>
      <c r="AF222" s="9"/>
      <c r="AG222" s="21">
        <v>0.96755999999999998</v>
      </c>
      <c r="AH222" s="21">
        <v>20.504200000000001</v>
      </c>
      <c r="AI222" s="21">
        <v>-1.1935400000000001E-2</v>
      </c>
      <c r="AJ222" s="21">
        <v>212</v>
      </c>
      <c r="AK222" s="21">
        <v>0.96649200000000002</v>
      </c>
      <c r="AL222">
        <f t="shared" si="42"/>
        <v>14.735061728395062</v>
      </c>
      <c r="AM222">
        <f t="shared" si="43"/>
        <v>14.257056325925925</v>
      </c>
      <c r="AP222" s="9"/>
      <c r="AQ222" s="21">
        <v>0.76248199999999999</v>
      </c>
      <c r="AR222" s="21">
        <v>26.122800000000002</v>
      </c>
      <c r="AS222" s="21">
        <v>-1.29303E-2</v>
      </c>
      <c r="AT222" s="21">
        <v>212</v>
      </c>
      <c r="AU222" s="21">
        <v>0.76171900000000003</v>
      </c>
      <c r="AV222">
        <f t="shared" si="44"/>
        <v>15.963333333333333</v>
      </c>
      <c r="AW222">
        <f t="shared" si="45"/>
        <v>12.171754326666667</v>
      </c>
      <c r="AX222" s="9"/>
      <c r="AY222" s="21">
        <v>0.96755999999999998</v>
      </c>
      <c r="AZ222" s="21">
        <v>30.002400000000002</v>
      </c>
      <c r="BA222" s="21">
        <v>-1.18286E-2</v>
      </c>
      <c r="BB222" s="21">
        <v>212</v>
      </c>
      <c r="BC222" s="21">
        <v>0.96618700000000002</v>
      </c>
      <c r="BD222">
        <f t="shared" si="46"/>
        <v>14.603209876543209</v>
      </c>
      <c r="BE222">
        <f t="shared" si="47"/>
        <v>14.129481748148148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0.75744599999999995</v>
      </c>
      <c r="H223" s="21">
        <v>7.1814400000000003</v>
      </c>
      <c r="I223" s="21">
        <v>-1.33484E-2</v>
      </c>
      <c r="J223" s="21">
        <v>213</v>
      </c>
      <c r="K223" s="21">
        <v>0.75653099999999995</v>
      </c>
      <c r="L223">
        <f t="shared" si="36"/>
        <v>16.479506172839503</v>
      </c>
      <c r="M223">
        <f t="shared" si="37"/>
        <v>12.48233603259259</v>
      </c>
      <c r="N223" s="9"/>
      <c r="O223" s="21">
        <v>0.97259499999999999</v>
      </c>
      <c r="P223" s="21">
        <v>11.0611</v>
      </c>
      <c r="Q223" s="21">
        <v>-1.21338E-2</v>
      </c>
      <c r="R223" s="21">
        <v>213</v>
      </c>
      <c r="S223" s="21">
        <v>0.97137499999999999</v>
      </c>
      <c r="T223">
        <f t="shared" si="38"/>
        <v>14.979999999999999</v>
      </c>
      <c r="U223">
        <f t="shared" si="39"/>
        <v>14.569473099999998</v>
      </c>
      <c r="X223" s="9"/>
      <c r="Y223" s="21">
        <v>0.75744599999999995</v>
      </c>
      <c r="Z223" s="21">
        <v>16.634599999999999</v>
      </c>
      <c r="AA223" s="21">
        <v>-1.3073700000000001E-2</v>
      </c>
      <c r="AB223" s="21">
        <v>213</v>
      </c>
      <c r="AC223" s="21">
        <v>0.75622599999999995</v>
      </c>
      <c r="AD223">
        <f t="shared" si="40"/>
        <v>16.14037037037037</v>
      </c>
      <c r="AE223">
        <f t="shared" si="41"/>
        <v>12.225458975555554</v>
      </c>
      <c r="AF223" s="9"/>
      <c r="AG223" s="21">
        <v>0.97259499999999999</v>
      </c>
      <c r="AH223" s="21">
        <v>20.514199999999999</v>
      </c>
      <c r="AI223" s="21">
        <v>-1.1932399999999999E-2</v>
      </c>
      <c r="AJ223" s="21">
        <v>213</v>
      </c>
      <c r="AK223" s="21">
        <v>0.97198499999999999</v>
      </c>
      <c r="AL223">
        <f t="shared" si="42"/>
        <v>14.731358024691357</v>
      </c>
      <c r="AM223">
        <f t="shared" si="43"/>
        <v>14.327645158024691</v>
      </c>
      <c r="AP223" s="9"/>
      <c r="AQ223" s="21">
        <v>0.75744599999999995</v>
      </c>
      <c r="AR223" s="21">
        <v>26.132899999999999</v>
      </c>
      <c r="AS223" s="21">
        <v>-1.29242E-2</v>
      </c>
      <c r="AT223" s="21">
        <v>213</v>
      </c>
      <c r="AU223" s="21">
        <v>0.75653099999999995</v>
      </c>
      <c r="AV223">
        <f t="shared" si="44"/>
        <v>15.955802469135801</v>
      </c>
      <c r="AW223">
        <f t="shared" si="45"/>
        <v>12.085658757037034</v>
      </c>
      <c r="AX223" s="9"/>
      <c r="AY223" s="21">
        <v>0.97259499999999999</v>
      </c>
      <c r="AZ223" s="21">
        <v>30.012499999999999</v>
      </c>
      <c r="BA223" s="21">
        <v>-1.1810299999999999E-2</v>
      </c>
      <c r="BB223" s="21">
        <v>213</v>
      </c>
      <c r="BC223" s="21">
        <v>0.97137499999999999</v>
      </c>
      <c r="BD223">
        <f t="shared" si="46"/>
        <v>14.580617283950616</v>
      </c>
      <c r="BE223">
        <f t="shared" si="47"/>
        <v>14.18103546728395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0.75241100000000005</v>
      </c>
      <c r="H224" s="21">
        <v>7.1915100000000001</v>
      </c>
      <c r="I224" s="21">
        <v>-1.33575E-2</v>
      </c>
      <c r="J224" s="21">
        <v>214</v>
      </c>
      <c r="K224" s="21">
        <v>0.75164799999999998</v>
      </c>
      <c r="L224">
        <f t="shared" si="36"/>
        <v>16.49074074074074</v>
      </c>
      <c r="M224">
        <f t="shared" si="37"/>
        <v>12.407814731481482</v>
      </c>
      <c r="N224" s="9"/>
      <c r="O224" s="21">
        <v>0.97763100000000003</v>
      </c>
      <c r="P224" s="21">
        <v>11.071099999999999</v>
      </c>
      <c r="Q224" s="21">
        <v>-1.21277E-2</v>
      </c>
      <c r="R224" s="21">
        <v>214</v>
      </c>
      <c r="S224" s="21">
        <v>0.97656299999999996</v>
      </c>
      <c r="T224">
        <f t="shared" si="38"/>
        <v>14.972469135802468</v>
      </c>
      <c r="U224">
        <f t="shared" si="39"/>
        <v>14.637549973703702</v>
      </c>
      <c r="X224" s="9"/>
      <c r="Y224" s="21">
        <v>0.75241100000000005</v>
      </c>
      <c r="Z224" s="21">
        <v>16.6447</v>
      </c>
      <c r="AA224" s="21">
        <v>-1.3058500000000001E-2</v>
      </c>
      <c r="AB224" s="21">
        <v>214</v>
      </c>
      <c r="AC224" s="21">
        <v>0.75134299999999998</v>
      </c>
      <c r="AD224">
        <f t="shared" si="40"/>
        <v>16.121604938271602</v>
      </c>
      <c r="AE224">
        <f t="shared" si="41"/>
        <v>12.130072893209876</v>
      </c>
      <c r="AF224" s="9"/>
      <c r="AG224" s="21">
        <v>0.97763100000000003</v>
      </c>
      <c r="AH224" s="21">
        <v>20.5243</v>
      </c>
      <c r="AI224" s="21">
        <v>-1.1920200000000001E-2</v>
      </c>
      <c r="AJ224" s="21">
        <v>214</v>
      </c>
      <c r="AK224" s="21">
        <v>0.97625700000000004</v>
      </c>
      <c r="AL224">
        <f t="shared" si="42"/>
        <v>14.716296296296298</v>
      </c>
      <c r="AM224">
        <f t="shared" si="43"/>
        <v>14.387107464444446</v>
      </c>
      <c r="AP224" s="9"/>
      <c r="AQ224" s="21">
        <v>0.75241100000000005</v>
      </c>
      <c r="AR224" s="21">
        <v>26.142900000000001</v>
      </c>
      <c r="AS224" s="21">
        <v>-1.29333E-2</v>
      </c>
      <c r="AT224" s="21">
        <v>214</v>
      </c>
      <c r="AU224" s="21">
        <v>0.75134299999999998</v>
      </c>
      <c r="AV224">
        <f t="shared" si="44"/>
        <v>15.967037037037036</v>
      </c>
      <c r="AW224">
        <f t="shared" si="45"/>
        <v>12.013774304074074</v>
      </c>
      <c r="AX224" s="9"/>
      <c r="AY224" s="21">
        <v>0.97763100000000003</v>
      </c>
      <c r="AZ224" s="21">
        <v>30.022500000000001</v>
      </c>
      <c r="BA224" s="21">
        <v>-1.1795E-2</v>
      </c>
      <c r="BB224" s="21">
        <v>214</v>
      </c>
      <c r="BC224" s="21">
        <v>0.97686799999999996</v>
      </c>
      <c r="BD224">
        <f t="shared" si="46"/>
        <v>14.561728395061728</v>
      </c>
      <c r="BE224">
        <f t="shared" si="47"/>
        <v>14.235997092592592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0.74737500000000001</v>
      </c>
      <c r="H225" s="21">
        <v>7.2015799999999999</v>
      </c>
      <c r="I225" s="21">
        <v>-1.33606E-2</v>
      </c>
      <c r="J225" s="21">
        <v>215</v>
      </c>
      <c r="K225" s="21">
        <v>0.74676500000000001</v>
      </c>
      <c r="L225">
        <f t="shared" si="36"/>
        <v>16.494567901234568</v>
      </c>
      <c r="M225">
        <f t="shared" si="37"/>
        <v>12.327627685185185</v>
      </c>
      <c r="N225" s="9"/>
      <c r="O225" s="21">
        <v>0.98266600000000004</v>
      </c>
      <c r="P225" s="21">
        <v>11.081200000000001</v>
      </c>
      <c r="Q225" s="21">
        <v>-1.2109399999999999E-2</v>
      </c>
      <c r="R225" s="21">
        <v>215</v>
      </c>
      <c r="S225" s="21">
        <v>0.98205600000000004</v>
      </c>
      <c r="T225">
        <f t="shared" si="38"/>
        <v>14.949876543209875</v>
      </c>
      <c r="U225">
        <f t="shared" si="39"/>
        <v>14.690735383209876</v>
      </c>
      <c r="X225" s="9"/>
      <c r="Y225" s="21">
        <v>0.74737500000000001</v>
      </c>
      <c r="Z225" s="21">
        <v>16.654800000000002</v>
      </c>
      <c r="AA225" s="21">
        <v>-1.30493E-2</v>
      </c>
      <c r="AB225" s="21">
        <v>215</v>
      </c>
      <c r="AC225" s="21">
        <v>0.74673500000000004</v>
      </c>
      <c r="AD225">
        <f t="shared" si="40"/>
        <v>16.110246913580244</v>
      </c>
      <c r="AE225">
        <f t="shared" si="41"/>
        <v>12.040395787037035</v>
      </c>
      <c r="AF225" s="9"/>
      <c r="AG225" s="21">
        <v>0.98266600000000004</v>
      </c>
      <c r="AH225" s="21">
        <v>20.534400000000002</v>
      </c>
      <c r="AI225" s="21">
        <v>-1.19141E-2</v>
      </c>
      <c r="AJ225" s="21">
        <v>215</v>
      </c>
      <c r="AK225" s="21">
        <v>0.98205600000000004</v>
      </c>
      <c r="AL225">
        <f t="shared" si="42"/>
        <v>14.708765432098765</v>
      </c>
      <c r="AM225">
        <f t="shared" si="43"/>
        <v>14.453803692098766</v>
      </c>
      <c r="AP225" s="9"/>
      <c r="AQ225" s="21">
        <v>0.74737500000000001</v>
      </c>
      <c r="AR225" s="21">
        <v>26.152999999999999</v>
      </c>
      <c r="AS225" s="21">
        <v>-1.2942499999999999E-2</v>
      </c>
      <c r="AT225" s="21">
        <v>215</v>
      </c>
      <c r="AU225" s="21">
        <v>0.74673500000000004</v>
      </c>
      <c r="AV225">
        <f t="shared" si="44"/>
        <v>15.978395061728392</v>
      </c>
      <c r="AW225">
        <f t="shared" si="45"/>
        <v>11.941853009259257</v>
      </c>
      <c r="AX225" s="9"/>
      <c r="AY225" s="21">
        <v>0.98266600000000004</v>
      </c>
      <c r="AZ225" s="21">
        <v>30.032599999999999</v>
      </c>
      <c r="BA225" s="21">
        <v>-1.1776699999999999E-2</v>
      </c>
      <c r="BB225" s="21">
        <v>215</v>
      </c>
      <c r="BC225" s="21">
        <v>0.98236100000000004</v>
      </c>
      <c r="BD225">
        <f t="shared" si="46"/>
        <v>14.539135802469135</v>
      </c>
      <c r="BE225">
        <f t="shared" si="47"/>
        <v>14.287114422469136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0.74234</v>
      </c>
      <c r="H226" s="21">
        <v>7.2116499999999997</v>
      </c>
      <c r="I226" s="21">
        <v>-1.33545E-2</v>
      </c>
      <c r="J226" s="21">
        <v>216</v>
      </c>
      <c r="K226" s="21">
        <v>0.74173</v>
      </c>
      <c r="L226">
        <f t="shared" si="36"/>
        <v>16.487037037037037</v>
      </c>
      <c r="M226">
        <f t="shared" si="37"/>
        <v>12.238987074074075</v>
      </c>
      <c r="N226" s="9"/>
      <c r="O226" s="21">
        <v>0.98770100000000005</v>
      </c>
      <c r="P226" s="21">
        <v>11.0913</v>
      </c>
      <c r="Q226" s="21">
        <v>-1.2088E-2</v>
      </c>
      <c r="R226" s="21">
        <v>216</v>
      </c>
      <c r="S226" s="21">
        <v>0.98724400000000001</v>
      </c>
      <c r="T226">
        <f t="shared" si="38"/>
        <v>14.923456790123456</v>
      </c>
      <c r="U226">
        <f t="shared" si="39"/>
        <v>14.739913195061728</v>
      </c>
      <c r="X226" s="9"/>
      <c r="Y226" s="21">
        <v>0.74234</v>
      </c>
      <c r="Z226" s="21">
        <v>16.6648</v>
      </c>
      <c r="AA226" s="21">
        <v>-1.30615E-2</v>
      </c>
      <c r="AB226" s="21">
        <v>216</v>
      </c>
      <c r="AC226" s="21">
        <v>0.74163800000000002</v>
      </c>
      <c r="AD226">
        <f t="shared" si="40"/>
        <v>16.125308641975309</v>
      </c>
      <c r="AE226">
        <f t="shared" si="41"/>
        <v>11.97046161728395</v>
      </c>
      <c r="AF226" s="9"/>
      <c r="AG226" s="21">
        <v>0.98770100000000005</v>
      </c>
      <c r="AH226" s="21">
        <v>20.544499999999999</v>
      </c>
      <c r="AI226" s="21">
        <v>-1.19019E-2</v>
      </c>
      <c r="AJ226" s="21">
        <v>216</v>
      </c>
      <c r="AK226" s="21">
        <v>0.98663299999999998</v>
      </c>
      <c r="AL226">
        <f t="shared" si="42"/>
        <v>14.693703703703703</v>
      </c>
      <c r="AM226">
        <f t="shared" si="43"/>
        <v>14.512985841851851</v>
      </c>
      <c r="AP226" s="9"/>
      <c r="AQ226" s="21">
        <v>0.74234</v>
      </c>
      <c r="AR226" s="21">
        <v>26.1631</v>
      </c>
      <c r="AS226" s="21">
        <v>-1.2948599999999999E-2</v>
      </c>
      <c r="AT226" s="21">
        <v>216</v>
      </c>
      <c r="AU226" s="21">
        <v>0.74179099999999998</v>
      </c>
      <c r="AV226">
        <f t="shared" si="44"/>
        <v>15.985925925925924</v>
      </c>
      <c r="AW226">
        <f t="shared" si="45"/>
        <v>11.866992251851851</v>
      </c>
      <c r="AX226" s="9"/>
      <c r="AY226" s="21">
        <v>0.98770100000000005</v>
      </c>
      <c r="AZ226" s="21">
        <v>30.0427</v>
      </c>
      <c r="BA226" s="21">
        <v>-1.1764500000000001E-2</v>
      </c>
      <c r="BB226" s="21">
        <v>216</v>
      </c>
      <c r="BC226" s="21">
        <v>0.98663299999999998</v>
      </c>
      <c r="BD226">
        <f t="shared" si="46"/>
        <v>14.524074074074075</v>
      </c>
      <c r="BE226">
        <f t="shared" si="47"/>
        <v>14.345442487037039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0.73730499999999999</v>
      </c>
      <c r="H227" s="21">
        <v>7.22173</v>
      </c>
      <c r="I227" s="21">
        <v>-1.3339200000000001E-2</v>
      </c>
      <c r="J227" s="21">
        <v>217</v>
      </c>
      <c r="K227" s="21">
        <v>0.73672499999999996</v>
      </c>
      <c r="L227">
        <f t="shared" si="36"/>
        <v>16.468148148148149</v>
      </c>
      <c r="M227">
        <f t="shared" si="37"/>
        <v>12.142047970370371</v>
      </c>
      <c r="N227" s="9"/>
      <c r="O227" s="21">
        <v>0.99273699999999998</v>
      </c>
      <c r="P227" s="21">
        <v>11.1013</v>
      </c>
      <c r="Q227" s="21">
        <v>-1.20789E-2</v>
      </c>
      <c r="R227" s="21">
        <v>217</v>
      </c>
      <c r="S227" s="21">
        <v>0.99182099999999995</v>
      </c>
      <c r="T227">
        <f t="shared" si="38"/>
        <v>14.912222222222221</v>
      </c>
      <c r="U227">
        <f t="shared" si="39"/>
        <v>14.803914752222221</v>
      </c>
      <c r="X227" s="9"/>
      <c r="Y227" s="21">
        <v>0.73730499999999999</v>
      </c>
      <c r="Z227" s="21">
        <v>16.674900000000001</v>
      </c>
      <c r="AA227" s="21">
        <v>-1.3070699999999999E-2</v>
      </c>
      <c r="AB227" s="21">
        <v>217</v>
      </c>
      <c r="AC227" s="21">
        <v>0.73666399999999999</v>
      </c>
      <c r="AD227">
        <f t="shared" si="40"/>
        <v>16.136666666666663</v>
      </c>
      <c r="AE227">
        <f t="shared" si="41"/>
        <v>11.897645016666663</v>
      </c>
      <c r="AF227" s="9"/>
      <c r="AG227" s="21">
        <v>0.99273699999999998</v>
      </c>
      <c r="AH227" s="21">
        <v>20.554500000000001</v>
      </c>
      <c r="AI227" s="21">
        <v>-1.18805E-2</v>
      </c>
      <c r="AJ227" s="21">
        <v>217</v>
      </c>
      <c r="AK227" s="21">
        <v>0.99151599999999995</v>
      </c>
      <c r="AL227">
        <f t="shared" si="42"/>
        <v>14.667283950617284</v>
      </c>
      <c r="AM227">
        <f t="shared" si="43"/>
        <v>14.560755467283951</v>
      </c>
      <c r="AP227" s="9"/>
      <c r="AQ227" s="21">
        <v>0.73730499999999999</v>
      </c>
      <c r="AR227" s="21">
        <v>26.173100000000002</v>
      </c>
      <c r="AS227" s="21">
        <v>-1.29608E-2</v>
      </c>
      <c r="AT227" s="21">
        <v>217</v>
      </c>
      <c r="AU227" s="21">
        <v>0.73666399999999999</v>
      </c>
      <c r="AV227">
        <f t="shared" si="44"/>
        <v>16.000987654320987</v>
      </c>
      <c r="AW227">
        <f t="shared" si="45"/>
        <v>11.797608202469135</v>
      </c>
      <c r="AX227" s="9"/>
      <c r="AY227" s="21">
        <v>0.99273699999999998</v>
      </c>
      <c r="AZ227" s="21">
        <v>30.052800000000001</v>
      </c>
      <c r="BA227" s="21">
        <v>-1.17523E-2</v>
      </c>
      <c r="BB227" s="21">
        <v>217</v>
      </c>
      <c r="BC227" s="21">
        <v>0.99151599999999995</v>
      </c>
      <c r="BD227">
        <f t="shared" si="46"/>
        <v>14.509012345679011</v>
      </c>
      <c r="BE227">
        <f t="shared" si="47"/>
        <v>14.403633389012343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0.73226899999999995</v>
      </c>
      <c r="H228" s="21">
        <v>7.2317999999999998</v>
      </c>
      <c r="I228" s="21">
        <v>-1.3330099999999999E-2</v>
      </c>
      <c r="J228" s="21">
        <v>218</v>
      </c>
      <c r="K228" s="21">
        <v>0.73159799999999997</v>
      </c>
      <c r="L228">
        <f t="shared" si="36"/>
        <v>16.456913580246912</v>
      </c>
      <c r="M228">
        <f t="shared" si="37"/>
        <v>12.050887650493825</v>
      </c>
      <c r="N228" s="9"/>
      <c r="O228" s="21">
        <v>0.99777199999999999</v>
      </c>
      <c r="P228" s="21">
        <v>11.1114</v>
      </c>
      <c r="Q228" s="21">
        <v>-1.20789E-2</v>
      </c>
      <c r="R228" s="21">
        <v>218</v>
      </c>
      <c r="S228" s="21">
        <v>0.99700900000000003</v>
      </c>
      <c r="T228">
        <f t="shared" si="38"/>
        <v>14.912222222222221</v>
      </c>
      <c r="U228">
        <f t="shared" si="39"/>
        <v>14.878997791111109</v>
      </c>
      <c r="X228" s="9"/>
      <c r="Y228" s="21">
        <v>0.73226899999999995</v>
      </c>
      <c r="Z228" s="21">
        <v>16.684999999999999</v>
      </c>
      <c r="AA228" s="21">
        <v>-1.3073700000000001E-2</v>
      </c>
      <c r="AB228" s="21">
        <v>218</v>
      </c>
      <c r="AC228" s="21">
        <v>0.73168900000000003</v>
      </c>
      <c r="AD228">
        <f t="shared" si="40"/>
        <v>16.14037037037037</v>
      </c>
      <c r="AE228">
        <f t="shared" si="41"/>
        <v>11.819092870740739</v>
      </c>
      <c r="AF228" s="9"/>
      <c r="AG228" s="21">
        <v>0.99777199999999999</v>
      </c>
      <c r="AH228" s="21">
        <v>20.564599999999999</v>
      </c>
      <c r="AI228" s="21">
        <v>-1.18561E-2</v>
      </c>
      <c r="AJ228" s="21">
        <v>218</v>
      </c>
      <c r="AK228" s="21">
        <v>0.99639900000000003</v>
      </c>
      <c r="AL228">
        <f t="shared" si="42"/>
        <v>14.63716049382716</v>
      </c>
      <c r="AM228">
        <f t="shared" si="43"/>
        <v>14.604548900246913</v>
      </c>
      <c r="AP228" s="9"/>
      <c r="AQ228" s="21">
        <v>0.73226899999999995</v>
      </c>
      <c r="AR228" s="21">
        <v>26.183199999999999</v>
      </c>
      <c r="AS228" s="21">
        <v>-1.29669E-2</v>
      </c>
      <c r="AT228" s="21">
        <v>218</v>
      </c>
      <c r="AU228" s="21">
        <v>0.73162799999999995</v>
      </c>
      <c r="AV228">
        <f t="shared" si="44"/>
        <v>16.008518518518514</v>
      </c>
      <c r="AW228">
        <f t="shared" si="45"/>
        <v>11.722541847037032</v>
      </c>
      <c r="AX228" s="9"/>
      <c r="AY228" s="21">
        <v>0.99777199999999999</v>
      </c>
      <c r="AZ228" s="21">
        <v>30.062799999999999</v>
      </c>
      <c r="BA228" s="21">
        <v>-1.1734E-2</v>
      </c>
      <c r="BB228" s="21">
        <v>218</v>
      </c>
      <c r="BC228" s="21">
        <v>0.99700900000000003</v>
      </c>
      <c r="BD228">
        <f t="shared" si="46"/>
        <v>14.486419753086418</v>
      </c>
      <c r="BE228">
        <f t="shared" si="47"/>
        <v>14.454144009876542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0.72723400000000005</v>
      </c>
      <c r="H229" s="21">
        <v>7.2418699999999996</v>
      </c>
      <c r="I229" s="21">
        <v>-1.3324000000000001E-2</v>
      </c>
      <c r="J229" s="21">
        <v>219</v>
      </c>
      <c r="K229" s="21">
        <v>0.72653199999999996</v>
      </c>
      <c r="L229">
        <f t="shared" si="36"/>
        <v>16.449382716049382</v>
      </c>
      <c r="M229">
        <f t="shared" si="37"/>
        <v>11.962550390123457</v>
      </c>
      <c r="N229" s="9"/>
      <c r="O229" s="21">
        <v>1.00281</v>
      </c>
      <c r="P229" s="21">
        <v>11.121499999999999</v>
      </c>
      <c r="Q229" s="21">
        <v>-1.20789E-2</v>
      </c>
      <c r="R229" s="21">
        <v>219</v>
      </c>
      <c r="S229" s="21">
        <v>1.00159</v>
      </c>
      <c r="T229">
        <f t="shared" si="38"/>
        <v>14.912222222222221</v>
      </c>
      <c r="U229">
        <f t="shared" si="39"/>
        <v>14.954125566666665</v>
      </c>
      <c r="X229" s="9"/>
      <c r="Y229" s="21">
        <v>0.72723400000000005</v>
      </c>
      <c r="Z229" s="21">
        <v>16.695</v>
      </c>
      <c r="AA229" s="21">
        <v>-1.3079800000000001E-2</v>
      </c>
      <c r="AB229" s="21">
        <v>219</v>
      </c>
      <c r="AC229" s="21">
        <v>0.72659300000000004</v>
      </c>
      <c r="AD229">
        <f t="shared" si="40"/>
        <v>16.147901234567904</v>
      </c>
      <c r="AE229">
        <f t="shared" si="41"/>
        <v>11.743302806419756</v>
      </c>
      <c r="AF229" s="9"/>
      <c r="AG229" s="21">
        <v>1.00281</v>
      </c>
      <c r="AH229" s="21">
        <v>20.5747</v>
      </c>
      <c r="AI229" s="21">
        <v>-1.18347E-2</v>
      </c>
      <c r="AJ229" s="21">
        <v>219</v>
      </c>
      <c r="AK229" s="21">
        <v>1.00159</v>
      </c>
      <c r="AL229">
        <f t="shared" si="42"/>
        <v>14.61074074074074</v>
      </c>
      <c r="AM229">
        <f t="shared" si="43"/>
        <v>14.651796922222221</v>
      </c>
      <c r="AP229" s="9"/>
      <c r="AQ229" s="21">
        <v>0.72723400000000005</v>
      </c>
      <c r="AR229" s="21">
        <v>26.193300000000001</v>
      </c>
      <c r="AS229" s="21">
        <v>-1.2970000000000001E-2</v>
      </c>
      <c r="AT229" s="21">
        <v>219</v>
      </c>
      <c r="AU229" s="21">
        <v>0.72662400000000005</v>
      </c>
      <c r="AV229">
        <f t="shared" si="44"/>
        <v>16.012345679012348</v>
      </c>
      <c r="AW229">
        <f t="shared" si="45"/>
        <v>11.644722197530866</v>
      </c>
      <c r="AX229" s="9"/>
      <c r="AY229" s="21">
        <v>1.00281</v>
      </c>
      <c r="AZ229" s="21">
        <v>30.072900000000001</v>
      </c>
      <c r="BA229" s="21">
        <v>-1.1715700000000001E-2</v>
      </c>
      <c r="BB229" s="21">
        <v>219</v>
      </c>
      <c r="BC229" s="21">
        <v>1.0022</v>
      </c>
      <c r="BD229">
        <f t="shared" si="46"/>
        <v>14.463827160493826</v>
      </c>
      <c r="BE229">
        <f t="shared" si="47"/>
        <v>14.504470514814814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0.72219800000000001</v>
      </c>
      <c r="H230" s="21">
        <v>7.2519400000000003</v>
      </c>
      <c r="I230" s="21">
        <v>-1.33209E-2</v>
      </c>
      <c r="J230" s="21">
        <v>220</v>
      </c>
      <c r="K230" s="21">
        <v>0.72146600000000005</v>
      </c>
      <c r="L230">
        <f t="shared" si="36"/>
        <v>16.445555555555554</v>
      </c>
      <c r="M230">
        <f t="shared" si="37"/>
        <v>11.87694733111111</v>
      </c>
      <c r="N230" s="9"/>
      <c r="O230" s="21">
        <v>1.0078400000000001</v>
      </c>
      <c r="P230" s="21">
        <v>11.131600000000001</v>
      </c>
      <c r="Q230" s="21">
        <v>-1.2057500000000001E-2</v>
      </c>
      <c r="R230" s="21">
        <v>220</v>
      </c>
      <c r="S230" s="21">
        <v>1.0067699999999999</v>
      </c>
      <c r="T230">
        <f t="shared" si="38"/>
        <v>14.885802469135802</v>
      </c>
      <c r="U230">
        <f t="shared" si="39"/>
        <v>15.002507160493828</v>
      </c>
      <c r="X230" s="9"/>
      <c r="Y230" s="21">
        <v>0.72219800000000001</v>
      </c>
      <c r="Z230" s="21">
        <v>16.705100000000002</v>
      </c>
      <c r="AA230" s="21">
        <v>-1.3079800000000001E-2</v>
      </c>
      <c r="AB230" s="21">
        <v>220</v>
      </c>
      <c r="AC230" s="21">
        <v>0.72158800000000001</v>
      </c>
      <c r="AD230">
        <f t="shared" si="40"/>
        <v>16.147901234567904</v>
      </c>
      <c r="AE230">
        <f t="shared" si="41"/>
        <v>11.661981975802471</v>
      </c>
      <c r="AF230" s="9"/>
      <c r="AG230" s="21">
        <v>1.0078400000000001</v>
      </c>
      <c r="AH230" s="21">
        <v>20.584700000000002</v>
      </c>
      <c r="AI230" s="21">
        <v>-1.18134E-2</v>
      </c>
      <c r="AJ230" s="21">
        <v>220</v>
      </c>
      <c r="AK230" s="21">
        <v>1.0067699999999999</v>
      </c>
      <c r="AL230">
        <f t="shared" si="42"/>
        <v>14.584444444444443</v>
      </c>
      <c r="AM230">
        <f t="shared" si="43"/>
        <v>14.698786488888889</v>
      </c>
      <c r="AP230" s="9"/>
      <c r="AQ230" s="21">
        <v>0.72219800000000001</v>
      </c>
      <c r="AR230" s="21">
        <v>26.203399999999998</v>
      </c>
      <c r="AS230" s="21">
        <v>-1.2982199999999999E-2</v>
      </c>
      <c r="AT230" s="21">
        <v>220</v>
      </c>
      <c r="AU230" s="21">
        <v>0.72158800000000001</v>
      </c>
      <c r="AV230">
        <f t="shared" si="44"/>
        <v>16.027407407407406</v>
      </c>
      <c r="AW230">
        <f t="shared" si="45"/>
        <v>11.574961574814814</v>
      </c>
      <c r="AX230" s="9"/>
      <c r="AY230" s="21">
        <v>1.0078400000000001</v>
      </c>
      <c r="AZ230" s="21">
        <v>30.082999999999998</v>
      </c>
      <c r="BA230" s="21">
        <v>-1.17004E-2</v>
      </c>
      <c r="BB230" s="21">
        <v>220</v>
      </c>
      <c r="BC230" s="21">
        <v>1.0067699999999999</v>
      </c>
      <c r="BD230">
        <f t="shared" si="46"/>
        <v>14.444938271604938</v>
      </c>
      <c r="BE230">
        <f t="shared" si="47"/>
        <v>14.558186587654323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0.71716299999999999</v>
      </c>
      <c r="H231" s="21">
        <v>7.2620100000000001</v>
      </c>
      <c r="I231" s="21">
        <v>-1.3330099999999999E-2</v>
      </c>
      <c r="J231" s="21">
        <v>221</v>
      </c>
      <c r="K231" s="21">
        <v>0.716553</v>
      </c>
      <c r="L231">
        <f t="shared" si="36"/>
        <v>16.456913580246912</v>
      </c>
      <c r="M231">
        <f t="shared" si="37"/>
        <v>11.802289513950615</v>
      </c>
      <c r="N231" s="9"/>
      <c r="O231" s="21">
        <v>1.01288</v>
      </c>
      <c r="P231" s="21">
        <v>11.1416</v>
      </c>
      <c r="Q231" s="21">
        <v>-1.2030000000000001E-2</v>
      </c>
      <c r="R231" s="21">
        <v>221</v>
      </c>
      <c r="S231" s="21">
        <v>1.01166</v>
      </c>
      <c r="T231">
        <f t="shared" si="38"/>
        <v>14.851851851851853</v>
      </c>
      <c r="U231">
        <f t="shared" si="39"/>
        <v>15.043143703703706</v>
      </c>
      <c r="X231" s="9"/>
      <c r="Y231" s="21">
        <v>0.71716299999999999</v>
      </c>
      <c r="Z231" s="21">
        <v>16.715199999999999</v>
      </c>
      <c r="AA231" s="21">
        <v>-1.3073700000000001E-2</v>
      </c>
      <c r="AB231" s="21">
        <v>221</v>
      </c>
      <c r="AC231" s="21">
        <v>0.71661399999999997</v>
      </c>
      <c r="AD231">
        <f t="shared" si="40"/>
        <v>16.14037037037037</v>
      </c>
      <c r="AE231">
        <f t="shared" si="41"/>
        <v>11.575276435925925</v>
      </c>
      <c r="AF231" s="9"/>
      <c r="AG231" s="21">
        <v>1.01288</v>
      </c>
      <c r="AH231" s="21">
        <v>20.594799999999999</v>
      </c>
      <c r="AI231" s="21">
        <v>-1.18011E-2</v>
      </c>
      <c r="AJ231" s="21">
        <v>221</v>
      </c>
      <c r="AK231" s="21">
        <v>1.01135</v>
      </c>
      <c r="AL231">
        <f t="shared" si="42"/>
        <v>14.56925925925926</v>
      </c>
      <c r="AM231">
        <f t="shared" si="43"/>
        <v>14.756911318518519</v>
      </c>
      <c r="AP231" s="9"/>
      <c r="AQ231" s="21">
        <v>0.71716299999999999</v>
      </c>
      <c r="AR231" s="21">
        <v>26.2134</v>
      </c>
      <c r="AS231" s="21">
        <v>-1.2985200000000001E-2</v>
      </c>
      <c r="AT231" s="21">
        <v>221</v>
      </c>
      <c r="AU231" s="21">
        <v>0.71658299999999997</v>
      </c>
      <c r="AV231">
        <f t="shared" si="44"/>
        <v>16.031111111111109</v>
      </c>
      <c r="AW231">
        <f t="shared" si="45"/>
        <v>11.496919737777777</v>
      </c>
      <c r="AX231" s="9"/>
      <c r="AY231" s="21">
        <v>1.01288</v>
      </c>
      <c r="AZ231" s="21">
        <v>30.093</v>
      </c>
      <c r="BA231" s="21">
        <v>-1.16852E-2</v>
      </c>
      <c r="BB231" s="21">
        <v>221</v>
      </c>
      <c r="BC231" s="21">
        <v>1.01135</v>
      </c>
      <c r="BD231">
        <f t="shared" si="46"/>
        <v>14.426172839506172</v>
      </c>
      <c r="BE231">
        <f t="shared" si="47"/>
        <v>14.611981945679013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0.71212799999999998</v>
      </c>
      <c r="H232" s="21">
        <v>7.2720799999999999</v>
      </c>
      <c r="I232" s="21">
        <v>-1.3333100000000001E-2</v>
      </c>
      <c r="J232" s="21">
        <v>222</v>
      </c>
      <c r="K232" s="21">
        <v>0.71145599999999998</v>
      </c>
      <c r="L232">
        <f t="shared" si="36"/>
        <v>16.460617283950615</v>
      </c>
      <c r="M232">
        <f t="shared" si="37"/>
        <v>11.722066465185183</v>
      </c>
      <c r="N232" s="9"/>
      <c r="O232" s="21">
        <v>1.0179100000000001</v>
      </c>
      <c r="P232" s="21">
        <v>11.1517</v>
      </c>
      <c r="Q232" s="21">
        <v>-1.2008700000000001E-2</v>
      </c>
      <c r="R232" s="21">
        <v>222</v>
      </c>
      <c r="S232" s="21">
        <v>1.01715</v>
      </c>
      <c r="T232">
        <f t="shared" si="38"/>
        <v>14.825555555555555</v>
      </c>
      <c r="U232">
        <f t="shared" si="39"/>
        <v>15.091081255555556</v>
      </c>
      <c r="X232" s="9"/>
      <c r="Y232" s="21">
        <v>0.71212799999999998</v>
      </c>
      <c r="Z232" s="21">
        <v>16.725300000000001</v>
      </c>
      <c r="AA232" s="21">
        <v>-1.30829E-2</v>
      </c>
      <c r="AB232" s="21">
        <v>222</v>
      </c>
      <c r="AC232" s="21">
        <v>0.71151699999999996</v>
      </c>
      <c r="AD232">
        <f t="shared" si="40"/>
        <v>16.151728395061728</v>
      </c>
      <c r="AE232">
        <f t="shared" si="41"/>
        <v>11.502098038518518</v>
      </c>
      <c r="AF232" s="9"/>
      <c r="AG232" s="21">
        <v>1.0179100000000001</v>
      </c>
      <c r="AH232" s="21">
        <v>20.604900000000001</v>
      </c>
      <c r="AI232" s="21">
        <v>-1.17889E-2</v>
      </c>
      <c r="AJ232" s="21">
        <v>222</v>
      </c>
      <c r="AK232" s="21">
        <v>1.01685</v>
      </c>
      <c r="AL232">
        <f t="shared" si="42"/>
        <v>14.554197530864196</v>
      </c>
      <c r="AM232">
        <f t="shared" si="43"/>
        <v>14.814863208641974</v>
      </c>
      <c r="AP232" s="9"/>
      <c r="AQ232" s="21">
        <v>0.71212799999999998</v>
      </c>
      <c r="AR232" s="21">
        <v>26.223500000000001</v>
      </c>
      <c r="AS232" s="21">
        <v>-1.29791E-2</v>
      </c>
      <c r="AT232" s="21">
        <v>222</v>
      </c>
      <c r="AU232" s="21">
        <v>0.71145599999999998</v>
      </c>
      <c r="AV232">
        <f t="shared" si="44"/>
        <v>16.023580246913578</v>
      </c>
      <c r="AW232">
        <f t="shared" si="45"/>
        <v>11.410840154074073</v>
      </c>
      <c r="AX232" s="9"/>
      <c r="AY232" s="21">
        <v>1.0179100000000001</v>
      </c>
      <c r="AZ232" s="21">
        <v>30.103100000000001</v>
      </c>
      <c r="BA232" s="21">
        <v>-1.16791E-2</v>
      </c>
      <c r="BB232" s="21">
        <v>222</v>
      </c>
      <c r="BC232" s="21">
        <v>1.01715</v>
      </c>
      <c r="BD232">
        <f t="shared" si="46"/>
        <v>14.41864197530864</v>
      </c>
      <c r="BE232">
        <f t="shared" si="47"/>
        <v>14.676879853086419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0.70709200000000005</v>
      </c>
      <c r="H233" s="21">
        <v>7.2821499999999997</v>
      </c>
      <c r="I233" s="21">
        <v>-1.3336199999999999E-2</v>
      </c>
      <c r="J233" s="21">
        <v>223</v>
      </c>
      <c r="K233" s="21">
        <v>0.70651200000000003</v>
      </c>
      <c r="L233">
        <f t="shared" si="36"/>
        <v>16.464444444444442</v>
      </c>
      <c r="M233">
        <f t="shared" si="37"/>
        <v>11.64187695111111</v>
      </c>
      <c r="N233" s="9"/>
      <c r="O233" s="21">
        <v>1.02295</v>
      </c>
      <c r="P233" s="21">
        <v>11.161799999999999</v>
      </c>
      <c r="Q233" s="21">
        <v>-1.19965E-2</v>
      </c>
      <c r="R233" s="21">
        <v>223</v>
      </c>
      <c r="S233" s="21">
        <v>1.02142</v>
      </c>
      <c r="T233">
        <f t="shared" si="38"/>
        <v>14.810493827160494</v>
      </c>
      <c r="U233">
        <f t="shared" si="39"/>
        <v>15.150394660493827</v>
      </c>
      <c r="X233" s="9"/>
      <c r="Y233" s="21">
        <v>0.70709200000000005</v>
      </c>
      <c r="Z233" s="21">
        <v>16.735299999999999</v>
      </c>
      <c r="AA233" s="21">
        <v>-1.30951E-2</v>
      </c>
      <c r="AB233" s="21">
        <v>223</v>
      </c>
      <c r="AC233" s="21">
        <v>0.70651200000000003</v>
      </c>
      <c r="AD233">
        <f t="shared" si="40"/>
        <v>16.166790123456789</v>
      </c>
      <c r="AE233">
        <f t="shared" si="41"/>
        <v>11.431407961975308</v>
      </c>
      <c r="AF233" s="9"/>
      <c r="AG233" s="21">
        <v>1.02295</v>
      </c>
      <c r="AH233" s="21">
        <v>20.614999999999998</v>
      </c>
      <c r="AI233" s="21">
        <v>-1.17828E-2</v>
      </c>
      <c r="AJ233" s="21">
        <v>223</v>
      </c>
      <c r="AK233" s="21">
        <v>1.02173</v>
      </c>
      <c r="AL233">
        <f t="shared" si="42"/>
        <v>14.546666666666665</v>
      </c>
      <c r="AM233">
        <f t="shared" si="43"/>
        <v>14.880512666666666</v>
      </c>
      <c r="AP233" s="9"/>
      <c r="AQ233" s="21">
        <v>0.70709200000000005</v>
      </c>
      <c r="AR233" s="21">
        <v>26.233599999999999</v>
      </c>
      <c r="AS233" s="21">
        <v>-1.2976100000000001E-2</v>
      </c>
      <c r="AT233" s="21">
        <v>223</v>
      </c>
      <c r="AU233" s="21">
        <v>0.70654300000000003</v>
      </c>
      <c r="AV233">
        <f t="shared" si="44"/>
        <v>16.019876543209875</v>
      </c>
      <c r="AW233">
        <f t="shared" si="45"/>
        <v>11.327526544691358</v>
      </c>
      <c r="AX233" s="9"/>
      <c r="AY233" s="21">
        <v>1.02295</v>
      </c>
      <c r="AZ233" s="21">
        <v>30.113199999999999</v>
      </c>
      <c r="BA233" s="21">
        <v>-1.1676000000000001E-2</v>
      </c>
      <c r="BB233" s="21">
        <v>223</v>
      </c>
      <c r="BC233" s="21">
        <v>1.02203</v>
      </c>
      <c r="BD233">
        <f t="shared" si="46"/>
        <v>14.414814814814815</v>
      </c>
      <c r="BE233">
        <f t="shared" si="47"/>
        <v>14.745634814814816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0.70205700000000004</v>
      </c>
      <c r="H234" s="21">
        <v>7.2922200000000004</v>
      </c>
      <c r="I234" s="21">
        <v>-1.3333100000000001E-2</v>
      </c>
      <c r="J234" s="21">
        <v>224</v>
      </c>
      <c r="K234" s="21">
        <v>0.70144700000000004</v>
      </c>
      <c r="L234">
        <f t="shared" si="36"/>
        <v>16.460617283950615</v>
      </c>
      <c r="M234">
        <f t="shared" si="37"/>
        <v>11.556291588518517</v>
      </c>
      <c r="N234" s="9"/>
      <c r="O234" s="21">
        <v>1.0279799999999999</v>
      </c>
      <c r="P234" s="21">
        <v>11.171799999999999</v>
      </c>
      <c r="Q234" s="21">
        <v>-1.1975100000000001E-2</v>
      </c>
      <c r="R234" s="21">
        <v>224</v>
      </c>
      <c r="S234" s="21">
        <v>1.0269200000000001</v>
      </c>
      <c r="T234">
        <f t="shared" si="38"/>
        <v>14.784074074074075</v>
      </c>
      <c r="U234">
        <f t="shared" si="39"/>
        <v>15.197732466666666</v>
      </c>
      <c r="X234" s="9"/>
      <c r="Y234" s="21">
        <v>0.70205700000000004</v>
      </c>
      <c r="Z234" s="21">
        <v>16.7454</v>
      </c>
      <c r="AA234" s="21">
        <v>-1.31012E-2</v>
      </c>
      <c r="AB234" s="21">
        <v>224</v>
      </c>
      <c r="AC234" s="21">
        <v>0.70144700000000004</v>
      </c>
      <c r="AD234">
        <f t="shared" si="40"/>
        <v>16.174320987654323</v>
      </c>
      <c r="AE234">
        <f t="shared" si="41"/>
        <v>11.355295269629632</v>
      </c>
      <c r="AF234" s="9"/>
      <c r="AG234" s="21">
        <v>1.0279799999999999</v>
      </c>
      <c r="AH234" s="21">
        <v>20.625</v>
      </c>
      <c r="AI234" s="21">
        <v>-1.1776699999999999E-2</v>
      </c>
      <c r="AJ234" s="21">
        <v>224</v>
      </c>
      <c r="AK234" s="21">
        <v>1.02722</v>
      </c>
      <c r="AL234">
        <f t="shared" si="42"/>
        <v>14.539135802469135</v>
      </c>
      <c r="AM234">
        <f t="shared" si="43"/>
        <v>14.945940822222219</v>
      </c>
      <c r="AP234" s="9"/>
      <c r="AQ234" s="21">
        <v>0.70205700000000004</v>
      </c>
      <c r="AR234" s="21">
        <v>26.243600000000001</v>
      </c>
      <c r="AS234" s="21">
        <v>-1.2976100000000001E-2</v>
      </c>
      <c r="AT234" s="21">
        <v>224</v>
      </c>
      <c r="AU234" s="21">
        <v>0.70144700000000004</v>
      </c>
      <c r="AV234">
        <f t="shared" si="44"/>
        <v>16.019876543209875</v>
      </c>
      <c r="AW234">
        <f t="shared" si="45"/>
        <v>11.246866466296296</v>
      </c>
      <c r="AX234" s="9"/>
      <c r="AY234" s="21">
        <v>1.0279799999999999</v>
      </c>
      <c r="AZ234" s="21">
        <v>30.1233</v>
      </c>
      <c r="BA234" s="21">
        <v>-1.1666899999999999E-2</v>
      </c>
      <c r="BB234" s="21">
        <v>224</v>
      </c>
      <c r="BC234" s="21">
        <v>1.02722</v>
      </c>
      <c r="BD234">
        <f t="shared" si="46"/>
        <v>14.403580246913579</v>
      </c>
      <c r="BE234">
        <f t="shared" si="47"/>
        <v>14.80659242222222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0.697021</v>
      </c>
      <c r="H235" s="21">
        <v>7.3022900000000002</v>
      </c>
      <c r="I235" s="21">
        <v>-1.3324000000000001E-2</v>
      </c>
      <c r="J235" s="21">
        <v>225</v>
      </c>
      <c r="K235" s="21">
        <v>0.69650299999999998</v>
      </c>
      <c r="L235">
        <f t="shared" si="36"/>
        <v>16.449382716049382</v>
      </c>
      <c r="M235">
        <f t="shared" si="37"/>
        <v>11.465565190123456</v>
      </c>
      <c r="N235" s="9"/>
      <c r="O235" s="21">
        <v>1.03302</v>
      </c>
      <c r="P235" s="21">
        <v>11.181900000000001</v>
      </c>
      <c r="Q235" s="21">
        <v>-1.19568E-2</v>
      </c>
      <c r="R235" s="21">
        <v>225</v>
      </c>
      <c r="S235" s="21">
        <v>1.0318000000000001</v>
      </c>
      <c r="T235">
        <f t="shared" si="38"/>
        <v>14.761481481481482</v>
      </c>
      <c r="U235">
        <f t="shared" si="39"/>
        <v>15.248905600000001</v>
      </c>
      <c r="X235" s="9"/>
      <c r="Y235" s="21">
        <v>0.697021</v>
      </c>
      <c r="Z235" s="21">
        <v>16.755500000000001</v>
      </c>
      <c r="AA235" s="21">
        <v>-1.30951E-2</v>
      </c>
      <c r="AB235" s="21">
        <v>225</v>
      </c>
      <c r="AC235" s="21">
        <v>0.696411</v>
      </c>
      <c r="AD235">
        <f t="shared" si="40"/>
        <v>16.166790123456789</v>
      </c>
      <c r="AE235">
        <f t="shared" si="41"/>
        <v>11.268592218641974</v>
      </c>
      <c r="AF235" s="9"/>
      <c r="AG235" s="21">
        <v>1.03302</v>
      </c>
      <c r="AH235" s="21">
        <v>20.635100000000001</v>
      </c>
      <c r="AI235" s="21">
        <v>-1.17676E-2</v>
      </c>
      <c r="AJ235" s="21">
        <v>225</v>
      </c>
      <c r="AK235" s="21">
        <v>1.0318000000000001</v>
      </c>
      <c r="AL235">
        <f t="shared" si="42"/>
        <v>14.527901234567899</v>
      </c>
      <c r="AM235">
        <f t="shared" si="43"/>
        <v>15.007612533333331</v>
      </c>
      <c r="AP235" s="9"/>
      <c r="AQ235" s="21">
        <v>0.697021</v>
      </c>
      <c r="AR235" s="21">
        <v>26.253699999999998</v>
      </c>
      <c r="AS235" s="21">
        <v>-1.29791E-2</v>
      </c>
      <c r="AT235" s="21">
        <v>225</v>
      </c>
      <c r="AU235" s="21">
        <v>0.69644200000000001</v>
      </c>
      <c r="AV235">
        <f t="shared" si="44"/>
        <v>16.023580246913578</v>
      </c>
      <c r="AW235">
        <f t="shared" si="45"/>
        <v>11.168771927283949</v>
      </c>
      <c r="AX235" s="9"/>
      <c r="AY235" s="21">
        <v>1.03302</v>
      </c>
      <c r="AZ235" s="21">
        <v>30.133299999999998</v>
      </c>
      <c r="BA235" s="21">
        <v>-1.16455E-2</v>
      </c>
      <c r="BB235" s="21">
        <v>225</v>
      </c>
      <c r="BC235" s="21">
        <v>1.03149</v>
      </c>
      <c r="BD235">
        <f t="shared" si="46"/>
        <v>14.37716049382716</v>
      </c>
      <c r="BE235">
        <f t="shared" si="47"/>
        <v>14.851894333333334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0.69198599999999999</v>
      </c>
      <c r="H236" s="21">
        <v>7.31236</v>
      </c>
      <c r="I236" s="21">
        <v>-1.3330099999999999E-2</v>
      </c>
      <c r="J236" s="21">
        <v>226</v>
      </c>
      <c r="K236" s="21">
        <v>0.69137599999999999</v>
      </c>
      <c r="L236">
        <f t="shared" si="36"/>
        <v>16.456913580246912</v>
      </c>
      <c r="M236">
        <f t="shared" si="37"/>
        <v>11.387953800740739</v>
      </c>
      <c r="N236" s="9"/>
      <c r="O236" s="21">
        <v>1.03806</v>
      </c>
      <c r="P236" s="21">
        <v>11.192</v>
      </c>
      <c r="Q236" s="21">
        <v>-1.19446E-2</v>
      </c>
      <c r="R236" s="21">
        <v>226</v>
      </c>
      <c r="S236" s="21">
        <v>1.0369900000000001</v>
      </c>
      <c r="T236">
        <f t="shared" si="38"/>
        <v>14.746419753086418</v>
      </c>
      <c r="U236">
        <f t="shared" si="39"/>
        <v>15.307668488888886</v>
      </c>
      <c r="X236" s="9"/>
      <c r="Y236" s="21">
        <v>0.69198599999999999</v>
      </c>
      <c r="Z236" s="21">
        <v>16.765499999999999</v>
      </c>
      <c r="AA236" s="21">
        <v>-1.31012E-2</v>
      </c>
      <c r="AB236" s="21">
        <v>226</v>
      </c>
      <c r="AC236" s="21">
        <v>0.69134499999999999</v>
      </c>
      <c r="AD236">
        <f t="shared" si="40"/>
        <v>16.174320987654323</v>
      </c>
      <c r="AE236">
        <f t="shared" si="41"/>
        <v>11.192403682962963</v>
      </c>
      <c r="AF236" s="9"/>
      <c r="AG236" s="21">
        <v>1.03806</v>
      </c>
      <c r="AH236" s="21">
        <v>20.645199999999999</v>
      </c>
      <c r="AI236" s="21">
        <v>-1.1749300000000001E-2</v>
      </c>
      <c r="AJ236" s="21">
        <v>226</v>
      </c>
      <c r="AK236" s="21">
        <v>1.0369900000000001</v>
      </c>
      <c r="AL236">
        <f t="shared" si="42"/>
        <v>14.505308641975308</v>
      </c>
      <c r="AM236">
        <f t="shared" si="43"/>
        <v>15.057380688888887</v>
      </c>
      <c r="AP236" s="9"/>
      <c r="AQ236" s="21">
        <v>0.69198599999999999</v>
      </c>
      <c r="AR236" s="21">
        <v>26.2638</v>
      </c>
      <c r="AS236" s="21">
        <v>-1.2985200000000001E-2</v>
      </c>
      <c r="AT236" s="21">
        <v>226</v>
      </c>
      <c r="AU236" s="21">
        <v>0.69146700000000005</v>
      </c>
      <c r="AV236">
        <f t="shared" si="44"/>
        <v>16.031111111111109</v>
      </c>
      <c r="AW236">
        <f t="shared" si="45"/>
        <v>11.093304453333332</v>
      </c>
      <c r="AX236" s="9"/>
      <c r="AY236" s="21">
        <v>1.03806</v>
      </c>
      <c r="AZ236" s="21">
        <v>30.1434</v>
      </c>
      <c r="BA236" s="21">
        <v>-1.1621100000000001E-2</v>
      </c>
      <c r="BB236" s="21">
        <v>226</v>
      </c>
      <c r="BC236" s="21">
        <v>1.03668</v>
      </c>
      <c r="BD236">
        <f t="shared" si="46"/>
        <v>14.347037037037037</v>
      </c>
      <c r="BE236">
        <f t="shared" si="47"/>
        <v>14.893085266666667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0.68695099999999998</v>
      </c>
      <c r="H237" s="21">
        <v>7.3224400000000003</v>
      </c>
      <c r="I237" s="21">
        <v>-1.3336199999999999E-2</v>
      </c>
      <c r="J237" s="21">
        <v>227</v>
      </c>
      <c r="K237" s="21">
        <v>0.68630999999999998</v>
      </c>
      <c r="L237">
        <f t="shared" si="36"/>
        <v>16.464444444444442</v>
      </c>
      <c r="M237">
        <f t="shared" si="37"/>
        <v>11.310266575555554</v>
      </c>
      <c r="N237" s="9"/>
      <c r="O237" s="21">
        <v>1.0430900000000001</v>
      </c>
      <c r="P237" s="21">
        <v>11.2021</v>
      </c>
      <c r="Q237" s="21">
        <v>-1.19232E-2</v>
      </c>
      <c r="R237" s="21">
        <v>227</v>
      </c>
      <c r="S237" s="21">
        <v>1.0430900000000001</v>
      </c>
      <c r="T237">
        <f t="shared" si="38"/>
        <v>14.719999999999999</v>
      </c>
      <c r="U237">
        <f t="shared" si="39"/>
        <v>15.3542848</v>
      </c>
      <c r="X237" s="9"/>
      <c r="Y237" s="21">
        <v>0.68695099999999998</v>
      </c>
      <c r="Z237" s="21">
        <v>16.775600000000001</v>
      </c>
      <c r="AA237" s="21">
        <v>-1.3089E-2</v>
      </c>
      <c r="AB237" s="21">
        <v>227</v>
      </c>
      <c r="AC237" s="21">
        <v>0.68630999999999998</v>
      </c>
      <c r="AD237">
        <f t="shared" si="40"/>
        <v>16.159259259259258</v>
      </c>
      <c r="AE237">
        <f t="shared" si="41"/>
        <v>11.100619307407406</v>
      </c>
      <c r="AF237" s="9"/>
      <c r="AG237" s="21">
        <v>1.0430900000000001</v>
      </c>
      <c r="AH237" s="21">
        <v>20.655200000000001</v>
      </c>
      <c r="AI237" s="21">
        <v>-1.17371E-2</v>
      </c>
      <c r="AJ237" s="21">
        <v>227</v>
      </c>
      <c r="AK237" s="21">
        <v>1.0418700000000001</v>
      </c>
      <c r="AL237">
        <f t="shared" si="42"/>
        <v>14.490246913580247</v>
      </c>
      <c r="AM237">
        <f t="shared" si="43"/>
        <v>15.114631653086422</v>
      </c>
      <c r="AP237" s="9"/>
      <c r="AQ237" s="21">
        <v>0.68695099999999998</v>
      </c>
      <c r="AR237" s="21">
        <v>26.273900000000001</v>
      </c>
      <c r="AS237" s="21">
        <v>-1.2997399999999999E-2</v>
      </c>
      <c r="AT237" s="21">
        <v>227</v>
      </c>
      <c r="AU237" s="21">
        <v>0.68627899999999997</v>
      </c>
      <c r="AV237">
        <f t="shared" si="44"/>
        <v>16.04617283950617</v>
      </c>
      <c r="AW237">
        <f t="shared" si="45"/>
        <v>11.022934478271603</v>
      </c>
      <c r="AX237" s="9"/>
      <c r="AY237" s="21">
        <v>1.0430900000000001</v>
      </c>
      <c r="AZ237" s="21">
        <v>30.153500000000001</v>
      </c>
      <c r="BA237" s="21">
        <v>-1.16119E-2</v>
      </c>
      <c r="BB237" s="21">
        <v>227</v>
      </c>
      <c r="BC237" s="21">
        <v>1.0424800000000001</v>
      </c>
      <c r="BD237">
        <f t="shared" si="46"/>
        <v>14.335679012345677</v>
      </c>
      <c r="BE237">
        <f t="shared" si="47"/>
        <v>14.953403420987653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0.68191500000000005</v>
      </c>
      <c r="H238" s="21">
        <v>7.3325100000000001</v>
      </c>
      <c r="I238" s="21">
        <v>-1.33423E-2</v>
      </c>
      <c r="J238" s="21">
        <v>228</v>
      </c>
      <c r="K238" s="21">
        <v>0.68127400000000005</v>
      </c>
      <c r="L238">
        <f t="shared" si="36"/>
        <v>16.471975308641973</v>
      </c>
      <c r="M238">
        <f t="shared" si="37"/>
        <v>11.232487042592592</v>
      </c>
      <c r="N238" s="9"/>
      <c r="O238" s="21">
        <v>1.04813</v>
      </c>
      <c r="P238" s="21">
        <v>11.2121</v>
      </c>
      <c r="Q238" s="21">
        <v>-1.19049E-2</v>
      </c>
      <c r="R238" s="21">
        <v>228</v>
      </c>
      <c r="S238" s="21">
        <v>1.0470600000000001</v>
      </c>
      <c r="T238">
        <f t="shared" si="38"/>
        <v>14.697407407407406</v>
      </c>
      <c r="U238">
        <f t="shared" si="39"/>
        <v>15.404793625925924</v>
      </c>
      <c r="X238" s="9"/>
      <c r="Y238" s="21">
        <v>0.68191500000000005</v>
      </c>
      <c r="Z238" s="21">
        <v>16.785699999999999</v>
      </c>
      <c r="AA238" s="21">
        <v>-1.3070699999999999E-2</v>
      </c>
      <c r="AB238" s="21">
        <v>228</v>
      </c>
      <c r="AC238" s="21">
        <v>0.68121299999999996</v>
      </c>
      <c r="AD238">
        <f t="shared" si="40"/>
        <v>16.136666666666663</v>
      </c>
      <c r="AE238">
        <f t="shared" si="41"/>
        <v>11.003835049999999</v>
      </c>
      <c r="AF238" s="9"/>
      <c r="AG238" s="21">
        <v>1.04813</v>
      </c>
      <c r="AH238" s="21">
        <v>20.665299999999998</v>
      </c>
      <c r="AI238" s="21">
        <v>-1.1731E-2</v>
      </c>
      <c r="AJ238" s="21">
        <v>228</v>
      </c>
      <c r="AK238" s="21">
        <v>1.0473600000000001</v>
      </c>
      <c r="AL238">
        <f t="shared" si="42"/>
        <v>14.482716049382715</v>
      </c>
      <c r="AM238">
        <f t="shared" si="43"/>
        <v>15.179769172839505</v>
      </c>
      <c r="AP238" s="9"/>
      <c r="AQ238" s="21">
        <v>0.68191500000000005</v>
      </c>
      <c r="AR238" s="21">
        <v>26.283899999999999</v>
      </c>
      <c r="AS238" s="21">
        <v>-1.3003499999999999E-2</v>
      </c>
      <c r="AT238" s="21">
        <v>228</v>
      </c>
      <c r="AU238" s="21">
        <v>0.68133500000000002</v>
      </c>
      <c r="AV238">
        <f t="shared" si="44"/>
        <v>16.0537037037037</v>
      </c>
      <c r="AW238">
        <f t="shared" si="45"/>
        <v>10.94726136111111</v>
      </c>
      <c r="AX238" s="9"/>
      <c r="AY238" s="21">
        <v>1.04813</v>
      </c>
      <c r="AZ238" s="21">
        <v>30.163499999999999</v>
      </c>
      <c r="BA238" s="21">
        <v>-1.1599699999999999E-2</v>
      </c>
      <c r="BB238" s="21">
        <v>228</v>
      </c>
      <c r="BC238" s="21">
        <v>1.0476700000000001</v>
      </c>
      <c r="BD238">
        <f t="shared" si="46"/>
        <v>14.320617283950616</v>
      </c>
      <c r="BE238">
        <f t="shared" si="47"/>
        <v>15.009868593827159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0.67688000000000004</v>
      </c>
      <c r="H239" s="21">
        <v>7.3425799999999999</v>
      </c>
      <c r="I239" s="21">
        <v>-1.3345299999999999E-2</v>
      </c>
      <c r="J239" s="21">
        <v>229</v>
      </c>
      <c r="K239" s="21">
        <v>0.67636099999999999</v>
      </c>
      <c r="L239">
        <f t="shared" si="36"/>
        <v>16.475679012345676</v>
      </c>
      <c r="M239">
        <f t="shared" si="37"/>
        <v>11.152057609876541</v>
      </c>
      <c r="N239" s="9"/>
      <c r="O239" s="21">
        <v>1.0531600000000001</v>
      </c>
      <c r="P239" s="21">
        <v>11.222200000000001</v>
      </c>
      <c r="Q239" s="21">
        <v>-1.1886600000000001E-2</v>
      </c>
      <c r="R239" s="21">
        <v>229</v>
      </c>
      <c r="S239" s="21">
        <v>1.0522499999999999</v>
      </c>
      <c r="T239">
        <f t="shared" si="38"/>
        <v>14.674814814814814</v>
      </c>
      <c r="U239">
        <f t="shared" si="39"/>
        <v>15.454927970370372</v>
      </c>
      <c r="X239" s="9"/>
      <c r="Y239" s="21">
        <v>0.67688000000000004</v>
      </c>
      <c r="Z239" s="21">
        <v>16.7958</v>
      </c>
      <c r="AA239" s="21">
        <v>-1.30615E-2</v>
      </c>
      <c r="AB239" s="21">
        <v>229</v>
      </c>
      <c r="AC239" s="21">
        <v>0.67623900000000003</v>
      </c>
      <c r="AD239">
        <f t="shared" si="40"/>
        <v>16.125308641975309</v>
      </c>
      <c r="AE239">
        <f t="shared" si="41"/>
        <v>10.914898913580247</v>
      </c>
      <c r="AF239" s="9"/>
      <c r="AG239" s="21">
        <v>1.0531600000000001</v>
      </c>
      <c r="AH239" s="21">
        <v>20.6754</v>
      </c>
      <c r="AI239" s="21">
        <v>-1.1721799999999999E-2</v>
      </c>
      <c r="AJ239" s="21">
        <v>229</v>
      </c>
      <c r="AK239" s="21">
        <v>1.0522499999999999</v>
      </c>
      <c r="AL239">
        <f t="shared" si="42"/>
        <v>14.471358024691357</v>
      </c>
      <c r="AM239">
        <f t="shared" si="43"/>
        <v>15.240655417283952</v>
      </c>
      <c r="AP239" s="9"/>
      <c r="AQ239" s="21">
        <v>0.67688000000000004</v>
      </c>
      <c r="AR239" s="21">
        <v>26.294</v>
      </c>
      <c r="AS239" s="21">
        <v>-1.3003499999999999E-2</v>
      </c>
      <c r="AT239" s="21">
        <v>229</v>
      </c>
      <c r="AU239" s="21">
        <v>0.67636099999999999</v>
      </c>
      <c r="AV239">
        <f t="shared" si="44"/>
        <v>16.0537037037037</v>
      </c>
      <c r="AW239">
        <f t="shared" si="45"/>
        <v>10.866430962962962</v>
      </c>
      <c r="AX239" s="9"/>
      <c r="AY239" s="21">
        <v>1.0531600000000001</v>
      </c>
      <c r="AZ239" s="21">
        <v>30.1736</v>
      </c>
      <c r="BA239" s="21">
        <v>-1.1584499999999999E-2</v>
      </c>
      <c r="BB239" s="21">
        <v>229</v>
      </c>
      <c r="BC239" s="21">
        <v>1.0516399999999999</v>
      </c>
      <c r="BD239">
        <f t="shared" si="46"/>
        <v>14.30185185185185</v>
      </c>
      <c r="BE239">
        <f t="shared" si="47"/>
        <v>15.062138296296297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0.671844</v>
      </c>
      <c r="H240" s="21">
        <v>7.3526499999999997</v>
      </c>
      <c r="I240" s="21">
        <v>-1.33484E-2</v>
      </c>
      <c r="J240" s="21">
        <v>230</v>
      </c>
      <c r="K240" s="21">
        <v>0.671265</v>
      </c>
      <c r="L240">
        <f t="shared" si="36"/>
        <v>16.479506172839503</v>
      </c>
      <c r="M240">
        <f t="shared" si="37"/>
        <v>11.071657345185184</v>
      </c>
      <c r="N240" s="9"/>
      <c r="O240" s="21">
        <v>1.0582</v>
      </c>
      <c r="P240" s="21">
        <v>11.2323</v>
      </c>
      <c r="Q240" s="21">
        <v>-1.18713E-2</v>
      </c>
      <c r="R240" s="21">
        <v>230</v>
      </c>
      <c r="S240" s="21">
        <v>1.0571299999999999</v>
      </c>
      <c r="T240">
        <f t="shared" si="38"/>
        <v>14.655925925925924</v>
      </c>
      <c r="U240">
        <f t="shared" si="39"/>
        <v>15.508900814814814</v>
      </c>
      <c r="X240" s="9"/>
      <c r="Y240" s="21">
        <v>0.671844</v>
      </c>
      <c r="Z240" s="21">
        <v>16.805800000000001</v>
      </c>
      <c r="AA240" s="21">
        <v>-1.3058500000000001E-2</v>
      </c>
      <c r="AB240" s="21">
        <v>230</v>
      </c>
      <c r="AC240" s="21">
        <v>0.671234</v>
      </c>
      <c r="AD240">
        <f t="shared" si="40"/>
        <v>16.121604938271602</v>
      </c>
      <c r="AE240">
        <f t="shared" si="41"/>
        <v>10.831203548148146</v>
      </c>
      <c r="AF240" s="9"/>
      <c r="AG240" s="21">
        <v>1.0582</v>
      </c>
      <c r="AH240" s="21">
        <v>20.685400000000001</v>
      </c>
      <c r="AI240" s="21">
        <v>-1.1709600000000001E-2</v>
      </c>
      <c r="AJ240" s="21">
        <v>230</v>
      </c>
      <c r="AK240" s="21">
        <v>1.0565199999999999</v>
      </c>
      <c r="AL240">
        <f t="shared" si="42"/>
        <v>14.456296296296296</v>
      </c>
      <c r="AM240">
        <f t="shared" si="43"/>
        <v>15.297652740740741</v>
      </c>
      <c r="AP240" s="9"/>
      <c r="AQ240" s="21">
        <v>0.671844</v>
      </c>
      <c r="AR240" s="21">
        <v>26.304099999999998</v>
      </c>
      <c r="AS240" s="21">
        <v>-1.2997399999999999E-2</v>
      </c>
      <c r="AT240" s="21">
        <v>230</v>
      </c>
      <c r="AU240" s="21">
        <v>0.67114300000000005</v>
      </c>
      <c r="AV240">
        <f t="shared" si="44"/>
        <v>16.04617283950617</v>
      </c>
      <c r="AW240">
        <f t="shared" si="45"/>
        <v>10.780524945185183</v>
      </c>
      <c r="AX240" s="9"/>
      <c r="AY240" s="21">
        <v>1.0582</v>
      </c>
      <c r="AZ240" s="21">
        <v>30.183700000000002</v>
      </c>
      <c r="BA240" s="21">
        <v>-1.15692E-2</v>
      </c>
      <c r="BB240" s="21">
        <v>230</v>
      </c>
      <c r="BC240" s="21">
        <v>1.0568200000000001</v>
      </c>
      <c r="BD240">
        <f t="shared" si="46"/>
        <v>14.282962962962962</v>
      </c>
      <c r="BE240">
        <f t="shared" si="47"/>
        <v>15.114231407407408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0.66680899999999999</v>
      </c>
      <c r="H241" s="21">
        <v>7.3627200000000004</v>
      </c>
      <c r="I241" s="21">
        <v>-1.33484E-2</v>
      </c>
      <c r="J241" s="21">
        <v>231</v>
      </c>
      <c r="K241" s="21">
        <v>0.66616799999999998</v>
      </c>
      <c r="L241">
        <f t="shared" si="36"/>
        <v>16.479506172839503</v>
      </c>
      <c r="M241">
        <f t="shared" si="37"/>
        <v>10.988683031604936</v>
      </c>
      <c r="N241" s="9"/>
      <c r="O241" s="21">
        <v>1.0632299999999999</v>
      </c>
      <c r="P241" s="21">
        <v>11.2423</v>
      </c>
      <c r="Q241" s="21">
        <v>-1.18622E-2</v>
      </c>
      <c r="R241" s="21">
        <v>231</v>
      </c>
      <c r="S241" s="21">
        <v>1.0620099999999999</v>
      </c>
      <c r="T241">
        <f t="shared" si="38"/>
        <v>14.644691358024689</v>
      </c>
      <c r="U241">
        <f t="shared" si="39"/>
        <v>15.570675192592589</v>
      </c>
      <c r="X241" s="9"/>
      <c r="Y241" s="21">
        <v>0.66680899999999999</v>
      </c>
      <c r="Z241" s="21">
        <v>16.815899999999999</v>
      </c>
      <c r="AA241" s="21">
        <v>-1.3070699999999999E-2</v>
      </c>
      <c r="AB241" s="21">
        <v>231</v>
      </c>
      <c r="AC241" s="21">
        <v>0.66622899999999996</v>
      </c>
      <c r="AD241">
        <f t="shared" si="40"/>
        <v>16.136666666666663</v>
      </c>
      <c r="AE241">
        <f t="shared" si="41"/>
        <v>10.760074563333331</v>
      </c>
      <c r="AF241" s="9"/>
      <c r="AG241" s="21">
        <v>1.0632299999999999</v>
      </c>
      <c r="AH241" s="21">
        <v>20.695499999999999</v>
      </c>
      <c r="AI241" s="21">
        <v>-1.16974E-2</v>
      </c>
      <c r="AJ241" s="21">
        <v>231</v>
      </c>
      <c r="AK241" s="21">
        <v>1.0620099999999999</v>
      </c>
      <c r="AL241">
        <f t="shared" si="42"/>
        <v>14.441234567901233</v>
      </c>
      <c r="AM241">
        <f t="shared" si="43"/>
        <v>15.354353829629627</v>
      </c>
      <c r="AP241" s="9"/>
      <c r="AQ241" s="21">
        <v>0.66680899999999999</v>
      </c>
      <c r="AR241" s="21">
        <v>26.3141</v>
      </c>
      <c r="AS241" s="21">
        <v>-1.2997399999999999E-2</v>
      </c>
      <c r="AT241" s="21">
        <v>231</v>
      </c>
      <c r="AU241" s="21">
        <v>0.66619899999999999</v>
      </c>
      <c r="AV241">
        <f t="shared" si="44"/>
        <v>16.04617283950617</v>
      </c>
      <c r="AW241">
        <f t="shared" si="45"/>
        <v>10.69973246493827</v>
      </c>
      <c r="AX241" s="9"/>
      <c r="AY241" s="21">
        <v>1.0632299999999999</v>
      </c>
      <c r="AZ241" s="21">
        <v>30.1937</v>
      </c>
      <c r="BA241" s="21">
        <v>-1.1550899999999999E-2</v>
      </c>
      <c r="BB241" s="21">
        <v>231</v>
      </c>
      <c r="BC241" s="21">
        <v>1.0620099999999999</v>
      </c>
      <c r="BD241">
        <f t="shared" si="46"/>
        <v>14.260370370370369</v>
      </c>
      <c r="BE241">
        <f t="shared" si="47"/>
        <v>15.162053588888886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0.66177399999999997</v>
      </c>
      <c r="H242" s="21">
        <v>7.3727900000000002</v>
      </c>
      <c r="I242" s="21">
        <v>-1.33423E-2</v>
      </c>
      <c r="J242" s="21">
        <v>232</v>
      </c>
      <c r="K242" s="21">
        <v>0.66119399999999995</v>
      </c>
      <c r="L242">
        <f t="shared" si="36"/>
        <v>16.471975308641973</v>
      </c>
      <c r="M242">
        <f t="shared" si="37"/>
        <v>10.900724987901233</v>
      </c>
      <c r="N242" s="9"/>
      <c r="O242" s="21">
        <v>1.0682700000000001</v>
      </c>
      <c r="P242" s="21">
        <v>11.2524</v>
      </c>
      <c r="Q242" s="21">
        <v>-1.1859099999999999E-2</v>
      </c>
      <c r="R242" s="21">
        <v>232</v>
      </c>
      <c r="S242" s="21">
        <v>1.0678099999999999</v>
      </c>
      <c r="T242">
        <f t="shared" si="38"/>
        <v>14.640864197530862</v>
      </c>
      <c r="U242">
        <f t="shared" si="39"/>
        <v>15.640395996296295</v>
      </c>
      <c r="X242" s="9"/>
      <c r="Y242" s="21">
        <v>0.66177399999999997</v>
      </c>
      <c r="Z242" s="21">
        <v>16.826000000000001</v>
      </c>
      <c r="AA242" s="21">
        <v>-1.3085899999999999E-2</v>
      </c>
      <c r="AB242" s="21">
        <v>232</v>
      </c>
      <c r="AC242" s="21">
        <v>0.66116299999999995</v>
      </c>
      <c r="AD242">
        <f t="shared" si="40"/>
        <v>16.155432098765431</v>
      </c>
      <c r="AE242">
        <f t="shared" si="41"/>
        <v>10.691244921728394</v>
      </c>
      <c r="AF242" s="9"/>
      <c r="AG242" s="21">
        <v>1.0682700000000001</v>
      </c>
      <c r="AH242" s="21">
        <v>20.7056</v>
      </c>
      <c r="AI242" s="21">
        <v>-1.16791E-2</v>
      </c>
      <c r="AJ242" s="21">
        <v>232</v>
      </c>
      <c r="AK242" s="21">
        <v>1.0671999999999999</v>
      </c>
      <c r="AL242">
        <f t="shared" si="42"/>
        <v>14.41864197530864</v>
      </c>
      <c r="AM242">
        <f t="shared" si="43"/>
        <v>15.403002662962962</v>
      </c>
      <c r="AP242" s="9"/>
      <c r="AQ242" s="21">
        <v>0.66177399999999997</v>
      </c>
      <c r="AR242" s="21">
        <v>26.324200000000001</v>
      </c>
      <c r="AS242" s="21">
        <v>-1.30005E-2</v>
      </c>
      <c r="AT242" s="21">
        <v>232</v>
      </c>
      <c r="AU242" s="21">
        <v>0.66110199999999997</v>
      </c>
      <c r="AV242">
        <f t="shared" si="44"/>
        <v>16.049999999999997</v>
      </c>
      <c r="AW242">
        <f t="shared" si="45"/>
        <v>10.621472699999998</v>
      </c>
      <c r="AX242" s="9"/>
      <c r="AY242" s="21">
        <v>1.0682700000000001</v>
      </c>
      <c r="AZ242" s="21">
        <v>30.203800000000001</v>
      </c>
      <c r="BA242" s="21">
        <v>-1.15356E-2</v>
      </c>
      <c r="BB242" s="21">
        <v>232</v>
      </c>
      <c r="BC242" s="21">
        <v>1.0671999999999999</v>
      </c>
      <c r="BD242">
        <f t="shared" si="46"/>
        <v>14.241481481481481</v>
      </c>
      <c r="BE242">
        <f t="shared" si="47"/>
        <v>15.213747422222221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0.65673800000000004</v>
      </c>
      <c r="H243" s="21">
        <v>7.38286</v>
      </c>
      <c r="I243" s="21">
        <v>-1.33484E-2</v>
      </c>
      <c r="J243" s="21">
        <v>233</v>
      </c>
      <c r="K243" s="21">
        <v>0.65609700000000004</v>
      </c>
      <c r="L243">
        <f t="shared" si="36"/>
        <v>16.479506172839503</v>
      </c>
      <c r="M243">
        <f t="shared" si="37"/>
        <v>10.822717924938271</v>
      </c>
      <c r="N243" s="9"/>
      <c r="O243" s="21">
        <v>1.0732999999999999</v>
      </c>
      <c r="P243" s="21">
        <v>11.262499999999999</v>
      </c>
      <c r="Q243" s="21">
        <v>-1.18469E-2</v>
      </c>
      <c r="R243" s="21">
        <v>233</v>
      </c>
      <c r="S243" s="21">
        <v>1.0726899999999999</v>
      </c>
      <c r="T243">
        <f t="shared" si="38"/>
        <v>14.625802469135802</v>
      </c>
      <c r="U243">
        <f t="shared" si="39"/>
        <v>15.697873790123456</v>
      </c>
      <c r="X243" s="9"/>
      <c r="Y243" s="21">
        <v>0.65673800000000004</v>
      </c>
      <c r="Z243" s="21">
        <v>16.835999999999999</v>
      </c>
      <c r="AA243" s="21">
        <v>-1.3107300000000001E-2</v>
      </c>
      <c r="AB243" s="21">
        <v>233</v>
      </c>
      <c r="AC243" s="21">
        <v>0.65609700000000004</v>
      </c>
      <c r="AD243">
        <f t="shared" si="40"/>
        <v>16.181851851851849</v>
      </c>
      <c r="AE243">
        <f t="shared" si="41"/>
        <v>10.627237021481481</v>
      </c>
      <c r="AF243" s="9"/>
      <c r="AG243" s="21">
        <v>1.0732999999999999</v>
      </c>
      <c r="AH243" s="21">
        <v>20.715699999999998</v>
      </c>
      <c r="AI243" s="21">
        <v>-1.1660800000000001E-2</v>
      </c>
      <c r="AJ243" s="21">
        <v>233</v>
      </c>
      <c r="AK243" s="21">
        <v>1.07239</v>
      </c>
      <c r="AL243">
        <f t="shared" si="42"/>
        <v>14.396049382716049</v>
      </c>
      <c r="AM243">
        <f t="shared" si="43"/>
        <v>15.451279802469134</v>
      </c>
      <c r="AP243" s="9"/>
      <c r="AQ243" s="21">
        <v>0.65673800000000004</v>
      </c>
      <c r="AR243" s="21">
        <v>26.334299999999999</v>
      </c>
      <c r="AS243" s="21">
        <v>-1.3003499999999999E-2</v>
      </c>
      <c r="AT243" s="21">
        <v>233</v>
      </c>
      <c r="AU243" s="21">
        <v>0.65615800000000002</v>
      </c>
      <c r="AV243">
        <f t="shared" si="44"/>
        <v>16.0537037037037</v>
      </c>
      <c r="AW243">
        <f t="shared" si="45"/>
        <v>10.543077262962962</v>
      </c>
      <c r="AX243" s="9"/>
      <c r="AY243" s="21">
        <v>1.0732999999999999</v>
      </c>
      <c r="AZ243" s="21">
        <v>30.213899999999999</v>
      </c>
      <c r="BA243" s="21">
        <v>-1.1511199999999999E-2</v>
      </c>
      <c r="BB243" s="21">
        <v>233</v>
      </c>
      <c r="BC243" s="21">
        <v>1.0726899999999999</v>
      </c>
      <c r="BD243">
        <f t="shared" si="46"/>
        <v>14.211358024691357</v>
      </c>
      <c r="BE243">
        <f t="shared" si="47"/>
        <v>15.253050567901232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0.65170300000000003</v>
      </c>
      <c r="H244" s="21">
        <v>7.3929299999999998</v>
      </c>
      <c r="I244" s="21">
        <v>-1.3351399999999999E-2</v>
      </c>
      <c r="J244" s="21">
        <v>234</v>
      </c>
      <c r="K244" s="21">
        <v>0.65109300000000003</v>
      </c>
      <c r="L244">
        <f t="shared" si="36"/>
        <v>16.483209876543206</v>
      </c>
      <c r="M244">
        <f t="shared" si="37"/>
        <v>10.742157326172839</v>
      </c>
      <c r="N244" s="9"/>
      <c r="O244" s="21">
        <v>1.0783400000000001</v>
      </c>
      <c r="P244" s="21">
        <v>11.272500000000001</v>
      </c>
      <c r="Q244" s="21">
        <v>-1.1831700000000001E-2</v>
      </c>
      <c r="R244" s="21">
        <v>234</v>
      </c>
      <c r="S244" s="21">
        <v>1.07758</v>
      </c>
      <c r="T244">
        <f t="shared" si="38"/>
        <v>14.607037037037037</v>
      </c>
      <c r="U244">
        <f t="shared" si="39"/>
        <v>15.751352318518519</v>
      </c>
      <c r="X244" s="9"/>
      <c r="Y244" s="21">
        <v>0.65170300000000003</v>
      </c>
      <c r="Z244" s="21">
        <v>16.8461</v>
      </c>
      <c r="AA244" s="21">
        <v>-1.31165E-2</v>
      </c>
      <c r="AB244" s="21">
        <v>234</v>
      </c>
      <c r="AC244" s="21">
        <v>0.65103100000000003</v>
      </c>
      <c r="AD244">
        <f t="shared" si="40"/>
        <v>16.193209876543211</v>
      </c>
      <c r="AE244">
        <f t="shared" si="41"/>
        <v>10.553163456172841</v>
      </c>
      <c r="AF244" s="9"/>
      <c r="AG244" s="21">
        <v>1.0783400000000001</v>
      </c>
      <c r="AH244" s="21">
        <v>20.7257</v>
      </c>
      <c r="AI244" s="21">
        <v>-1.16364E-2</v>
      </c>
      <c r="AJ244" s="21">
        <v>234</v>
      </c>
      <c r="AK244" s="21">
        <v>1.0772699999999999</v>
      </c>
      <c r="AL244">
        <f t="shared" si="42"/>
        <v>14.365925925925925</v>
      </c>
      <c r="AM244">
        <f t="shared" si="43"/>
        <v>15.491352562962962</v>
      </c>
      <c r="AP244" s="9"/>
      <c r="AQ244" s="21">
        <v>0.65170300000000003</v>
      </c>
      <c r="AR244" s="21">
        <v>26.3443</v>
      </c>
      <c r="AS244" s="21">
        <v>-1.30096E-2</v>
      </c>
      <c r="AT244" s="21">
        <v>234</v>
      </c>
      <c r="AU244" s="21">
        <v>0.65109300000000003</v>
      </c>
      <c r="AV244">
        <f t="shared" si="44"/>
        <v>16.061234567901234</v>
      </c>
      <c r="AW244">
        <f t="shared" si="45"/>
        <v>10.467154751604939</v>
      </c>
      <c r="AX244" s="9"/>
      <c r="AY244" s="21">
        <v>1.0783400000000001</v>
      </c>
      <c r="AZ244" s="21">
        <v>30.224</v>
      </c>
      <c r="BA244" s="21">
        <v>-1.14929E-2</v>
      </c>
      <c r="BB244" s="21">
        <v>234</v>
      </c>
      <c r="BC244" s="21">
        <v>1.0772699999999999</v>
      </c>
      <c r="BD244">
        <f t="shared" si="46"/>
        <v>14.188765432098766</v>
      </c>
      <c r="BE244">
        <f t="shared" si="47"/>
        <v>15.300313316049385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0.64666699999999999</v>
      </c>
      <c r="H245" s="21">
        <v>7.4029999999999996</v>
      </c>
      <c r="I245" s="21">
        <v>-1.33606E-2</v>
      </c>
      <c r="J245" s="21">
        <v>235</v>
      </c>
      <c r="K245" s="21">
        <v>0.64590499999999995</v>
      </c>
      <c r="L245">
        <f t="shared" si="36"/>
        <v>16.494567901234568</v>
      </c>
      <c r="M245">
        <f t="shared" si="37"/>
        <v>10.666492740987653</v>
      </c>
      <c r="N245" s="9"/>
      <c r="O245" s="21">
        <v>1.0833699999999999</v>
      </c>
      <c r="P245" s="21">
        <v>11.2826</v>
      </c>
      <c r="Q245" s="21">
        <v>-1.1810299999999999E-2</v>
      </c>
      <c r="R245" s="21">
        <v>235</v>
      </c>
      <c r="S245" s="21">
        <v>1.0821499999999999</v>
      </c>
      <c r="T245">
        <f t="shared" si="38"/>
        <v>14.580617283950616</v>
      </c>
      <c r="U245">
        <f t="shared" si="39"/>
        <v>15.796203346913579</v>
      </c>
      <c r="X245" s="9"/>
      <c r="Y245" s="21">
        <v>0.64666699999999999</v>
      </c>
      <c r="Z245" s="21">
        <v>16.856200000000001</v>
      </c>
      <c r="AA245" s="21">
        <v>-1.31165E-2</v>
      </c>
      <c r="AB245" s="21">
        <v>235</v>
      </c>
      <c r="AC245" s="21">
        <v>0.64605699999999999</v>
      </c>
      <c r="AD245">
        <f t="shared" si="40"/>
        <v>16.193209876543211</v>
      </c>
      <c r="AE245">
        <f t="shared" si="41"/>
        <v>10.471614451234569</v>
      </c>
      <c r="AF245" s="9"/>
      <c r="AG245" s="21">
        <v>1.0833699999999999</v>
      </c>
      <c r="AH245" s="21">
        <v>20.735800000000001</v>
      </c>
      <c r="AI245" s="21">
        <v>-1.1618E-2</v>
      </c>
      <c r="AJ245" s="21">
        <v>235</v>
      </c>
      <c r="AK245" s="21">
        <v>1.08185</v>
      </c>
      <c r="AL245">
        <f t="shared" si="42"/>
        <v>14.343209876543209</v>
      </c>
      <c r="AM245">
        <f t="shared" si="43"/>
        <v>15.539003283950615</v>
      </c>
      <c r="AP245" s="9"/>
      <c r="AQ245" s="21">
        <v>0.64666699999999999</v>
      </c>
      <c r="AR245" s="21">
        <v>26.354399999999998</v>
      </c>
      <c r="AS245" s="21">
        <v>-1.30066E-2</v>
      </c>
      <c r="AT245" s="21">
        <v>235</v>
      </c>
      <c r="AU245" s="21">
        <v>0.64602700000000002</v>
      </c>
      <c r="AV245">
        <f t="shared" si="44"/>
        <v>16.057530864197531</v>
      </c>
      <c r="AW245">
        <f t="shared" si="45"/>
        <v>10.383875311358025</v>
      </c>
      <c r="AX245" s="9"/>
      <c r="AY245" s="21">
        <v>1.0833699999999999</v>
      </c>
      <c r="AZ245" s="21">
        <v>30.234000000000002</v>
      </c>
      <c r="BA245" s="21">
        <v>-1.14685E-2</v>
      </c>
      <c r="BB245" s="21">
        <v>235</v>
      </c>
      <c r="BC245" s="21">
        <v>1.0821499999999999</v>
      </c>
      <c r="BD245">
        <f t="shared" si="46"/>
        <v>14.15864197530864</v>
      </c>
      <c r="BE245">
        <f t="shared" si="47"/>
        <v>15.339047956790122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0.64163199999999998</v>
      </c>
      <c r="H246" s="21">
        <v>7.4130700000000003</v>
      </c>
      <c r="I246" s="21">
        <v>-1.33636E-2</v>
      </c>
      <c r="J246" s="21">
        <v>236</v>
      </c>
      <c r="K246" s="21">
        <v>0.640961</v>
      </c>
      <c r="L246">
        <f t="shared" si="36"/>
        <v>16.498271604938271</v>
      </c>
      <c r="M246">
        <f t="shared" si="37"/>
        <v>10.585819006419753</v>
      </c>
      <c r="N246" s="9"/>
      <c r="O246" s="21">
        <v>1.0884100000000001</v>
      </c>
      <c r="P246" s="21">
        <v>11.2927</v>
      </c>
      <c r="Q246" s="21">
        <v>-1.1792E-2</v>
      </c>
      <c r="R246" s="21">
        <v>236</v>
      </c>
      <c r="S246" s="21">
        <v>1.08765</v>
      </c>
      <c r="T246">
        <f t="shared" si="38"/>
        <v>14.558024691358025</v>
      </c>
      <c r="U246">
        <f t="shared" si="39"/>
        <v>15.84509965432099</v>
      </c>
      <c r="X246" s="9"/>
      <c r="Y246" s="21">
        <v>0.64163199999999998</v>
      </c>
      <c r="Z246" s="21">
        <v>16.866299999999999</v>
      </c>
      <c r="AA246" s="21">
        <v>-1.31165E-2</v>
      </c>
      <c r="AB246" s="21">
        <v>236</v>
      </c>
      <c r="AC246" s="21">
        <v>0.64102199999999998</v>
      </c>
      <c r="AD246">
        <f t="shared" si="40"/>
        <v>16.193209876543211</v>
      </c>
      <c r="AE246">
        <f t="shared" si="41"/>
        <v>10.390081639506173</v>
      </c>
      <c r="AF246" s="9"/>
      <c r="AG246" s="21">
        <v>1.0884100000000001</v>
      </c>
      <c r="AH246" s="21">
        <v>20.745899999999999</v>
      </c>
      <c r="AI246" s="21">
        <v>-1.16028E-2</v>
      </c>
      <c r="AJ246" s="21">
        <v>236</v>
      </c>
      <c r="AK246" s="21">
        <v>1.08734</v>
      </c>
      <c r="AL246">
        <f t="shared" si="42"/>
        <v>14.324444444444444</v>
      </c>
      <c r="AM246">
        <f t="shared" si="43"/>
        <v>15.590868577777778</v>
      </c>
      <c r="AP246" s="9"/>
      <c r="AQ246" s="21">
        <v>0.64163199999999998</v>
      </c>
      <c r="AR246" s="21">
        <v>26.3645</v>
      </c>
      <c r="AS246" s="21">
        <v>-1.2997399999999999E-2</v>
      </c>
      <c r="AT246" s="21">
        <v>236</v>
      </c>
      <c r="AU246" s="21">
        <v>0.64108299999999996</v>
      </c>
      <c r="AV246">
        <f t="shared" si="44"/>
        <v>16.04617283950617</v>
      </c>
      <c r="AW246">
        <f t="shared" si="45"/>
        <v>10.295737971358022</v>
      </c>
      <c r="AX246" s="9"/>
      <c r="AY246" s="21">
        <v>1.0884100000000001</v>
      </c>
      <c r="AZ246" s="21">
        <v>30.2441</v>
      </c>
      <c r="BA246" s="21">
        <v>-1.14532E-2</v>
      </c>
      <c r="BB246" s="21">
        <v>236</v>
      </c>
      <c r="BC246" s="21">
        <v>1.08765</v>
      </c>
      <c r="BD246">
        <f t="shared" si="46"/>
        <v>14.139753086419754</v>
      </c>
      <c r="BE246">
        <f t="shared" si="47"/>
        <v>15.389848656790125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0.63659699999999997</v>
      </c>
      <c r="H247" s="21">
        <v>7.4231499999999997</v>
      </c>
      <c r="I247" s="21">
        <v>-1.3369799999999999E-2</v>
      </c>
      <c r="J247" s="21">
        <v>237</v>
      </c>
      <c r="K247" s="21">
        <v>0.63589499999999999</v>
      </c>
      <c r="L247">
        <f t="shared" si="36"/>
        <v>16.505925925925922</v>
      </c>
      <c r="M247">
        <f t="shared" si="37"/>
        <v>10.507622926666663</v>
      </c>
      <c r="N247" s="9"/>
      <c r="O247" s="21">
        <v>1.09344</v>
      </c>
      <c r="P247" s="21">
        <v>11.3028</v>
      </c>
      <c r="Q247" s="21">
        <v>-1.1776699999999999E-2</v>
      </c>
      <c r="R247" s="21">
        <v>237</v>
      </c>
      <c r="S247" s="21">
        <v>1.09283</v>
      </c>
      <c r="T247">
        <f t="shared" si="38"/>
        <v>14.539135802469135</v>
      </c>
      <c r="U247">
        <f t="shared" si="39"/>
        <v>15.897672651851851</v>
      </c>
      <c r="X247" s="9"/>
      <c r="Y247" s="21">
        <v>0.63659699999999997</v>
      </c>
      <c r="Z247" s="21">
        <v>16.876300000000001</v>
      </c>
      <c r="AA247" s="21">
        <v>-1.3113400000000001E-2</v>
      </c>
      <c r="AB247" s="21">
        <v>237</v>
      </c>
      <c r="AC247" s="21">
        <v>0.63598600000000005</v>
      </c>
      <c r="AD247">
        <f t="shared" si="40"/>
        <v>16.18938271604938</v>
      </c>
      <c r="AE247">
        <f t="shared" si="41"/>
        <v>10.306112468888887</v>
      </c>
      <c r="AF247" s="9"/>
      <c r="AG247" s="21">
        <v>1.09344</v>
      </c>
      <c r="AH247" s="21">
        <v>20.7559</v>
      </c>
      <c r="AI247" s="21">
        <v>-1.15753E-2</v>
      </c>
      <c r="AJ247" s="21">
        <v>237</v>
      </c>
      <c r="AK247" s="21">
        <v>1.09253</v>
      </c>
      <c r="AL247">
        <f t="shared" si="42"/>
        <v>14.290493827160493</v>
      </c>
      <c r="AM247">
        <f t="shared" si="43"/>
        <v>15.625797570370368</v>
      </c>
      <c r="AP247" s="9"/>
      <c r="AQ247" s="21">
        <v>0.63659699999999997</v>
      </c>
      <c r="AR247" s="21">
        <v>26.374600000000001</v>
      </c>
      <c r="AS247" s="21">
        <v>-1.2991300000000001E-2</v>
      </c>
      <c r="AT247" s="21">
        <v>237</v>
      </c>
      <c r="AU247" s="21">
        <v>0.63601700000000005</v>
      </c>
      <c r="AV247">
        <f t="shared" si="44"/>
        <v>16.038641975308643</v>
      </c>
      <c r="AW247">
        <f t="shared" si="45"/>
        <v>10.210151365555555</v>
      </c>
      <c r="AX247" s="9"/>
      <c r="AY247" s="21">
        <v>1.09344</v>
      </c>
      <c r="AZ247" s="21">
        <v>30.254200000000001</v>
      </c>
      <c r="BA247" s="21">
        <v>-1.14349E-2</v>
      </c>
      <c r="BB247" s="21">
        <v>237</v>
      </c>
      <c r="BC247" s="21">
        <v>1.09253</v>
      </c>
      <c r="BD247">
        <f t="shared" si="46"/>
        <v>14.117160493827161</v>
      </c>
      <c r="BE247">
        <f t="shared" si="47"/>
        <v>15.43626797037037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0.63156100000000004</v>
      </c>
      <c r="H248" s="21">
        <v>7.4332200000000004</v>
      </c>
      <c r="I248" s="21">
        <v>-1.3372800000000001E-2</v>
      </c>
      <c r="J248" s="21">
        <v>238</v>
      </c>
      <c r="K248" s="21">
        <v>0.63088999999999995</v>
      </c>
      <c r="L248">
        <f t="shared" si="36"/>
        <v>16.509629629629632</v>
      </c>
      <c r="M248">
        <f t="shared" si="37"/>
        <v>10.426838198518521</v>
      </c>
      <c r="N248" s="9"/>
      <c r="O248" s="21">
        <v>1.0984799999999999</v>
      </c>
      <c r="P248" s="21">
        <v>11.312799999999999</v>
      </c>
      <c r="Q248" s="21">
        <v>-1.17676E-2</v>
      </c>
      <c r="R248" s="21">
        <v>238</v>
      </c>
      <c r="S248" s="21">
        <v>1.09772</v>
      </c>
      <c r="T248">
        <f t="shared" si="38"/>
        <v>14.527901234567899</v>
      </c>
      <c r="U248">
        <f t="shared" si="39"/>
        <v>15.958608948148145</v>
      </c>
      <c r="X248" s="9"/>
      <c r="Y248" s="21">
        <v>0.63156100000000004</v>
      </c>
      <c r="Z248" s="21">
        <v>16.886399999999998</v>
      </c>
      <c r="AA248" s="21">
        <v>-1.3110399999999999E-2</v>
      </c>
      <c r="AB248" s="21">
        <v>238</v>
      </c>
      <c r="AC248" s="21">
        <v>0.63095100000000004</v>
      </c>
      <c r="AD248">
        <f t="shared" si="40"/>
        <v>16.185679012345677</v>
      </c>
      <c r="AE248">
        <f t="shared" si="41"/>
        <v>10.222243622716048</v>
      </c>
      <c r="AF248" s="9"/>
      <c r="AG248" s="21">
        <v>1.0984799999999999</v>
      </c>
      <c r="AH248" s="21">
        <v>20.765999999999998</v>
      </c>
      <c r="AI248" s="21">
        <v>-1.1554E-2</v>
      </c>
      <c r="AJ248" s="21">
        <v>238</v>
      </c>
      <c r="AK248" s="21">
        <v>1.09772</v>
      </c>
      <c r="AL248">
        <f t="shared" si="42"/>
        <v>14.264197530864198</v>
      </c>
      <c r="AM248">
        <f t="shared" si="43"/>
        <v>15.668935703703703</v>
      </c>
      <c r="AP248" s="9"/>
      <c r="AQ248" s="21">
        <v>0.63156100000000004</v>
      </c>
      <c r="AR248" s="21">
        <v>26.384599999999999</v>
      </c>
      <c r="AS248" s="21">
        <v>-1.2991300000000001E-2</v>
      </c>
      <c r="AT248" s="21">
        <v>238</v>
      </c>
      <c r="AU248" s="21">
        <v>0.63088999999999995</v>
      </c>
      <c r="AV248">
        <f t="shared" si="44"/>
        <v>16.038641975308643</v>
      </c>
      <c r="AW248">
        <f t="shared" si="45"/>
        <v>10.129380764567902</v>
      </c>
      <c r="AX248" s="9"/>
      <c r="AY248" s="21">
        <v>1.0984799999999999</v>
      </c>
      <c r="AZ248" s="21">
        <v>30.264199999999999</v>
      </c>
      <c r="BA248" s="21">
        <v>-1.1413599999999999E-2</v>
      </c>
      <c r="BB248" s="21">
        <v>238</v>
      </c>
      <c r="BC248" s="21">
        <v>1.09772</v>
      </c>
      <c r="BD248">
        <f t="shared" si="46"/>
        <v>14.090864197530863</v>
      </c>
      <c r="BE248">
        <f t="shared" si="47"/>
        <v>15.4785325037037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0.62652600000000003</v>
      </c>
      <c r="H249" s="21">
        <v>7.4432900000000002</v>
      </c>
      <c r="I249" s="21">
        <v>-1.33606E-2</v>
      </c>
      <c r="J249" s="21">
        <v>239</v>
      </c>
      <c r="K249" s="21">
        <v>0.62588500000000002</v>
      </c>
      <c r="L249">
        <f t="shared" si="36"/>
        <v>16.494567901234568</v>
      </c>
      <c r="M249">
        <f t="shared" si="37"/>
        <v>10.334275648888889</v>
      </c>
      <c r="N249" s="9"/>
      <c r="O249" s="21">
        <v>1.1035200000000001</v>
      </c>
      <c r="P249" s="21">
        <v>11.322900000000001</v>
      </c>
      <c r="Q249" s="21">
        <v>-1.17523E-2</v>
      </c>
      <c r="R249" s="21">
        <v>239</v>
      </c>
      <c r="S249" s="21">
        <v>1.10199</v>
      </c>
      <c r="T249">
        <f t="shared" si="38"/>
        <v>14.509012345679011</v>
      </c>
      <c r="U249">
        <f t="shared" si="39"/>
        <v>16.010985303703702</v>
      </c>
      <c r="X249" s="9"/>
      <c r="Y249" s="21">
        <v>0.62652600000000003</v>
      </c>
      <c r="Z249" s="21">
        <v>16.8965</v>
      </c>
      <c r="AA249" s="21">
        <v>-1.31012E-2</v>
      </c>
      <c r="AB249" s="21">
        <v>239</v>
      </c>
      <c r="AC249" s="21">
        <v>0.625946</v>
      </c>
      <c r="AD249">
        <f t="shared" si="40"/>
        <v>16.174320987654323</v>
      </c>
      <c r="AE249">
        <f t="shared" si="41"/>
        <v>10.133632631111112</v>
      </c>
      <c r="AF249" s="9"/>
      <c r="AG249" s="21">
        <v>1.1035200000000001</v>
      </c>
      <c r="AH249" s="21">
        <v>20.7761</v>
      </c>
      <c r="AI249" s="21">
        <v>-1.15326E-2</v>
      </c>
      <c r="AJ249" s="21">
        <v>239</v>
      </c>
      <c r="AK249" s="21">
        <v>1.1026</v>
      </c>
      <c r="AL249">
        <f t="shared" si="42"/>
        <v>14.237777777777778</v>
      </c>
      <c r="AM249">
        <f t="shared" si="43"/>
        <v>15.711672533333333</v>
      </c>
      <c r="AP249" s="9"/>
      <c r="AQ249" s="21">
        <v>0.62652600000000003</v>
      </c>
      <c r="AR249" s="21">
        <v>26.3947</v>
      </c>
      <c r="AS249" s="21">
        <v>-1.29944E-2</v>
      </c>
      <c r="AT249" s="21">
        <v>239</v>
      </c>
      <c r="AU249" s="21">
        <v>0.62591600000000003</v>
      </c>
      <c r="AV249">
        <f t="shared" si="44"/>
        <v>16.042469135802467</v>
      </c>
      <c r="AW249">
        <f t="shared" si="45"/>
        <v>10.051024017777777</v>
      </c>
      <c r="AX249" s="9"/>
      <c r="AY249" s="21">
        <v>1.1035200000000001</v>
      </c>
      <c r="AZ249" s="21">
        <v>30.2743</v>
      </c>
      <c r="BA249" s="21">
        <v>-1.13922E-2</v>
      </c>
      <c r="BB249" s="21">
        <v>239</v>
      </c>
      <c r="BC249" s="21">
        <v>1.10229</v>
      </c>
      <c r="BD249">
        <f t="shared" si="46"/>
        <v>14.064444444444444</v>
      </c>
      <c r="BE249">
        <f t="shared" si="47"/>
        <v>15.520395733333334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0.62148999999999999</v>
      </c>
      <c r="H250" s="21">
        <v>7.45336</v>
      </c>
      <c r="I250" s="21">
        <v>-1.3345299999999999E-2</v>
      </c>
      <c r="J250" s="21">
        <v>240</v>
      </c>
      <c r="K250" s="21">
        <v>0.62091099999999999</v>
      </c>
      <c r="L250">
        <f t="shared" si="36"/>
        <v>16.475679012345676</v>
      </c>
      <c r="M250">
        <f t="shared" si="37"/>
        <v>10.239469749382714</v>
      </c>
      <c r="N250" s="9"/>
      <c r="O250" s="21">
        <v>1.1085499999999999</v>
      </c>
      <c r="P250" s="21">
        <v>11.333</v>
      </c>
      <c r="Q250" s="21">
        <v>-1.1727899999999999E-2</v>
      </c>
      <c r="R250" s="21">
        <v>240</v>
      </c>
      <c r="S250" s="21">
        <v>1.1077900000000001</v>
      </c>
      <c r="T250">
        <f t="shared" si="38"/>
        <v>14.478888888888887</v>
      </c>
      <c r="U250">
        <f t="shared" si="39"/>
        <v>16.050572277777775</v>
      </c>
      <c r="X250" s="9"/>
      <c r="Y250" s="21">
        <v>0.62148999999999999</v>
      </c>
      <c r="Z250" s="21">
        <v>16.906500000000001</v>
      </c>
      <c r="AA250" s="21">
        <v>-1.31012E-2</v>
      </c>
      <c r="AB250" s="21">
        <v>240</v>
      </c>
      <c r="AC250" s="21">
        <v>0.62091099999999999</v>
      </c>
      <c r="AD250">
        <f t="shared" si="40"/>
        <v>16.174320987654323</v>
      </c>
      <c r="AE250">
        <f t="shared" si="41"/>
        <v>10.052178750617285</v>
      </c>
      <c r="AF250" s="9"/>
      <c r="AG250" s="21">
        <v>1.1085499999999999</v>
      </c>
      <c r="AH250" s="21">
        <v>20.786200000000001</v>
      </c>
      <c r="AI250" s="21">
        <v>-1.1517299999999999E-2</v>
      </c>
      <c r="AJ250" s="21">
        <v>240</v>
      </c>
      <c r="AK250" s="21">
        <v>1.10748</v>
      </c>
      <c r="AL250">
        <f t="shared" si="42"/>
        <v>14.218888888888888</v>
      </c>
      <c r="AM250">
        <f t="shared" si="43"/>
        <v>15.762349277777775</v>
      </c>
      <c r="AP250" s="9"/>
      <c r="AQ250" s="21">
        <v>0.62148999999999999</v>
      </c>
      <c r="AR250" s="21">
        <v>26.404800000000002</v>
      </c>
      <c r="AS250" s="21">
        <v>-1.3003499999999999E-2</v>
      </c>
      <c r="AT250" s="21">
        <v>240</v>
      </c>
      <c r="AU250" s="21">
        <v>0.62085000000000001</v>
      </c>
      <c r="AV250">
        <f t="shared" si="44"/>
        <v>16.0537037037037</v>
      </c>
      <c r="AW250">
        <f t="shared" si="45"/>
        <v>9.9772163148148127</v>
      </c>
      <c r="AX250" s="9"/>
      <c r="AY250" s="21">
        <v>1.1085499999999999</v>
      </c>
      <c r="AZ250" s="21">
        <v>30.284400000000002</v>
      </c>
      <c r="BA250" s="21">
        <v>-1.1367800000000001E-2</v>
      </c>
      <c r="BB250" s="21">
        <v>240</v>
      </c>
      <c r="BC250" s="21">
        <v>1.1077900000000001</v>
      </c>
      <c r="BD250">
        <f t="shared" si="46"/>
        <v>14.03432098765432</v>
      </c>
      <c r="BE250">
        <f t="shared" si="47"/>
        <v>15.557746530864195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0.61645499999999998</v>
      </c>
      <c r="H251" s="21">
        <v>7.4634299999999998</v>
      </c>
      <c r="I251" s="21">
        <v>-1.3336199999999999E-2</v>
      </c>
      <c r="J251" s="21">
        <v>241</v>
      </c>
      <c r="K251" s="21">
        <v>0.61593600000000004</v>
      </c>
      <c r="L251">
        <f t="shared" si="36"/>
        <v>16.464444444444442</v>
      </c>
      <c r="M251">
        <f t="shared" si="37"/>
        <v>10.149589099999998</v>
      </c>
      <c r="N251" s="9"/>
      <c r="O251" s="21">
        <v>1.1135900000000001</v>
      </c>
      <c r="P251" s="21">
        <v>11.343</v>
      </c>
      <c r="Q251" s="21">
        <v>-1.17126E-2</v>
      </c>
      <c r="R251" s="21">
        <v>241</v>
      </c>
      <c r="S251" s="21">
        <v>1.1123700000000001</v>
      </c>
      <c r="T251">
        <f t="shared" si="38"/>
        <v>14.459999999999999</v>
      </c>
      <c r="U251">
        <f t="shared" si="39"/>
        <v>16.102511400000001</v>
      </c>
      <c r="X251" s="9"/>
      <c r="Y251" s="21">
        <v>0.61645499999999998</v>
      </c>
      <c r="Z251" s="21">
        <v>16.916599999999999</v>
      </c>
      <c r="AA251" s="21">
        <v>-1.3107300000000001E-2</v>
      </c>
      <c r="AB251" s="21">
        <v>241</v>
      </c>
      <c r="AC251" s="21">
        <v>0.61581399999999997</v>
      </c>
      <c r="AD251">
        <f t="shared" si="40"/>
        <v>16.181851851851849</v>
      </c>
      <c r="AE251">
        <f t="shared" si="41"/>
        <v>9.9753834833333315</v>
      </c>
      <c r="AF251" s="9"/>
      <c r="AG251" s="21">
        <v>1.1135900000000001</v>
      </c>
      <c r="AH251" s="21">
        <v>20.796199999999999</v>
      </c>
      <c r="AI251" s="21">
        <v>-1.1499000000000001E-2</v>
      </c>
      <c r="AJ251" s="21">
        <v>241</v>
      </c>
      <c r="AK251" s="21">
        <v>1.1129800000000001</v>
      </c>
      <c r="AL251">
        <f t="shared" si="42"/>
        <v>14.196296296296296</v>
      </c>
      <c r="AM251">
        <f t="shared" si="43"/>
        <v>15.808853592592593</v>
      </c>
      <c r="AP251" s="9"/>
      <c r="AQ251" s="21">
        <v>0.61645499999999998</v>
      </c>
      <c r="AR251" s="21">
        <v>26.4148</v>
      </c>
      <c r="AS251" s="21">
        <v>-1.30096E-2</v>
      </c>
      <c r="AT251" s="21">
        <v>241</v>
      </c>
      <c r="AU251" s="21">
        <v>0.61584499999999998</v>
      </c>
      <c r="AV251">
        <f t="shared" si="44"/>
        <v>16.061234567901234</v>
      </c>
      <c r="AW251">
        <f t="shared" si="45"/>
        <v>9.9010283555555549</v>
      </c>
      <c r="AX251" s="9"/>
      <c r="AY251" s="21">
        <v>1.1135900000000001</v>
      </c>
      <c r="AZ251" s="21">
        <v>30.294499999999999</v>
      </c>
      <c r="BA251" s="21">
        <v>-1.13495E-2</v>
      </c>
      <c r="BB251" s="21">
        <v>241</v>
      </c>
      <c r="BC251" s="21">
        <v>1.11267</v>
      </c>
      <c r="BD251">
        <f t="shared" si="46"/>
        <v>14.011728395061727</v>
      </c>
      <c r="BE251">
        <f t="shared" si="47"/>
        <v>15.60332062345679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0.61141999999999996</v>
      </c>
      <c r="H252" s="21">
        <v>7.4734999999999996</v>
      </c>
      <c r="I252" s="21">
        <v>-1.3336199999999999E-2</v>
      </c>
      <c r="J252" s="21">
        <v>242</v>
      </c>
      <c r="K252" s="21">
        <v>0.61077899999999996</v>
      </c>
      <c r="L252">
        <f t="shared" si="36"/>
        <v>16.464444444444442</v>
      </c>
      <c r="M252">
        <f t="shared" si="37"/>
        <v>10.06669062222222</v>
      </c>
      <c r="N252" s="9"/>
      <c r="O252" s="21">
        <v>1.1186199999999999</v>
      </c>
      <c r="P252" s="21">
        <v>11.3531</v>
      </c>
      <c r="Q252" s="21">
        <v>-1.17004E-2</v>
      </c>
      <c r="R252" s="21">
        <v>242</v>
      </c>
      <c r="S252" s="21">
        <v>1.11755</v>
      </c>
      <c r="T252">
        <f t="shared" si="38"/>
        <v>14.444938271604938</v>
      </c>
      <c r="U252">
        <f t="shared" si="39"/>
        <v>16.158396849382715</v>
      </c>
      <c r="X252" s="9"/>
      <c r="Y252" s="21">
        <v>0.61141999999999996</v>
      </c>
      <c r="Z252" s="21">
        <v>16.9267</v>
      </c>
      <c r="AA252" s="21">
        <v>-1.3107300000000001E-2</v>
      </c>
      <c r="AB252" s="21">
        <v>242</v>
      </c>
      <c r="AC252" s="21">
        <v>0.61077899999999996</v>
      </c>
      <c r="AD252">
        <f t="shared" si="40"/>
        <v>16.181851851851849</v>
      </c>
      <c r="AE252">
        <f t="shared" si="41"/>
        <v>9.893907859259258</v>
      </c>
      <c r="AF252" s="9"/>
      <c r="AG252" s="21">
        <v>1.1186199999999999</v>
      </c>
      <c r="AH252" s="21">
        <v>20.8063</v>
      </c>
      <c r="AI252" s="21">
        <v>-1.14746E-2</v>
      </c>
      <c r="AJ252" s="21">
        <v>242</v>
      </c>
      <c r="AK252" s="21">
        <v>1.11755</v>
      </c>
      <c r="AL252">
        <f t="shared" si="42"/>
        <v>14.166172839506173</v>
      </c>
      <c r="AM252">
        <f t="shared" si="43"/>
        <v>15.846564261728394</v>
      </c>
      <c r="AP252" s="9"/>
      <c r="AQ252" s="21">
        <v>0.61141999999999996</v>
      </c>
      <c r="AR252" s="21">
        <v>26.424900000000001</v>
      </c>
      <c r="AS252" s="21">
        <v>-1.30127E-2</v>
      </c>
      <c r="AT252" s="21">
        <v>242</v>
      </c>
      <c r="AU252" s="21">
        <v>0.61071799999999998</v>
      </c>
      <c r="AV252">
        <f t="shared" si="44"/>
        <v>16.065061728395062</v>
      </c>
      <c r="AW252">
        <f t="shared" si="45"/>
        <v>9.8225000419753083</v>
      </c>
      <c r="AX252" s="9"/>
      <c r="AY252" s="21">
        <v>1.1186199999999999</v>
      </c>
      <c r="AZ252" s="21">
        <v>30.304500000000001</v>
      </c>
      <c r="BA252" s="21">
        <v>-1.13312E-2</v>
      </c>
      <c r="BB252" s="21">
        <v>242</v>
      </c>
      <c r="BC252" s="21">
        <v>1.11755</v>
      </c>
      <c r="BD252">
        <f t="shared" si="46"/>
        <v>13.989135802469134</v>
      </c>
      <c r="BE252">
        <f t="shared" si="47"/>
        <v>15.648527091358021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0.60638400000000003</v>
      </c>
      <c r="H253" s="21">
        <v>7.4835700000000003</v>
      </c>
      <c r="I253" s="21">
        <v>-1.33423E-2</v>
      </c>
      <c r="J253" s="21">
        <v>243</v>
      </c>
      <c r="K253" s="21">
        <v>0.60568200000000005</v>
      </c>
      <c r="L253">
        <f t="shared" si="36"/>
        <v>16.471975308641973</v>
      </c>
      <c r="M253">
        <f t="shared" si="37"/>
        <v>9.9883422755555547</v>
      </c>
      <c r="N253" s="9"/>
      <c r="O253" s="21">
        <v>1.1236600000000001</v>
      </c>
      <c r="P253" s="21">
        <v>11.363200000000001</v>
      </c>
      <c r="Q253" s="21">
        <v>-1.16852E-2</v>
      </c>
      <c r="R253" s="21">
        <v>243</v>
      </c>
      <c r="S253" s="21">
        <v>1.1233500000000001</v>
      </c>
      <c r="T253">
        <f t="shared" si="38"/>
        <v>14.426172839506172</v>
      </c>
      <c r="U253">
        <f t="shared" si="39"/>
        <v>16.210113372839508</v>
      </c>
      <c r="X253" s="9"/>
      <c r="Y253" s="21">
        <v>0.60638400000000003</v>
      </c>
      <c r="Z253" s="21">
        <v>16.936800000000002</v>
      </c>
      <c r="AA253" s="21">
        <v>-1.31012E-2</v>
      </c>
      <c r="AB253" s="21">
        <v>243</v>
      </c>
      <c r="AC253" s="21">
        <v>0.60577400000000003</v>
      </c>
      <c r="AD253">
        <f t="shared" si="40"/>
        <v>16.174320987654323</v>
      </c>
      <c r="AE253">
        <f t="shared" si="41"/>
        <v>9.8078494577777793</v>
      </c>
      <c r="AF253" s="9"/>
      <c r="AG253" s="21">
        <v>1.1236600000000001</v>
      </c>
      <c r="AH253" s="21">
        <v>20.816400000000002</v>
      </c>
      <c r="AI253" s="21">
        <v>-1.14532E-2</v>
      </c>
      <c r="AJ253" s="21">
        <v>243</v>
      </c>
      <c r="AK253" s="21">
        <v>1.1227400000000001</v>
      </c>
      <c r="AL253">
        <f t="shared" si="42"/>
        <v>14.139753086419754</v>
      </c>
      <c r="AM253">
        <f t="shared" si="43"/>
        <v>15.888274953086421</v>
      </c>
      <c r="AP253" s="9"/>
      <c r="AQ253" s="21">
        <v>0.60638400000000003</v>
      </c>
      <c r="AR253" s="21">
        <v>26.434999999999999</v>
      </c>
      <c r="AS253" s="21">
        <v>-1.30127E-2</v>
      </c>
      <c r="AT253" s="21">
        <v>243</v>
      </c>
      <c r="AU253" s="21">
        <v>0.60574300000000003</v>
      </c>
      <c r="AV253">
        <f t="shared" si="44"/>
        <v>16.065061728395062</v>
      </c>
      <c r="AW253">
        <f t="shared" si="45"/>
        <v>9.741596391111111</v>
      </c>
      <c r="AX253" s="9"/>
      <c r="AY253" s="21">
        <v>1.1236600000000001</v>
      </c>
      <c r="AZ253" s="21">
        <v>30.314599999999999</v>
      </c>
      <c r="BA253" s="21">
        <v>-1.1312900000000001E-2</v>
      </c>
      <c r="BB253" s="21">
        <v>243</v>
      </c>
      <c r="BC253" s="21">
        <v>1.1227400000000001</v>
      </c>
      <c r="BD253">
        <f t="shared" si="46"/>
        <v>13.966543209876543</v>
      </c>
      <c r="BE253">
        <f t="shared" si="47"/>
        <v>15.693645943209876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0.60134900000000002</v>
      </c>
      <c r="H254" s="21">
        <v>7.4936400000000001</v>
      </c>
      <c r="I254" s="21">
        <v>-1.33575E-2</v>
      </c>
      <c r="J254" s="21">
        <v>244</v>
      </c>
      <c r="K254" s="21">
        <v>0.60070800000000002</v>
      </c>
      <c r="L254">
        <f t="shared" si="36"/>
        <v>16.49074074074074</v>
      </c>
      <c r="M254">
        <f t="shared" si="37"/>
        <v>9.9166904537037031</v>
      </c>
      <c r="N254" s="9"/>
      <c r="O254" s="21">
        <v>1.12869</v>
      </c>
      <c r="P254" s="21">
        <v>11.3733</v>
      </c>
      <c r="Q254" s="21">
        <v>-1.1676000000000001E-2</v>
      </c>
      <c r="R254" s="21">
        <v>244</v>
      </c>
      <c r="S254" s="21">
        <v>1.1276200000000001</v>
      </c>
      <c r="T254">
        <f t="shared" si="38"/>
        <v>14.414814814814815</v>
      </c>
      <c r="U254">
        <f t="shared" si="39"/>
        <v>16.269857333333334</v>
      </c>
      <c r="X254" s="9"/>
      <c r="Y254" s="21">
        <v>0.60134900000000002</v>
      </c>
      <c r="Z254" s="21">
        <v>16.9468</v>
      </c>
      <c r="AA254" s="21">
        <v>-1.30951E-2</v>
      </c>
      <c r="AB254" s="21">
        <v>244</v>
      </c>
      <c r="AC254" s="21">
        <v>0.60073900000000002</v>
      </c>
      <c r="AD254">
        <f t="shared" si="40"/>
        <v>16.166790123456789</v>
      </c>
      <c r="AE254">
        <f t="shared" si="41"/>
        <v>9.7218830739506163</v>
      </c>
      <c r="AF254" s="9"/>
      <c r="AG254" s="21">
        <v>1.12869</v>
      </c>
      <c r="AH254" s="21">
        <v>20.8264</v>
      </c>
      <c r="AI254" s="21">
        <v>-1.14349E-2</v>
      </c>
      <c r="AJ254" s="21">
        <v>244</v>
      </c>
      <c r="AK254" s="21">
        <v>1.1279300000000001</v>
      </c>
      <c r="AL254">
        <f t="shared" si="42"/>
        <v>14.117160493827161</v>
      </c>
      <c r="AM254">
        <f t="shared" si="43"/>
        <v>15.933897877777778</v>
      </c>
      <c r="AP254" s="9"/>
      <c r="AQ254" s="21">
        <v>0.60134900000000002</v>
      </c>
      <c r="AR254" s="21">
        <v>26.4451</v>
      </c>
      <c r="AS254" s="21">
        <v>-1.30127E-2</v>
      </c>
      <c r="AT254" s="21">
        <v>244</v>
      </c>
      <c r="AU254" s="21">
        <v>0.60070800000000002</v>
      </c>
      <c r="AV254">
        <f t="shared" si="44"/>
        <v>16.065061728395062</v>
      </c>
      <c r="AW254">
        <f t="shared" si="45"/>
        <v>9.6607088053086425</v>
      </c>
      <c r="AX254" s="9"/>
      <c r="AY254" s="21">
        <v>1.12869</v>
      </c>
      <c r="AZ254" s="21">
        <v>30.3247</v>
      </c>
      <c r="BA254" s="21">
        <v>-1.1306800000000001E-2</v>
      </c>
      <c r="BB254" s="21">
        <v>244</v>
      </c>
      <c r="BC254" s="21">
        <v>1.1282300000000001</v>
      </c>
      <c r="BD254">
        <f t="shared" si="46"/>
        <v>13.959012345679012</v>
      </c>
      <c r="BE254">
        <f t="shared" si="47"/>
        <v>15.755397644444443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0.59631299999999998</v>
      </c>
      <c r="H255" s="21">
        <v>7.5037099999999999</v>
      </c>
      <c r="I255" s="21">
        <v>-1.33636E-2</v>
      </c>
      <c r="J255" s="21">
        <v>245</v>
      </c>
      <c r="K255" s="21">
        <v>0.59552000000000005</v>
      </c>
      <c r="L255">
        <f t="shared" si="36"/>
        <v>16.498271604938271</v>
      </c>
      <c r="M255">
        <f t="shared" si="37"/>
        <v>9.8381338355555545</v>
      </c>
      <c r="N255" s="9"/>
      <c r="O255" s="21">
        <v>1.1337299999999999</v>
      </c>
      <c r="P255" s="21">
        <v>11.3833</v>
      </c>
      <c r="Q255" s="21">
        <v>-1.16699E-2</v>
      </c>
      <c r="R255" s="21">
        <v>245</v>
      </c>
      <c r="S255" s="21">
        <v>1.1328100000000001</v>
      </c>
      <c r="T255">
        <f t="shared" si="38"/>
        <v>14.407283950617282</v>
      </c>
      <c r="U255">
        <f t="shared" si="39"/>
        <v>16.33397003333333</v>
      </c>
      <c r="X255" s="9"/>
      <c r="Y255" s="21">
        <v>0.59631299999999998</v>
      </c>
      <c r="Z255" s="21">
        <v>16.956900000000001</v>
      </c>
      <c r="AA255" s="21">
        <v>-1.3091999999999999E-2</v>
      </c>
      <c r="AB255" s="21">
        <v>245</v>
      </c>
      <c r="AC255" s="21">
        <v>0.59558100000000003</v>
      </c>
      <c r="AD255">
        <f t="shared" si="40"/>
        <v>16.162962962962961</v>
      </c>
      <c r="AE255">
        <f t="shared" si="41"/>
        <v>9.6381849333333314</v>
      </c>
      <c r="AF255" s="9"/>
      <c r="AG255" s="21">
        <v>1.1337299999999999</v>
      </c>
      <c r="AH255" s="21">
        <v>20.836500000000001</v>
      </c>
      <c r="AI255" s="21">
        <v>-1.1416600000000001E-2</v>
      </c>
      <c r="AJ255" s="21">
        <v>245</v>
      </c>
      <c r="AK255" s="21">
        <v>1.1334200000000001</v>
      </c>
      <c r="AL255">
        <f t="shared" si="42"/>
        <v>14.094567901234569</v>
      </c>
      <c r="AM255">
        <f t="shared" si="43"/>
        <v>15.979434466666667</v>
      </c>
      <c r="AP255" s="9"/>
      <c r="AQ255" s="21">
        <v>0.59631299999999998</v>
      </c>
      <c r="AR255" s="21">
        <v>26.455100000000002</v>
      </c>
      <c r="AS255" s="21">
        <v>-1.30157E-2</v>
      </c>
      <c r="AT255" s="21">
        <v>245</v>
      </c>
      <c r="AU255" s="21">
        <v>0.59567300000000001</v>
      </c>
      <c r="AV255">
        <f t="shared" si="44"/>
        <v>16.068765432098765</v>
      </c>
      <c r="AW255">
        <f t="shared" si="45"/>
        <v>9.5820137211111103</v>
      </c>
      <c r="AX255" s="9"/>
      <c r="AY255" s="21">
        <v>1.1337299999999999</v>
      </c>
      <c r="AZ255" s="21">
        <v>30.334700000000002</v>
      </c>
      <c r="BA255" s="21">
        <v>-1.1291499999999999E-2</v>
      </c>
      <c r="BB255" s="21">
        <v>245</v>
      </c>
      <c r="BC255" s="21">
        <v>1.1331199999999999</v>
      </c>
      <c r="BD255">
        <f t="shared" si="46"/>
        <v>13.940123456790122</v>
      </c>
      <c r="BE255">
        <f t="shared" si="47"/>
        <v>15.804336166666664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0.59127799999999997</v>
      </c>
      <c r="H256" s="21">
        <v>7.5137799999999997</v>
      </c>
      <c r="I256" s="21">
        <v>-1.33667E-2</v>
      </c>
      <c r="J256" s="21">
        <v>246</v>
      </c>
      <c r="K256" s="21">
        <v>0.59063699999999997</v>
      </c>
      <c r="L256">
        <f t="shared" si="36"/>
        <v>16.502098765432098</v>
      </c>
      <c r="M256">
        <f t="shared" si="37"/>
        <v>9.7573279538271596</v>
      </c>
      <c r="N256" s="9"/>
      <c r="O256" s="21">
        <v>1.13876</v>
      </c>
      <c r="P256" s="21">
        <v>11.3934</v>
      </c>
      <c r="Q256" s="21">
        <v>-1.16547E-2</v>
      </c>
      <c r="R256" s="21">
        <v>246</v>
      </c>
      <c r="S256" s="21">
        <v>1.1376999999999999</v>
      </c>
      <c r="T256">
        <f t="shared" si="38"/>
        <v>14.388518518518518</v>
      </c>
      <c r="U256">
        <f t="shared" si="39"/>
        <v>16.385069348148146</v>
      </c>
      <c r="X256" s="9"/>
      <c r="Y256" s="21">
        <v>0.59127799999999997</v>
      </c>
      <c r="Z256" s="21">
        <v>16.966999999999999</v>
      </c>
      <c r="AA256" s="21">
        <v>-1.3091999999999999E-2</v>
      </c>
      <c r="AB256" s="21">
        <v>246</v>
      </c>
      <c r="AC256" s="21">
        <v>0.59072899999999995</v>
      </c>
      <c r="AD256">
        <f t="shared" si="40"/>
        <v>16.162962962962961</v>
      </c>
      <c r="AE256">
        <f t="shared" si="41"/>
        <v>9.5568044148148132</v>
      </c>
      <c r="AF256" s="9"/>
      <c r="AG256" s="21">
        <v>1.13876</v>
      </c>
      <c r="AH256" s="21">
        <v>20.846599999999999</v>
      </c>
      <c r="AI256" s="21">
        <v>-1.1401400000000001E-2</v>
      </c>
      <c r="AJ256" s="21">
        <v>246</v>
      </c>
      <c r="AK256" s="21">
        <v>1.1379999999999999</v>
      </c>
      <c r="AL256">
        <f t="shared" si="42"/>
        <v>14.075802469135803</v>
      </c>
      <c r="AM256">
        <f t="shared" si="43"/>
        <v>16.028960819753088</v>
      </c>
      <c r="AP256" s="9"/>
      <c r="AQ256" s="21">
        <v>0.59127799999999997</v>
      </c>
      <c r="AR256" s="21">
        <v>26.465199999999999</v>
      </c>
      <c r="AS256" s="21">
        <v>-1.3018800000000001E-2</v>
      </c>
      <c r="AT256" s="21">
        <v>246</v>
      </c>
      <c r="AU256" s="21">
        <v>0.59060699999999999</v>
      </c>
      <c r="AV256">
        <f t="shared" si="44"/>
        <v>16.072592592592592</v>
      </c>
      <c r="AW256">
        <f t="shared" si="45"/>
        <v>9.5033704029629629</v>
      </c>
      <c r="AX256" s="9"/>
      <c r="AY256" s="21">
        <v>1.13876</v>
      </c>
      <c r="AZ256" s="21">
        <v>30.344799999999999</v>
      </c>
      <c r="BA256" s="21">
        <v>-1.12762E-2</v>
      </c>
      <c r="BB256" s="21">
        <v>246</v>
      </c>
      <c r="BC256" s="21">
        <v>1.1379999999999999</v>
      </c>
      <c r="BD256">
        <f t="shared" si="46"/>
        <v>13.921234567901234</v>
      </c>
      <c r="BE256">
        <f t="shared" si="47"/>
        <v>15.852945076543209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0.58624299999999996</v>
      </c>
      <c r="H257" s="21">
        <v>7.52386</v>
      </c>
      <c r="I257" s="21">
        <v>-1.33759E-2</v>
      </c>
      <c r="J257" s="21">
        <v>247</v>
      </c>
      <c r="K257" s="21">
        <v>0.58563200000000004</v>
      </c>
      <c r="L257">
        <f t="shared" si="36"/>
        <v>16.513456790123456</v>
      </c>
      <c r="M257">
        <f t="shared" si="37"/>
        <v>9.6808984490123446</v>
      </c>
      <c r="N257" s="9"/>
      <c r="O257" s="21">
        <v>1.1437999999999999</v>
      </c>
      <c r="P257" s="21">
        <v>11.403499999999999</v>
      </c>
      <c r="Q257" s="21">
        <v>-1.16364E-2</v>
      </c>
      <c r="R257" s="21">
        <v>247</v>
      </c>
      <c r="S257" s="21">
        <v>1.1425799999999999</v>
      </c>
      <c r="T257">
        <f t="shared" si="38"/>
        <v>14.365925925925925</v>
      </c>
      <c r="U257">
        <f t="shared" si="39"/>
        <v>16.431746074074074</v>
      </c>
      <c r="X257" s="9"/>
      <c r="Y257" s="21">
        <v>0.58624299999999996</v>
      </c>
      <c r="Z257" s="21">
        <v>16.977</v>
      </c>
      <c r="AA257" s="21">
        <v>-1.30951E-2</v>
      </c>
      <c r="AB257" s="21">
        <v>247</v>
      </c>
      <c r="AC257" s="21">
        <v>0.58560199999999996</v>
      </c>
      <c r="AD257">
        <f t="shared" si="40"/>
        <v>16.166790123456789</v>
      </c>
      <c r="AE257">
        <f t="shared" si="41"/>
        <v>9.477667542345678</v>
      </c>
      <c r="AF257" s="9"/>
      <c r="AG257" s="21">
        <v>1.1437999999999999</v>
      </c>
      <c r="AH257" s="21">
        <v>20.8567</v>
      </c>
      <c r="AI257" s="21">
        <v>-1.13831E-2</v>
      </c>
      <c r="AJ257" s="21">
        <v>247</v>
      </c>
      <c r="AK257" s="21">
        <v>1.1428799999999999</v>
      </c>
      <c r="AL257">
        <f t="shared" si="42"/>
        <v>14.053209876543209</v>
      </c>
      <c r="AM257">
        <f t="shared" si="43"/>
        <v>16.074061456790123</v>
      </c>
      <c r="AP257" s="9"/>
      <c r="AQ257" s="21">
        <v>0.58624299999999996</v>
      </c>
      <c r="AR257" s="21">
        <v>26.475300000000001</v>
      </c>
      <c r="AS257" s="21">
        <v>-1.3028E-2</v>
      </c>
      <c r="AT257" s="21">
        <v>247</v>
      </c>
      <c r="AU257" s="21">
        <v>0.58572400000000002</v>
      </c>
      <c r="AV257">
        <f t="shared" si="44"/>
        <v>16.08395061728395</v>
      </c>
      <c r="AW257">
        <f t="shared" si="45"/>
        <v>9.4291034617283938</v>
      </c>
      <c r="AX257" s="9"/>
      <c r="AY257" s="21">
        <v>1.1437999999999999</v>
      </c>
      <c r="AZ257" s="21">
        <v>30.354900000000001</v>
      </c>
      <c r="BA257" s="21">
        <v>-1.1264E-2</v>
      </c>
      <c r="BB257" s="21">
        <v>247</v>
      </c>
      <c r="BC257" s="21">
        <v>1.1425799999999999</v>
      </c>
      <c r="BD257">
        <f t="shared" si="46"/>
        <v>13.906172839506171</v>
      </c>
      <c r="BE257">
        <f t="shared" si="47"/>
        <v>15.905880493827157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0.58120700000000003</v>
      </c>
      <c r="H258" s="21">
        <v>7.5339299999999998</v>
      </c>
      <c r="I258" s="21">
        <v>-1.3378900000000001E-2</v>
      </c>
      <c r="J258" s="21">
        <v>248</v>
      </c>
      <c r="K258" s="21">
        <v>0.58059700000000003</v>
      </c>
      <c r="L258">
        <f t="shared" si="36"/>
        <v>16.517160493827159</v>
      </c>
      <c r="M258">
        <f t="shared" si="37"/>
        <v>9.5998892991358016</v>
      </c>
      <c r="N258" s="9"/>
      <c r="O258" s="21">
        <v>1.14883</v>
      </c>
      <c r="P258" s="21">
        <v>11.413500000000001</v>
      </c>
      <c r="Q258" s="21">
        <v>-1.1599699999999999E-2</v>
      </c>
      <c r="R258" s="21">
        <v>248</v>
      </c>
      <c r="S258" s="21">
        <v>1.1480699999999999</v>
      </c>
      <c r="T258">
        <f t="shared" si="38"/>
        <v>14.320617283950616</v>
      </c>
      <c r="U258">
        <f t="shared" si="39"/>
        <v>16.451954754320987</v>
      </c>
      <c r="X258" s="9"/>
      <c r="Y258" s="21">
        <v>0.58120700000000003</v>
      </c>
      <c r="Z258" s="21">
        <v>16.987100000000002</v>
      </c>
      <c r="AA258" s="21">
        <v>-1.31012E-2</v>
      </c>
      <c r="AB258" s="21">
        <v>248</v>
      </c>
      <c r="AC258" s="21">
        <v>0.58059700000000003</v>
      </c>
      <c r="AD258">
        <f t="shared" si="40"/>
        <v>16.174320987654323</v>
      </c>
      <c r="AE258">
        <f t="shared" si="41"/>
        <v>9.4006285782716059</v>
      </c>
      <c r="AF258" s="9"/>
      <c r="AG258" s="21">
        <v>1.14883</v>
      </c>
      <c r="AH258" s="21">
        <v>20.866700000000002</v>
      </c>
      <c r="AI258" s="21">
        <v>-1.13647E-2</v>
      </c>
      <c r="AJ258" s="21">
        <v>248</v>
      </c>
      <c r="AK258" s="21">
        <v>1.1474599999999999</v>
      </c>
      <c r="AL258">
        <f t="shared" si="42"/>
        <v>14.030493827160493</v>
      </c>
      <c r="AM258">
        <f t="shared" si="43"/>
        <v>16.118652223456788</v>
      </c>
      <c r="AP258" s="9"/>
      <c r="AQ258" s="21">
        <v>0.58120700000000003</v>
      </c>
      <c r="AR258" s="21">
        <v>26.485299999999999</v>
      </c>
      <c r="AS258" s="21">
        <v>-1.3028E-2</v>
      </c>
      <c r="AT258" s="21">
        <v>248</v>
      </c>
      <c r="AU258" s="21">
        <v>0.58053600000000005</v>
      </c>
      <c r="AV258">
        <f t="shared" si="44"/>
        <v>16.08395061728395</v>
      </c>
      <c r="AW258">
        <f t="shared" si="45"/>
        <v>9.3481046864197523</v>
      </c>
      <c r="AX258" s="9"/>
      <c r="AY258" s="21">
        <v>1.14883</v>
      </c>
      <c r="AZ258" s="21">
        <v>30.364999999999998</v>
      </c>
      <c r="BA258" s="21">
        <v>-1.12488E-2</v>
      </c>
      <c r="BB258" s="21">
        <v>248</v>
      </c>
      <c r="BC258" s="21">
        <v>1.1480699999999999</v>
      </c>
      <c r="BD258">
        <f t="shared" si="46"/>
        <v>13.887407407407405</v>
      </c>
      <c r="BE258">
        <f t="shared" si="47"/>
        <v>15.954270251851849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0.57617200000000002</v>
      </c>
      <c r="H259" s="21">
        <v>7.5439999999999996</v>
      </c>
      <c r="I259" s="21">
        <v>-1.3382E-2</v>
      </c>
      <c r="J259" s="21">
        <v>249</v>
      </c>
      <c r="K259" s="21">
        <v>0.575623</v>
      </c>
      <c r="L259">
        <f t="shared" si="36"/>
        <v>16.520987654320987</v>
      </c>
      <c r="M259">
        <f t="shared" si="37"/>
        <v>9.5189304987654317</v>
      </c>
      <c r="N259" s="9"/>
      <c r="O259" s="21">
        <v>1.15387</v>
      </c>
      <c r="P259" s="21">
        <v>11.4236</v>
      </c>
      <c r="Q259" s="21">
        <v>-1.15692E-2</v>
      </c>
      <c r="R259" s="21">
        <v>249</v>
      </c>
      <c r="S259" s="21">
        <v>1.1529499999999999</v>
      </c>
      <c r="T259">
        <f t="shared" si="38"/>
        <v>14.282962962962962</v>
      </c>
      <c r="U259">
        <f t="shared" si="39"/>
        <v>16.480682474074072</v>
      </c>
      <c r="X259" s="9"/>
      <c r="Y259" s="21">
        <v>0.57617200000000002</v>
      </c>
      <c r="Z259" s="21">
        <v>16.997199999999999</v>
      </c>
      <c r="AA259" s="21">
        <v>-1.30981E-2</v>
      </c>
      <c r="AB259" s="21">
        <v>249</v>
      </c>
      <c r="AC259" s="21">
        <v>0.575623</v>
      </c>
      <c r="AD259">
        <f t="shared" si="40"/>
        <v>16.170493827160495</v>
      </c>
      <c r="AE259">
        <f t="shared" si="41"/>
        <v>9.3169857693827165</v>
      </c>
      <c r="AF259" s="9"/>
      <c r="AG259" s="21">
        <v>1.15387</v>
      </c>
      <c r="AH259" s="21">
        <v>20.876799999999999</v>
      </c>
      <c r="AI259" s="21">
        <v>-1.13556E-2</v>
      </c>
      <c r="AJ259" s="21">
        <v>249</v>
      </c>
      <c r="AK259" s="21">
        <v>1.15265</v>
      </c>
      <c r="AL259">
        <f t="shared" si="42"/>
        <v>14.019259259259259</v>
      </c>
      <c r="AM259">
        <f t="shared" si="43"/>
        <v>16.176402681481481</v>
      </c>
      <c r="AP259" s="9"/>
      <c r="AQ259" s="21">
        <v>0.57617200000000002</v>
      </c>
      <c r="AR259" s="21">
        <v>26.4954</v>
      </c>
      <c r="AS259" s="21">
        <v>-1.3024900000000001E-2</v>
      </c>
      <c r="AT259" s="21">
        <v>249</v>
      </c>
      <c r="AU259" s="21">
        <v>0.57559199999999999</v>
      </c>
      <c r="AV259">
        <f t="shared" si="44"/>
        <v>16.080123456790126</v>
      </c>
      <c r="AW259">
        <f t="shared" si="45"/>
        <v>9.2649168923456813</v>
      </c>
      <c r="AX259" s="9"/>
      <c r="AY259" s="21">
        <v>1.15387</v>
      </c>
      <c r="AZ259" s="21">
        <v>30.375</v>
      </c>
      <c r="BA259" s="21">
        <v>-1.12274E-2</v>
      </c>
      <c r="BB259" s="21">
        <v>249</v>
      </c>
      <c r="BC259" s="21">
        <v>1.1529499999999999</v>
      </c>
      <c r="BD259">
        <f t="shared" si="46"/>
        <v>13.860987654320986</v>
      </c>
      <c r="BE259">
        <f t="shared" si="47"/>
        <v>15.993777824691357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0.57113599999999998</v>
      </c>
      <c r="H260" s="21">
        <v>7.5540700000000003</v>
      </c>
      <c r="I260" s="21">
        <v>-1.3378900000000001E-2</v>
      </c>
      <c r="J260" s="21">
        <v>250</v>
      </c>
      <c r="K260" s="21">
        <v>0.57037400000000005</v>
      </c>
      <c r="L260">
        <f t="shared" si="36"/>
        <v>16.517160493827159</v>
      </c>
      <c r="M260">
        <f t="shared" si="37"/>
        <v>9.4335449758024676</v>
      </c>
      <c r="N260" s="9"/>
      <c r="O260" s="21">
        <v>1.1589100000000001</v>
      </c>
      <c r="P260" s="21">
        <v>11.4337</v>
      </c>
      <c r="Q260" s="21">
        <v>-1.15417E-2</v>
      </c>
      <c r="R260" s="21">
        <v>250</v>
      </c>
      <c r="S260" s="21">
        <v>1.15784</v>
      </c>
      <c r="T260">
        <f t="shared" si="38"/>
        <v>14.249012345679011</v>
      </c>
      <c r="U260">
        <f t="shared" si="39"/>
        <v>16.513322897530866</v>
      </c>
      <c r="X260" s="9"/>
      <c r="Y260" s="21">
        <v>0.57113599999999998</v>
      </c>
      <c r="Z260" s="21">
        <v>17.007300000000001</v>
      </c>
      <c r="AA260" s="21">
        <v>-1.3091999999999999E-2</v>
      </c>
      <c r="AB260" s="21">
        <v>250</v>
      </c>
      <c r="AC260" s="21">
        <v>0.570465</v>
      </c>
      <c r="AD260">
        <f t="shared" si="40"/>
        <v>16.162962962962961</v>
      </c>
      <c r="AE260">
        <f t="shared" si="41"/>
        <v>9.2312500148148136</v>
      </c>
      <c r="AF260" s="9"/>
      <c r="AG260" s="21">
        <v>1.1589100000000001</v>
      </c>
      <c r="AH260" s="21">
        <v>20.886900000000001</v>
      </c>
      <c r="AI260" s="21">
        <v>-1.13312E-2</v>
      </c>
      <c r="AJ260" s="21">
        <v>250</v>
      </c>
      <c r="AK260" s="21">
        <v>1.1581399999999999</v>
      </c>
      <c r="AL260">
        <f t="shared" si="42"/>
        <v>13.989135802469134</v>
      </c>
      <c r="AM260">
        <f t="shared" si="43"/>
        <v>16.212149372839505</v>
      </c>
      <c r="AP260" s="9"/>
      <c r="AQ260" s="21">
        <v>0.57113599999999998</v>
      </c>
      <c r="AR260" s="21">
        <v>26.505500000000001</v>
      </c>
      <c r="AS260" s="21">
        <v>-1.30157E-2</v>
      </c>
      <c r="AT260" s="21">
        <v>250</v>
      </c>
      <c r="AU260" s="21">
        <v>0.57043500000000003</v>
      </c>
      <c r="AV260">
        <f t="shared" si="44"/>
        <v>16.068765432098765</v>
      </c>
      <c r="AW260">
        <f t="shared" si="45"/>
        <v>9.1774504138271595</v>
      </c>
      <c r="AX260" s="9"/>
      <c r="AY260" s="21">
        <v>1.1589100000000001</v>
      </c>
      <c r="AZ260" s="21">
        <v>30.385100000000001</v>
      </c>
      <c r="BA260" s="21">
        <v>-1.12061E-2</v>
      </c>
      <c r="BB260" s="21">
        <v>250</v>
      </c>
      <c r="BC260" s="21">
        <v>1.1575299999999999</v>
      </c>
      <c r="BD260">
        <f t="shared" si="46"/>
        <v>13.834691358024692</v>
      </c>
      <c r="BE260">
        <f t="shared" si="47"/>
        <v>16.033162161728399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0.56610099999999997</v>
      </c>
      <c r="H261" s="21">
        <v>7.5641400000000001</v>
      </c>
      <c r="I261" s="21">
        <v>-1.33759E-2</v>
      </c>
      <c r="J261" s="21">
        <v>251</v>
      </c>
      <c r="K261" s="21">
        <v>0.56542999999999999</v>
      </c>
      <c r="L261">
        <f t="shared" si="36"/>
        <v>16.513456790123456</v>
      </c>
      <c r="M261">
        <f t="shared" si="37"/>
        <v>9.3482844023456781</v>
      </c>
      <c r="N261" s="9"/>
      <c r="O261" s="21">
        <v>1.16394</v>
      </c>
      <c r="P261" s="21">
        <v>11.4438</v>
      </c>
      <c r="Q261" s="21">
        <v>-1.15234E-2</v>
      </c>
      <c r="R261" s="21">
        <v>251</v>
      </c>
      <c r="S261" s="21">
        <v>1.1630199999999999</v>
      </c>
      <c r="T261">
        <f t="shared" si="38"/>
        <v>14.226419753086418</v>
      </c>
      <c r="U261">
        <f t="shared" si="39"/>
        <v>16.558699007407405</v>
      </c>
      <c r="X261" s="9"/>
      <c r="Y261" s="21">
        <v>0.56610099999999997</v>
      </c>
      <c r="Z261" s="21">
        <v>17.017299999999999</v>
      </c>
      <c r="AA261" s="21">
        <v>-1.30829E-2</v>
      </c>
      <c r="AB261" s="21">
        <v>251</v>
      </c>
      <c r="AC261" s="21">
        <v>0.56545999999999996</v>
      </c>
      <c r="AD261">
        <f t="shared" si="40"/>
        <v>16.151728395061728</v>
      </c>
      <c r="AE261">
        <f t="shared" si="41"/>
        <v>9.143509596172839</v>
      </c>
      <c r="AF261" s="9"/>
      <c r="AG261" s="21">
        <v>1.16394</v>
      </c>
      <c r="AH261" s="21">
        <v>20.896899999999999</v>
      </c>
      <c r="AI261" s="21">
        <v>-1.13037E-2</v>
      </c>
      <c r="AJ261" s="21">
        <v>251</v>
      </c>
      <c r="AK261" s="21">
        <v>1.16272</v>
      </c>
      <c r="AL261">
        <f t="shared" si="42"/>
        <v>13.955185185185183</v>
      </c>
      <c r="AM261">
        <f t="shared" si="43"/>
        <v>16.24299824444444</v>
      </c>
      <c r="AP261" s="9"/>
      <c r="AQ261" s="21">
        <v>0.56610099999999997</v>
      </c>
      <c r="AR261" s="21">
        <v>26.515599999999999</v>
      </c>
      <c r="AS261" s="21">
        <v>-1.3018800000000001E-2</v>
      </c>
      <c r="AT261" s="21">
        <v>251</v>
      </c>
      <c r="AU261" s="21">
        <v>0.56542999999999999</v>
      </c>
      <c r="AV261">
        <f t="shared" si="44"/>
        <v>16.072592592592592</v>
      </c>
      <c r="AW261">
        <f t="shared" si="45"/>
        <v>9.0987107392592588</v>
      </c>
      <c r="AX261" s="9"/>
      <c r="AY261" s="21">
        <v>1.16394</v>
      </c>
      <c r="AZ261" s="21">
        <v>30.395199999999999</v>
      </c>
      <c r="BA261" s="21">
        <v>-1.11816E-2</v>
      </c>
      <c r="BB261" s="21">
        <v>251</v>
      </c>
      <c r="BC261" s="21">
        <v>1.16272</v>
      </c>
      <c r="BD261">
        <f t="shared" si="46"/>
        <v>13.804444444444444</v>
      </c>
      <c r="BE261">
        <f t="shared" si="47"/>
        <v>16.067545066666664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0.56106599999999995</v>
      </c>
      <c r="H262" s="21">
        <v>7.5742099999999999</v>
      </c>
      <c r="I262" s="21">
        <v>-1.3378900000000001E-2</v>
      </c>
      <c r="J262" s="21">
        <v>252</v>
      </c>
      <c r="K262" s="21">
        <v>0.56048600000000004</v>
      </c>
      <c r="L262">
        <f t="shared" si="36"/>
        <v>16.517160493827159</v>
      </c>
      <c r="M262">
        <f t="shared" si="37"/>
        <v>9.2672171696296282</v>
      </c>
      <c r="N262" s="9"/>
      <c r="O262" s="21">
        <v>1.1689799999999999</v>
      </c>
      <c r="P262" s="21">
        <v>11.453799999999999</v>
      </c>
      <c r="Q262" s="21">
        <v>-1.1502099999999999E-2</v>
      </c>
      <c r="R262" s="21">
        <v>252</v>
      </c>
      <c r="S262" s="21">
        <v>1.16791</v>
      </c>
      <c r="T262">
        <f t="shared" si="38"/>
        <v>14.200123456790122</v>
      </c>
      <c r="U262">
        <f t="shared" si="39"/>
        <v>16.599660318518517</v>
      </c>
      <c r="X262" s="9"/>
      <c r="Y262" s="21">
        <v>0.56106599999999995</v>
      </c>
      <c r="Z262" s="21">
        <v>17.0274</v>
      </c>
      <c r="AA262" s="21">
        <v>-1.30829E-2</v>
      </c>
      <c r="AB262" s="21">
        <v>252</v>
      </c>
      <c r="AC262" s="21">
        <v>0.56042499999999995</v>
      </c>
      <c r="AD262">
        <f t="shared" si="40"/>
        <v>16.151728395061728</v>
      </c>
      <c r="AE262">
        <f t="shared" si="41"/>
        <v>9.0621856437037032</v>
      </c>
      <c r="AF262" s="9"/>
      <c r="AG262" s="21">
        <v>1.1689799999999999</v>
      </c>
      <c r="AH262" s="21">
        <v>20.907</v>
      </c>
      <c r="AI262" s="21">
        <v>-1.12823E-2</v>
      </c>
      <c r="AJ262" s="21">
        <v>252</v>
      </c>
      <c r="AK262" s="21">
        <v>1.1676</v>
      </c>
      <c r="AL262">
        <f t="shared" si="42"/>
        <v>13.928765432098766</v>
      </c>
      <c r="AM262">
        <f t="shared" si="43"/>
        <v>16.282448214814814</v>
      </c>
      <c r="AP262" s="9"/>
      <c r="AQ262" s="21">
        <v>0.56106599999999995</v>
      </c>
      <c r="AR262" s="21">
        <v>26.525600000000001</v>
      </c>
      <c r="AS262" s="21">
        <v>-1.3028E-2</v>
      </c>
      <c r="AT262" s="21">
        <v>252</v>
      </c>
      <c r="AU262" s="21">
        <v>0.56042499999999995</v>
      </c>
      <c r="AV262">
        <f t="shared" si="44"/>
        <v>16.08395061728395</v>
      </c>
      <c r="AW262">
        <f t="shared" si="45"/>
        <v>9.0241578370370359</v>
      </c>
      <c r="AX262" s="9"/>
      <c r="AY262" s="21">
        <v>1.1689799999999999</v>
      </c>
      <c r="AZ262" s="21">
        <v>30.405200000000001</v>
      </c>
      <c r="BA262" s="21">
        <v>-1.11603E-2</v>
      </c>
      <c r="BB262" s="21">
        <v>252</v>
      </c>
      <c r="BC262" s="21">
        <v>1.16821</v>
      </c>
      <c r="BD262">
        <f t="shared" si="46"/>
        <v>13.778148148148148</v>
      </c>
      <c r="BE262">
        <f t="shared" si="47"/>
        <v>16.106379622222221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0.55603000000000002</v>
      </c>
      <c r="H263" s="21">
        <v>7.5842799999999997</v>
      </c>
      <c r="I263" s="21">
        <v>-1.33911E-2</v>
      </c>
      <c r="J263" s="21">
        <v>253</v>
      </c>
      <c r="K263" s="21">
        <v>0.55535900000000005</v>
      </c>
      <c r="L263">
        <f t="shared" si="36"/>
        <v>16.53222222222222</v>
      </c>
      <c r="M263">
        <f t="shared" si="37"/>
        <v>9.1924115222222209</v>
      </c>
      <c r="N263" s="9"/>
      <c r="O263" s="21">
        <v>1.17401</v>
      </c>
      <c r="P263" s="21">
        <v>11.463900000000001</v>
      </c>
      <c r="Q263" s="21">
        <v>-1.1483800000000001E-2</v>
      </c>
      <c r="R263" s="21">
        <v>253</v>
      </c>
      <c r="S263" s="21">
        <v>1.17249</v>
      </c>
      <c r="T263">
        <f t="shared" si="38"/>
        <v>14.17753086419753</v>
      </c>
      <c r="U263">
        <f t="shared" si="39"/>
        <v>16.644563009876542</v>
      </c>
      <c r="X263" s="9"/>
      <c r="Y263" s="21">
        <v>0.55603000000000002</v>
      </c>
      <c r="Z263" s="21">
        <v>17.037500000000001</v>
      </c>
      <c r="AA263" s="21">
        <v>-1.3089E-2</v>
      </c>
      <c r="AB263" s="21">
        <v>253</v>
      </c>
      <c r="AC263" s="21">
        <v>0.55538900000000002</v>
      </c>
      <c r="AD263">
        <f t="shared" si="40"/>
        <v>16.159259259259258</v>
      </c>
      <c r="AE263">
        <f t="shared" si="41"/>
        <v>8.9850329259259265</v>
      </c>
      <c r="AF263" s="9"/>
      <c r="AG263" s="21">
        <v>1.17401</v>
      </c>
      <c r="AH263" s="21">
        <v>20.917100000000001</v>
      </c>
      <c r="AI263" s="21">
        <v>-1.1264E-2</v>
      </c>
      <c r="AJ263" s="21">
        <v>253</v>
      </c>
      <c r="AK263" s="21">
        <v>1.1731</v>
      </c>
      <c r="AL263">
        <f t="shared" si="42"/>
        <v>13.906172839506171</v>
      </c>
      <c r="AM263">
        <f t="shared" si="43"/>
        <v>16.32598597530864</v>
      </c>
      <c r="AP263" s="9"/>
      <c r="AQ263" s="21">
        <v>0.55603000000000002</v>
      </c>
      <c r="AR263" s="21">
        <v>26.535699999999999</v>
      </c>
      <c r="AS263" s="21">
        <v>-1.3037099999999999E-2</v>
      </c>
      <c r="AT263" s="21">
        <v>253</v>
      </c>
      <c r="AU263" s="21">
        <v>0.55542000000000002</v>
      </c>
      <c r="AV263">
        <f t="shared" si="44"/>
        <v>16.095185185185183</v>
      </c>
      <c r="AW263">
        <f t="shared" si="45"/>
        <v>8.9494058185185175</v>
      </c>
      <c r="AX263" s="9"/>
      <c r="AY263" s="21">
        <v>1.17401</v>
      </c>
      <c r="AZ263" s="21">
        <v>30.415299999999998</v>
      </c>
      <c r="BA263" s="21">
        <v>-1.11389E-2</v>
      </c>
      <c r="BB263" s="21">
        <v>253</v>
      </c>
      <c r="BC263" s="21">
        <v>1.1731</v>
      </c>
      <c r="BD263">
        <f t="shared" si="46"/>
        <v>13.751728395061727</v>
      </c>
      <c r="BE263">
        <f t="shared" si="47"/>
        <v>16.144666653086418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0.55099500000000001</v>
      </c>
      <c r="H264" s="21">
        <v>7.5943500000000004</v>
      </c>
      <c r="I264" s="21">
        <v>-1.34033E-2</v>
      </c>
      <c r="J264" s="21">
        <v>254</v>
      </c>
      <c r="K264" s="21">
        <v>0.55041499999999999</v>
      </c>
      <c r="L264">
        <f t="shared" si="36"/>
        <v>16.547283950617281</v>
      </c>
      <c r="M264">
        <f t="shared" si="37"/>
        <v>9.1174707203703687</v>
      </c>
      <c r="N264" s="9"/>
      <c r="O264" s="21">
        <v>1.1790499999999999</v>
      </c>
      <c r="P264" s="21">
        <v>11.474</v>
      </c>
      <c r="Q264" s="21">
        <v>-1.1456300000000001E-2</v>
      </c>
      <c r="R264" s="21">
        <v>254</v>
      </c>
      <c r="S264" s="21">
        <v>1.17798</v>
      </c>
      <c r="T264">
        <f t="shared" si="38"/>
        <v>14.143580246913581</v>
      </c>
      <c r="U264">
        <f t="shared" si="39"/>
        <v>16.675988290123456</v>
      </c>
      <c r="X264" s="9"/>
      <c r="Y264" s="21">
        <v>0.55099500000000001</v>
      </c>
      <c r="Z264" s="21">
        <v>17.047499999999999</v>
      </c>
      <c r="AA264" s="21">
        <v>-1.3085899999999999E-2</v>
      </c>
      <c r="AB264" s="21">
        <v>254</v>
      </c>
      <c r="AC264" s="21">
        <v>0.55044599999999999</v>
      </c>
      <c r="AD264">
        <f t="shared" si="40"/>
        <v>16.155432098765431</v>
      </c>
      <c r="AE264">
        <f t="shared" si="41"/>
        <v>8.9015623092592584</v>
      </c>
      <c r="AF264" s="9"/>
      <c r="AG264" s="21">
        <v>1.1790499999999999</v>
      </c>
      <c r="AH264" s="21">
        <v>20.927199999999999</v>
      </c>
      <c r="AI264" s="21">
        <v>-1.1239600000000001E-2</v>
      </c>
      <c r="AJ264" s="21">
        <v>254</v>
      </c>
      <c r="AK264" s="21">
        <v>1.17828</v>
      </c>
      <c r="AL264">
        <f t="shared" si="42"/>
        <v>13.876049382716049</v>
      </c>
      <c r="AM264">
        <f t="shared" si="43"/>
        <v>16.360556024691356</v>
      </c>
      <c r="AP264" s="9"/>
      <c r="AQ264" s="21">
        <v>0.55099500000000001</v>
      </c>
      <c r="AR264" s="21">
        <v>26.5458</v>
      </c>
      <c r="AS264" s="21">
        <v>-1.30493E-2</v>
      </c>
      <c r="AT264" s="21">
        <v>254</v>
      </c>
      <c r="AU264" s="21">
        <v>0.55032300000000001</v>
      </c>
      <c r="AV264">
        <f t="shared" si="44"/>
        <v>16.110246913580244</v>
      </c>
      <c r="AW264">
        <f t="shared" si="45"/>
        <v>8.8766654981481476</v>
      </c>
      <c r="AX264" s="9"/>
      <c r="AY264" s="21">
        <v>1.1790499999999999</v>
      </c>
      <c r="AZ264" s="21">
        <v>30.4254</v>
      </c>
      <c r="BA264" s="21">
        <v>-1.11176E-2</v>
      </c>
      <c r="BB264" s="21">
        <v>254</v>
      </c>
      <c r="BC264" s="21">
        <v>1.17859</v>
      </c>
      <c r="BD264">
        <f t="shared" si="46"/>
        <v>13.725432098765431</v>
      </c>
      <c r="BE264">
        <f t="shared" si="47"/>
        <v>16.182970716049379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0.54595899999999997</v>
      </c>
      <c r="H265" s="21">
        <v>7.6044200000000002</v>
      </c>
      <c r="I265" s="21">
        <v>-1.34094E-2</v>
      </c>
      <c r="J265" s="21">
        <v>255</v>
      </c>
      <c r="K265" s="21">
        <v>0.545319</v>
      </c>
      <c r="L265">
        <f t="shared" si="36"/>
        <v>16.554814814814815</v>
      </c>
      <c r="M265">
        <f t="shared" si="37"/>
        <v>9.0382501414814804</v>
      </c>
      <c r="N265" s="9"/>
      <c r="O265" s="21">
        <v>1.18408</v>
      </c>
      <c r="P265" s="21">
        <v>11.484</v>
      </c>
      <c r="Q265" s="21">
        <v>-1.14349E-2</v>
      </c>
      <c r="R265" s="21">
        <v>255</v>
      </c>
      <c r="S265" s="21">
        <v>1.1831700000000001</v>
      </c>
      <c r="T265">
        <f t="shared" si="38"/>
        <v>14.117160493827161</v>
      </c>
      <c r="U265">
        <f t="shared" si="39"/>
        <v>16.715847397530865</v>
      </c>
      <c r="X265" s="9"/>
      <c r="Y265" s="21">
        <v>0.54595899999999997</v>
      </c>
      <c r="Z265" s="21">
        <v>17.057600000000001</v>
      </c>
      <c r="AA265" s="21">
        <v>-1.30951E-2</v>
      </c>
      <c r="AB265" s="21">
        <v>255</v>
      </c>
      <c r="AC265" s="21">
        <v>0.54534899999999997</v>
      </c>
      <c r="AD265">
        <f t="shared" si="40"/>
        <v>16.166790123456789</v>
      </c>
      <c r="AE265">
        <f t="shared" si="41"/>
        <v>8.8264045690123449</v>
      </c>
      <c r="AF265" s="9"/>
      <c r="AG265" s="21">
        <v>1.18408</v>
      </c>
      <c r="AH265" s="21">
        <v>20.937200000000001</v>
      </c>
      <c r="AI265" s="21">
        <v>-1.12213E-2</v>
      </c>
      <c r="AJ265" s="21">
        <v>255</v>
      </c>
      <c r="AK265" s="21">
        <v>1.18347</v>
      </c>
      <c r="AL265">
        <f t="shared" si="42"/>
        <v>13.853456790123456</v>
      </c>
      <c r="AM265">
        <f t="shared" si="43"/>
        <v>16.403601116049384</v>
      </c>
      <c r="AP265" s="9"/>
      <c r="AQ265" s="21">
        <v>0.54595899999999997</v>
      </c>
      <c r="AR265" s="21">
        <v>26.555800000000001</v>
      </c>
      <c r="AS265" s="21">
        <v>-1.30554E-2</v>
      </c>
      <c r="AT265" s="21">
        <v>255</v>
      </c>
      <c r="AU265" s="21">
        <v>0.54528799999999999</v>
      </c>
      <c r="AV265">
        <f t="shared" si="44"/>
        <v>16.117777777777775</v>
      </c>
      <c r="AW265">
        <f t="shared" si="45"/>
        <v>8.799645837777776</v>
      </c>
      <c r="AX265" s="9"/>
      <c r="AY265" s="21">
        <v>1.18408</v>
      </c>
      <c r="AZ265" s="21">
        <v>30.435500000000001</v>
      </c>
      <c r="BA265" s="21">
        <v>-1.1102300000000001E-2</v>
      </c>
      <c r="BB265" s="21">
        <v>255</v>
      </c>
      <c r="BC265" s="21">
        <v>1.18347</v>
      </c>
      <c r="BD265">
        <f t="shared" si="46"/>
        <v>13.706543209876543</v>
      </c>
      <c r="BE265">
        <f t="shared" si="47"/>
        <v>16.229643683950616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0.54092399999999996</v>
      </c>
      <c r="H266" s="21">
        <v>7.61449</v>
      </c>
      <c r="I266" s="21">
        <v>-1.3412500000000001E-2</v>
      </c>
      <c r="J266" s="21">
        <v>256</v>
      </c>
      <c r="K266" s="21">
        <v>0.54025299999999998</v>
      </c>
      <c r="L266">
        <f t="shared" si="36"/>
        <v>16.558641975308642</v>
      </c>
      <c r="M266">
        <f t="shared" si="37"/>
        <v>8.9569668518518508</v>
      </c>
      <c r="N266" s="9"/>
      <c r="O266" s="21">
        <v>1.18912</v>
      </c>
      <c r="P266" s="21">
        <v>11.4941</v>
      </c>
      <c r="Q266" s="21">
        <v>-1.1413599999999999E-2</v>
      </c>
      <c r="R266" s="21">
        <v>256</v>
      </c>
      <c r="S266" s="21">
        <v>1.18835</v>
      </c>
      <c r="T266">
        <f t="shared" si="38"/>
        <v>14.090864197530863</v>
      </c>
      <c r="U266">
        <f t="shared" si="39"/>
        <v>16.755728434567899</v>
      </c>
      <c r="X266" s="9"/>
      <c r="Y266" s="21">
        <v>0.54092399999999996</v>
      </c>
      <c r="Z266" s="21">
        <v>17.067699999999999</v>
      </c>
      <c r="AA266" s="21">
        <v>-1.31042E-2</v>
      </c>
      <c r="AB266" s="21">
        <v>256</v>
      </c>
      <c r="AC266" s="21">
        <v>0.54043600000000003</v>
      </c>
      <c r="AD266">
        <f t="shared" si="40"/>
        <v>16.178024691358022</v>
      </c>
      <c r="AE266">
        <f t="shared" si="41"/>
        <v>8.7510818281481466</v>
      </c>
      <c r="AF266" s="9"/>
      <c r="AG266" s="21">
        <v>1.18912</v>
      </c>
      <c r="AH266" s="21">
        <v>20.947299999999998</v>
      </c>
      <c r="AI266" s="21">
        <v>-1.12061E-2</v>
      </c>
      <c r="AJ266" s="21">
        <v>256</v>
      </c>
      <c r="AK266" s="21">
        <v>1.18774</v>
      </c>
      <c r="AL266">
        <f t="shared" si="42"/>
        <v>13.834691358024692</v>
      </c>
      <c r="AM266">
        <f t="shared" si="43"/>
        <v>16.45110818765432</v>
      </c>
      <c r="AP266" s="9"/>
      <c r="AQ266" s="21">
        <v>0.54092399999999996</v>
      </c>
      <c r="AR266" s="21">
        <v>26.565899999999999</v>
      </c>
      <c r="AS266" s="21">
        <v>-1.3064600000000001E-2</v>
      </c>
      <c r="AT266" s="21">
        <v>256</v>
      </c>
      <c r="AU266" s="21">
        <v>0.54022199999999998</v>
      </c>
      <c r="AV266">
        <f t="shared" si="44"/>
        <v>16.129135802469136</v>
      </c>
      <c r="AW266">
        <f t="shared" si="45"/>
        <v>8.7246366548148142</v>
      </c>
      <c r="AX266" s="9"/>
      <c r="AY266" s="21">
        <v>1.18912</v>
      </c>
      <c r="AZ266" s="21">
        <v>30.445499999999999</v>
      </c>
      <c r="BA266" s="21">
        <v>-1.10931E-2</v>
      </c>
      <c r="BB266" s="21">
        <v>256</v>
      </c>
      <c r="BC266" s="21">
        <v>1.18866</v>
      </c>
      <c r="BD266">
        <f t="shared" si="46"/>
        <v>13.695185185185183</v>
      </c>
      <c r="BE266">
        <f t="shared" si="47"/>
        <v>16.285218607407405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0.53588899999999995</v>
      </c>
      <c r="H267" s="21">
        <v>7.6245700000000003</v>
      </c>
      <c r="I267" s="21">
        <v>-1.3412500000000001E-2</v>
      </c>
      <c r="J267" s="21">
        <v>257</v>
      </c>
      <c r="K267" s="21">
        <v>0.53524799999999995</v>
      </c>
      <c r="L267">
        <f t="shared" si="36"/>
        <v>16.558641975308642</v>
      </c>
      <c r="M267">
        <f t="shared" si="37"/>
        <v>8.873594089506172</v>
      </c>
      <c r="N267" s="9"/>
      <c r="O267" s="21">
        <v>1.19415</v>
      </c>
      <c r="P267" s="21">
        <v>11.504200000000001</v>
      </c>
      <c r="Q267" s="21">
        <v>-1.13922E-2</v>
      </c>
      <c r="R267" s="21">
        <v>257</v>
      </c>
      <c r="S267" s="21">
        <v>1.1926300000000001</v>
      </c>
      <c r="T267">
        <f t="shared" si="38"/>
        <v>14.064444444444444</v>
      </c>
      <c r="U267">
        <f t="shared" si="39"/>
        <v>16.795056333333335</v>
      </c>
      <c r="X267" s="9"/>
      <c r="Y267" s="21">
        <v>0.53588899999999995</v>
      </c>
      <c r="Z267" s="21">
        <v>17.0777</v>
      </c>
      <c r="AA267" s="21">
        <v>-1.3107300000000001E-2</v>
      </c>
      <c r="AB267" s="21">
        <v>257</v>
      </c>
      <c r="AC267" s="21">
        <v>0.53524799999999995</v>
      </c>
      <c r="AD267">
        <f t="shared" si="40"/>
        <v>16.181851851851849</v>
      </c>
      <c r="AE267">
        <f t="shared" si="41"/>
        <v>8.6716764070370349</v>
      </c>
      <c r="AF267" s="9"/>
      <c r="AG267" s="21">
        <v>1.19415</v>
      </c>
      <c r="AH267" s="21">
        <v>20.9574</v>
      </c>
      <c r="AI267" s="21">
        <v>-1.11816E-2</v>
      </c>
      <c r="AJ267" s="21">
        <v>257</v>
      </c>
      <c r="AK267" s="21">
        <v>1.1932400000000001</v>
      </c>
      <c r="AL267">
        <f t="shared" si="42"/>
        <v>13.804444444444444</v>
      </c>
      <c r="AM267">
        <f t="shared" si="43"/>
        <v>16.484577333333334</v>
      </c>
      <c r="AP267" s="9"/>
      <c r="AQ267" s="21">
        <v>0.53588899999999995</v>
      </c>
      <c r="AR267" s="21">
        <v>26.576000000000001</v>
      </c>
      <c r="AS267" s="21">
        <v>-1.3073700000000001E-2</v>
      </c>
      <c r="AT267" s="21">
        <v>257</v>
      </c>
      <c r="AU267" s="21">
        <v>0.53524799999999995</v>
      </c>
      <c r="AV267">
        <f t="shared" si="44"/>
        <v>16.14037037037037</v>
      </c>
      <c r="AW267">
        <f t="shared" si="45"/>
        <v>8.6494469374074061</v>
      </c>
      <c r="AX267" s="9"/>
      <c r="AY267" s="21">
        <v>1.19415</v>
      </c>
      <c r="AZ267" s="21">
        <v>30.4556</v>
      </c>
      <c r="BA267" s="21">
        <v>-1.10779E-2</v>
      </c>
      <c r="BB267" s="21">
        <v>257</v>
      </c>
      <c r="BC267" s="21">
        <v>1.19293</v>
      </c>
      <c r="BD267">
        <f t="shared" si="46"/>
        <v>13.676419753086419</v>
      </c>
      <c r="BE267">
        <f t="shared" si="47"/>
        <v>16.331696648148149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0.53085300000000002</v>
      </c>
      <c r="H268" s="21">
        <v>7.6346400000000001</v>
      </c>
      <c r="I268" s="21">
        <v>-1.34094E-2</v>
      </c>
      <c r="J268" s="21">
        <v>258</v>
      </c>
      <c r="K268" s="21">
        <v>0.53024300000000002</v>
      </c>
      <c r="L268">
        <f t="shared" ref="L268:L331" si="48">-I268/$F$2*1000</f>
        <v>16.554814814814815</v>
      </c>
      <c r="M268">
        <f t="shared" ref="M268:M331" si="49">L268*G268</f>
        <v>8.7881731088888895</v>
      </c>
      <c r="N268" s="9"/>
      <c r="O268" s="21">
        <v>1.19919</v>
      </c>
      <c r="P268" s="21">
        <v>11.5143</v>
      </c>
      <c r="Q268" s="21">
        <v>-1.1379999999999999E-2</v>
      </c>
      <c r="R268" s="21">
        <v>258</v>
      </c>
      <c r="S268" s="21">
        <v>1.19781</v>
      </c>
      <c r="T268">
        <f t="shared" ref="T268:T331" si="50">-Q268/$F$2*1000</f>
        <v>14.049382716049381</v>
      </c>
      <c r="U268">
        <f t="shared" ref="U268:U331" si="51">T268*O268</f>
        <v>16.847879259259258</v>
      </c>
      <c r="X268" s="9"/>
      <c r="Y268" s="21">
        <v>0.53085300000000002</v>
      </c>
      <c r="Z268" s="21">
        <v>17.087800000000001</v>
      </c>
      <c r="AA268" s="21">
        <v>-1.31165E-2</v>
      </c>
      <c r="AB268" s="21">
        <v>258</v>
      </c>
      <c r="AC268" s="21">
        <v>0.53024300000000002</v>
      </c>
      <c r="AD268">
        <f t="shared" ref="AD268:AD331" si="52">-AA268/$F$2*1000</f>
        <v>16.193209876543211</v>
      </c>
      <c r="AE268">
        <f t="shared" ref="AE268:AE331" si="53">AD268*Y268</f>
        <v>8.5962140425925941</v>
      </c>
      <c r="AF268" s="9"/>
      <c r="AG268" s="21">
        <v>1.19919</v>
      </c>
      <c r="AH268" s="21">
        <v>20.967400000000001</v>
      </c>
      <c r="AI268" s="21">
        <v>-1.11603E-2</v>
      </c>
      <c r="AJ268" s="21">
        <v>258</v>
      </c>
      <c r="AK268" s="21">
        <v>1.1984300000000001</v>
      </c>
      <c r="AL268">
        <f t="shared" ref="AL268:AL331" si="54">-AI268/$F$2*1000</f>
        <v>13.778148148148148</v>
      </c>
      <c r="AM268">
        <f t="shared" ref="AM268:AM331" si="55">AL268*AG268</f>
        <v>16.522617477777779</v>
      </c>
      <c r="AP268" s="9"/>
      <c r="AQ268" s="21">
        <v>0.53085300000000002</v>
      </c>
      <c r="AR268" s="21">
        <v>26.586099999999998</v>
      </c>
      <c r="AS268" s="21">
        <v>-1.30768E-2</v>
      </c>
      <c r="AT268" s="21">
        <v>258</v>
      </c>
      <c r="AU268" s="21">
        <v>0.530304</v>
      </c>
      <c r="AV268">
        <f t="shared" ref="AV268:AV331" si="56">-AS268/$F$2*1000</f>
        <v>16.144197530864194</v>
      </c>
      <c r="AW268">
        <f t="shared" ref="AW268:AW331" si="57">AV268*AQ268</f>
        <v>8.5701956918518505</v>
      </c>
      <c r="AX268" s="9"/>
      <c r="AY268" s="21">
        <v>1.19919</v>
      </c>
      <c r="AZ268" s="21">
        <v>30.465699999999998</v>
      </c>
      <c r="BA268" s="21">
        <v>-1.10504E-2</v>
      </c>
      <c r="BB268" s="21">
        <v>258</v>
      </c>
      <c r="BC268" s="21">
        <v>1.1981200000000001</v>
      </c>
      <c r="BD268">
        <f t="shared" ref="BD268:BD331" si="58">-BA268/$F$2*1000</f>
        <v>13.64246913580247</v>
      </c>
      <c r="BE268">
        <f t="shared" ref="BE268:BE331" si="59">BD268*AY268</f>
        <v>16.359912562962965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0.52581800000000001</v>
      </c>
      <c r="H269" s="21">
        <v>7.6447099999999999</v>
      </c>
      <c r="I269" s="21">
        <v>-1.34033E-2</v>
      </c>
      <c r="J269" s="21">
        <v>259</v>
      </c>
      <c r="K269" s="21">
        <v>0.52520800000000001</v>
      </c>
      <c r="L269">
        <f t="shared" si="48"/>
        <v>16.547283950617281</v>
      </c>
      <c r="M269">
        <f t="shared" si="49"/>
        <v>8.7008597523456768</v>
      </c>
      <c r="N269" s="9"/>
      <c r="O269" s="21">
        <v>1.2042200000000001</v>
      </c>
      <c r="P269" s="21">
        <v>11.5243</v>
      </c>
      <c r="Q269" s="21">
        <v>-1.1361700000000001E-2</v>
      </c>
      <c r="R269" s="21">
        <v>259</v>
      </c>
      <c r="S269" s="21">
        <v>1.2030000000000001</v>
      </c>
      <c r="T269">
        <f t="shared" si="50"/>
        <v>14.026790123456792</v>
      </c>
      <c r="U269">
        <f t="shared" si="51"/>
        <v>16.891341202469139</v>
      </c>
      <c r="X269" s="9"/>
      <c r="Y269" s="21">
        <v>0.52581800000000001</v>
      </c>
      <c r="Z269" s="21">
        <v>17.097899999999999</v>
      </c>
      <c r="AA269" s="21">
        <v>-1.31287E-2</v>
      </c>
      <c r="AB269" s="21">
        <v>259</v>
      </c>
      <c r="AC269" s="21">
        <v>0.525177</v>
      </c>
      <c r="AD269">
        <f t="shared" si="52"/>
        <v>16.208271604938268</v>
      </c>
      <c r="AE269">
        <f t="shared" si="53"/>
        <v>8.5226009587654303</v>
      </c>
      <c r="AF269" s="9"/>
      <c r="AG269" s="21">
        <v>1.2042200000000001</v>
      </c>
      <c r="AH269" s="21">
        <v>20.977499999999999</v>
      </c>
      <c r="AI269" s="21">
        <v>-1.1135900000000001E-2</v>
      </c>
      <c r="AJ269" s="21">
        <v>259</v>
      </c>
      <c r="AK269" s="21">
        <v>1.2030000000000001</v>
      </c>
      <c r="AL269">
        <f t="shared" si="54"/>
        <v>13.748024691358024</v>
      </c>
      <c r="AM269">
        <f t="shared" si="55"/>
        <v>16.555646293827159</v>
      </c>
      <c r="AP269" s="9"/>
      <c r="AQ269" s="21">
        <v>0.52581800000000001</v>
      </c>
      <c r="AR269" s="21">
        <v>26.5961</v>
      </c>
      <c r="AS269" s="21">
        <v>-1.3079800000000001E-2</v>
      </c>
      <c r="AT269" s="21">
        <v>259</v>
      </c>
      <c r="AU269" s="21">
        <v>0.52508500000000002</v>
      </c>
      <c r="AV269">
        <f t="shared" si="56"/>
        <v>16.147901234567904</v>
      </c>
      <c r="AW269">
        <f t="shared" si="57"/>
        <v>8.4908571313580268</v>
      </c>
      <c r="AX269" s="9"/>
      <c r="AY269" s="21">
        <v>1.2042200000000001</v>
      </c>
      <c r="AZ269" s="21">
        <v>30.4757</v>
      </c>
      <c r="BA269" s="21">
        <v>-1.10168E-2</v>
      </c>
      <c r="BB269" s="21">
        <v>259</v>
      </c>
      <c r="BC269" s="21">
        <v>1.2033100000000001</v>
      </c>
      <c r="BD269">
        <f t="shared" si="58"/>
        <v>13.600987654320987</v>
      </c>
      <c r="BE269">
        <f t="shared" si="59"/>
        <v>16.378581353086421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0.52078199999999997</v>
      </c>
      <c r="H270" s="21">
        <v>7.6547799999999997</v>
      </c>
      <c r="I270" s="21">
        <v>-1.33911E-2</v>
      </c>
      <c r="J270" s="21">
        <v>260</v>
      </c>
      <c r="K270" s="21">
        <v>0.52026399999999995</v>
      </c>
      <c r="L270">
        <f t="shared" si="48"/>
        <v>16.53222222222222</v>
      </c>
      <c r="M270">
        <f t="shared" si="49"/>
        <v>8.6096837533333321</v>
      </c>
      <c r="N270" s="9"/>
      <c r="O270" s="21">
        <v>1.20926</v>
      </c>
      <c r="P270" s="21">
        <v>11.5344</v>
      </c>
      <c r="Q270" s="21">
        <v>-1.13434E-2</v>
      </c>
      <c r="R270" s="21">
        <v>260</v>
      </c>
      <c r="S270" s="21">
        <v>1.2084999999999999</v>
      </c>
      <c r="T270">
        <f t="shared" si="50"/>
        <v>14.004197530864197</v>
      </c>
      <c r="U270">
        <f t="shared" si="51"/>
        <v>16.934715906172837</v>
      </c>
      <c r="X270" s="9"/>
      <c r="Y270" s="21">
        <v>0.52078199999999997</v>
      </c>
      <c r="Z270" s="21">
        <v>17.108000000000001</v>
      </c>
      <c r="AA270" s="21">
        <v>-1.31378E-2</v>
      </c>
      <c r="AB270" s="21">
        <v>260</v>
      </c>
      <c r="AC270" s="21">
        <v>0.52017199999999997</v>
      </c>
      <c r="AD270">
        <f t="shared" si="52"/>
        <v>16.219506172839505</v>
      </c>
      <c r="AE270">
        <f t="shared" si="53"/>
        <v>8.4468268637037021</v>
      </c>
      <c r="AF270" s="9"/>
      <c r="AG270" s="21">
        <v>1.20926</v>
      </c>
      <c r="AH270" s="21">
        <v>20.9876</v>
      </c>
      <c r="AI270" s="21">
        <v>-1.11176E-2</v>
      </c>
      <c r="AJ270" s="21">
        <v>260</v>
      </c>
      <c r="AK270" s="21">
        <v>1.2084999999999999</v>
      </c>
      <c r="AL270">
        <f t="shared" si="54"/>
        <v>13.725432098765431</v>
      </c>
      <c r="AM270">
        <f t="shared" si="55"/>
        <v>16.597616019753087</v>
      </c>
      <c r="AP270" s="9"/>
      <c r="AQ270" s="21">
        <v>0.52078199999999997</v>
      </c>
      <c r="AR270" s="21">
        <v>26.606200000000001</v>
      </c>
      <c r="AS270" s="21">
        <v>-1.30829E-2</v>
      </c>
      <c r="AT270" s="21">
        <v>260</v>
      </c>
      <c r="AU270" s="21">
        <v>0.52017199999999997</v>
      </c>
      <c r="AV270">
        <f t="shared" si="56"/>
        <v>16.151728395061728</v>
      </c>
      <c r="AW270">
        <f t="shared" si="57"/>
        <v>8.4115294170370358</v>
      </c>
      <c r="AX270" s="9"/>
      <c r="AY270" s="21">
        <v>1.20926</v>
      </c>
      <c r="AZ270" s="21">
        <v>30.485800000000001</v>
      </c>
      <c r="BA270" s="21">
        <v>-1.0980200000000001E-2</v>
      </c>
      <c r="BB270" s="21">
        <v>260</v>
      </c>
      <c r="BC270" s="21">
        <v>1.2081900000000001</v>
      </c>
      <c r="BD270">
        <f t="shared" si="58"/>
        <v>13.555802469135802</v>
      </c>
      <c r="BE270">
        <f t="shared" si="59"/>
        <v>16.392489693827159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0.51574699999999996</v>
      </c>
      <c r="H271" s="21">
        <v>7.6648500000000004</v>
      </c>
      <c r="I271" s="21">
        <v>-1.33942E-2</v>
      </c>
      <c r="J271" s="21">
        <v>261</v>
      </c>
      <c r="K271" s="21">
        <v>0.51504499999999998</v>
      </c>
      <c r="L271">
        <f t="shared" si="48"/>
        <v>16.536049382716048</v>
      </c>
      <c r="M271">
        <f t="shared" si="49"/>
        <v>8.528417860987652</v>
      </c>
      <c r="N271" s="9"/>
      <c r="O271" s="21">
        <v>1.2142900000000001</v>
      </c>
      <c r="P271" s="21">
        <v>11.544499999999999</v>
      </c>
      <c r="Q271" s="21">
        <v>-1.1306800000000001E-2</v>
      </c>
      <c r="R271" s="21">
        <v>261</v>
      </c>
      <c r="S271" s="21">
        <v>1.2136800000000001</v>
      </c>
      <c r="T271">
        <f t="shared" si="50"/>
        <v>13.959012345679012</v>
      </c>
      <c r="U271">
        <f t="shared" si="51"/>
        <v>16.950289101234567</v>
      </c>
      <c r="X271" s="9"/>
      <c r="Y271" s="21">
        <v>0.51574699999999996</v>
      </c>
      <c r="Z271" s="21">
        <v>17.117999999999999</v>
      </c>
      <c r="AA271" s="21">
        <v>-1.3147000000000001E-2</v>
      </c>
      <c r="AB271" s="21">
        <v>261</v>
      </c>
      <c r="AC271" s="21">
        <v>0.51504499999999998</v>
      </c>
      <c r="AD271">
        <f t="shared" si="52"/>
        <v>16.230864197530863</v>
      </c>
      <c r="AE271">
        <f t="shared" si="53"/>
        <v>8.3710195172839494</v>
      </c>
      <c r="AF271" s="9"/>
      <c r="AG271" s="21">
        <v>1.2142900000000001</v>
      </c>
      <c r="AH271" s="21">
        <v>20.997599999999998</v>
      </c>
      <c r="AI271" s="21">
        <v>-1.1096200000000001E-2</v>
      </c>
      <c r="AJ271" s="21">
        <v>261</v>
      </c>
      <c r="AK271" s="21">
        <v>1.2136800000000001</v>
      </c>
      <c r="AL271">
        <f t="shared" si="54"/>
        <v>13.699012345679012</v>
      </c>
      <c r="AM271">
        <f t="shared" si="55"/>
        <v>16.634573701234569</v>
      </c>
      <c r="AP271" s="9"/>
      <c r="AQ271" s="21">
        <v>0.51574699999999996</v>
      </c>
      <c r="AR271" s="21">
        <v>26.616299999999999</v>
      </c>
      <c r="AS271" s="21">
        <v>-1.3089E-2</v>
      </c>
      <c r="AT271" s="21">
        <v>261</v>
      </c>
      <c r="AU271" s="21">
        <v>0.51507599999999998</v>
      </c>
      <c r="AV271">
        <f t="shared" si="56"/>
        <v>16.159259259259258</v>
      </c>
      <c r="AW271">
        <f t="shared" si="57"/>
        <v>8.3340894851851832</v>
      </c>
      <c r="AX271" s="9"/>
      <c r="AY271" s="21">
        <v>1.2142900000000001</v>
      </c>
      <c r="AZ271" s="21">
        <v>30.495899999999999</v>
      </c>
      <c r="BA271" s="21">
        <v>-1.09497E-2</v>
      </c>
      <c r="BB271" s="21">
        <v>261</v>
      </c>
      <c r="BC271" s="21">
        <v>1.2139899999999999</v>
      </c>
      <c r="BD271">
        <f t="shared" si="58"/>
        <v>13.518148148148148</v>
      </c>
      <c r="BE271">
        <f t="shared" si="59"/>
        <v>16.414952114814817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0.51071200000000005</v>
      </c>
      <c r="H272" s="21">
        <v>7.6749200000000002</v>
      </c>
      <c r="I272" s="21">
        <v>-1.33881E-2</v>
      </c>
      <c r="J272" s="21">
        <v>262</v>
      </c>
      <c r="K272" s="21">
        <v>0.51010100000000003</v>
      </c>
      <c r="L272">
        <f t="shared" si="48"/>
        <v>16.528518518518517</v>
      </c>
      <c r="M272">
        <f t="shared" si="49"/>
        <v>8.4413127496296294</v>
      </c>
      <c r="N272" s="9"/>
      <c r="O272" s="21">
        <v>1.21933</v>
      </c>
      <c r="P272" s="21">
        <v>11.554500000000001</v>
      </c>
      <c r="Q272" s="21">
        <v>-1.1285399999999999E-2</v>
      </c>
      <c r="R272" s="21">
        <v>262</v>
      </c>
      <c r="S272" s="21">
        <v>1.2182599999999999</v>
      </c>
      <c r="T272">
        <f t="shared" si="50"/>
        <v>13.93259259259259</v>
      </c>
      <c r="U272">
        <f t="shared" si="51"/>
        <v>16.988428125925921</v>
      </c>
      <c r="X272" s="9"/>
      <c r="Y272" s="21">
        <v>0.51071200000000005</v>
      </c>
      <c r="Z272" s="21">
        <v>17.1281</v>
      </c>
      <c r="AA272" s="21">
        <v>-1.31561E-2</v>
      </c>
      <c r="AB272" s="21">
        <v>262</v>
      </c>
      <c r="AC272" s="21">
        <v>0.51013200000000003</v>
      </c>
      <c r="AD272">
        <f t="shared" si="52"/>
        <v>16.2420987654321</v>
      </c>
      <c r="AE272">
        <f t="shared" si="53"/>
        <v>8.2950347446913604</v>
      </c>
      <c r="AF272" s="9"/>
      <c r="AG272" s="21">
        <v>1.21933</v>
      </c>
      <c r="AH272" s="21">
        <v>21.0077</v>
      </c>
      <c r="AI272" s="21">
        <v>-1.1065699999999999E-2</v>
      </c>
      <c r="AJ272" s="21">
        <v>262</v>
      </c>
      <c r="AK272" s="21">
        <v>1.2179599999999999</v>
      </c>
      <c r="AL272">
        <f t="shared" si="54"/>
        <v>13.661358024691356</v>
      </c>
      <c r="AM272">
        <f t="shared" si="55"/>
        <v>16.657703680246911</v>
      </c>
      <c r="AP272" s="9"/>
      <c r="AQ272" s="21">
        <v>0.51071200000000005</v>
      </c>
      <c r="AR272" s="21">
        <v>26.626300000000001</v>
      </c>
      <c r="AS272" s="21">
        <v>-1.3089E-2</v>
      </c>
      <c r="AT272" s="21">
        <v>262</v>
      </c>
      <c r="AU272" s="21">
        <v>0.51010100000000003</v>
      </c>
      <c r="AV272">
        <f t="shared" si="56"/>
        <v>16.159259259259258</v>
      </c>
      <c r="AW272">
        <f t="shared" si="57"/>
        <v>8.2527276148148143</v>
      </c>
      <c r="AX272" s="9"/>
      <c r="AY272" s="21">
        <v>1.21933</v>
      </c>
      <c r="AZ272" s="21">
        <v>30.5059</v>
      </c>
      <c r="BA272" s="21">
        <v>-1.09283E-2</v>
      </c>
      <c r="BB272" s="21">
        <v>262</v>
      </c>
      <c r="BC272" s="21">
        <v>1.2182599999999999</v>
      </c>
      <c r="BD272">
        <f t="shared" si="58"/>
        <v>13.491728395061727</v>
      </c>
      <c r="BE272">
        <f t="shared" si="59"/>
        <v>16.450869183950616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0.50567600000000001</v>
      </c>
      <c r="H273" s="21">
        <v>7.68499</v>
      </c>
      <c r="I273" s="21">
        <v>-1.3384999999999999E-2</v>
      </c>
      <c r="J273" s="21">
        <v>263</v>
      </c>
      <c r="K273" s="21">
        <v>0.50512699999999999</v>
      </c>
      <c r="L273">
        <f t="shared" si="48"/>
        <v>16.52469135802469</v>
      </c>
      <c r="M273">
        <f t="shared" si="49"/>
        <v>8.3561398271604936</v>
      </c>
      <c r="N273" s="9"/>
      <c r="O273" s="21">
        <v>1.22437</v>
      </c>
      <c r="P273" s="21">
        <v>11.5646</v>
      </c>
      <c r="Q273" s="21">
        <v>-1.12701E-2</v>
      </c>
      <c r="R273" s="21">
        <v>263</v>
      </c>
      <c r="S273" s="21">
        <v>1.2231399999999999</v>
      </c>
      <c r="T273">
        <f t="shared" si="50"/>
        <v>13.913703703703703</v>
      </c>
      <c r="U273">
        <f t="shared" si="51"/>
        <v>17.035521403703701</v>
      </c>
      <c r="X273" s="9"/>
      <c r="Y273" s="21">
        <v>0.50567600000000001</v>
      </c>
      <c r="Z273" s="21">
        <v>17.138200000000001</v>
      </c>
      <c r="AA273" s="21">
        <v>-1.3153099999999999E-2</v>
      </c>
      <c r="AB273" s="21">
        <v>263</v>
      </c>
      <c r="AC273" s="21">
        <v>0.50509599999999999</v>
      </c>
      <c r="AD273">
        <f t="shared" si="52"/>
        <v>16.238395061728394</v>
      </c>
      <c r="AE273">
        <f t="shared" si="53"/>
        <v>8.2113666612345675</v>
      </c>
      <c r="AF273" s="9"/>
      <c r="AG273" s="21">
        <v>1.22437</v>
      </c>
      <c r="AH273" s="21">
        <v>21.017800000000001</v>
      </c>
      <c r="AI273" s="21">
        <v>-1.10352E-2</v>
      </c>
      <c r="AJ273" s="21">
        <v>263</v>
      </c>
      <c r="AK273" s="21">
        <v>1.2234499999999999</v>
      </c>
      <c r="AL273">
        <f t="shared" si="54"/>
        <v>13.623703703703704</v>
      </c>
      <c r="AM273">
        <f t="shared" si="55"/>
        <v>16.680454103703703</v>
      </c>
      <c r="AP273" s="9"/>
      <c r="AQ273" s="21">
        <v>0.50567600000000001</v>
      </c>
      <c r="AR273" s="21">
        <v>26.636399999999998</v>
      </c>
      <c r="AS273" s="21">
        <v>-1.3113400000000001E-2</v>
      </c>
      <c r="AT273" s="21">
        <v>263</v>
      </c>
      <c r="AU273" s="21">
        <v>0.50509599999999999</v>
      </c>
      <c r="AV273">
        <f t="shared" si="56"/>
        <v>16.18938271604938</v>
      </c>
      <c r="AW273">
        <f t="shared" si="57"/>
        <v>8.1865822943209867</v>
      </c>
      <c r="AX273" s="9"/>
      <c r="AY273" s="21">
        <v>1.22437</v>
      </c>
      <c r="AZ273" s="21">
        <v>30.515999999999998</v>
      </c>
      <c r="BA273" s="21">
        <v>-1.09009E-2</v>
      </c>
      <c r="BB273" s="21">
        <v>263</v>
      </c>
      <c r="BC273" s="21">
        <v>1.2231399999999999</v>
      </c>
      <c r="BD273">
        <f t="shared" si="58"/>
        <v>13.457901234567899</v>
      </c>
      <c r="BE273">
        <f t="shared" si="59"/>
        <v>16.477450534567897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0.500641</v>
      </c>
      <c r="H274" s="21">
        <v>7.6950599999999998</v>
      </c>
      <c r="I274" s="21">
        <v>-1.3378900000000001E-2</v>
      </c>
      <c r="J274" s="21">
        <v>264</v>
      </c>
      <c r="K274" s="21">
        <v>0.500031</v>
      </c>
      <c r="L274">
        <f t="shared" si="48"/>
        <v>16.517160493827159</v>
      </c>
      <c r="M274">
        <f t="shared" si="49"/>
        <v>8.2691677467901226</v>
      </c>
      <c r="N274" s="9"/>
      <c r="O274" s="21">
        <v>1.2294</v>
      </c>
      <c r="P274" s="21">
        <v>11.5747</v>
      </c>
      <c r="Q274" s="21">
        <v>-1.12427E-2</v>
      </c>
      <c r="R274" s="21">
        <v>264</v>
      </c>
      <c r="S274" s="21">
        <v>1.22864</v>
      </c>
      <c r="T274">
        <f t="shared" si="50"/>
        <v>13.879876543209877</v>
      </c>
      <c r="U274">
        <f t="shared" si="51"/>
        <v>17.063920222222222</v>
      </c>
      <c r="X274" s="9"/>
      <c r="Y274" s="21">
        <v>0.500641</v>
      </c>
      <c r="Z274" s="21">
        <v>17.148199999999999</v>
      </c>
      <c r="AA274" s="21">
        <v>-1.31439E-2</v>
      </c>
      <c r="AB274" s="21">
        <v>264</v>
      </c>
      <c r="AC274" s="21">
        <v>0.49993900000000002</v>
      </c>
      <c r="AD274">
        <f t="shared" si="52"/>
        <v>16.227037037037036</v>
      </c>
      <c r="AE274">
        <f t="shared" si="53"/>
        <v>8.123920049259258</v>
      </c>
      <c r="AF274" s="9"/>
      <c r="AG274" s="21">
        <v>1.2294</v>
      </c>
      <c r="AH274" s="21">
        <v>21.027899999999999</v>
      </c>
      <c r="AI274" s="21">
        <v>-1.10077E-2</v>
      </c>
      <c r="AJ274" s="21">
        <v>264</v>
      </c>
      <c r="AK274" s="21">
        <v>1.22803</v>
      </c>
      <c r="AL274">
        <f t="shared" si="54"/>
        <v>13.589753086419753</v>
      </c>
      <c r="AM274">
        <f t="shared" si="55"/>
        <v>16.707242444444447</v>
      </c>
      <c r="AP274" s="9"/>
      <c r="AQ274" s="21">
        <v>0.500641</v>
      </c>
      <c r="AR274" s="21">
        <v>26.6465</v>
      </c>
      <c r="AS274" s="21">
        <v>-1.3119499999999999E-2</v>
      </c>
      <c r="AT274" s="21">
        <v>264</v>
      </c>
      <c r="AU274" s="21">
        <v>0.500031</v>
      </c>
      <c r="AV274">
        <f t="shared" si="56"/>
        <v>16.19691358024691</v>
      </c>
      <c r="AW274">
        <f t="shared" si="57"/>
        <v>8.1088390117283939</v>
      </c>
      <c r="AX274" s="9"/>
      <c r="AY274" s="21">
        <v>1.2294</v>
      </c>
      <c r="AZ274" s="21">
        <v>30.5261</v>
      </c>
      <c r="BA274" s="21">
        <v>-1.08734E-2</v>
      </c>
      <c r="BB274" s="21">
        <v>264</v>
      </c>
      <c r="BC274" s="21">
        <v>1.22803</v>
      </c>
      <c r="BD274">
        <f t="shared" si="58"/>
        <v>13.42395061728395</v>
      </c>
      <c r="BE274">
        <f t="shared" si="59"/>
        <v>16.503404888888888</v>
      </c>
    </row>
    <row r="275" spans="6:101" x14ac:dyDescent="0.25">
      <c r="F275" s="9"/>
      <c r="G275" s="21">
        <v>0.49560500000000002</v>
      </c>
      <c r="H275" s="21">
        <v>7.7051299999999996</v>
      </c>
      <c r="I275" s="21">
        <v>-1.3378900000000001E-2</v>
      </c>
      <c r="J275" s="21">
        <v>265</v>
      </c>
      <c r="K275" s="21">
        <v>0.49499500000000002</v>
      </c>
      <c r="L275">
        <f t="shared" si="48"/>
        <v>16.517160493827159</v>
      </c>
      <c r="M275">
        <f t="shared" si="49"/>
        <v>8.1859873265432093</v>
      </c>
      <c r="N275" s="9"/>
      <c r="O275" s="21">
        <v>1.23444</v>
      </c>
      <c r="P275" s="21">
        <v>11.5847</v>
      </c>
      <c r="Q275" s="21">
        <v>-1.12122E-2</v>
      </c>
      <c r="R275" s="21">
        <v>265</v>
      </c>
      <c r="S275" s="21">
        <v>1.2335199999999999</v>
      </c>
      <c r="T275">
        <f t="shared" si="50"/>
        <v>13.842222222222221</v>
      </c>
      <c r="U275">
        <f t="shared" si="51"/>
        <v>17.087392799999996</v>
      </c>
      <c r="X275" s="9"/>
      <c r="Y275" s="21">
        <v>0.49560500000000002</v>
      </c>
      <c r="Z275" s="21">
        <v>17.158300000000001</v>
      </c>
      <c r="AA275" s="21">
        <v>-1.315E-2</v>
      </c>
      <c r="AB275" s="21">
        <v>265</v>
      </c>
      <c r="AC275" s="21">
        <v>0.49496499999999999</v>
      </c>
      <c r="AD275">
        <f t="shared" si="52"/>
        <v>16.234567901234566</v>
      </c>
      <c r="AE275">
        <f t="shared" si="53"/>
        <v>8.0459330246913581</v>
      </c>
      <c r="AF275" s="9"/>
      <c r="AG275" s="21">
        <v>1.23444</v>
      </c>
      <c r="AH275" s="21">
        <v>21.0379</v>
      </c>
      <c r="AI275" s="21">
        <v>-1.0971099999999999E-2</v>
      </c>
      <c r="AJ275" s="21">
        <v>265</v>
      </c>
      <c r="AK275" s="21">
        <v>1.23322</v>
      </c>
      <c r="AL275">
        <f t="shared" si="54"/>
        <v>13.544567901234567</v>
      </c>
      <c r="AM275">
        <f t="shared" si="55"/>
        <v>16.719956399999997</v>
      </c>
      <c r="AP275" s="9"/>
      <c r="AQ275" s="21">
        <v>0.49560500000000002</v>
      </c>
      <c r="AR275" s="21">
        <v>26.656500000000001</v>
      </c>
      <c r="AS275" s="21">
        <v>-1.31287E-2</v>
      </c>
      <c r="AT275" s="21">
        <v>265</v>
      </c>
      <c r="AU275" s="21">
        <v>0.49499500000000002</v>
      </c>
      <c r="AV275">
        <f t="shared" si="56"/>
        <v>16.208271604938268</v>
      </c>
      <c r="AW275">
        <f t="shared" si="57"/>
        <v>8.0329004487654299</v>
      </c>
      <c r="AX275" s="9"/>
      <c r="AY275" s="21">
        <v>1.23444</v>
      </c>
      <c r="AZ275" s="21">
        <v>30.536200000000001</v>
      </c>
      <c r="BA275" s="21">
        <v>-1.08582E-2</v>
      </c>
      <c r="BB275" s="21">
        <v>265</v>
      </c>
      <c r="BC275" s="21">
        <v>1.2335199999999999</v>
      </c>
      <c r="BD275">
        <f t="shared" si="58"/>
        <v>13.405185185185186</v>
      </c>
      <c r="BE275">
        <f t="shared" si="59"/>
        <v>16.5478968</v>
      </c>
    </row>
    <row r="276" spans="6:101" x14ac:dyDescent="0.25">
      <c r="F276" s="9"/>
      <c r="G276" s="21">
        <v>0.49057000000000001</v>
      </c>
      <c r="H276" s="21">
        <v>7.7152000000000003</v>
      </c>
      <c r="I276" s="21">
        <v>-1.33881E-2</v>
      </c>
      <c r="J276" s="21">
        <v>266</v>
      </c>
      <c r="K276" s="21">
        <v>0.48998999999999998</v>
      </c>
      <c r="L276">
        <f t="shared" si="48"/>
        <v>16.528518518518517</v>
      </c>
      <c r="M276">
        <f t="shared" si="49"/>
        <v>8.1083953296296283</v>
      </c>
      <c r="N276" s="9"/>
      <c r="O276" s="21">
        <v>1.2394700000000001</v>
      </c>
      <c r="P276" s="21">
        <v>11.594799999999999</v>
      </c>
      <c r="Q276" s="21">
        <v>-1.11938E-2</v>
      </c>
      <c r="R276" s="21">
        <v>266</v>
      </c>
      <c r="S276" s="21">
        <v>1.2390099999999999</v>
      </c>
      <c r="T276">
        <f t="shared" si="50"/>
        <v>13.819506172839505</v>
      </c>
      <c r="U276">
        <f t="shared" si="51"/>
        <v>17.128863316049383</v>
      </c>
      <c r="X276" s="9"/>
      <c r="Y276" s="21">
        <v>0.49057000000000001</v>
      </c>
      <c r="Z276" s="21">
        <v>17.168399999999998</v>
      </c>
      <c r="AA276" s="21">
        <v>-1.3153099999999999E-2</v>
      </c>
      <c r="AB276" s="21">
        <v>266</v>
      </c>
      <c r="AC276" s="21">
        <v>0.48998999999999998</v>
      </c>
      <c r="AD276">
        <f t="shared" si="52"/>
        <v>16.238395061728394</v>
      </c>
      <c r="AE276">
        <f t="shared" si="53"/>
        <v>7.9660694654320983</v>
      </c>
      <c r="AF276" s="9"/>
      <c r="AG276" s="21">
        <v>1.2394700000000001</v>
      </c>
      <c r="AH276" s="21">
        <v>21.047999999999998</v>
      </c>
      <c r="AI276" s="21">
        <v>-1.0937499999999999E-2</v>
      </c>
      <c r="AJ276" s="21">
        <v>266</v>
      </c>
      <c r="AK276" s="21">
        <v>1.2390099999999999</v>
      </c>
      <c r="AL276">
        <f t="shared" si="54"/>
        <v>13.503086419753084</v>
      </c>
      <c r="AM276">
        <f t="shared" si="55"/>
        <v>16.736670524691355</v>
      </c>
      <c r="AP276" s="9"/>
      <c r="AQ276" s="21">
        <v>0.49057000000000001</v>
      </c>
      <c r="AR276" s="21">
        <v>26.666599999999999</v>
      </c>
      <c r="AS276" s="21">
        <v>-1.31348E-2</v>
      </c>
      <c r="AT276" s="21">
        <v>266</v>
      </c>
      <c r="AU276" s="21">
        <v>0.489929</v>
      </c>
      <c r="AV276">
        <f t="shared" si="56"/>
        <v>16.215802469135802</v>
      </c>
      <c r="AW276">
        <f t="shared" si="57"/>
        <v>7.9549862172839507</v>
      </c>
      <c r="AX276" s="9"/>
      <c r="AY276" s="21">
        <v>1.2394700000000001</v>
      </c>
      <c r="AZ276" s="21">
        <v>30.546199999999999</v>
      </c>
      <c r="BA276" s="21">
        <v>-1.0842900000000001E-2</v>
      </c>
      <c r="BB276" s="21">
        <v>266</v>
      </c>
      <c r="BC276" s="21">
        <v>1.23871</v>
      </c>
      <c r="BD276">
        <f t="shared" si="58"/>
        <v>13.386296296296297</v>
      </c>
      <c r="BE276">
        <f t="shared" si="59"/>
        <v>16.591912670370373</v>
      </c>
    </row>
    <row r="277" spans="6:101" x14ac:dyDescent="0.25">
      <c r="F277" s="9"/>
      <c r="G277" s="21">
        <v>0.48553499999999999</v>
      </c>
      <c r="H277" s="21">
        <v>7.7252799999999997</v>
      </c>
      <c r="I277" s="21">
        <v>-1.34033E-2</v>
      </c>
      <c r="J277" s="21">
        <v>267</v>
      </c>
      <c r="K277" s="21">
        <v>0.48492400000000002</v>
      </c>
      <c r="L277">
        <f t="shared" si="48"/>
        <v>16.547283950617281</v>
      </c>
      <c r="M277">
        <f t="shared" si="49"/>
        <v>8.0342855129629616</v>
      </c>
      <c r="N277" s="9"/>
      <c r="O277" s="21">
        <v>1.24451</v>
      </c>
      <c r="P277" s="21">
        <v>11.604900000000001</v>
      </c>
      <c r="Q277" s="21">
        <v>-1.11755E-2</v>
      </c>
      <c r="R277" s="21">
        <v>267</v>
      </c>
      <c r="S277" s="21">
        <v>1.24359</v>
      </c>
      <c r="T277">
        <f t="shared" si="50"/>
        <v>13.796913580246912</v>
      </c>
      <c r="U277">
        <f t="shared" si="51"/>
        <v>17.170396919753085</v>
      </c>
      <c r="X277" s="9"/>
      <c r="Y277" s="21">
        <v>0.48553499999999999</v>
      </c>
      <c r="Z277" s="21">
        <v>17.1785</v>
      </c>
      <c r="AA277" s="21">
        <v>-1.3147000000000001E-2</v>
      </c>
      <c r="AB277" s="21">
        <v>267</v>
      </c>
      <c r="AC277" s="21">
        <v>0.48492400000000002</v>
      </c>
      <c r="AD277">
        <f t="shared" si="52"/>
        <v>16.230864197530863</v>
      </c>
      <c r="AE277">
        <f t="shared" si="53"/>
        <v>7.8806526481481471</v>
      </c>
      <c r="AF277" s="9"/>
      <c r="AG277" s="21">
        <v>1.24451</v>
      </c>
      <c r="AH277" s="21">
        <v>21.0581</v>
      </c>
      <c r="AI277" s="21">
        <v>-1.0897799999999999E-2</v>
      </c>
      <c r="AJ277" s="21">
        <v>267</v>
      </c>
      <c r="AK277" s="21">
        <v>1.24298</v>
      </c>
      <c r="AL277">
        <f t="shared" si="54"/>
        <v>13.454074074074072</v>
      </c>
      <c r="AM277">
        <f t="shared" si="55"/>
        <v>16.743729725925924</v>
      </c>
      <c r="AP277" s="9"/>
      <c r="AQ277" s="21">
        <v>0.48553499999999999</v>
      </c>
      <c r="AR277" s="21">
        <v>26.6767</v>
      </c>
      <c r="AS277" s="21">
        <v>-1.31287E-2</v>
      </c>
      <c r="AT277" s="21">
        <v>267</v>
      </c>
      <c r="AU277" s="21">
        <v>0.48495500000000002</v>
      </c>
      <c r="AV277">
        <f t="shared" si="56"/>
        <v>16.208271604938268</v>
      </c>
      <c r="AW277">
        <f t="shared" si="57"/>
        <v>7.8696831537037024</v>
      </c>
      <c r="AX277" s="9"/>
      <c r="AY277" s="21">
        <v>1.24451</v>
      </c>
      <c r="AZ277" s="21">
        <v>30.5563</v>
      </c>
      <c r="BA277" s="21">
        <v>-1.08124E-2</v>
      </c>
      <c r="BB277" s="21">
        <v>267</v>
      </c>
      <c r="BC277" s="21">
        <v>1.2442</v>
      </c>
      <c r="BD277">
        <f t="shared" si="58"/>
        <v>13.348641975308642</v>
      </c>
      <c r="BE277">
        <f t="shared" si="59"/>
        <v>16.612518424691359</v>
      </c>
    </row>
    <row r="278" spans="6:101" x14ac:dyDescent="0.25">
      <c r="F278" s="9"/>
      <c r="G278" s="21">
        <v>0.48049900000000001</v>
      </c>
      <c r="H278" s="21">
        <v>7.7353500000000004</v>
      </c>
      <c r="I278" s="21">
        <v>-1.34094E-2</v>
      </c>
      <c r="J278" s="21">
        <v>268</v>
      </c>
      <c r="K278" s="21">
        <v>0.47988900000000001</v>
      </c>
      <c r="L278">
        <f t="shared" si="48"/>
        <v>16.554814814814815</v>
      </c>
      <c r="M278">
        <f t="shared" si="49"/>
        <v>7.954571963703704</v>
      </c>
      <c r="N278" s="9"/>
      <c r="O278" s="21">
        <v>1.2495400000000001</v>
      </c>
      <c r="P278" s="21">
        <v>11.615</v>
      </c>
      <c r="Q278" s="21">
        <v>-1.11603E-2</v>
      </c>
      <c r="R278" s="21">
        <v>268</v>
      </c>
      <c r="S278" s="21">
        <v>1.24878</v>
      </c>
      <c r="T278">
        <f t="shared" si="50"/>
        <v>13.778148148148148</v>
      </c>
      <c r="U278">
        <f t="shared" si="51"/>
        <v>17.216347237037038</v>
      </c>
      <c r="X278" s="9"/>
      <c r="Y278" s="21">
        <v>0.48049900000000001</v>
      </c>
      <c r="Z278" s="21">
        <v>17.188500000000001</v>
      </c>
      <c r="AA278" s="21">
        <v>-1.31317E-2</v>
      </c>
      <c r="AB278" s="21">
        <v>268</v>
      </c>
      <c r="AC278" s="21">
        <v>0.47985800000000001</v>
      </c>
      <c r="AD278">
        <f t="shared" si="52"/>
        <v>16.211975308641971</v>
      </c>
      <c r="AE278">
        <f t="shared" si="53"/>
        <v>7.7898379238271591</v>
      </c>
      <c r="AF278" s="9"/>
      <c r="AG278" s="21">
        <v>1.2495400000000001</v>
      </c>
      <c r="AH278" s="21">
        <v>21.068100000000001</v>
      </c>
      <c r="AI278" s="21">
        <v>-1.08643E-2</v>
      </c>
      <c r="AJ278" s="21">
        <v>268</v>
      </c>
      <c r="AK278" s="21">
        <v>1.24847</v>
      </c>
      <c r="AL278">
        <f t="shared" si="54"/>
        <v>13.412716049382714</v>
      </c>
      <c r="AM278">
        <f t="shared" si="55"/>
        <v>16.759725212345678</v>
      </c>
      <c r="AP278" s="9"/>
      <c r="AQ278" s="21">
        <v>0.48049900000000001</v>
      </c>
      <c r="AR278" s="21">
        <v>26.686800000000002</v>
      </c>
      <c r="AS278" s="21">
        <v>-1.3125599999999999E-2</v>
      </c>
      <c r="AT278" s="21">
        <v>268</v>
      </c>
      <c r="AU278" s="21">
        <v>0.47991899999999998</v>
      </c>
      <c r="AV278">
        <f t="shared" si="56"/>
        <v>16.204444444444441</v>
      </c>
      <c r="AW278">
        <f t="shared" si="57"/>
        <v>7.78621935111111</v>
      </c>
      <c r="AX278" s="9"/>
      <c r="AY278" s="21">
        <v>1.2495400000000001</v>
      </c>
      <c r="AZ278" s="21">
        <v>30.566400000000002</v>
      </c>
      <c r="BA278" s="21">
        <v>-1.0791E-2</v>
      </c>
      <c r="BB278" s="21">
        <v>268</v>
      </c>
      <c r="BC278" s="21">
        <v>1.24847</v>
      </c>
      <c r="BD278">
        <f t="shared" si="58"/>
        <v>13.322222222222221</v>
      </c>
      <c r="BE278">
        <f t="shared" si="59"/>
        <v>16.646649555555555</v>
      </c>
    </row>
    <row r="279" spans="6:101" x14ac:dyDescent="0.25">
      <c r="F279" s="9"/>
      <c r="G279" s="21">
        <v>0.475464</v>
      </c>
      <c r="H279" s="21">
        <v>7.7454200000000002</v>
      </c>
      <c r="I279" s="21">
        <v>-1.3412500000000001E-2</v>
      </c>
      <c r="J279" s="21">
        <v>269</v>
      </c>
      <c r="K279" s="21">
        <v>0.474823</v>
      </c>
      <c r="L279">
        <f t="shared" si="48"/>
        <v>16.558641975308642</v>
      </c>
      <c r="M279">
        <f t="shared" si="49"/>
        <v>7.8730381481481482</v>
      </c>
      <c r="N279" s="9"/>
      <c r="O279" s="21">
        <v>1.25458</v>
      </c>
      <c r="P279" s="21">
        <v>11.625</v>
      </c>
      <c r="Q279" s="21">
        <v>-1.11389E-2</v>
      </c>
      <c r="R279" s="21">
        <v>269</v>
      </c>
      <c r="S279" s="21">
        <v>1.25397</v>
      </c>
      <c r="T279">
        <f t="shared" si="50"/>
        <v>13.751728395061727</v>
      </c>
      <c r="U279">
        <f t="shared" si="51"/>
        <v>17.252643409876541</v>
      </c>
      <c r="X279" s="9"/>
      <c r="Y279" s="21">
        <v>0.475464</v>
      </c>
      <c r="Z279" s="21">
        <v>17.198599999999999</v>
      </c>
      <c r="AA279" s="21">
        <v>-1.31226E-2</v>
      </c>
      <c r="AB279" s="21">
        <v>269</v>
      </c>
      <c r="AC279" s="21">
        <v>0.47488399999999997</v>
      </c>
      <c r="AD279">
        <f t="shared" si="52"/>
        <v>16.200740740740741</v>
      </c>
      <c r="AE279">
        <f t="shared" si="53"/>
        <v>7.7028689955555558</v>
      </c>
      <c r="AF279" s="9"/>
      <c r="AG279" s="21">
        <v>1.25458</v>
      </c>
      <c r="AH279" s="21">
        <v>21.078199999999999</v>
      </c>
      <c r="AI279" s="21">
        <v>-1.08398E-2</v>
      </c>
      <c r="AJ279" s="21">
        <v>269</v>
      </c>
      <c r="AK279" s="21">
        <v>1.25427</v>
      </c>
      <c r="AL279">
        <f t="shared" si="54"/>
        <v>13.38246913580247</v>
      </c>
      <c r="AM279">
        <f t="shared" si="55"/>
        <v>16.789378128395064</v>
      </c>
      <c r="AP279" s="9"/>
      <c r="AQ279" s="21">
        <v>0.475464</v>
      </c>
      <c r="AR279" s="21">
        <v>26.6968</v>
      </c>
      <c r="AS279" s="21">
        <v>-1.3119499999999999E-2</v>
      </c>
      <c r="AT279" s="21">
        <v>269</v>
      </c>
      <c r="AU279" s="21">
        <v>0.47488399999999997</v>
      </c>
      <c r="AV279">
        <f t="shared" si="56"/>
        <v>16.19691358024691</v>
      </c>
      <c r="AW279">
        <f t="shared" si="57"/>
        <v>7.7010493185185167</v>
      </c>
      <c r="AX279" s="9"/>
      <c r="AY279" s="21">
        <v>1.25458</v>
      </c>
      <c r="AZ279" s="21">
        <v>30.5764</v>
      </c>
      <c r="BA279" s="21">
        <v>-1.07697E-2</v>
      </c>
      <c r="BB279" s="21">
        <v>269</v>
      </c>
      <c r="BC279" s="21">
        <v>1.25397</v>
      </c>
      <c r="BD279">
        <f t="shared" si="58"/>
        <v>13.295925925925925</v>
      </c>
      <c r="BE279">
        <f t="shared" si="59"/>
        <v>16.680802748148146</v>
      </c>
    </row>
    <row r="280" spans="6:101" x14ac:dyDescent="0.25">
      <c r="F280" s="9"/>
      <c r="G280" s="21">
        <v>0.47042800000000001</v>
      </c>
      <c r="H280" s="21">
        <v>7.75549</v>
      </c>
      <c r="I280" s="21">
        <v>-1.3406400000000001E-2</v>
      </c>
      <c r="J280" s="21">
        <v>270</v>
      </c>
      <c r="K280" s="21">
        <v>0.46984900000000002</v>
      </c>
      <c r="L280">
        <f t="shared" si="48"/>
        <v>16.551111111111108</v>
      </c>
      <c r="M280">
        <f t="shared" si="49"/>
        <v>7.7861060977777763</v>
      </c>
      <c r="N280" s="9"/>
      <c r="O280" s="21">
        <v>1.2596099999999999</v>
      </c>
      <c r="P280" s="21">
        <v>11.6351</v>
      </c>
      <c r="Q280" s="21">
        <v>-1.11115E-2</v>
      </c>
      <c r="R280" s="21">
        <v>270</v>
      </c>
      <c r="S280" s="21">
        <v>1.25854</v>
      </c>
      <c r="T280">
        <f t="shared" si="50"/>
        <v>13.717901234567901</v>
      </c>
      <c r="U280">
        <f t="shared" si="51"/>
        <v>17.279205574074073</v>
      </c>
      <c r="X280" s="9"/>
      <c r="Y280" s="21">
        <v>0.47042800000000001</v>
      </c>
      <c r="Z280" s="21">
        <v>17.2087</v>
      </c>
      <c r="AA280" s="21">
        <v>-1.3125599999999999E-2</v>
      </c>
      <c r="AB280" s="21">
        <v>270</v>
      </c>
      <c r="AC280" s="21">
        <v>0.46981800000000001</v>
      </c>
      <c r="AD280">
        <f t="shared" si="52"/>
        <v>16.204444444444441</v>
      </c>
      <c r="AE280">
        <f t="shared" si="53"/>
        <v>7.6230243911111097</v>
      </c>
      <c r="AF280" s="9"/>
      <c r="AG280" s="21">
        <v>1.2596099999999999</v>
      </c>
      <c r="AH280" s="21">
        <v>21.0883</v>
      </c>
      <c r="AI280" s="21">
        <v>-1.08246E-2</v>
      </c>
      <c r="AJ280" s="21">
        <v>270</v>
      </c>
      <c r="AK280" s="21">
        <v>1.25885</v>
      </c>
      <c r="AL280">
        <f t="shared" si="54"/>
        <v>13.363703703703703</v>
      </c>
      <c r="AM280">
        <f t="shared" si="55"/>
        <v>16.83305482222222</v>
      </c>
      <c r="AP280" s="9"/>
      <c r="AQ280" s="21">
        <v>0.47042800000000001</v>
      </c>
      <c r="AR280" s="21">
        <v>26.706900000000001</v>
      </c>
      <c r="AS280" s="21">
        <v>-1.31287E-2</v>
      </c>
      <c r="AT280" s="21">
        <v>270</v>
      </c>
      <c r="AU280" s="21">
        <v>0.469696</v>
      </c>
      <c r="AV280">
        <f t="shared" si="56"/>
        <v>16.208271604938268</v>
      </c>
      <c r="AW280">
        <f t="shared" si="57"/>
        <v>7.6248247945678997</v>
      </c>
      <c r="AX280" s="9"/>
      <c r="AY280" s="21">
        <v>1.2596099999999999</v>
      </c>
      <c r="AZ280" s="21">
        <v>30.586500000000001</v>
      </c>
      <c r="BA280" s="21">
        <v>-1.0754400000000001E-2</v>
      </c>
      <c r="BB280" s="21">
        <v>270</v>
      </c>
      <c r="BC280" s="21">
        <v>1.25885</v>
      </c>
      <c r="BD280">
        <f t="shared" si="58"/>
        <v>13.277037037037037</v>
      </c>
      <c r="BE280">
        <f t="shared" si="59"/>
        <v>16.723888622222219</v>
      </c>
    </row>
    <row r="281" spans="6:101" x14ac:dyDescent="0.25">
      <c r="F281" s="9"/>
      <c r="G281" s="21">
        <v>0.465393</v>
      </c>
      <c r="H281" s="21">
        <v>7.7655599999999998</v>
      </c>
      <c r="I281" s="21">
        <v>-1.34033E-2</v>
      </c>
      <c r="J281" s="21">
        <v>271</v>
      </c>
      <c r="K281" s="21">
        <v>0.46481299999999998</v>
      </c>
      <c r="L281">
        <f t="shared" si="48"/>
        <v>16.547283950617281</v>
      </c>
      <c r="M281">
        <f t="shared" si="49"/>
        <v>7.700990119629628</v>
      </c>
      <c r="N281" s="9"/>
      <c r="O281" s="21">
        <v>1.2646500000000001</v>
      </c>
      <c r="P281" s="21">
        <v>11.645200000000001</v>
      </c>
      <c r="Q281" s="21">
        <v>-1.1074799999999999E-2</v>
      </c>
      <c r="R281" s="21">
        <v>271</v>
      </c>
      <c r="S281" s="21">
        <v>1.2640400000000001</v>
      </c>
      <c r="T281">
        <f t="shared" si="50"/>
        <v>13.67259259259259</v>
      </c>
      <c r="U281">
        <f t="shared" si="51"/>
        <v>17.291044222222219</v>
      </c>
      <c r="X281" s="9"/>
      <c r="Y281" s="21">
        <v>0.465393</v>
      </c>
      <c r="Z281" s="21">
        <v>17.218699999999998</v>
      </c>
      <c r="AA281" s="21">
        <v>-1.31348E-2</v>
      </c>
      <c r="AB281" s="21">
        <v>271</v>
      </c>
      <c r="AC281" s="21">
        <v>0.46481299999999998</v>
      </c>
      <c r="AD281">
        <f t="shared" si="52"/>
        <v>16.215802469135802</v>
      </c>
      <c r="AE281">
        <f t="shared" si="53"/>
        <v>7.5467209585185184</v>
      </c>
      <c r="AF281" s="9"/>
      <c r="AG281" s="21">
        <v>1.2646500000000001</v>
      </c>
      <c r="AH281" s="21">
        <v>21.098400000000002</v>
      </c>
      <c r="AI281" s="21">
        <v>-1.08063E-2</v>
      </c>
      <c r="AJ281" s="21">
        <v>271</v>
      </c>
      <c r="AK281" s="21">
        <v>1.2634300000000001</v>
      </c>
      <c r="AL281">
        <f t="shared" si="54"/>
        <v>13.341111111111109</v>
      </c>
      <c r="AM281">
        <f t="shared" si="55"/>
        <v>16.871836166666665</v>
      </c>
      <c r="AP281" s="9"/>
      <c r="AQ281" s="21">
        <v>0.465393</v>
      </c>
      <c r="AR281" s="21">
        <v>26.716999999999999</v>
      </c>
      <c r="AS281" s="21">
        <v>-1.31439E-2</v>
      </c>
      <c r="AT281" s="21">
        <v>271</v>
      </c>
      <c r="AU281" s="21">
        <v>0.464783</v>
      </c>
      <c r="AV281">
        <f t="shared" si="56"/>
        <v>16.227037037037036</v>
      </c>
      <c r="AW281">
        <f t="shared" si="57"/>
        <v>7.5519494477777771</v>
      </c>
      <c r="AX281" s="9"/>
      <c r="AY281" s="21">
        <v>1.2646500000000001</v>
      </c>
      <c r="AZ281" s="21">
        <v>30.596599999999999</v>
      </c>
      <c r="BA281" s="21">
        <v>-1.0726899999999999E-2</v>
      </c>
      <c r="BB281" s="21">
        <v>271</v>
      </c>
      <c r="BC281" s="21">
        <v>1.2634300000000001</v>
      </c>
      <c r="BD281">
        <f t="shared" si="58"/>
        <v>13.243086419753084</v>
      </c>
      <c r="BE281">
        <f t="shared" si="59"/>
        <v>16.747869240740737</v>
      </c>
    </row>
    <row r="282" spans="6:101" x14ac:dyDescent="0.25">
      <c r="F282" s="9"/>
      <c r="G282" s="21">
        <v>0.46035799999999999</v>
      </c>
      <c r="H282" s="21">
        <v>7.7756299999999996</v>
      </c>
      <c r="I282" s="21">
        <v>-1.34033E-2</v>
      </c>
      <c r="J282" s="21">
        <v>272</v>
      </c>
      <c r="K282" s="21">
        <v>0.45980799999999999</v>
      </c>
      <c r="L282">
        <f t="shared" si="48"/>
        <v>16.547283950617281</v>
      </c>
      <c r="M282">
        <f t="shared" si="49"/>
        <v>7.6176745449382697</v>
      </c>
      <c r="N282" s="9"/>
      <c r="O282" s="21">
        <v>1.2696799999999999</v>
      </c>
      <c r="P282" s="21">
        <v>11.655200000000001</v>
      </c>
      <c r="Q282" s="21">
        <v>-1.10352E-2</v>
      </c>
      <c r="R282" s="21">
        <v>272</v>
      </c>
      <c r="S282" s="21">
        <v>1.26953</v>
      </c>
      <c r="T282">
        <f t="shared" si="50"/>
        <v>13.623703703703704</v>
      </c>
      <c r="U282">
        <f t="shared" si="51"/>
        <v>17.297744118518519</v>
      </c>
      <c r="X282" s="9"/>
      <c r="Y282" s="21">
        <v>0.46035799999999999</v>
      </c>
      <c r="Z282" s="21">
        <v>17.2288</v>
      </c>
      <c r="AA282" s="21">
        <v>-1.31439E-2</v>
      </c>
      <c r="AB282" s="21">
        <v>272</v>
      </c>
      <c r="AC282" s="21">
        <v>0.45974700000000002</v>
      </c>
      <c r="AD282">
        <f t="shared" si="52"/>
        <v>16.227037037037036</v>
      </c>
      <c r="AE282">
        <f t="shared" si="53"/>
        <v>7.4702463162962953</v>
      </c>
      <c r="AF282" s="9"/>
      <c r="AG282" s="21">
        <v>1.2696799999999999</v>
      </c>
      <c r="AH282" s="21">
        <v>21.1084</v>
      </c>
      <c r="AI282" s="21">
        <v>-1.0781900000000001E-2</v>
      </c>
      <c r="AJ282" s="21">
        <v>272</v>
      </c>
      <c r="AK282" s="21">
        <v>1.26892</v>
      </c>
      <c r="AL282">
        <f t="shared" si="54"/>
        <v>13.310987654320988</v>
      </c>
      <c r="AM282">
        <f t="shared" si="55"/>
        <v>16.900694804938269</v>
      </c>
      <c r="AP282" s="9"/>
      <c r="AQ282" s="21">
        <v>0.46035799999999999</v>
      </c>
      <c r="AR282" s="21">
        <v>26.727</v>
      </c>
      <c r="AS282" s="21">
        <v>-1.31561E-2</v>
      </c>
      <c r="AT282" s="21">
        <v>272</v>
      </c>
      <c r="AU282" s="21">
        <v>0.45980799999999999</v>
      </c>
      <c r="AV282">
        <f t="shared" si="56"/>
        <v>16.2420987654321</v>
      </c>
      <c r="AW282">
        <f t="shared" si="57"/>
        <v>7.4771801034567904</v>
      </c>
      <c r="AX282" s="9"/>
      <c r="AY282" s="21">
        <v>1.2696799999999999</v>
      </c>
      <c r="AZ282" s="21">
        <v>30.6067</v>
      </c>
      <c r="BA282" s="21">
        <v>-1.0699500000000001E-2</v>
      </c>
      <c r="BB282" s="21">
        <v>272</v>
      </c>
      <c r="BC282" s="21">
        <v>1.2686200000000001</v>
      </c>
      <c r="BD282">
        <f t="shared" si="58"/>
        <v>13.209259259259259</v>
      </c>
      <c r="BE282">
        <f t="shared" si="59"/>
        <v>16.771532296296293</v>
      </c>
    </row>
    <row r="283" spans="6:101" x14ac:dyDescent="0.25">
      <c r="F283" s="9"/>
      <c r="G283" s="21">
        <v>0.455322</v>
      </c>
      <c r="H283" s="21">
        <v>7.7857000000000003</v>
      </c>
      <c r="I283" s="21">
        <v>-1.34155E-2</v>
      </c>
      <c r="J283" s="21">
        <v>273</v>
      </c>
      <c r="K283" s="21">
        <v>0.45474199999999998</v>
      </c>
      <c r="L283">
        <f t="shared" si="48"/>
        <v>16.562345679012346</v>
      </c>
      <c r="M283">
        <f t="shared" si="49"/>
        <v>7.5412003592592596</v>
      </c>
      <c r="N283" s="9"/>
      <c r="O283" s="21">
        <v>1.2747200000000001</v>
      </c>
      <c r="P283" s="21">
        <v>11.6653</v>
      </c>
      <c r="Q283" s="21">
        <v>-1.10046E-2</v>
      </c>
      <c r="R283" s="21">
        <v>273</v>
      </c>
      <c r="S283" s="21">
        <v>1.2741100000000001</v>
      </c>
      <c r="T283">
        <f t="shared" si="50"/>
        <v>13.585925925925926</v>
      </c>
      <c r="U283">
        <f t="shared" si="51"/>
        <v>17.318251496296298</v>
      </c>
      <c r="X283" s="9"/>
      <c r="Y283" s="21">
        <v>0.455322</v>
      </c>
      <c r="Z283" s="21">
        <v>17.238900000000001</v>
      </c>
      <c r="AA283" s="21">
        <v>-1.31439E-2</v>
      </c>
      <c r="AB283" s="21">
        <v>273</v>
      </c>
      <c r="AC283" s="21">
        <v>0.45474199999999998</v>
      </c>
      <c r="AD283">
        <f t="shared" si="52"/>
        <v>16.227037037037036</v>
      </c>
      <c r="AE283">
        <f t="shared" si="53"/>
        <v>7.3885269577777777</v>
      </c>
      <c r="AF283" s="9"/>
      <c r="AG283" s="21">
        <v>1.2747200000000001</v>
      </c>
      <c r="AH283" s="21">
        <v>21.118500000000001</v>
      </c>
      <c r="AI283" s="21">
        <v>-1.07513E-2</v>
      </c>
      <c r="AJ283" s="21">
        <v>273</v>
      </c>
      <c r="AK283" s="21">
        <v>1.2741100000000001</v>
      </c>
      <c r="AL283">
        <f t="shared" si="54"/>
        <v>13.273209876543209</v>
      </c>
      <c r="AM283">
        <f t="shared" si="55"/>
        <v>16.919626093827162</v>
      </c>
      <c r="AP283" s="9"/>
      <c r="AQ283" s="21">
        <v>0.455322</v>
      </c>
      <c r="AR283" s="21">
        <v>26.737100000000002</v>
      </c>
      <c r="AS283" s="21">
        <v>-1.3162200000000001E-2</v>
      </c>
      <c r="AT283" s="21">
        <v>273</v>
      </c>
      <c r="AU283" s="21">
        <v>0.45465100000000003</v>
      </c>
      <c r="AV283">
        <f t="shared" si="56"/>
        <v>16.249629629629627</v>
      </c>
      <c r="AW283">
        <f t="shared" si="57"/>
        <v>7.3988138622222213</v>
      </c>
      <c r="AX283" s="9"/>
      <c r="AY283" s="21">
        <v>1.2747200000000001</v>
      </c>
      <c r="AZ283" s="21">
        <v>30.616700000000002</v>
      </c>
      <c r="BA283" s="21">
        <v>-1.06689E-2</v>
      </c>
      <c r="BB283" s="21">
        <v>273</v>
      </c>
      <c r="BC283" s="21">
        <v>1.2738</v>
      </c>
      <c r="BD283">
        <f t="shared" si="58"/>
        <v>13.17148148148148</v>
      </c>
      <c r="BE283">
        <f t="shared" si="59"/>
        <v>16.789950874074073</v>
      </c>
    </row>
    <row r="284" spans="6:101" x14ac:dyDescent="0.25">
      <c r="F284" s="9"/>
      <c r="G284" s="21">
        <v>0.45028699999999999</v>
      </c>
      <c r="H284" s="21">
        <v>7.7957700000000001</v>
      </c>
      <c r="I284" s="21">
        <v>-1.3418599999999999E-2</v>
      </c>
      <c r="J284" s="21">
        <v>274</v>
      </c>
      <c r="K284" s="21">
        <v>0.44967699999999999</v>
      </c>
      <c r="L284">
        <f t="shared" si="48"/>
        <v>16.566172839506169</v>
      </c>
      <c r="M284">
        <f t="shared" si="49"/>
        <v>7.4595322693827146</v>
      </c>
      <c r="N284" s="9"/>
      <c r="O284" s="21">
        <v>1.2797499999999999</v>
      </c>
      <c r="P284" s="21">
        <v>11.6754</v>
      </c>
      <c r="Q284" s="21">
        <v>-1.0974100000000001E-2</v>
      </c>
      <c r="R284" s="21">
        <v>274</v>
      </c>
      <c r="S284" s="21">
        <v>1.2786900000000001</v>
      </c>
      <c r="T284">
        <f t="shared" si="50"/>
        <v>13.548271604938272</v>
      </c>
      <c r="U284">
        <f t="shared" si="51"/>
        <v>17.338400586419752</v>
      </c>
      <c r="X284" s="9"/>
      <c r="Y284" s="21">
        <v>0.45028699999999999</v>
      </c>
      <c r="Z284" s="21">
        <v>17.248999999999999</v>
      </c>
      <c r="AA284" s="21">
        <v>-1.3153099999999999E-2</v>
      </c>
      <c r="AB284" s="21">
        <v>274</v>
      </c>
      <c r="AC284" s="21">
        <v>0.44970700000000002</v>
      </c>
      <c r="AD284">
        <f t="shared" si="52"/>
        <v>16.238395061728394</v>
      </c>
      <c r="AE284">
        <f t="shared" si="53"/>
        <v>7.3119381971604929</v>
      </c>
      <c r="AF284" s="9"/>
      <c r="AG284" s="21">
        <v>1.2797499999999999</v>
      </c>
      <c r="AH284" s="21">
        <v>21.128599999999999</v>
      </c>
      <c r="AI284" s="21">
        <v>-1.0726899999999999E-2</v>
      </c>
      <c r="AJ284" s="21">
        <v>274</v>
      </c>
      <c r="AK284" s="21">
        <v>1.2786900000000001</v>
      </c>
      <c r="AL284">
        <f t="shared" si="54"/>
        <v>13.243086419753084</v>
      </c>
      <c r="AM284">
        <f t="shared" si="55"/>
        <v>16.94783984567901</v>
      </c>
      <c r="AP284" s="9"/>
      <c r="AQ284" s="21">
        <v>0.45028699999999999</v>
      </c>
      <c r="AR284" s="21">
        <v>26.747199999999999</v>
      </c>
      <c r="AS284" s="21">
        <v>-1.3153099999999999E-2</v>
      </c>
      <c r="AT284" s="21">
        <v>274</v>
      </c>
      <c r="AU284" s="21">
        <v>0.44964599999999999</v>
      </c>
      <c r="AV284">
        <f t="shared" si="56"/>
        <v>16.238395061728394</v>
      </c>
      <c r="AW284">
        <f t="shared" si="57"/>
        <v>7.3119381971604929</v>
      </c>
      <c r="AX284" s="9"/>
      <c r="AY284" s="21">
        <v>1.2797499999999999</v>
      </c>
      <c r="AZ284" s="21">
        <v>30.626799999999999</v>
      </c>
      <c r="BA284" s="21">
        <v>-1.06354E-2</v>
      </c>
      <c r="BB284" s="21">
        <v>274</v>
      </c>
      <c r="BC284" s="21">
        <v>1.2786900000000001</v>
      </c>
      <c r="BD284">
        <f t="shared" si="58"/>
        <v>13.130123456790121</v>
      </c>
      <c r="BE284">
        <f t="shared" si="59"/>
        <v>16.803275493827158</v>
      </c>
    </row>
    <row r="285" spans="6:101" x14ac:dyDescent="0.25">
      <c r="F285" s="9"/>
      <c r="G285" s="21">
        <v>0.44525100000000001</v>
      </c>
      <c r="H285" s="21">
        <v>7.8058399999999999</v>
      </c>
      <c r="I285" s="21">
        <v>-1.3412500000000001E-2</v>
      </c>
      <c r="J285" s="21">
        <v>275</v>
      </c>
      <c r="K285" s="21">
        <v>0.44467200000000001</v>
      </c>
      <c r="L285">
        <f t="shared" si="48"/>
        <v>16.558641975308642</v>
      </c>
      <c r="M285">
        <f t="shared" si="49"/>
        <v>7.3727518981481488</v>
      </c>
      <c r="N285" s="9"/>
      <c r="O285" s="21">
        <v>1.2847900000000001</v>
      </c>
      <c r="P285" s="21">
        <v>11.685499999999999</v>
      </c>
      <c r="Q285" s="21">
        <v>-1.09406E-2</v>
      </c>
      <c r="R285" s="21">
        <v>275</v>
      </c>
      <c r="S285" s="21">
        <v>1.2841800000000001</v>
      </c>
      <c r="T285">
        <f t="shared" si="50"/>
        <v>13.506913580246913</v>
      </c>
      <c r="U285">
        <f t="shared" si="51"/>
        <v>17.353547498765433</v>
      </c>
      <c r="X285" s="9"/>
      <c r="Y285" s="21">
        <v>0.44525100000000001</v>
      </c>
      <c r="Z285" s="21">
        <v>17.259</v>
      </c>
      <c r="AA285" s="21">
        <v>-1.31409E-2</v>
      </c>
      <c r="AB285" s="21">
        <v>275</v>
      </c>
      <c r="AC285" s="21">
        <v>0.44464100000000001</v>
      </c>
      <c r="AD285">
        <f t="shared" si="52"/>
        <v>16.223333333333333</v>
      </c>
      <c r="AE285">
        <f t="shared" si="53"/>
        <v>7.2234553899999998</v>
      </c>
      <c r="AF285" s="9"/>
      <c r="AG285" s="21">
        <v>1.2847900000000001</v>
      </c>
      <c r="AH285" s="21">
        <v>21.1386</v>
      </c>
      <c r="AI285" s="21">
        <v>-1.0705599999999999E-2</v>
      </c>
      <c r="AJ285" s="21">
        <v>275</v>
      </c>
      <c r="AK285" s="21">
        <v>1.2835700000000001</v>
      </c>
      <c r="AL285">
        <f t="shared" si="54"/>
        <v>13.216790123456789</v>
      </c>
      <c r="AM285">
        <f t="shared" si="55"/>
        <v>16.980799782716051</v>
      </c>
      <c r="AP285" s="9"/>
      <c r="AQ285" s="21">
        <v>0.44525100000000001</v>
      </c>
      <c r="AR285" s="21">
        <v>26.757300000000001</v>
      </c>
      <c r="AS285" s="21">
        <v>-1.315E-2</v>
      </c>
      <c r="AT285" s="21">
        <v>275</v>
      </c>
      <c r="AU285" s="21">
        <v>0.44464100000000001</v>
      </c>
      <c r="AV285">
        <f t="shared" si="56"/>
        <v>16.234567901234566</v>
      </c>
      <c r="AW285">
        <f t="shared" si="57"/>
        <v>7.2284575925925916</v>
      </c>
      <c r="AX285" s="9"/>
      <c r="AY285" s="21">
        <v>1.2847900000000001</v>
      </c>
      <c r="AZ285" s="21">
        <v>30.636900000000001</v>
      </c>
      <c r="BA285" s="21">
        <v>-1.06049E-2</v>
      </c>
      <c r="BB285" s="21">
        <v>275</v>
      </c>
      <c r="BC285" s="21">
        <v>1.2835700000000001</v>
      </c>
      <c r="BD285">
        <f t="shared" si="58"/>
        <v>13.092469135802469</v>
      </c>
      <c r="BE285">
        <f t="shared" si="59"/>
        <v>16.821073420987656</v>
      </c>
    </row>
    <row r="286" spans="6:101" x14ac:dyDescent="0.25">
      <c r="F286" s="9"/>
      <c r="G286" s="21">
        <v>0.440216</v>
      </c>
      <c r="H286" s="21">
        <v>7.8159099999999997</v>
      </c>
      <c r="I286" s="21">
        <v>-1.3418599999999999E-2</v>
      </c>
      <c r="J286" s="21">
        <v>276</v>
      </c>
      <c r="K286" s="21">
        <v>0.43954500000000002</v>
      </c>
      <c r="L286">
        <f t="shared" si="48"/>
        <v>16.566172839506169</v>
      </c>
      <c r="M286">
        <f t="shared" si="49"/>
        <v>7.2926943427160476</v>
      </c>
      <c r="N286" s="9"/>
      <c r="O286" s="21">
        <v>1.28983</v>
      </c>
      <c r="P286" s="21">
        <v>11.695499999999999</v>
      </c>
      <c r="Q286" s="21">
        <v>-1.0903899999999999E-2</v>
      </c>
      <c r="R286" s="21">
        <v>276</v>
      </c>
      <c r="S286" s="21">
        <v>1.2890600000000001</v>
      </c>
      <c r="T286">
        <f t="shared" si="50"/>
        <v>13.461604938271604</v>
      </c>
      <c r="U286">
        <f t="shared" si="51"/>
        <v>17.363181897530865</v>
      </c>
      <c r="X286" s="9"/>
      <c r="Y286" s="21">
        <v>0.440216</v>
      </c>
      <c r="Z286" s="21">
        <v>17.269100000000002</v>
      </c>
      <c r="AA286" s="21">
        <v>-1.31378E-2</v>
      </c>
      <c r="AB286" s="21">
        <v>276</v>
      </c>
      <c r="AC286" s="21">
        <v>0.43957499999999999</v>
      </c>
      <c r="AD286">
        <f t="shared" si="52"/>
        <v>16.219506172839505</v>
      </c>
      <c r="AE286">
        <f t="shared" si="53"/>
        <v>7.1400861293827154</v>
      </c>
      <c r="AF286" s="9"/>
      <c r="AG286" s="21">
        <v>1.28983</v>
      </c>
      <c r="AH286" s="21">
        <v>21.148700000000002</v>
      </c>
      <c r="AI286" s="21">
        <v>-1.0675E-2</v>
      </c>
      <c r="AJ286" s="21">
        <v>276</v>
      </c>
      <c r="AK286" s="21">
        <v>1.2893699999999999</v>
      </c>
      <c r="AL286">
        <f t="shared" si="54"/>
        <v>13.179012345679013</v>
      </c>
      <c r="AM286">
        <f t="shared" si="55"/>
        <v>16.998685493827161</v>
      </c>
      <c r="AP286" s="9"/>
      <c r="AQ286" s="21">
        <v>0.440216</v>
      </c>
      <c r="AR286" s="21">
        <v>26.767299999999999</v>
      </c>
      <c r="AS286" s="21">
        <v>-1.31409E-2</v>
      </c>
      <c r="AT286" s="21">
        <v>276</v>
      </c>
      <c r="AU286" s="21">
        <v>0.439606</v>
      </c>
      <c r="AV286">
        <f t="shared" si="56"/>
        <v>16.223333333333333</v>
      </c>
      <c r="AW286">
        <f t="shared" si="57"/>
        <v>7.1417709066666664</v>
      </c>
      <c r="AX286" s="9"/>
      <c r="AY286" s="21">
        <v>1.28983</v>
      </c>
      <c r="AZ286" s="21">
        <v>30.646899999999999</v>
      </c>
      <c r="BA286" s="21">
        <v>-1.05682E-2</v>
      </c>
      <c r="BB286" s="21">
        <v>276</v>
      </c>
      <c r="BC286" s="21">
        <v>1.2887599999999999</v>
      </c>
      <c r="BD286">
        <f t="shared" si="58"/>
        <v>13.04716049382716</v>
      </c>
      <c r="BE286">
        <f t="shared" si="59"/>
        <v>16.828619019753088</v>
      </c>
    </row>
    <row r="287" spans="6:101" x14ac:dyDescent="0.25">
      <c r="F287" s="9"/>
      <c r="G287" s="21">
        <v>0.43518099999999998</v>
      </c>
      <c r="H287" s="21">
        <v>7.82599</v>
      </c>
      <c r="I287" s="21">
        <v>-1.3418599999999999E-2</v>
      </c>
      <c r="J287" s="21">
        <v>277</v>
      </c>
      <c r="K287" s="21">
        <v>0.43469200000000002</v>
      </c>
      <c r="L287">
        <f t="shared" si="48"/>
        <v>16.566172839506169</v>
      </c>
      <c r="M287">
        <f t="shared" si="49"/>
        <v>7.2092836624691339</v>
      </c>
      <c r="N287" s="9"/>
      <c r="O287" s="21">
        <v>1.2948599999999999</v>
      </c>
      <c r="P287" s="21">
        <v>11.7056</v>
      </c>
      <c r="Q287" s="21">
        <v>-1.08795E-2</v>
      </c>
      <c r="R287" s="21">
        <v>277</v>
      </c>
      <c r="S287" s="21">
        <v>1.2939499999999999</v>
      </c>
      <c r="T287">
        <f t="shared" si="50"/>
        <v>13.431481481481482</v>
      </c>
      <c r="U287">
        <f t="shared" si="51"/>
        <v>17.391888111111111</v>
      </c>
      <c r="X287" s="9"/>
      <c r="Y287" s="21">
        <v>0.43518099999999998</v>
      </c>
      <c r="Z287" s="21">
        <v>17.279199999999999</v>
      </c>
      <c r="AA287" s="21">
        <v>-1.3153099999999999E-2</v>
      </c>
      <c r="AB287" s="21">
        <v>277</v>
      </c>
      <c r="AC287" s="21">
        <v>0.43457000000000001</v>
      </c>
      <c r="AD287">
        <f t="shared" si="52"/>
        <v>16.238395061728394</v>
      </c>
      <c r="AE287">
        <f t="shared" si="53"/>
        <v>7.0666410013580236</v>
      </c>
      <c r="AF287" s="9"/>
      <c r="AG287" s="21">
        <v>1.2948599999999999</v>
      </c>
      <c r="AH287" s="21">
        <v>21.158799999999999</v>
      </c>
      <c r="AI287" s="21">
        <v>-1.06415E-2</v>
      </c>
      <c r="AJ287" s="21">
        <v>277</v>
      </c>
      <c r="AK287" s="21">
        <v>1.2942499999999999</v>
      </c>
      <c r="AL287">
        <f t="shared" si="54"/>
        <v>13.137654320987654</v>
      </c>
      <c r="AM287">
        <f t="shared" si="55"/>
        <v>17.011423074074074</v>
      </c>
      <c r="AP287" s="9"/>
      <c r="AQ287" s="21">
        <v>0.43518099999999998</v>
      </c>
      <c r="AR287" s="21">
        <v>26.7774</v>
      </c>
      <c r="AS287" s="21">
        <v>-1.31439E-2</v>
      </c>
      <c r="AT287" s="21">
        <v>277</v>
      </c>
      <c r="AU287" s="21">
        <v>0.43450899999999998</v>
      </c>
      <c r="AV287">
        <f t="shared" si="56"/>
        <v>16.227037037037036</v>
      </c>
      <c r="AW287">
        <f t="shared" si="57"/>
        <v>7.0616982048148138</v>
      </c>
      <c r="AX287" s="9"/>
      <c r="AY287" s="21">
        <v>1.2948599999999999</v>
      </c>
      <c r="AZ287" s="21">
        <v>30.657</v>
      </c>
      <c r="BA287" s="21">
        <v>-1.0534699999999999E-2</v>
      </c>
      <c r="BB287" s="21">
        <v>277</v>
      </c>
      <c r="BC287" s="21">
        <v>1.2942499999999999</v>
      </c>
      <c r="BD287">
        <f t="shared" si="58"/>
        <v>13.0058024691358</v>
      </c>
      <c r="BE287">
        <f t="shared" si="59"/>
        <v>16.84069338518518</v>
      </c>
    </row>
    <row r="288" spans="6:101" x14ac:dyDescent="0.25">
      <c r="F288" s="9"/>
      <c r="G288" s="21">
        <v>0.430145</v>
      </c>
      <c r="H288" s="21">
        <v>7.8360599999999998</v>
      </c>
      <c r="I288" s="21">
        <v>-1.34003E-2</v>
      </c>
      <c r="J288" s="21">
        <v>278</v>
      </c>
      <c r="K288" s="21">
        <v>0.42959599999999998</v>
      </c>
      <c r="L288">
        <f t="shared" si="48"/>
        <v>16.543580246913578</v>
      </c>
      <c r="M288">
        <f t="shared" si="49"/>
        <v>7.1161383253086408</v>
      </c>
      <c r="N288" s="9"/>
      <c r="O288" s="21">
        <v>1.2999000000000001</v>
      </c>
      <c r="P288" s="21">
        <v>11.7157</v>
      </c>
      <c r="Q288" s="21">
        <v>-1.0842900000000001E-2</v>
      </c>
      <c r="R288" s="21">
        <v>278</v>
      </c>
      <c r="S288" s="21">
        <v>1.2991299999999999</v>
      </c>
      <c r="T288">
        <f t="shared" si="50"/>
        <v>13.386296296296297</v>
      </c>
      <c r="U288">
        <f t="shared" si="51"/>
        <v>17.400846555555557</v>
      </c>
      <c r="X288" s="9"/>
      <c r="Y288" s="21">
        <v>0.430145</v>
      </c>
      <c r="Z288" s="21">
        <v>17.289200000000001</v>
      </c>
      <c r="AA288" s="21">
        <v>-1.3153099999999999E-2</v>
      </c>
      <c r="AB288" s="21">
        <v>278</v>
      </c>
      <c r="AC288" s="21">
        <v>0.42959599999999998</v>
      </c>
      <c r="AD288">
        <f t="shared" si="52"/>
        <v>16.238395061728394</v>
      </c>
      <c r="AE288">
        <f t="shared" si="53"/>
        <v>6.9848644438271599</v>
      </c>
      <c r="AF288" s="9"/>
      <c r="AG288" s="21">
        <v>1.2999000000000001</v>
      </c>
      <c r="AH288" s="21">
        <v>21.168900000000001</v>
      </c>
      <c r="AI288" s="21">
        <v>-1.05988E-2</v>
      </c>
      <c r="AJ288" s="21">
        <v>278</v>
      </c>
      <c r="AK288" s="21">
        <v>1.2991299999999999</v>
      </c>
      <c r="AL288">
        <f t="shared" si="54"/>
        <v>13.084938271604937</v>
      </c>
      <c r="AM288">
        <f t="shared" si="55"/>
        <v>17.009111259259257</v>
      </c>
      <c r="AP288" s="9"/>
      <c r="AQ288" s="21">
        <v>0.430145</v>
      </c>
      <c r="AR288" s="21">
        <v>26.787500000000001</v>
      </c>
      <c r="AS288" s="21">
        <v>-1.315E-2</v>
      </c>
      <c r="AT288" s="21">
        <v>278</v>
      </c>
      <c r="AU288" s="21">
        <v>0.42956499999999997</v>
      </c>
      <c r="AV288">
        <f t="shared" si="56"/>
        <v>16.234567901234566</v>
      </c>
      <c r="AW288">
        <f t="shared" si="57"/>
        <v>6.9832182098765427</v>
      </c>
      <c r="AX288" s="9"/>
      <c r="AY288" s="21">
        <v>1.2999000000000001</v>
      </c>
      <c r="AZ288" s="21">
        <v>30.667100000000001</v>
      </c>
      <c r="BA288" s="21">
        <v>-1.0501099999999999E-2</v>
      </c>
      <c r="BB288" s="21">
        <v>278</v>
      </c>
      <c r="BC288" s="21">
        <v>1.2994399999999999</v>
      </c>
      <c r="BD288">
        <f t="shared" si="58"/>
        <v>12.96432098765432</v>
      </c>
      <c r="BE288">
        <f t="shared" si="59"/>
        <v>16.85232085185185</v>
      </c>
    </row>
    <row r="289" spans="6:57" x14ac:dyDescent="0.25">
      <c r="F289" s="9"/>
      <c r="G289" s="21">
        <v>0.42510999999999999</v>
      </c>
      <c r="H289" s="21">
        <v>7.8461299999999996</v>
      </c>
      <c r="I289" s="21">
        <v>-1.33911E-2</v>
      </c>
      <c r="J289" s="21">
        <v>279</v>
      </c>
      <c r="K289" s="21">
        <v>0.42440800000000001</v>
      </c>
      <c r="L289">
        <f t="shared" si="48"/>
        <v>16.53222222222222</v>
      </c>
      <c r="M289">
        <f t="shared" si="49"/>
        <v>7.0280129888888876</v>
      </c>
      <c r="N289" s="9"/>
      <c r="O289" s="21">
        <v>1.3049299999999999</v>
      </c>
      <c r="P289" s="21">
        <v>11.7257</v>
      </c>
      <c r="Q289" s="21">
        <v>-1.0809300000000001E-2</v>
      </c>
      <c r="R289" s="21">
        <v>279</v>
      </c>
      <c r="S289" s="21">
        <v>1.30402</v>
      </c>
      <c r="T289">
        <f t="shared" si="50"/>
        <v>13.344814814814814</v>
      </c>
      <c r="U289">
        <f t="shared" si="51"/>
        <v>17.414049196296293</v>
      </c>
      <c r="X289" s="9"/>
      <c r="Y289" s="21">
        <v>0.42510999999999999</v>
      </c>
      <c r="Z289" s="21">
        <v>17.299299999999999</v>
      </c>
      <c r="AA289" s="21">
        <v>-1.31561E-2</v>
      </c>
      <c r="AB289" s="21">
        <v>279</v>
      </c>
      <c r="AC289" s="21">
        <v>0.42449999999999999</v>
      </c>
      <c r="AD289">
        <f t="shared" si="52"/>
        <v>16.2420987654321</v>
      </c>
      <c r="AE289">
        <f t="shared" si="53"/>
        <v>6.9046786061728396</v>
      </c>
      <c r="AF289" s="9"/>
      <c r="AG289" s="21">
        <v>1.3049299999999999</v>
      </c>
      <c r="AH289" s="21">
        <v>21.178899999999999</v>
      </c>
      <c r="AI289" s="21">
        <v>-1.0553E-2</v>
      </c>
      <c r="AJ289" s="21">
        <v>279</v>
      </c>
      <c r="AK289" s="21">
        <v>1.3043199999999999</v>
      </c>
      <c r="AL289">
        <f t="shared" si="54"/>
        <v>13.028395061728395</v>
      </c>
      <c r="AM289">
        <f t="shared" si="55"/>
        <v>17.001143567901234</v>
      </c>
      <c r="AP289" s="9"/>
      <c r="AQ289" s="21">
        <v>0.42510999999999999</v>
      </c>
      <c r="AR289" s="21">
        <v>26.797499999999999</v>
      </c>
      <c r="AS289" s="21">
        <v>-1.31439E-2</v>
      </c>
      <c r="AT289" s="21">
        <v>279</v>
      </c>
      <c r="AU289" s="21">
        <v>0.42456100000000002</v>
      </c>
      <c r="AV289">
        <f t="shared" si="56"/>
        <v>16.227037037037036</v>
      </c>
      <c r="AW289">
        <f t="shared" si="57"/>
        <v>6.8982757148148144</v>
      </c>
      <c r="AX289" s="9"/>
      <c r="AY289" s="21">
        <v>1.3049299999999999</v>
      </c>
      <c r="AZ289" s="21">
        <v>30.677199999999999</v>
      </c>
      <c r="BA289" s="21">
        <v>-1.0467499999999999E-2</v>
      </c>
      <c r="BB289" s="21">
        <v>279</v>
      </c>
      <c r="BC289" s="21">
        <v>1.30402</v>
      </c>
      <c r="BD289">
        <f t="shared" si="58"/>
        <v>12.922839506172838</v>
      </c>
      <c r="BE289">
        <f t="shared" si="59"/>
        <v>16.86340095679012</v>
      </c>
    </row>
    <row r="290" spans="6:57" x14ac:dyDescent="0.25">
      <c r="F290" s="9"/>
      <c r="G290" s="21">
        <v>0.420074</v>
      </c>
      <c r="H290" s="21">
        <v>7.8562000000000003</v>
      </c>
      <c r="I290" s="21">
        <v>-1.3384999999999999E-2</v>
      </c>
      <c r="J290" s="21">
        <v>280</v>
      </c>
      <c r="K290" s="21">
        <v>0.419464</v>
      </c>
      <c r="L290">
        <f t="shared" si="48"/>
        <v>16.52469135802469</v>
      </c>
      <c r="M290">
        <f t="shared" si="49"/>
        <v>6.9415931975308638</v>
      </c>
      <c r="N290" s="9"/>
      <c r="O290" s="21">
        <v>1.3099700000000001</v>
      </c>
      <c r="P290" s="21">
        <v>11.735799999999999</v>
      </c>
      <c r="Q290" s="21">
        <v>-1.07849E-2</v>
      </c>
      <c r="R290" s="21">
        <v>280</v>
      </c>
      <c r="S290" s="21">
        <v>1.30951</v>
      </c>
      <c r="T290">
        <f t="shared" si="50"/>
        <v>13.314691358024691</v>
      </c>
      <c r="U290">
        <f t="shared" si="51"/>
        <v>17.441846238271605</v>
      </c>
      <c r="X290" s="9"/>
      <c r="Y290" s="21">
        <v>0.420074</v>
      </c>
      <c r="Z290" s="21">
        <v>17.3094</v>
      </c>
      <c r="AA290" s="21">
        <v>-1.3159199999999999E-2</v>
      </c>
      <c r="AB290" s="21">
        <v>280</v>
      </c>
      <c r="AC290" s="21">
        <v>0.41949500000000001</v>
      </c>
      <c r="AD290">
        <f t="shared" si="52"/>
        <v>16.245925925925924</v>
      </c>
      <c r="AE290">
        <f t="shared" si="53"/>
        <v>6.8244910874074067</v>
      </c>
      <c r="AF290" s="9"/>
      <c r="AG290" s="21">
        <v>1.3099700000000001</v>
      </c>
      <c r="AH290" s="21">
        <v>21.189</v>
      </c>
      <c r="AI290" s="21">
        <v>-1.05103E-2</v>
      </c>
      <c r="AJ290" s="21">
        <v>280</v>
      </c>
      <c r="AK290" s="21">
        <v>1.30951</v>
      </c>
      <c r="AL290">
        <f t="shared" si="54"/>
        <v>12.97567901234568</v>
      </c>
      <c r="AM290">
        <f t="shared" si="55"/>
        <v>16.997750235802471</v>
      </c>
      <c r="AP290" s="9"/>
      <c r="AQ290" s="21">
        <v>0.420074</v>
      </c>
      <c r="AR290" s="21">
        <v>26.807600000000001</v>
      </c>
      <c r="AS290" s="21">
        <v>-1.31439E-2</v>
      </c>
      <c r="AT290" s="21">
        <v>280</v>
      </c>
      <c r="AU290" s="21">
        <v>0.41949500000000001</v>
      </c>
      <c r="AV290">
        <f t="shared" si="56"/>
        <v>16.227037037037036</v>
      </c>
      <c r="AW290">
        <f t="shared" si="57"/>
        <v>6.8165563562962959</v>
      </c>
      <c r="AX290" s="9"/>
      <c r="AY290" s="21">
        <v>1.3099700000000001</v>
      </c>
      <c r="AZ290" s="21">
        <v>30.687200000000001</v>
      </c>
      <c r="BA290" s="21">
        <v>-1.04248E-2</v>
      </c>
      <c r="BB290" s="21">
        <v>280</v>
      </c>
      <c r="BC290" s="21">
        <v>1.30951</v>
      </c>
      <c r="BD290">
        <f t="shared" si="58"/>
        <v>12.870123456790122</v>
      </c>
      <c r="BE290">
        <f t="shared" si="59"/>
        <v>16.859475624691356</v>
      </c>
    </row>
    <row r="291" spans="6:57" x14ac:dyDescent="0.25">
      <c r="F291" s="9"/>
      <c r="G291" s="21">
        <v>0.41503899999999999</v>
      </c>
      <c r="H291" s="21">
        <v>7.8662700000000001</v>
      </c>
      <c r="I291" s="21">
        <v>-1.3382E-2</v>
      </c>
      <c r="J291" s="21">
        <v>281</v>
      </c>
      <c r="K291" s="21">
        <v>0.41449000000000003</v>
      </c>
      <c r="L291">
        <f t="shared" si="48"/>
        <v>16.520987654320987</v>
      </c>
      <c r="M291">
        <f t="shared" si="49"/>
        <v>6.8568541950617279</v>
      </c>
      <c r="N291" s="9"/>
      <c r="O291" s="21">
        <v>1.3149999999999999</v>
      </c>
      <c r="P291" s="21">
        <v>11.745900000000001</v>
      </c>
      <c r="Q291" s="21">
        <v>-1.07513E-2</v>
      </c>
      <c r="R291" s="21">
        <v>281</v>
      </c>
      <c r="S291" s="21">
        <v>1.3149999999999999</v>
      </c>
      <c r="T291">
        <f t="shared" si="50"/>
        <v>13.273209876543209</v>
      </c>
      <c r="U291">
        <f t="shared" si="51"/>
        <v>17.454270987654319</v>
      </c>
      <c r="X291" s="9"/>
      <c r="Y291" s="21">
        <v>0.41503899999999999</v>
      </c>
      <c r="Z291" s="21">
        <v>17.319500000000001</v>
      </c>
      <c r="AA291" s="21">
        <v>-1.31653E-2</v>
      </c>
      <c r="AB291" s="21">
        <v>281</v>
      </c>
      <c r="AC291" s="21">
        <v>0.41436800000000001</v>
      </c>
      <c r="AD291">
        <f t="shared" si="52"/>
        <v>16.253456790123455</v>
      </c>
      <c r="AE291">
        <f t="shared" si="53"/>
        <v>6.7458184527160485</v>
      </c>
      <c r="AF291" s="9"/>
      <c r="AG291" s="21">
        <v>1.3149999999999999</v>
      </c>
      <c r="AH291" s="21">
        <v>21.199100000000001</v>
      </c>
      <c r="AI291" s="21">
        <v>-1.04706E-2</v>
      </c>
      <c r="AJ291" s="21">
        <v>281</v>
      </c>
      <c r="AK291" s="21">
        <v>1.31409</v>
      </c>
      <c r="AL291">
        <f t="shared" si="54"/>
        <v>12.926666666666666</v>
      </c>
      <c r="AM291">
        <f t="shared" si="55"/>
        <v>16.998566666666665</v>
      </c>
      <c r="AP291" s="9"/>
      <c r="AQ291" s="21">
        <v>0.41503899999999999</v>
      </c>
      <c r="AR291" s="21">
        <v>26.817699999999999</v>
      </c>
      <c r="AS291" s="21">
        <v>-1.31409E-2</v>
      </c>
      <c r="AT291" s="21">
        <v>281</v>
      </c>
      <c r="AU291" s="21">
        <v>0.41442899999999999</v>
      </c>
      <c r="AV291">
        <f t="shared" si="56"/>
        <v>16.223333333333333</v>
      </c>
      <c r="AW291">
        <f t="shared" si="57"/>
        <v>6.7333160433333328</v>
      </c>
      <c r="AX291" s="9"/>
      <c r="AY291" s="21">
        <v>1.3149999999999999</v>
      </c>
      <c r="AZ291" s="21">
        <v>30.697299999999998</v>
      </c>
      <c r="BA291" s="21">
        <v>-1.03882E-2</v>
      </c>
      <c r="BB291" s="21">
        <v>281</v>
      </c>
      <c r="BC291" s="21">
        <v>1.3137799999999999</v>
      </c>
      <c r="BD291">
        <f t="shared" si="58"/>
        <v>12.824938271604937</v>
      </c>
      <c r="BE291">
        <f t="shared" si="59"/>
        <v>16.86479382716049</v>
      </c>
    </row>
    <row r="292" spans="6:57" x14ac:dyDescent="0.25">
      <c r="F292" s="9"/>
      <c r="G292" s="21">
        <v>0.41000399999999998</v>
      </c>
      <c r="H292" s="21">
        <v>7.8763399999999999</v>
      </c>
      <c r="I292" s="21">
        <v>-1.3378900000000001E-2</v>
      </c>
      <c r="J292" s="21">
        <v>282</v>
      </c>
      <c r="K292" s="21">
        <v>0.40939300000000001</v>
      </c>
      <c r="L292">
        <f t="shared" si="48"/>
        <v>16.517160493827159</v>
      </c>
      <c r="M292">
        <f t="shared" si="49"/>
        <v>6.7721018711111105</v>
      </c>
      <c r="N292" s="9"/>
      <c r="O292" s="21">
        <v>1.3200400000000001</v>
      </c>
      <c r="P292" s="21">
        <v>11.756</v>
      </c>
      <c r="Q292" s="21">
        <v>-1.07178E-2</v>
      </c>
      <c r="R292" s="21">
        <v>282</v>
      </c>
      <c r="S292" s="21">
        <v>1.3192699999999999</v>
      </c>
      <c r="T292">
        <f t="shared" si="50"/>
        <v>13.23185185185185</v>
      </c>
      <c r="U292">
        <f t="shared" si="51"/>
        <v>17.466573718518518</v>
      </c>
      <c r="X292" s="9"/>
      <c r="Y292" s="21">
        <v>0.41000399999999998</v>
      </c>
      <c r="Z292" s="21">
        <v>17.329499999999999</v>
      </c>
      <c r="AA292" s="21">
        <v>-1.3168300000000001E-2</v>
      </c>
      <c r="AB292" s="21">
        <v>282</v>
      </c>
      <c r="AC292" s="21">
        <v>0.40942400000000001</v>
      </c>
      <c r="AD292">
        <f t="shared" si="52"/>
        <v>16.257160493827158</v>
      </c>
      <c r="AE292">
        <f t="shared" si="53"/>
        <v>6.6655008311111095</v>
      </c>
      <c r="AF292" s="9"/>
      <c r="AG292" s="21">
        <v>1.3200400000000001</v>
      </c>
      <c r="AH292" s="21">
        <v>21.209099999999999</v>
      </c>
      <c r="AI292" s="21">
        <v>-1.04309E-2</v>
      </c>
      <c r="AJ292" s="21">
        <v>282</v>
      </c>
      <c r="AK292" s="21">
        <v>1.31989</v>
      </c>
      <c r="AL292">
        <f t="shared" si="54"/>
        <v>12.877654320987654</v>
      </c>
      <c r="AM292">
        <f t="shared" si="55"/>
        <v>16.999018809876546</v>
      </c>
      <c r="AP292" s="9"/>
      <c r="AQ292" s="21">
        <v>0.41000399999999998</v>
      </c>
      <c r="AR292" s="21">
        <v>26.8278</v>
      </c>
      <c r="AS292" s="21">
        <v>-1.31348E-2</v>
      </c>
      <c r="AT292" s="21">
        <v>282</v>
      </c>
      <c r="AU292" s="21">
        <v>0.40936299999999998</v>
      </c>
      <c r="AV292">
        <f t="shared" si="56"/>
        <v>16.215802469135802</v>
      </c>
      <c r="AW292">
        <f t="shared" si="57"/>
        <v>6.6485438755555553</v>
      </c>
      <c r="AX292" s="9"/>
      <c r="AY292" s="21">
        <v>1.3200400000000001</v>
      </c>
      <c r="AZ292" s="21">
        <v>30.7074</v>
      </c>
      <c r="BA292" s="21">
        <v>-1.03485E-2</v>
      </c>
      <c r="BB292" s="21">
        <v>282</v>
      </c>
      <c r="BC292" s="21">
        <v>1.31958</v>
      </c>
      <c r="BD292">
        <f t="shared" si="58"/>
        <v>12.775925925925925</v>
      </c>
      <c r="BE292">
        <f t="shared" si="59"/>
        <v>16.86473325925926</v>
      </c>
    </row>
    <row r="293" spans="6:57" x14ac:dyDescent="0.25">
      <c r="F293" s="9"/>
      <c r="G293" s="21">
        <v>0.40496799999999999</v>
      </c>
      <c r="H293" s="21">
        <v>7.8864099999999997</v>
      </c>
      <c r="I293" s="21">
        <v>-1.3382E-2</v>
      </c>
      <c r="J293" s="21">
        <v>283</v>
      </c>
      <c r="K293" s="21">
        <v>0.40441899999999997</v>
      </c>
      <c r="L293">
        <f t="shared" si="48"/>
        <v>16.520987654320987</v>
      </c>
      <c r="M293">
        <f t="shared" si="49"/>
        <v>6.690471328395061</v>
      </c>
      <c r="N293" s="9"/>
      <c r="O293" s="21">
        <v>1.32507</v>
      </c>
      <c r="P293" s="21">
        <v>11.766</v>
      </c>
      <c r="Q293" s="21">
        <v>-1.06842E-2</v>
      </c>
      <c r="R293" s="21">
        <v>283</v>
      </c>
      <c r="S293" s="21">
        <v>1.32477</v>
      </c>
      <c r="T293">
        <f t="shared" si="50"/>
        <v>13.190370370370371</v>
      </c>
      <c r="U293">
        <f t="shared" si="51"/>
        <v>17.478164066666668</v>
      </c>
      <c r="X293" s="9"/>
      <c r="Y293" s="21">
        <v>0.40496799999999999</v>
      </c>
      <c r="Z293" s="21">
        <v>17.339600000000001</v>
      </c>
      <c r="AA293" s="21">
        <v>-1.31775E-2</v>
      </c>
      <c r="AB293" s="21">
        <v>283</v>
      </c>
      <c r="AC293" s="21">
        <v>0.404358</v>
      </c>
      <c r="AD293">
        <f t="shared" si="52"/>
        <v>16.268518518518519</v>
      </c>
      <c r="AE293">
        <f t="shared" si="53"/>
        <v>6.5882294074074075</v>
      </c>
      <c r="AF293" s="9"/>
      <c r="AG293" s="21">
        <v>1.32507</v>
      </c>
      <c r="AH293" s="21">
        <v>21.219200000000001</v>
      </c>
      <c r="AI293" s="21">
        <v>-1.03912E-2</v>
      </c>
      <c r="AJ293" s="21">
        <v>283</v>
      </c>
      <c r="AK293" s="21">
        <v>1.32477</v>
      </c>
      <c r="AL293">
        <f t="shared" si="54"/>
        <v>12.828641975308642</v>
      </c>
      <c r="AM293">
        <f t="shared" si="55"/>
        <v>16.998848622222223</v>
      </c>
      <c r="AP293" s="9"/>
      <c r="AQ293" s="21">
        <v>0.40496799999999999</v>
      </c>
      <c r="AR293" s="21">
        <v>26.837800000000001</v>
      </c>
      <c r="AS293" s="21">
        <v>-1.31317E-2</v>
      </c>
      <c r="AT293" s="21">
        <v>283</v>
      </c>
      <c r="AU293" s="21">
        <v>0.404358</v>
      </c>
      <c r="AV293">
        <f t="shared" si="56"/>
        <v>16.211975308641971</v>
      </c>
      <c r="AW293">
        <f t="shared" si="57"/>
        <v>6.5653312167901214</v>
      </c>
      <c r="AX293" s="9"/>
      <c r="AY293" s="21">
        <v>1.32507</v>
      </c>
      <c r="AZ293" s="21">
        <v>30.717400000000001</v>
      </c>
      <c r="BA293" s="21">
        <v>-1.0311900000000001E-2</v>
      </c>
      <c r="BB293" s="21">
        <v>283</v>
      </c>
      <c r="BC293" s="21">
        <v>1.32477</v>
      </c>
      <c r="BD293">
        <f t="shared" si="58"/>
        <v>12.730740740740741</v>
      </c>
      <c r="BE293">
        <f t="shared" si="59"/>
        <v>16.869122633333333</v>
      </c>
    </row>
    <row r="294" spans="6:57" x14ac:dyDescent="0.25">
      <c r="F294" s="9"/>
      <c r="G294" s="21">
        <v>0.39993299999999998</v>
      </c>
      <c r="H294" s="21">
        <v>7.8964800000000004</v>
      </c>
      <c r="I294" s="21">
        <v>-1.3382E-2</v>
      </c>
      <c r="J294" s="21">
        <v>284</v>
      </c>
      <c r="K294" s="21">
        <v>0.39938400000000002</v>
      </c>
      <c r="L294">
        <f t="shared" si="48"/>
        <v>16.520987654320987</v>
      </c>
      <c r="M294">
        <f t="shared" si="49"/>
        <v>6.6072881555555547</v>
      </c>
      <c r="N294" s="9"/>
      <c r="O294" s="21">
        <v>1.3301099999999999</v>
      </c>
      <c r="P294" s="21">
        <v>11.7761</v>
      </c>
      <c r="Q294" s="21">
        <v>-1.06506E-2</v>
      </c>
      <c r="R294" s="21">
        <v>284</v>
      </c>
      <c r="S294" s="21">
        <v>1.32935</v>
      </c>
      <c r="T294">
        <f t="shared" si="50"/>
        <v>13.148888888888887</v>
      </c>
      <c r="U294">
        <f t="shared" si="51"/>
        <v>17.489468599999995</v>
      </c>
      <c r="X294" s="9"/>
      <c r="Y294" s="21">
        <v>0.39993299999999998</v>
      </c>
      <c r="Z294" s="21">
        <v>17.349699999999999</v>
      </c>
      <c r="AA294" s="21">
        <v>-1.31836E-2</v>
      </c>
      <c r="AB294" s="21">
        <v>284</v>
      </c>
      <c r="AC294" s="21">
        <v>0.39935300000000001</v>
      </c>
      <c r="AD294">
        <f t="shared" si="52"/>
        <v>16.276049382716046</v>
      </c>
      <c r="AE294">
        <f t="shared" si="53"/>
        <v>6.5093292577777762</v>
      </c>
      <c r="AF294" s="9"/>
      <c r="AG294" s="21">
        <v>1.3301099999999999</v>
      </c>
      <c r="AH294" s="21">
        <v>21.229299999999999</v>
      </c>
      <c r="AI294" s="21">
        <v>-1.03546E-2</v>
      </c>
      <c r="AJ294" s="21">
        <v>284</v>
      </c>
      <c r="AK294" s="21">
        <v>1.32904</v>
      </c>
      <c r="AL294">
        <f t="shared" si="54"/>
        <v>12.783456790123456</v>
      </c>
      <c r="AM294">
        <f t="shared" si="55"/>
        <v>17.003403711111108</v>
      </c>
      <c r="AP294" s="9"/>
      <c r="AQ294" s="21">
        <v>0.39993299999999998</v>
      </c>
      <c r="AR294" s="21">
        <v>26.847899999999999</v>
      </c>
      <c r="AS294" s="21">
        <v>-1.31226E-2</v>
      </c>
      <c r="AT294" s="21">
        <v>284</v>
      </c>
      <c r="AU294" s="21">
        <v>0.39941399999999999</v>
      </c>
      <c r="AV294">
        <f t="shared" si="56"/>
        <v>16.200740740740741</v>
      </c>
      <c r="AW294">
        <f t="shared" si="57"/>
        <v>6.4792108466666667</v>
      </c>
      <c r="AX294" s="9"/>
      <c r="AY294" s="21">
        <v>1.3301099999999999</v>
      </c>
      <c r="AZ294" s="21">
        <v>30.727499999999999</v>
      </c>
      <c r="BA294" s="21">
        <v>-1.0275299999999999E-2</v>
      </c>
      <c r="BB294" s="21">
        <v>284</v>
      </c>
      <c r="BC294" s="21">
        <v>1.32935</v>
      </c>
      <c r="BD294">
        <f t="shared" si="58"/>
        <v>12.685555555555554</v>
      </c>
      <c r="BE294">
        <f t="shared" si="59"/>
        <v>16.873184299999998</v>
      </c>
    </row>
    <row r="295" spans="6:57" x14ac:dyDescent="0.25">
      <c r="F295" s="9"/>
      <c r="G295" s="21">
        <v>0.394897</v>
      </c>
      <c r="H295" s="21">
        <v>7.9065500000000002</v>
      </c>
      <c r="I295" s="21">
        <v>-1.33759E-2</v>
      </c>
      <c r="J295" s="21">
        <v>285</v>
      </c>
      <c r="K295" s="21">
        <v>0.39437899999999998</v>
      </c>
      <c r="L295">
        <f t="shared" si="48"/>
        <v>16.513456790123456</v>
      </c>
      <c r="M295">
        <f t="shared" si="49"/>
        <v>6.5211145460493825</v>
      </c>
      <c r="N295" s="9"/>
      <c r="O295" s="21">
        <v>1.33514</v>
      </c>
      <c r="P295" s="21">
        <v>11.786199999999999</v>
      </c>
      <c r="Q295" s="21">
        <v>-1.0617100000000001E-2</v>
      </c>
      <c r="R295" s="21">
        <v>285</v>
      </c>
      <c r="S295" s="21">
        <v>1.33453</v>
      </c>
      <c r="T295">
        <f t="shared" si="50"/>
        <v>13.10753086419753</v>
      </c>
      <c r="U295">
        <f t="shared" si="51"/>
        <v>17.500388758024691</v>
      </c>
      <c r="X295" s="9"/>
      <c r="Y295" s="21">
        <v>0.394897</v>
      </c>
      <c r="Z295" s="21">
        <v>17.3597</v>
      </c>
      <c r="AA295" s="21">
        <v>-1.31836E-2</v>
      </c>
      <c r="AB295" s="21">
        <v>285</v>
      </c>
      <c r="AC295" s="21">
        <v>0.39444000000000001</v>
      </c>
      <c r="AD295">
        <f t="shared" si="52"/>
        <v>16.276049382716046</v>
      </c>
      <c r="AE295">
        <f t="shared" si="53"/>
        <v>6.4273630730864184</v>
      </c>
      <c r="AF295" s="9"/>
      <c r="AG295" s="21">
        <v>1.33514</v>
      </c>
      <c r="AH295" s="21">
        <v>21.2394</v>
      </c>
      <c r="AI295" s="21">
        <v>-1.0318000000000001E-2</v>
      </c>
      <c r="AJ295" s="21">
        <v>285</v>
      </c>
      <c r="AK295" s="21">
        <v>1.33423</v>
      </c>
      <c r="AL295">
        <f t="shared" si="54"/>
        <v>12.738271604938271</v>
      </c>
      <c r="AM295">
        <f t="shared" si="55"/>
        <v>17.007375950617284</v>
      </c>
      <c r="AP295" s="9"/>
      <c r="AQ295" s="21">
        <v>0.394897</v>
      </c>
      <c r="AR295" s="21">
        <v>26.858000000000001</v>
      </c>
      <c r="AS295" s="21">
        <v>-1.31165E-2</v>
      </c>
      <c r="AT295" s="21">
        <v>285</v>
      </c>
      <c r="AU295" s="21">
        <v>0.39437899999999998</v>
      </c>
      <c r="AV295">
        <f t="shared" si="56"/>
        <v>16.193209876543211</v>
      </c>
      <c r="AW295">
        <f t="shared" si="57"/>
        <v>6.3946500006172844</v>
      </c>
      <c r="AX295" s="9"/>
      <c r="AY295" s="21">
        <v>1.33514</v>
      </c>
      <c r="AZ295" s="21">
        <v>30.7376</v>
      </c>
      <c r="BA295" s="21">
        <v>-1.0235599999999999E-2</v>
      </c>
      <c r="BB295" s="21">
        <v>285</v>
      </c>
      <c r="BC295" s="21">
        <v>1.33423</v>
      </c>
      <c r="BD295">
        <f t="shared" si="58"/>
        <v>12.636543209876542</v>
      </c>
      <c r="BE295">
        <f t="shared" si="59"/>
        <v>16.871554301234568</v>
      </c>
    </row>
    <row r="296" spans="6:57" x14ac:dyDescent="0.25">
      <c r="F296" s="9"/>
      <c r="G296" s="21">
        <v>0.38986199999999999</v>
      </c>
      <c r="H296" s="21">
        <v>7.91662</v>
      </c>
      <c r="I296" s="21">
        <v>-1.33667E-2</v>
      </c>
      <c r="J296" s="21">
        <v>286</v>
      </c>
      <c r="K296" s="21">
        <v>0.38925199999999999</v>
      </c>
      <c r="L296">
        <f t="shared" si="48"/>
        <v>16.502098765432098</v>
      </c>
      <c r="M296">
        <f t="shared" si="49"/>
        <v>6.4335412288888882</v>
      </c>
      <c r="N296" s="9"/>
      <c r="O296" s="21">
        <v>1.3401799999999999</v>
      </c>
      <c r="P296" s="21">
        <v>11.796200000000001</v>
      </c>
      <c r="Q296" s="21">
        <v>-1.0589599999999999E-2</v>
      </c>
      <c r="R296" s="21">
        <v>286</v>
      </c>
      <c r="S296" s="21">
        <v>1.33911</v>
      </c>
      <c r="T296">
        <f t="shared" si="50"/>
        <v>13.073580246913579</v>
      </c>
      <c r="U296">
        <f t="shared" si="51"/>
        <v>17.520950775308638</v>
      </c>
      <c r="X296" s="9"/>
      <c r="Y296" s="21">
        <v>0.38986199999999999</v>
      </c>
      <c r="Z296" s="21">
        <v>17.369800000000001</v>
      </c>
      <c r="AA296" s="21">
        <v>-1.31805E-2</v>
      </c>
      <c r="AB296" s="21">
        <v>286</v>
      </c>
      <c r="AC296" s="21">
        <v>0.38928200000000002</v>
      </c>
      <c r="AD296">
        <f t="shared" si="52"/>
        <v>16.272222222222219</v>
      </c>
      <c r="AE296">
        <f t="shared" si="53"/>
        <v>6.3439210999999984</v>
      </c>
      <c r="AF296" s="9"/>
      <c r="AG296" s="21">
        <v>1.3401799999999999</v>
      </c>
      <c r="AH296" s="21">
        <v>21.249400000000001</v>
      </c>
      <c r="AI296" s="21">
        <v>-1.0275299999999999E-2</v>
      </c>
      <c r="AJ296" s="21">
        <v>286</v>
      </c>
      <c r="AK296" s="21">
        <v>1.33972</v>
      </c>
      <c r="AL296">
        <f t="shared" si="54"/>
        <v>12.685555555555554</v>
      </c>
      <c r="AM296">
        <f t="shared" si="55"/>
        <v>17.00092784444444</v>
      </c>
      <c r="AP296" s="9"/>
      <c r="AQ296" s="21">
        <v>0.38986199999999999</v>
      </c>
      <c r="AR296" s="21">
        <v>26.867999999999999</v>
      </c>
      <c r="AS296" s="21">
        <v>-1.3107300000000001E-2</v>
      </c>
      <c r="AT296" s="21">
        <v>286</v>
      </c>
      <c r="AU296" s="21">
        <v>0.38931300000000002</v>
      </c>
      <c r="AV296">
        <f t="shared" si="56"/>
        <v>16.181851851851849</v>
      </c>
      <c r="AW296">
        <f t="shared" si="57"/>
        <v>6.3086891266666658</v>
      </c>
      <c r="AX296" s="9"/>
      <c r="AY296" s="21">
        <v>1.3401799999999999</v>
      </c>
      <c r="AZ296" s="21">
        <v>30.747699999999998</v>
      </c>
      <c r="BA296" s="21">
        <v>-1.0199E-2</v>
      </c>
      <c r="BB296" s="21">
        <v>286</v>
      </c>
      <c r="BC296" s="21">
        <v>1.33972</v>
      </c>
      <c r="BD296">
        <f t="shared" si="58"/>
        <v>12.591358024691356</v>
      </c>
      <c r="BE296">
        <f t="shared" si="59"/>
        <v>16.87468619753086</v>
      </c>
    </row>
    <row r="297" spans="6:57" x14ac:dyDescent="0.25">
      <c r="F297" s="9"/>
      <c r="G297" s="21">
        <v>0.38482699999999997</v>
      </c>
      <c r="H297" s="21">
        <v>7.9267000000000003</v>
      </c>
      <c r="I297" s="21">
        <v>-1.33636E-2</v>
      </c>
      <c r="J297" s="21">
        <v>287</v>
      </c>
      <c r="K297" s="21">
        <v>0.384216</v>
      </c>
      <c r="L297">
        <f t="shared" si="48"/>
        <v>16.498271604938271</v>
      </c>
      <c r="M297">
        <f t="shared" si="49"/>
        <v>6.3489803669135796</v>
      </c>
      <c r="N297" s="9"/>
      <c r="O297" s="21">
        <v>1.34521</v>
      </c>
      <c r="P297" s="21">
        <v>11.8063</v>
      </c>
      <c r="Q297" s="21">
        <v>-1.05621E-2</v>
      </c>
      <c r="R297" s="21">
        <v>287</v>
      </c>
      <c r="S297" s="21">
        <v>1.34491</v>
      </c>
      <c r="T297">
        <f t="shared" si="50"/>
        <v>13.039629629629628</v>
      </c>
      <c r="U297">
        <f t="shared" si="51"/>
        <v>17.541040174074073</v>
      </c>
      <c r="X297" s="9"/>
      <c r="Y297" s="21">
        <v>0.38482699999999997</v>
      </c>
      <c r="Z297" s="21">
        <v>17.379899999999999</v>
      </c>
      <c r="AA297" s="21">
        <v>-1.31775E-2</v>
      </c>
      <c r="AB297" s="21">
        <v>287</v>
      </c>
      <c r="AC297" s="21">
        <v>0.384216</v>
      </c>
      <c r="AD297">
        <f t="shared" si="52"/>
        <v>16.268518518518519</v>
      </c>
      <c r="AE297">
        <f t="shared" si="53"/>
        <v>6.260565175925926</v>
      </c>
      <c r="AF297" s="9"/>
      <c r="AG297" s="21">
        <v>1.34521</v>
      </c>
      <c r="AH297" s="21">
        <v>21.259499999999999</v>
      </c>
      <c r="AI297" s="21">
        <v>-1.02325E-2</v>
      </c>
      <c r="AJ297" s="21">
        <v>287</v>
      </c>
      <c r="AK297" s="21">
        <v>1.3443000000000001</v>
      </c>
      <c r="AL297">
        <f t="shared" si="54"/>
        <v>12.632716049382715</v>
      </c>
      <c r="AM297">
        <f t="shared" si="55"/>
        <v>16.993655956790121</v>
      </c>
      <c r="AP297" s="9"/>
      <c r="AQ297" s="21">
        <v>0.38482699999999997</v>
      </c>
      <c r="AR297" s="21">
        <v>26.8781</v>
      </c>
      <c r="AS297" s="21">
        <v>-1.3107300000000001E-2</v>
      </c>
      <c r="AT297" s="21">
        <v>287</v>
      </c>
      <c r="AU297" s="21">
        <v>0.38430799999999998</v>
      </c>
      <c r="AV297">
        <f t="shared" si="56"/>
        <v>16.181851851851849</v>
      </c>
      <c r="AW297">
        <f t="shared" si="57"/>
        <v>6.2272135025925914</v>
      </c>
      <c r="AX297" s="9"/>
      <c r="AY297" s="21">
        <v>1.34521</v>
      </c>
      <c r="AZ297" s="21">
        <v>30.7577</v>
      </c>
      <c r="BA297" s="21">
        <v>-1.01563E-2</v>
      </c>
      <c r="BB297" s="21">
        <v>287</v>
      </c>
      <c r="BC297" s="21">
        <v>1.3446</v>
      </c>
      <c r="BD297">
        <f t="shared" si="58"/>
        <v>12.538641975308641</v>
      </c>
      <c r="BE297">
        <f t="shared" si="59"/>
        <v>16.867106571604936</v>
      </c>
    </row>
    <row r="298" spans="6:57" x14ac:dyDescent="0.25">
      <c r="F298" s="9"/>
      <c r="G298" s="21">
        <v>0.37979099999999999</v>
      </c>
      <c r="H298" s="21">
        <v>7.9367700000000001</v>
      </c>
      <c r="I298" s="21">
        <v>-1.33667E-2</v>
      </c>
      <c r="J298" s="21">
        <v>288</v>
      </c>
      <c r="K298" s="21">
        <v>0.37918099999999999</v>
      </c>
      <c r="L298">
        <f t="shared" si="48"/>
        <v>16.502098765432098</v>
      </c>
      <c r="M298">
        <f t="shared" si="49"/>
        <v>6.2673485922222216</v>
      </c>
      <c r="N298" s="9"/>
      <c r="O298" s="21">
        <v>1.35025</v>
      </c>
      <c r="P298" s="21">
        <v>11.8164</v>
      </c>
      <c r="Q298" s="21">
        <v>-1.05255E-2</v>
      </c>
      <c r="R298" s="21">
        <v>288</v>
      </c>
      <c r="S298" s="21">
        <v>1.3494900000000001</v>
      </c>
      <c r="T298">
        <f t="shared" si="50"/>
        <v>12.994444444444444</v>
      </c>
      <c r="U298">
        <f t="shared" si="51"/>
        <v>17.545748611111108</v>
      </c>
      <c r="X298" s="9"/>
      <c r="Y298" s="21">
        <v>0.37979099999999999</v>
      </c>
      <c r="Z298" s="21">
        <v>17.389900000000001</v>
      </c>
      <c r="AA298" s="21">
        <v>-1.31775E-2</v>
      </c>
      <c r="AB298" s="21">
        <v>288</v>
      </c>
      <c r="AC298" s="21">
        <v>0.37921100000000002</v>
      </c>
      <c r="AD298">
        <f t="shared" si="52"/>
        <v>16.268518518518519</v>
      </c>
      <c r="AE298">
        <f t="shared" si="53"/>
        <v>6.178636916666667</v>
      </c>
      <c r="AF298" s="9"/>
      <c r="AG298" s="21">
        <v>1.35025</v>
      </c>
      <c r="AH298" s="21">
        <v>21.269600000000001</v>
      </c>
      <c r="AI298" s="21">
        <v>-1.0189800000000001E-2</v>
      </c>
      <c r="AJ298" s="21">
        <v>288</v>
      </c>
      <c r="AK298" s="21">
        <v>1.34918</v>
      </c>
      <c r="AL298">
        <f t="shared" si="54"/>
        <v>12.579999999999998</v>
      </c>
      <c r="AM298">
        <f t="shared" si="55"/>
        <v>16.986144999999997</v>
      </c>
      <c r="AP298" s="9"/>
      <c r="AQ298" s="21">
        <v>0.37979099999999999</v>
      </c>
      <c r="AR298" s="21">
        <v>26.888200000000001</v>
      </c>
      <c r="AS298" s="21">
        <v>-1.31012E-2</v>
      </c>
      <c r="AT298" s="21">
        <v>288</v>
      </c>
      <c r="AU298" s="21">
        <v>0.37918099999999999</v>
      </c>
      <c r="AV298">
        <f t="shared" si="56"/>
        <v>16.174320987654323</v>
      </c>
      <c r="AW298">
        <f t="shared" si="57"/>
        <v>6.1428615422222226</v>
      </c>
      <c r="AX298" s="9"/>
      <c r="AY298" s="21">
        <v>1.35025</v>
      </c>
      <c r="AZ298" s="21">
        <v>30.767800000000001</v>
      </c>
      <c r="BA298" s="21">
        <v>-1.01166E-2</v>
      </c>
      <c r="BB298" s="21">
        <v>288</v>
      </c>
      <c r="BC298" s="21">
        <v>1.3494900000000001</v>
      </c>
      <c r="BD298">
        <f t="shared" si="58"/>
        <v>12.489629629629629</v>
      </c>
      <c r="BE298">
        <f t="shared" si="59"/>
        <v>16.864122407407407</v>
      </c>
    </row>
    <row r="299" spans="6:57" x14ac:dyDescent="0.25">
      <c r="F299" s="9"/>
      <c r="G299" s="21">
        <v>0.37475599999999998</v>
      </c>
      <c r="H299" s="21">
        <v>7.9468399999999999</v>
      </c>
      <c r="I299" s="21">
        <v>-1.3372800000000001E-2</v>
      </c>
      <c r="J299" s="21">
        <v>289</v>
      </c>
      <c r="K299" s="21">
        <v>0.37417600000000001</v>
      </c>
      <c r="L299">
        <f t="shared" si="48"/>
        <v>16.509629629629632</v>
      </c>
      <c r="M299">
        <f t="shared" si="49"/>
        <v>6.1870827614814825</v>
      </c>
      <c r="N299" s="9"/>
      <c r="O299" s="21">
        <v>1.3552900000000001</v>
      </c>
      <c r="P299" s="21">
        <v>11.826499999999999</v>
      </c>
      <c r="Q299" s="21">
        <v>-1.04828E-2</v>
      </c>
      <c r="R299" s="21">
        <v>289</v>
      </c>
      <c r="S299" s="21">
        <v>1.3543700000000001</v>
      </c>
      <c r="T299">
        <f t="shared" si="50"/>
        <v>12.941728395061729</v>
      </c>
      <c r="U299">
        <f t="shared" si="51"/>
        <v>17.539795076543211</v>
      </c>
      <c r="X299" s="9"/>
      <c r="Y299" s="21">
        <v>0.37475599999999998</v>
      </c>
      <c r="Z299" s="21">
        <v>17.399999999999999</v>
      </c>
      <c r="AA299" s="21">
        <v>-1.31653E-2</v>
      </c>
      <c r="AB299" s="21">
        <v>289</v>
      </c>
      <c r="AC299" s="21">
        <v>0.37414599999999998</v>
      </c>
      <c r="AD299">
        <f t="shared" si="52"/>
        <v>16.253456790123455</v>
      </c>
      <c r="AE299">
        <f t="shared" si="53"/>
        <v>6.0910804528395053</v>
      </c>
      <c r="AF299" s="9"/>
      <c r="AG299" s="21">
        <v>1.3552900000000001</v>
      </c>
      <c r="AH299" s="21">
        <v>21.279599999999999</v>
      </c>
      <c r="AI299" s="21">
        <v>-1.0153199999999999E-2</v>
      </c>
      <c r="AJ299" s="21">
        <v>289</v>
      </c>
      <c r="AK299" s="21">
        <v>1.3546800000000001</v>
      </c>
      <c r="AL299">
        <f t="shared" si="54"/>
        <v>12.534814814814814</v>
      </c>
      <c r="AM299">
        <f t="shared" si="55"/>
        <v>16.988309170370371</v>
      </c>
      <c r="AP299" s="9"/>
      <c r="AQ299" s="21">
        <v>0.37475599999999998</v>
      </c>
      <c r="AR299" s="21">
        <v>26.898299999999999</v>
      </c>
      <c r="AS299" s="21">
        <v>-1.31012E-2</v>
      </c>
      <c r="AT299" s="21">
        <v>289</v>
      </c>
      <c r="AU299" s="21">
        <v>0.37414599999999998</v>
      </c>
      <c r="AV299">
        <f t="shared" si="56"/>
        <v>16.174320987654323</v>
      </c>
      <c r="AW299">
        <f t="shared" si="57"/>
        <v>6.0614238360493831</v>
      </c>
      <c r="AX299" s="9"/>
      <c r="AY299" s="21">
        <v>1.3552900000000001</v>
      </c>
      <c r="AZ299" s="21">
        <v>30.777899999999999</v>
      </c>
      <c r="BA299" s="21">
        <v>-1.00739E-2</v>
      </c>
      <c r="BB299" s="21">
        <v>289</v>
      </c>
      <c r="BC299" s="21">
        <v>1.3537600000000001</v>
      </c>
      <c r="BD299">
        <f t="shared" si="58"/>
        <v>12.436913580246914</v>
      </c>
      <c r="BE299">
        <f t="shared" si="59"/>
        <v>16.855624606172842</v>
      </c>
    </row>
    <row r="300" spans="6:57" x14ac:dyDescent="0.25">
      <c r="F300" s="9"/>
      <c r="G300" s="21">
        <v>0.36971999999999999</v>
      </c>
      <c r="H300" s="21">
        <v>7.9569099999999997</v>
      </c>
      <c r="I300" s="21">
        <v>-1.3378900000000001E-2</v>
      </c>
      <c r="J300" s="21">
        <v>290</v>
      </c>
      <c r="K300" s="21">
        <v>0.36908000000000002</v>
      </c>
      <c r="L300">
        <f t="shared" si="48"/>
        <v>16.517160493827159</v>
      </c>
      <c r="M300">
        <f t="shared" si="49"/>
        <v>6.1067245777777774</v>
      </c>
      <c r="N300" s="9"/>
      <c r="O300" s="21">
        <v>1.36032</v>
      </c>
      <c r="P300" s="21">
        <v>11.836499999999999</v>
      </c>
      <c r="Q300" s="21">
        <v>-1.0452299999999999E-2</v>
      </c>
      <c r="R300" s="21">
        <v>290</v>
      </c>
      <c r="S300" s="21">
        <v>1.3592500000000001</v>
      </c>
      <c r="T300">
        <f t="shared" si="50"/>
        <v>12.904074074074073</v>
      </c>
      <c r="U300">
        <f t="shared" si="51"/>
        <v>17.553670044444441</v>
      </c>
      <c r="X300" s="9"/>
      <c r="Y300" s="21">
        <v>0.36971999999999999</v>
      </c>
      <c r="Z300" s="21">
        <v>17.4101</v>
      </c>
      <c r="AA300" s="21">
        <v>-1.31439E-2</v>
      </c>
      <c r="AB300" s="21">
        <v>290</v>
      </c>
      <c r="AC300" s="21">
        <v>0.36920199999999997</v>
      </c>
      <c r="AD300">
        <f t="shared" si="52"/>
        <v>16.227037037037036</v>
      </c>
      <c r="AE300">
        <f t="shared" si="53"/>
        <v>5.9994601333333328</v>
      </c>
      <c r="AF300" s="9"/>
      <c r="AG300" s="21">
        <v>1.36032</v>
      </c>
      <c r="AH300" s="21">
        <v>21.2897</v>
      </c>
      <c r="AI300" s="21">
        <v>-1.0119599999999999E-2</v>
      </c>
      <c r="AJ300" s="21">
        <v>290</v>
      </c>
      <c r="AK300" s="21">
        <v>1.3592500000000001</v>
      </c>
      <c r="AL300">
        <f t="shared" si="54"/>
        <v>12.493333333333332</v>
      </c>
      <c r="AM300">
        <f t="shared" si="55"/>
        <v>16.9949312</v>
      </c>
      <c r="AP300" s="9"/>
      <c r="AQ300" s="21">
        <v>0.36971999999999999</v>
      </c>
      <c r="AR300" s="21">
        <v>26.908300000000001</v>
      </c>
      <c r="AS300" s="21">
        <v>-1.31226E-2</v>
      </c>
      <c r="AT300" s="21">
        <v>290</v>
      </c>
      <c r="AU300" s="21">
        <v>0.369141</v>
      </c>
      <c r="AV300">
        <f t="shared" si="56"/>
        <v>16.200740740740741</v>
      </c>
      <c r="AW300">
        <f t="shared" si="57"/>
        <v>5.9897378666666672</v>
      </c>
      <c r="AX300" s="9"/>
      <c r="AY300" s="21">
        <v>1.36032</v>
      </c>
      <c r="AZ300" s="21">
        <v>30.7879</v>
      </c>
      <c r="BA300" s="21">
        <v>-1.0031099999999999E-2</v>
      </c>
      <c r="BB300" s="21">
        <v>290</v>
      </c>
      <c r="BC300" s="21">
        <v>1.3595600000000001</v>
      </c>
      <c r="BD300">
        <f t="shared" si="58"/>
        <v>12.384074074074071</v>
      </c>
      <c r="BE300">
        <f t="shared" si="59"/>
        <v>16.84630364444444</v>
      </c>
    </row>
    <row r="301" spans="6:57" x14ac:dyDescent="0.25">
      <c r="F301" s="9"/>
      <c r="G301" s="21">
        <v>0.36468499999999998</v>
      </c>
      <c r="H301" s="21">
        <v>7.9669800000000004</v>
      </c>
      <c r="I301" s="21">
        <v>-1.3378900000000001E-2</v>
      </c>
      <c r="J301" s="21">
        <v>291</v>
      </c>
      <c r="K301" s="21">
        <v>0.36413600000000002</v>
      </c>
      <c r="L301">
        <f t="shared" si="48"/>
        <v>16.517160493827159</v>
      </c>
      <c r="M301">
        <f t="shared" si="49"/>
        <v>6.0235606746913577</v>
      </c>
      <c r="N301" s="9"/>
      <c r="O301" s="21">
        <v>1.3653599999999999</v>
      </c>
      <c r="P301" s="21">
        <v>11.8466</v>
      </c>
      <c r="Q301" s="21">
        <v>-1.04095E-2</v>
      </c>
      <c r="R301" s="21">
        <v>291</v>
      </c>
      <c r="S301" s="21">
        <v>1.3644400000000001</v>
      </c>
      <c r="T301">
        <f t="shared" si="50"/>
        <v>12.851234567901233</v>
      </c>
      <c r="U301">
        <f t="shared" si="51"/>
        <v>17.546561629629625</v>
      </c>
      <c r="X301" s="9"/>
      <c r="Y301" s="21">
        <v>0.36468499999999998</v>
      </c>
      <c r="Z301" s="21">
        <v>17.420200000000001</v>
      </c>
      <c r="AA301" s="21">
        <v>-1.31378E-2</v>
      </c>
      <c r="AB301" s="21">
        <v>291</v>
      </c>
      <c r="AC301" s="21">
        <v>0.36422700000000002</v>
      </c>
      <c r="AD301">
        <f t="shared" si="52"/>
        <v>16.219506172839505</v>
      </c>
      <c r="AE301">
        <f t="shared" si="53"/>
        <v>5.9150106086419747</v>
      </c>
      <c r="AF301" s="9"/>
      <c r="AG301" s="21">
        <v>1.3653599999999999</v>
      </c>
      <c r="AH301" s="21">
        <v>21.299800000000001</v>
      </c>
      <c r="AI301" s="21">
        <v>-1.0086100000000001E-2</v>
      </c>
      <c r="AJ301" s="21">
        <v>291</v>
      </c>
      <c r="AK301" s="21">
        <v>1.3644400000000001</v>
      </c>
      <c r="AL301">
        <f t="shared" si="54"/>
        <v>12.451975308641975</v>
      </c>
      <c r="AM301">
        <f t="shared" si="55"/>
        <v>17.001429007407406</v>
      </c>
      <c r="AP301" s="9"/>
      <c r="AQ301" s="21">
        <v>0.36468499999999998</v>
      </c>
      <c r="AR301" s="21">
        <v>26.918399999999998</v>
      </c>
      <c r="AS301" s="21">
        <v>-1.31409E-2</v>
      </c>
      <c r="AT301" s="21">
        <v>291</v>
      </c>
      <c r="AU301" s="21">
        <v>0.36416599999999999</v>
      </c>
      <c r="AV301">
        <f t="shared" si="56"/>
        <v>16.223333333333333</v>
      </c>
      <c r="AW301">
        <f t="shared" si="57"/>
        <v>5.9164063166666665</v>
      </c>
      <c r="AX301" s="9"/>
      <c r="AY301" s="21">
        <v>1.3653599999999999</v>
      </c>
      <c r="AZ301" s="21">
        <v>30.797999999999998</v>
      </c>
      <c r="BA301" s="21">
        <v>-9.9822999999999995E-3</v>
      </c>
      <c r="BB301" s="21">
        <v>291</v>
      </c>
      <c r="BC301" s="21">
        <v>1.3647499999999999</v>
      </c>
      <c r="BD301">
        <f t="shared" si="58"/>
        <v>12.323827160493826</v>
      </c>
      <c r="BE301">
        <f t="shared" si="59"/>
        <v>16.82646065185185</v>
      </c>
    </row>
    <row r="302" spans="6:57" x14ac:dyDescent="0.25">
      <c r="F302" s="9"/>
      <c r="G302" s="21">
        <v>0.35965000000000003</v>
      </c>
      <c r="H302" s="21">
        <v>7.9770500000000002</v>
      </c>
      <c r="I302" s="21">
        <v>-1.3372800000000001E-2</v>
      </c>
      <c r="J302" s="21">
        <v>292</v>
      </c>
      <c r="K302" s="21">
        <v>0.35907</v>
      </c>
      <c r="L302">
        <f t="shared" si="48"/>
        <v>16.509629629629632</v>
      </c>
      <c r="M302">
        <f t="shared" si="49"/>
        <v>5.9376882962962974</v>
      </c>
      <c r="N302" s="9"/>
      <c r="O302" s="21">
        <v>1.37039</v>
      </c>
      <c r="P302" s="21">
        <v>11.8567</v>
      </c>
      <c r="Q302" s="21">
        <v>-1.03699E-2</v>
      </c>
      <c r="R302" s="21">
        <v>292</v>
      </c>
      <c r="S302" s="21">
        <v>1.3699300000000001</v>
      </c>
      <c r="T302">
        <f t="shared" si="50"/>
        <v>12.802345679012344</v>
      </c>
      <c r="U302">
        <f t="shared" si="51"/>
        <v>17.544206495061726</v>
      </c>
      <c r="X302" s="9"/>
      <c r="Y302" s="21">
        <v>0.35965000000000003</v>
      </c>
      <c r="Z302" s="21">
        <v>17.430199999999999</v>
      </c>
      <c r="AA302" s="21">
        <v>-1.31287E-2</v>
      </c>
      <c r="AB302" s="21">
        <v>292</v>
      </c>
      <c r="AC302" s="21">
        <v>0.35900900000000002</v>
      </c>
      <c r="AD302">
        <f t="shared" si="52"/>
        <v>16.208271604938268</v>
      </c>
      <c r="AE302">
        <f t="shared" si="53"/>
        <v>5.8293048827160483</v>
      </c>
      <c r="AF302" s="9"/>
      <c r="AG302" s="21">
        <v>1.37039</v>
      </c>
      <c r="AH302" s="21">
        <v>21.309799999999999</v>
      </c>
      <c r="AI302" s="21">
        <v>-1.00494E-2</v>
      </c>
      <c r="AJ302" s="21">
        <v>292</v>
      </c>
      <c r="AK302" s="21">
        <v>1.3699300000000001</v>
      </c>
      <c r="AL302">
        <f t="shared" si="54"/>
        <v>12.406666666666666</v>
      </c>
      <c r="AM302">
        <f t="shared" si="55"/>
        <v>17.001971933333333</v>
      </c>
      <c r="AP302" s="9"/>
      <c r="AQ302" s="21">
        <v>0.35965000000000003</v>
      </c>
      <c r="AR302" s="21">
        <v>26.9285</v>
      </c>
      <c r="AS302" s="21">
        <v>-1.31561E-2</v>
      </c>
      <c r="AT302" s="21">
        <v>292</v>
      </c>
      <c r="AU302" s="21">
        <v>0.35907</v>
      </c>
      <c r="AV302">
        <f t="shared" si="56"/>
        <v>16.2420987654321</v>
      </c>
      <c r="AW302">
        <f t="shared" si="57"/>
        <v>5.8414708209876549</v>
      </c>
      <c r="AX302" s="9"/>
      <c r="AY302" s="21">
        <v>1.37039</v>
      </c>
      <c r="AZ302" s="21">
        <v>30.8081</v>
      </c>
      <c r="BA302" s="21">
        <v>-9.9304200000000006E-3</v>
      </c>
      <c r="BB302" s="21">
        <v>292</v>
      </c>
      <c r="BC302" s="21">
        <v>1.3693200000000001</v>
      </c>
      <c r="BD302">
        <f t="shared" si="58"/>
        <v>12.259777777777778</v>
      </c>
      <c r="BE302">
        <f t="shared" si="59"/>
        <v>16.800676868888889</v>
      </c>
    </row>
    <row r="303" spans="6:57" x14ac:dyDescent="0.25">
      <c r="F303" s="9"/>
      <c r="G303" s="21">
        <v>0.35461399999999998</v>
      </c>
      <c r="H303" s="21">
        <v>7.98712</v>
      </c>
      <c r="I303" s="21">
        <v>-1.3378900000000001E-2</v>
      </c>
      <c r="J303" s="21">
        <v>293</v>
      </c>
      <c r="K303" s="21">
        <v>0.35403400000000002</v>
      </c>
      <c r="L303">
        <f t="shared" si="48"/>
        <v>16.517160493827159</v>
      </c>
      <c r="M303">
        <f t="shared" si="49"/>
        <v>5.8572163513580238</v>
      </c>
      <c r="N303" s="9"/>
      <c r="O303" s="21">
        <v>1.3754299999999999</v>
      </c>
      <c r="P303" s="21">
        <v>11.8667</v>
      </c>
      <c r="Q303" s="21">
        <v>-1.03149E-2</v>
      </c>
      <c r="R303" s="21">
        <v>293</v>
      </c>
      <c r="S303" s="21">
        <v>1.3748199999999999</v>
      </c>
      <c r="T303">
        <f t="shared" si="50"/>
        <v>12.734444444444444</v>
      </c>
      <c r="U303">
        <f t="shared" si="51"/>
        <v>17.515336922222222</v>
      </c>
      <c r="X303" s="9"/>
      <c r="Y303" s="21">
        <v>0.35461399999999998</v>
      </c>
      <c r="Z303" s="21">
        <v>17.440300000000001</v>
      </c>
      <c r="AA303" s="21">
        <v>-1.31348E-2</v>
      </c>
      <c r="AB303" s="21">
        <v>293</v>
      </c>
      <c r="AC303" s="21">
        <v>0.35397299999999998</v>
      </c>
      <c r="AD303">
        <f t="shared" si="52"/>
        <v>16.215802469135802</v>
      </c>
      <c r="AE303">
        <f t="shared" si="53"/>
        <v>5.7503505767901233</v>
      </c>
      <c r="AF303" s="9"/>
      <c r="AG303" s="21">
        <v>1.3754299999999999</v>
      </c>
      <c r="AH303" s="21">
        <v>21.319900000000001</v>
      </c>
      <c r="AI303" s="21">
        <v>-1.00067E-2</v>
      </c>
      <c r="AJ303" s="21">
        <v>293</v>
      </c>
      <c r="AK303" s="21">
        <v>1.3751199999999999</v>
      </c>
      <c r="AL303">
        <f t="shared" si="54"/>
        <v>12.353950617283949</v>
      </c>
      <c r="AM303">
        <f t="shared" si="55"/>
        <v>16.991994297530862</v>
      </c>
      <c r="AP303" s="9"/>
      <c r="AQ303" s="21">
        <v>0.35461399999999998</v>
      </c>
      <c r="AR303" s="21">
        <v>26.938500000000001</v>
      </c>
      <c r="AS303" s="21">
        <v>-1.3162200000000001E-2</v>
      </c>
      <c r="AT303" s="21">
        <v>293</v>
      </c>
      <c r="AU303" s="21">
        <v>0.35406500000000002</v>
      </c>
      <c r="AV303">
        <f t="shared" si="56"/>
        <v>16.249629629629627</v>
      </c>
      <c r="AW303">
        <f t="shared" si="57"/>
        <v>5.7623461614814806</v>
      </c>
      <c r="AX303" s="9"/>
      <c r="AY303" s="21">
        <v>1.3754299999999999</v>
      </c>
      <c r="AZ303" s="21">
        <v>30.818200000000001</v>
      </c>
      <c r="BA303" s="21">
        <v>-9.8815900000000009E-3</v>
      </c>
      <c r="BB303" s="21">
        <v>293</v>
      </c>
      <c r="BC303" s="21">
        <v>1.3748199999999999</v>
      </c>
      <c r="BD303">
        <f t="shared" si="58"/>
        <v>12.199493827160493</v>
      </c>
      <c r="BE303">
        <f t="shared" si="59"/>
        <v>16.779549794691356</v>
      </c>
    </row>
    <row r="304" spans="6:57" x14ac:dyDescent="0.25">
      <c r="F304" s="9"/>
      <c r="G304" s="21">
        <v>0.34957899999999997</v>
      </c>
      <c r="H304" s="21">
        <v>7.9971899999999998</v>
      </c>
      <c r="I304" s="21">
        <v>-1.3382E-2</v>
      </c>
      <c r="J304" s="21">
        <v>294</v>
      </c>
      <c r="K304" s="21">
        <v>0.34893800000000003</v>
      </c>
      <c r="L304">
        <f t="shared" si="48"/>
        <v>16.520987654320987</v>
      </c>
      <c r="M304">
        <f t="shared" si="49"/>
        <v>5.7753903432098754</v>
      </c>
      <c r="N304" s="9"/>
      <c r="O304" s="21">
        <v>1.38046</v>
      </c>
      <c r="P304" s="21">
        <v>11.876799999999999</v>
      </c>
      <c r="Q304" s="21">
        <v>-1.0269199999999999E-2</v>
      </c>
      <c r="R304" s="21">
        <v>294</v>
      </c>
      <c r="S304" s="21">
        <v>1.3796999999999999</v>
      </c>
      <c r="T304">
        <f t="shared" si="50"/>
        <v>12.678024691358022</v>
      </c>
      <c r="U304">
        <f t="shared" si="51"/>
        <v>17.501505965432095</v>
      </c>
      <c r="X304" s="9"/>
      <c r="Y304" s="21">
        <v>0.34957899999999997</v>
      </c>
      <c r="Z304" s="21">
        <v>17.450399999999998</v>
      </c>
      <c r="AA304" s="21">
        <v>-1.3153099999999999E-2</v>
      </c>
      <c r="AB304" s="21">
        <v>294</v>
      </c>
      <c r="AC304" s="21">
        <v>0.34905999999999998</v>
      </c>
      <c r="AD304">
        <f t="shared" si="52"/>
        <v>16.238395061728394</v>
      </c>
      <c r="AE304">
        <f t="shared" si="53"/>
        <v>5.67660190728395</v>
      </c>
      <c r="AF304" s="9"/>
      <c r="AG304" s="21">
        <v>1.38046</v>
      </c>
      <c r="AH304" s="21">
        <v>21.33</v>
      </c>
      <c r="AI304" s="21">
        <v>-9.9517800000000003E-3</v>
      </c>
      <c r="AJ304" s="21">
        <v>294</v>
      </c>
      <c r="AK304" s="21">
        <v>1.3793899999999999</v>
      </c>
      <c r="AL304">
        <f t="shared" si="54"/>
        <v>12.286148148148149</v>
      </c>
      <c r="AM304">
        <f t="shared" si="55"/>
        <v>16.960536072592593</v>
      </c>
      <c r="AP304" s="9"/>
      <c r="AQ304" s="21">
        <v>0.34957899999999997</v>
      </c>
      <c r="AR304" s="21">
        <v>26.948599999999999</v>
      </c>
      <c r="AS304" s="21">
        <v>-1.31653E-2</v>
      </c>
      <c r="AT304" s="21">
        <v>294</v>
      </c>
      <c r="AU304" s="21">
        <v>0.34893800000000003</v>
      </c>
      <c r="AV304">
        <f t="shared" si="56"/>
        <v>16.253456790123455</v>
      </c>
      <c r="AW304">
        <f t="shared" si="57"/>
        <v>5.6818671712345665</v>
      </c>
      <c r="AX304" s="9"/>
      <c r="AY304" s="21">
        <v>1.38046</v>
      </c>
      <c r="AZ304" s="21">
        <v>30.828199999999999</v>
      </c>
      <c r="BA304" s="21">
        <v>-9.8297100000000002E-3</v>
      </c>
      <c r="BB304" s="21">
        <v>294</v>
      </c>
      <c r="BC304" s="21">
        <v>1.3796999999999999</v>
      </c>
      <c r="BD304">
        <f t="shared" si="58"/>
        <v>12.135444444444444</v>
      </c>
      <c r="BE304">
        <f t="shared" si="59"/>
        <v>16.752495637777777</v>
      </c>
    </row>
    <row r="305" spans="6:57" x14ac:dyDescent="0.25">
      <c r="F305" s="9"/>
      <c r="G305" s="21">
        <v>0.34454299999999999</v>
      </c>
      <c r="H305" s="21">
        <v>8.0072600000000005</v>
      </c>
      <c r="I305" s="21">
        <v>-1.33881E-2</v>
      </c>
      <c r="J305" s="21">
        <v>295</v>
      </c>
      <c r="K305" s="21">
        <v>0.34396399999999999</v>
      </c>
      <c r="L305">
        <f t="shared" si="48"/>
        <v>16.528518518518517</v>
      </c>
      <c r="M305">
        <f t="shared" si="49"/>
        <v>5.6947853559259256</v>
      </c>
      <c r="N305" s="9"/>
      <c r="O305" s="21">
        <v>1.3855</v>
      </c>
      <c r="P305" s="21">
        <v>11.886900000000001</v>
      </c>
      <c r="Q305" s="21">
        <v>-1.02203E-2</v>
      </c>
      <c r="R305" s="21">
        <v>295</v>
      </c>
      <c r="S305" s="21">
        <v>1.38428</v>
      </c>
      <c r="T305">
        <f t="shared" si="50"/>
        <v>12.617654320987654</v>
      </c>
      <c r="U305">
        <f t="shared" si="51"/>
        <v>17.481760061728394</v>
      </c>
      <c r="X305" s="9"/>
      <c r="Y305" s="21">
        <v>0.34454299999999999</v>
      </c>
      <c r="Z305" s="21">
        <v>17.4604</v>
      </c>
      <c r="AA305" s="21">
        <v>-1.31714E-2</v>
      </c>
      <c r="AB305" s="21">
        <v>295</v>
      </c>
      <c r="AC305" s="21">
        <v>0.34390300000000001</v>
      </c>
      <c r="AD305">
        <f t="shared" si="52"/>
        <v>16.260987654320989</v>
      </c>
      <c r="AE305">
        <f t="shared" si="53"/>
        <v>5.602609469382716</v>
      </c>
      <c r="AF305" s="9"/>
      <c r="AG305" s="21">
        <v>1.3855</v>
      </c>
      <c r="AH305" s="21">
        <v>21.3401</v>
      </c>
      <c r="AI305" s="21">
        <v>-9.9029500000000006E-3</v>
      </c>
      <c r="AJ305" s="21">
        <v>295</v>
      </c>
      <c r="AK305" s="21">
        <v>1.3845799999999999</v>
      </c>
      <c r="AL305">
        <f t="shared" si="54"/>
        <v>12.225864197530864</v>
      </c>
      <c r="AM305">
        <f t="shared" si="55"/>
        <v>16.938934845679011</v>
      </c>
      <c r="AP305" s="9"/>
      <c r="AQ305" s="21">
        <v>0.34454299999999999</v>
      </c>
      <c r="AR305" s="21">
        <v>26.9587</v>
      </c>
      <c r="AS305" s="21">
        <v>-1.3174399999999999E-2</v>
      </c>
      <c r="AT305" s="21">
        <v>295</v>
      </c>
      <c r="AU305" s="21">
        <v>0.34387200000000001</v>
      </c>
      <c r="AV305">
        <f t="shared" si="56"/>
        <v>16.264691358024692</v>
      </c>
      <c r="AW305">
        <f t="shared" si="57"/>
        <v>5.6038855545679009</v>
      </c>
      <c r="AX305" s="9"/>
      <c r="AY305" s="21">
        <v>1.3855</v>
      </c>
      <c r="AZ305" s="21">
        <v>30.8383</v>
      </c>
      <c r="BA305" s="21">
        <v>-9.7869900000000006E-3</v>
      </c>
      <c r="BB305" s="21">
        <v>295</v>
      </c>
      <c r="BC305" s="21">
        <v>1.3845799999999999</v>
      </c>
      <c r="BD305">
        <f t="shared" si="58"/>
        <v>12.082703703703704</v>
      </c>
      <c r="BE305">
        <f t="shared" si="59"/>
        <v>16.74058598148148</v>
      </c>
    </row>
    <row r="306" spans="6:57" x14ac:dyDescent="0.25">
      <c r="F306" s="9"/>
      <c r="G306" s="21">
        <v>0.33950799999999998</v>
      </c>
      <c r="H306" s="21">
        <v>8.0173299999999994</v>
      </c>
      <c r="I306" s="21">
        <v>-1.33942E-2</v>
      </c>
      <c r="J306" s="21">
        <v>296</v>
      </c>
      <c r="K306" s="21">
        <v>0.33895900000000001</v>
      </c>
      <c r="L306">
        <f t="shared" si="48"/>
        <v>16.536049382716048</v>
      </c>
      <c r="M306">
        <f t="shared" si="49"/>
        <v>5.6141210538271595</v>
      </c>
      <c r="N306" s="9"/>
      <c r="O306" s="21">
        <v>1.39053</v>
      </c>
      <c r="P306" s="21">
        <v>11.8969</v>
      </c>
      <c r="Q306" s="21">
        <v>-1.01776E-2</v>
      </c>
      <c r="R306" s="21">
        <v>296</v>
      </c>
      <c r="S306" s="21">
        <v>1.3888499999999999</v>
      </c>
      <c r="T306">
        <f t="shared" si="50"/>
        <v>12.564938271604937</v>
      </c>
      <c r="U306">
        <f t="shared" si="51"/>
        <v>17.471923614814813</v>
      </c>
      <c r="X306" s="9"/>
      <c r="Y306" s="21">
        <v>0.33950799999999998</v>
      </c>
      <c r="Z306" s="21">
        <v>17.470500000000001</v>
      </c>
      <c r="AA306" s="21">
        <v>-1.31927E-2</v>
      </c>
      <c r="AB306" s="21">
        <v>296</v>
      </c>
      <c r="AC306" s="21">
        <v>0.33889799999999998</v>
      </c>
      <c r="AD306">
        <f t="shared" si="52"/>
        <v>16.287283950617283</v>
      </c>
      <c r="AE306">
        <f t="shared" si="53"/>
        <v>5.5296631995061718</v>
      </c>
      <c r="AF306" s="9"/>
      <c r="AG306" s="21">
        <v>1.39053</v>
      </c>
      <c r="AH306" s="21">
        <v>21.350100000000001</v>
      </c>
      <c r="AI306" s="21">
        <v>-9.85107E-3</v>
      </c>
      <c r="AJ306" s="21">
        <v>296</v>
      </c>
      <c r="AK306" s="21">
        <v>1.38947</v>
      </c>
      <c r="AL306">
        <f t="shared" si="54"/>
        <v>12.161814814814814</v>
      </c>
      <c r="AM306">
        <f t="shared" si="55"/>
        <v>16.911368354444445</v>
      </c>
      <c r="AP306" s="9"/>
      <c r="AQ306" s="21">
        <v>0.33950799999999998</v>
      </c>
      <c r="AR306" s="21">
        <v>26.968699999999998</v>
      </c>
      <c r="AS306" s="21">
        <v>-1.3174399999999999E-2</v>
      </c>
      <c r="AT306" s="21">
        <v>296</v>
      </c>
      <c r="AU306" s="21">
        <v>0.338837</v>
      </c>
      <c r="AV306">
        <f t="shared" si="56"/>
        <v>16.264691358024692</v>
      </c>
      <c r="AW306">
        <f t="shared" si="57"/>
        <v>5.5219928335802466</v>
      </c>
      <c r="AX306" s="9"/>
      <c r="AY306" s="21">
        <v>1.39053</v>
      </c>
      <c r="AZ306" s="21">
        <v>30.848400000000002</v>
      </c>
      <c r="BA306" s="21">
        <v>-9.7412100000000001E-3</v>
      </c>
      <c r="BB306" s="21">
        <v>296</v>
      </c>
      <c r="BC306" s="21">
        <v>1.38916</v>
      </c>
      <c r="BD306">
        <f t="shared" si="58"/>
        <v>12.026185185185184</v>
      </c>
      <c r="BE306">
        <f t="shared" si="59"/>
        <v>16.722771285555556</v>
      </c>
    </row>
    <row r="307" spans="6:57" x14ac:dyDescent="0.25">
      <c r="F307" s="9"/>
      <c r="G307" s="21">
        <v>0.33447300000000002</v>
      </c>
      <c r="H307" s="21">
        <v>8.0274099999999997</v>
      </c>
      <c r="I307" s="21">
        <v>-1.33972E-2</v>
      </c>
      <c r="J307" s="21">
        <v>297</v>
      </c>
      <c r="K307" s="21">
        <v>0.33395399999999997</v>
      </c>
      <c r="L307">
        <f t="shared" si="48"/>
        <v>16.539753086419751</v>
      </c>
      <c r="M307">
        <f t="shared" si="49"/>
        <v>5.5321008340740736</v>
      </c>
      <c r="N307" s="9"/>
      <c r="O307" s="21">
        <v>1.39557</v>
      </c>
      <c r="P307" s="21">
        <v>11.907</v>
      </c>
      <c r="Q307" s="21">
        <v>-1.0144E-2</v>
      </c>
      <c r="R307" s="21">
        <v>297</v>
      </c>
      <c r="S307" s="21">
        <v>1.3946499999999999</v>
      </c>
      <c r="T307">
        <f t="shared" si="50"/>
        <v>12.523456790123456</v>
      </c>
      <c r="U307">
        <f t="shared" si="51"/>
        <v>17.477360592592593</v>
      </c>
      <c r="X307" s="9"/>
      <c r="Y307" s="21">
        <v>0.33447300000000002</v>
      </c>
      <c r="Z307" s="21">
        <v>17.480599999999999</v>
      </c>
      <c r="AA307" s="21">
        <v>-1.3201900000000001E-2</v>
      </c>
      <c r="AB307" s="21">
        <v>297</v>
      </c>
      <c r="AC307" s="21">
        <v>0.333893</v>
      </c>
      <c r="AD307">
        <f t="shared" si="52"/>
        <v>16.298641975308641</v>
      </c>
      <c r="AE307">
        <f t="shared" si="53"/>
        <v>5.4514556774074077</v>
      </c>
      <c r="AF307" s="9"/>
      <c r="AG307" s="21">
        <v>1.39557</v>
      </c>
      <c r="AH307" s="21">
        <v>21.360199999999999</v>
      </c>
      <c r="AI307" s="21">
        <v>-9.7991899999999993E-3</v>
      </c>
      <c r="AJ307" s="21">
        <v>297</v>
      </c>
      <c r="AK307" s="21">
        <v>1.3946499999999999</v>
      </c>
      <c r="AL307">
        <f t="shared" si="54"/>
        <v>12.097765432098763</v>
      </c>
      <c r="AM307">
        <f t="shared" si="55"/>
        <v>16.88327850407407</v>
      </c>
      <c r="AP307" s="9"/>
      <c r="AQ307" s="21">
        <v>0.33447300000000002</v>
      </c>
      <c r="AR307" s="21">
        <v>26.9788</v>
      </c>
      <c r="AS307" s="21">
        <v>-1.31836E-2</v>
      </c>
      <c r="AT307" s="21">
        <v>297</v>
      </c>
      <c r="AU307" s="21">
        <v>0.33383200000000002</v>
      </c>
      <c r="AV307">
        <f t="shared" si="56"/>
        <v>16.276049382716046</v>
      </c>
      <c r="AW307">
        <f t="shared" si="57"/>
        <v>5.4438990651851844</v>
      </c>
      <c r="AX307" s="9"/>
      <c r="AY307" s="21">
        <v>1.39557</v>
      </c>
      <c r="AZ307" s="21">
        <v>30.8584</v>
      </c>
      <c r="BA307" s="21">
        <v>-9.7045900000000008E-3</v>
      </c>
      <c r="BB307" s="21">
        <v>297</v>
      </c>
      <c r="BC307" s="21">
        <v>1.3952599999999999</v>
      </c>
      <c r="BD307">
        <f t="shared" si="58"/>
        <v>11.980975308641977</v>
      </c>
      <c r="BE307">
        <f t="shared" si="59"/>
        <v>16.720289711481485</v>
      </c>
    </row>
    <row r="308" spans="6:57" x14ac:dyDescent="0.25">
      <c r="F308" s="9"/>
      <c r="G308" s="21">
        <v>0.32943699999999998</v>
      </c>
      <c r="H308" s="21">
        <v>8.0374800000000004</v>
      </c>
      <c r="I308" s="21">
        <v>-1.3406400000000001E-2</v>
      </c>
      <c r="J308" s="21">
        <v>298</v>
      </c>
      <c r="K308" s="21">
        <v>0.32885700000000001</v>
      </c>
      <c r="L308">
        <f t="shared" si="48"/>
        <v>16.551111111111108</v>
      </c>
      <c r="M308">
        <f t="shared" si="49"/>
        <v>5.4525483911111099</v>
      </c>
      <c r="N308" s="9"/>
      <c r="O308" s="21">
        <v>1.4006000000000001</v>
      </c>
      <c r="P308" s="21">
        <v>11.9171</v>
      </c>
      <c r="Q308" s="21">
        <v>-1.0098299999999999E-2</v>
      </c>
      <c r="R308" s="21">
        <v>298</v>
      </c>
      <c r="S308" s="21">
        <v>1.39954</v>
      </c>
      <c r="T308">
        <f t="shared" si="50"/>
        <v>12.467037037037036</v>
      </c>
      <c r="U308">
        <f t="shared" si="51"/>
        <v>17.461332074074072</v>
      </c>
      <c r="X308" s="9"/>
      <c r="Y308" s="21">
        <v>0.32943699999999998</v>
      </c>
      <c r="Z308" s="21">
        <v>17.4907</v>
      </c>
      <c r="AA308" s="21">
        <v>-1.3201900000000001E-2</v>
      </c>
      <c r="AB308" s="21">
        <v>298</v>
      </c>
      <c r="AC308" s="21">
        <v>0.328766</v>
      </c>
      <c r="AD308">
        <f t="shared" si="52"/>
        <v>16.298641975308641</v>
      </c>
      <c r="AE308">
        <f t="shared" si="53"/>
        <v>5.3693757164197526</v>
      </c>
      <c r="AF308" s="9"/>
      <c r="AG308" s="21">
        <v>1.4006000000000001</v>
      </c>
      <c r="AH308" s="21">
        <v>21.3703</v>
      </c>
      <c r="AI308" s="21">
        <v>-9.7503699999999995E-3</v>
      </c>
      <c r="AJ308" s="21">
        <v>298</v>
      </c>
      <c r="AK308" s="21">
        <v>1.40015</v>
      </c>
      <c r="AL308">
        <f t="shared" si="54"/>
        <v>12.037493827160493</v>
      </c>
      <c r="AM308">
        <f t="shared" si="55"/>
        <v>16.859713854320987</v>
      </c>
      <c r="AP308" s="9"/>
      <c r="AQ308" s="21">
        <v>0.32943699999999998</v>
      </c>
      <c r="AR308" s="21">
        <v>26.988900000000001</v>
      </c>
      <c r="AS308" s="21">
        <v>-1.31927E-2</v>
      </c>
      <c r="AT308" s="21">
        <v>298</v>
      </c>
      <c r="AU308" s="21">
        <v>0.32882699999999998</v>
      </c>
      <c r="AV308">
        <f t="shared" si="56"/>
        <v>16.287283950617283</v>
      </c>
      <c r="AW308">
        <f t="shared" si="57"/>
        <v>5.3656339628395058</v>
      </c>
      <c r="AX308" s="9"/>
      <c r="AY308" s="21">
        <v>1.4006000000000001</v>
      </c>
      <c r="AZ308" s="21">
        <v>30.868500000000001</v>
      </c>
      <c r="BA308" s="21">
        <v>-9.6588100000000003E-3</v>
      </c>
      <c r="BB308" s="21">
        <v>298</v>
      </c>
      <c r="BC308" s="21">
        <v>1.40015</v>
      </c>
      <c r="BD308">
        <f t="shared" si="58"/>
        <v>11.924456790123456</v>
      </c>
      <c r="BE308">
        <f t="shared" si="59"/>
        <v>16.701394180246911</v>
      </c>
    </row>
    <row r="309" spans="6:57" x14ac:dyDescent="0.25">
      <c r="F309" s="9"/>
      <c r="G309" s="21">
        <v>0.32440200000000002</v>
      </c>
      <c r="H309" s="21">
        <v>8.0475499999999993</v>
      </c>
      <c r="I309" s="21">
        <v>-1.3406400000000001E-2</v>
      </c>
      <c r="J309" s="21">
        <v>299</v>
      </c>
      <c r="K309" s="21">
        <v>0.32373000000000002</v>
      </c>
      <c r="L309">
        <f t="shared" si="48"/>
        <v>16.551111111111108</v>
      </c>
      <c r="M309">
        <f t="shared" si="49"/>
        <v>5.3692135466666659</v>
      </c>
      <c r="N309" s="9"/>
      <c r="O309" s="21">
        <v>1.40564</v>
      </c>
      <c r="P309" s="21">
        <v>11.927199999999999</v>
      </c>
      <c r="Q309" s="21">
        <v>-1.00494E-2</v>
      </c>
      <c r="R309" s="21">
        <v>299</v>
      </c>
      <c r="S309" s="21">
        <v>1.40442</v>
      </c>
      <c r="T309">
        <f t="shared" si="50"/>
        <v>12.406666666666666</v>
      </c>
      <c r="U309">
        <f t="shared" si="51"/>
        <v>17.439306933333334</v>
      </c>
      <c r="X309" s="9"/>
      <c r="Y309" s="21">
        <v>0.32440200000000002</v>
      </c>
      <c r="Z309" s="21">
        <v>17.500699999999998</v>
      </c>
      <c r="AA309" s="21">
        <v>-1.31989E-2</v>
      </c>
      <c r="AB309" s="21">
        <v>299</v>
      </c>
      <c r="AC309" s="21">
        <v>0.32376100000000002</v>
      </c>
      <c r="AD309">
        <f t="shared" si="52"/>
        <v>16.294938271604938</v>
      </c>
      <c r="AE309">
        <f t="shared" si="53"/>
        <v>5.2861105651851856</v>
      </c>
      <c r="AF309" s="9"/>
      <c r="AG309" s="21">
        <v>1.40564</v>
      </c>
      <c r="AH309" s="21">
        <v>21.380299999999998</v>
      </c>
      <c r="AI309" s="21">
        <v>-9.6984900000000006E-3</v>
      </c>
      <c r="AJ309" s="21">
        <v>299</v>
      </c>
      <c r="AK309" s="21">
        <v>1.40442</v>
      </c>
      <c r="AL309">
        <f t="shared" si="54"/>
        <v>11.973444444444445</v>
      </c>
      <c r="AM309">
        <f t="shared" si="55"/>
        <v>16.830352448888888</v>
      </c>
      <c r="AP309" s="9"/>
      <c r="AQ309" s="21">
        <v>0.32440200000000002</v>
      </c>
      <c r="AR309" s="21">
        <v>26.998999999999999</v>
      </c>
      <c r="AS309" s="21">
        <v>-1.3201900000000001E-2</v>
      </c>
      <c r="AT309" s="21">
        <v>299</v>
      </c>
      <c r="AU309" s="21">
        <v>0.32373000000000002</v>
      </c>
      <c r="AV309">
        <f t="shared" si="56"/>
        <v>16.298641975308641</v>
      </c>
      <c r="AW309">
        <f t="shared" si="57"/>
        <v>5.2873120540740741</v>
      </c>
      <c r="AX309" s="9"/>
      <c r="AY309" s="21">
        <v>1.40564</v>
      </c>
      <c r="AZ309" s="21">
        <v>30.878599999999999</v>
      </c>
      <c r="BA309" s="21">
        <v>-9.6099900000000005E-3</v>
      </c>
      <c r="BB309" s="21">
        <v>299</v>
      </c>
      <c r="BC309" s="21">
        <v>1.40564</v>
      </c>
      <c r="BD309">
        <f t="shared" si="58"/>
        <v>11.864185185185185</v>
      </c>
      <c r="BE309">
        <f t="shared" si="59"/>
        <v>16.676773263703705</v>
      </c>
    </row>
    <row r="310" spans="6:57" x14ac:dyDescent="0.25">
      <c r="F310" s="9"/>
      <c r="G310" s="21">
        <v>0.31936599999999998</v>
      </c>
      <c r="H310" s="21">
        <v>8.05762</v>
      </c>
      <c r="I310" s="21">
        <v>-1.34155E-2</v>
      </c>
      <c r="J310" s="21">
        <v>300</v>
      </c>
      <c r="K310" s="21">
        <v>0.31875599999999998</v>
      </c>
      <c r="L310">
        <f t="shared" si="48"/>
        <v>16.562345679012346</v>
      </c>
      <c r="M310">
        <f t="shared" si="49"/>
        <v>5.2894500901234567</v>
      </c>
      <c r="N310" s="9"/>
      <c r="O310" s="21">
        <v>1.4106799999999999</v>
      </c>
      <c r="P310" s="21">
        <v>11.937200000000001</v>
      </c>
      <c r="Q310" s="21">
        <v>-9.9975600000000008E-3</v>
      </c>
      <c r="R310" s="21">
        <v>300</v>
      </c>
      <c r="S310" s="21">
        <v>1.41022</v>
      </c>
      <c r="T310">
        <f t="shared" si="50"/>
        <v>12.342666666666666</v>
      </c>
      <c r="U310">
        <f t="shared" si="51"/>
        <v>17.411553013333332</v>
      </c>
      <c r="X310" s="9"/>
      <c r="Y310" s="21">
        <v>0.31936599999999998</v>
      </c>
      <c r="Z310" s="21">
        <v>17.5108</v>
      </c>
      <c r="AA310" s="21">
        <v>-1.31866E-2</v>
      </c>
      <c r="AB310" s="21">
        <v>300</v>
      </c>
      <c r="AC310" s="21">
        <v>0.31881700000000002</v>
      </c>
      <c r="AD310">
        <f t="shared" si="52"/>
        <v>16.279753086419749</v>
      </c>
      <c r="AE310">
        <f t="shared" si="53"/>
        <v>5.1991996241975293</v>
      </c>
      <c r="AF310" s="9"/>
      <c r="AG310" s="21">
        <v>1.4106799999999999</v>
      </c>
      <c r="AH310" s="21">
        <v>21.3904</v>
      </c>
      <c r="AI310" s="21">
        <v>-9.6557599999999993E-3</v>
      </c>
      <c r="AJ310" s="21">
        <v>300</v>
      </c>
      <c r="AK310" s="21">
        <v>1.40991</v>
      </c>
      <c r="AL310">
        <f t="shared" si="54"/>
        <v>11.92069135802469</v>
      </c>
      <c r="AM310">
        <f t="shared" si="55"/>
        <v>16.816280884938269</v>
      </c>
      <c r="AP310" s="9"/>
      <c r="AQ310" s="21">
        <v>0.31936599999999998</v>
      </c>
      <c r="AR310" s="21">
        <v>27.009</v>
      </c>
      <c r="AS310" s="21">
        <v>-1.31897E-2</v>
      </c>
      <c r="AT310" s="21">
        <v>300</v>
      </c>
      <c r="AU310" s="21">
        <v>0.31872600000000001</v>
      </c>
      <c r="AV310">
        <f t="shared" si="56"/>
        <v>16.28358024691358</v>
      </c>
      <c r="AW310">
        <f t="shared" si="57"/>
        <v>5.2004218891358018</v>
      </c>
      <c r="AX310" s="9"/>
      <c r="AY310" s="21">
        <v>1.4106799999999999</v>
      </c>
      <c r="AZ310" s="21">
        <v>30.8886</v>
      </c>
      <c r="BA310" s="21">
        <v>-9.5550500000000007E-3</v>
      </c>
      <c r="BB310" s="21">
        <v>300</v>
      </c>
      <c r="BC310" s="21">
        <v>1.41022</v>
      </c>
      <c r="BD310">
        <f t="shared" si="58"/>
        <v>11.796358024691358</v>
      </c>
      <c r="BE310">
        <f t="shared" si="59"/>
        <v>16.640886338271603</v>
      </c>
    </row>
    <row r="311" spans="6:57" x14ac:dyDescent="0.25">
      <c r="F311" s="9"/>
      <c r="G311" s="21">
        <v>0.31433100000000003</v>
      </c>
      <c r="H311" s="21">
        <v>8.0676900000000007</v>
      </c>
      <c r="I311" s="21">
        <v>-1.3412500000000001E-2</v>
      </c>
      <c r="J311" s="21">
        <v>301</v>
      </c>
      <c r="K311" s="21">
        <v>0.313751</v>
      </c>
      <c r="L311">
        <f t="shared" si="48"/>
        <v>16.558641975308642</v>
      </c>
      <c r="M311">
        <f t="shared" si="49"/>
        <v>5.2048944907407417</v>
      </c>
      <c r="N311" s="9"/>
      <c r="O311" s="21">
        <v>1.41571</v>
      </c>
      <c r="P311" s="21">
        <v>11.9473</v>
      </c>
      <c r="Q311" s="21">
        <v>-9.9517800000000003E-3</v>
      </c>
      <c r="R311" s="21">
        <v>301</v>
      </c>
      <c r="S311" s="21">
        <v>1.41479</v>
      </c>
      <c r="T311">
        <f t="shared" si="50"/>
        <v>12.286148148148149</v>
      </c>
      <c r="U311">
        <f t="shared" si="51"/>
        <v>17.393622794814817</v>
      </c>
      <c r="X311" s="9"/>
      <c r="Y311" s="21">
        <v>0.31433100000000003</v>
      </c>
      <c r="Z311" s="21">
        <v>17.520900000000001</v>
      </c>
      <c r="AA311" s="21">
        <v>-1.31836E-2</v>
      </c>
      <c r="AB311" s="21">
        <v>301</v>
      </c>
      <c r="AC311" s="21">
        <v>0.31372100000000003</v>
      </c>
      <c r="AD311">
        <f t="shared" si="52"/>
        <v>16.276049382716046</v>
      </c>
      <c r="AE311">
        <f t="shared" si="53"/>
        <v>5.1160668785185175</v>
      </c>
      <c r="AF311" s="9"/>
      <c r="AG311" s="21">
        <v>1.41571</v>
      </c>
      <c r="AH311" s="21">
        <v>21.400500000000001</v>
      </c>
      <c r="AI311" s="21">
        <v>-9.6008299999999994E-3</v>
      </c>
      <c r="AJ311" s="21">
        <v>301</v>
      </c>
      <c r="AK311" s="21">
        <v>1.4151</v>
      </c>
      <c r="AL311">
        <f t="shared" si="54"/>
        <v>11.852876543209875</v>
      </c>
      <c r="AM311">
        <f t="shared" si="55"/>
        <v>16.780235850987655</v>
      </c>
      <c r="AP311" s="9"/>
      <c r="AQ311" s="21">
        <v>0.31433100000000003</v>
      </c>
      <c r="AR311" s="21">
        <v>27.019100000000002</v>
      </c>
      <c r="AS311" s="21">
        <v>-1.3174399999999999E-2</v>
      </c>
      <c r="AT311" s="21">
        <v>301</v>
      </c>
      <c r="AU311" s="21">
        <v>0.31365999999999999</v>
      </c>
      <c r="AV311">
        <f t="shared" si="56"/>
        <v>16.264691358024692</v>
      </c>
      <c r="AW311">
        <f t="shared" si="57"/>
        <v>5.1124966992592595</v>
      </c>
      <c r="AX311" s="9"/>
      <c r="AY311" s="21">
        <v>1.41571</v>
      </c>
      <c r="AZ311" s="21">
        <v>30.898700000000002</v>
      </c>
      <c r="BA311" s="21">
        <v>-9.50317E-3</v>
      </c>
      <c r="BB311" s="21">
        <v>301</v>
      </c>
      <c r="BC311" s="21">
        <v>1.4151</v>
      </c>
      <c r="BD311">
        <f t="shared" si="58"/>
        <v>11.732308641975308</v>
      </c>
      <c r="BE311">
        <f t="shared" si="59"/>
        <v>16.609546667530864</v>
      </c>
    </row>
    <row r="312" spans="6:57" x14ac:dyDescent="0.25">
      <c r="F312" s="9"/>
      <c r="G312" s="21">
        <v>0.30929600000000002</v>
      </c>
      <c r="H312" s="21">
        <v>8.0777599999999996</v>
      </c>
      <c r="I312" s="21">
        <v>-1.34094E-2</v>
      </c>
      <c r="J312" s="21">
        <v>302</v>
      </c>
      <c r="K312" s="21">
        <v>0.30874600000000002</v>
      </c>
      <c r="L312">
        <f t="shared" si="48"/>
        <v>16.554814814814815</v>
      </c>
      <c r="M312">
        <f t="shared" si="49"/>
        <v>5.1203380029629635</v>
      </c>
      <c r="N312" s="9"/>
      <c r="O312" s="21">
        <v>1.42075</v>
      </c>
      <c r="P312" s="21">
        <v>11.9574</v>
      </c>
      <c r="Q312" s="21">
        <v>-9.8968500000000004E-3</v>
      </c>
      <c r="R312" s="21">
        <v>302</v>
      </c>
      <c r="S312" s="21">
        <v>1.42059</v>
      </c>
      <c r="T312">
        <f t="shared" si="50"/>
        <v>12.218333333333332</v>
      </c>
      <c r="U312">
        <f t="shared" si="51"/>
        <v>17.359197083333331</v>
      </c>
      <c r="X312" s="9"/>
      <c r="Y312" s="21">
        <v>0.30929600000000002</v>
      </c>
      <c r="Z312" s="21">
        <v>17.530899999999999</v>
      </c>
      <c r="AA312" s="21">
        <v>-1.31775E-2</v>
      </c>
      <c r="AB312" s="21">
        <v>302</v>
      </c>
      <c r="AC312" s="21">
        <v>0.30874600000000002</v>
      </c>
      <c r="AD312">
        <f t="shared" si="52"/>
        <v>16.268518518518519</v>
      </c>
      <c r="AE312">
        <f t="shared" si="53"/>
        <v>5.0317877037037038</v>
      </c>
      <c r="AF312" s="9"/>
      <c r="AG312" s="21">
        <v>1.42075</v>
      </c>
      <c r="AH312" s="21">
        <v>21.410599999999999</v>
      </c>
      <c r="AI312" s="21">
        <v>-9.5489500000000005E-3</v>
      </c>
      <c r="AJ312" s="21">
        <v>302</v>
      </c>
      <c r="AK312" s="21">
        <v>1.4202900000000001</v>
      </c>
      <c r="AL312">
        <f t="shared" si="54"/>
        <v>11.788827160493826</v>
      </c>
      <c r="AM312">
        <f t="shared" si="55"/>
        <v>16.748976188271602</v>
      </c>
      <c r="AP312" s="9"/>
      <c r="AQ312" s="21">
        <v>0.30929600000000002</v>
      </c>
      <c r="AR312" s="21">
        <v>27.029199999999999</v>
      </c>
      <c r="AS312" s="21">
        <v>-1.31714E-2</v>
      </c>
      <c r="AT312" s="21">
        <v>302</v>
      </c>
      <c r="AU312" s="21">
        <v>0.30865500000000001</v>
      </c>
      <c r="AV312">
        <f t="shared" si="56"/>
        <v>16.260987654320989</v>
      </c>
      <c r="AW312">
        <f t="shared" si="57"/>
        <v>5.0294584375308649</v>
      </c>
      <c r="AX312" s="9"/>
      <c r="AY312" s="21">
        <v>1.42075</v>
      </c>
      <c r="AZ312" s="21">
        <v>30.908799999999999</v>
      </c>
      <c r="BA312" s="21">
        <v>-9.4390900000000007E-3</v>
      </c>
      <c r="BB312" s="21">
        <v>302</v>
      </c>
      <c r="BC312" s="21">
        <v>1.4202900000000001</v>
      </c>
      <c r="BD312">
        <f t="shared" si="58"/>
        <v>11.653197530864198</v>
      </c>
      <c r="BE312">
        <f t="shared" si="59"/>
        <v>16.556280391975307</v>
      </c>
    </row>
    <row r="313" spans="6:57" x14ac:dyDescent="0.25">
      <c r="F313" s="9"/>
      <c r="G313" s="21">
        <v>0.30425999999999997</v>
      </c>
      <c r="H313" s="21">
        <v>8.0878300000000003</v>
      </c>
      <c r="I313" s="21">
        <v>-1.3412500000000001E-2</v>
      </c>
      <c r="J313" s="21">
        <v>303</v>
      </c>
      <c r="K313" s="21">
        <v>0.30361900000000003</v>
      </c>
      <c r="L313">
        <f t="shared" si="48"/>
        <v>16.558641975308642</v>
      </c>
      <c r="M313">
        <f t="shared" si="49"/>
        <v>5.0381324074074074</v>
      </c>
      <c r="N313" s="9"/>
      <c r="O313" s="21">
        <v>1.42578</v>
      </c>
      <c r="P313" s="21">
        <v>11.9674</v>
      </c>
      <c r="Q313" s="21">
        <v>-9.8358200000000003E-3</v>
      </c>
      <c r="R313" s="21">
        <v>303</v>
      </c>
      <c r="S313" s="21">
        <v>1.42456</v>
      </c>
      <c r="T313">
        <f t="shared" si="50"/>
        <v>12.142987654320986</v>
      </c>
      <c r="U313">
        <f t="shared" si="51"/>
        <v>17.313228937777776</v>
      </c>
      <c r="X313" s="9"/>
      <c r="Y313" s="21">
        <v>0.30425999999999997</v>
      </c>
      <c r="Z313" s="21">
        <v>17.541</v>
      </c>
      <c r="AA313" s="21">
        <v>-1.3174399999999999E-2</v>
      </c>
      <c r="AB313" s="21">
        <v>303</v>
      </c>
      <c r="AC313" s="21">
        <v>0.30361900000000003</v>
      </c>
      <c r="AD313">
        <f t="shared" si="52"/>
        <v>16.264691358024692</v>
      </c>
      <c r="AE313">
        <f t="shared" si="53"/>
        <v>4.9486949925925927</v>
      </c>
      <c r="AF313" s="9"/>
      <c r="AG313" s="21">
        <v>1.42578</v>
      </c>
      <c r="AH313" s="21">
        <v>21.4206</v>
      </c>
      <c r="AI313" s="21">
        <v>-9.5001200000000008E-3</v>
      </c>
      <c r="AJ313" s="21">
        <v>303</v>
      </c>
      <c r="AK313" s="21">
        <v>1.42517</v>
      </c>
      <c r="AL313">
        <f t="shared" si="54"/>
        <v>11.728543209876545</v>
      </c>
      <c r="AM313">
        <f t="shared" si="55"/>
        <v>16.722322337777779</v>
      </c>
      <c r="AP313" s="9"/>
      <c r="AQ313" s="21">
        <v>0.30425999999999997</v>
      </c>
      <c r="AR313" s="21">
        <v>27.039200000000001</v>
      </c>
      <c r="AS313" s="21">
        <v>-1.31714E-2</v>
      </c>
      <c r="AT313" s="21">
        <v>303</v>
      </c>
      <c r="AU313" s="21">
        <v>0.30361900000000003</v>
      </c>
      <c r="AV313">
        <f t="shared" si="56"/>
        <v>16.260987654320989</v>
      </c>
      <c r="AW313">
        <f t="shared" si="57"/>
        <v>4.9475681037037038</v>
      </c>
      <c r="AX313" s="9"/>
      <c r="AY313" s="21">
        <v>1.42578</v>
      </c>
      <c r="AZ313" s="21">
        <v>30.918900000000001</v>
      </c>
      <c r="BA313" s="21">
        <v>-9.3841600000000008E-3</v>
      </c>
      <c r="BB313" s="21">
        <v>303</v>
      </c>
      <c r="BC313" s="21">
        <v>1.4248700000000001</v>
      </c>
      <c r="BD313">
        <f t="shared" si="58"/>
        <v>11.585382716049383</v>
      </c>
      <c r="BE313">
        <f t="shared" si="59"/>
        <v>16.51820696888889</v>
      </c>
    </row>
    <row r="314" spans="6:57" x14ac:dyDescent="0.25">
      <c r="F314" s="9"/>
      <c r="G314" s="21">
        <v>0.29922500000000002</v>
      </c>
      <c r="H314" s="21">
        <v>8.0978999999999992</v>
      </c>
      <c r="I314" s="21">
        <v>-1.3418599999999999E-2</v>
      </c>
      <c r="J314" s="21">
        <v>304</v>
      </c>
      <c r="K314" s="21">
        <v>0.29864499999999999</v>
      </c>
      <c r="L314">
        <f t="shared" si="48"/>
        <v>16.566172839506169</v>
      </c>
      <c r="M314">
        <f t="shared" si="49"/>
        <v>4.9570130679012339</v>
      </c>
      <c r="N314" s="9"/>
      <c r="O314" s="21">
        <v>1.43082</v>
      </c>
      <c r="P314" s="21">
        <v>11.977499999999999</v>
      </c>
      <c r="Q314" s="21">
        <v>-9.7778299999999995E-3</v>
      </c>
      <c r="R314" s="21">
        <v>304</v>
      </c>
      <c r="S314" s="21">
        <v>1.43005</v>
      </c>
      <c r="T314">
        <f t="shared" si="50"/>
        <v>12.071395061728394</v>
      </c>
      <c r="U314">
        <f t="shared" si="51"/>
        <v>17.271993482222221</v>
      </c>
      <c r="X314" s="9"/>
      <c r="Y314" s="21">
        <v>0.29922500000000002</v>
      </c>
      <c r="Z314" s="21">
        <v>17.551100000000002</v>
      </c>
      <c r="AA314" s="21">
        <v>-1.3174399999999999E-2</v>
      </c>
      <c r="AB314" s="21">
        <v>304</v>
      </c>
      <c r="AC314" s="21">
        <v>0.29861500000000002</v>
      </c>
      <c r="AD314">
        <f t="shared" si="52"/>
        <v>16.264691358024692</v>
      </c>
      <c r="AE314">
        <f t="shared" si="53"/>
        <v>4.8668022716049384</v>
      </c>
      <c r="AF314" s="9"/>
      <c r="AG314" s="21">
        <v>1.43082</v>
      </c>
      <c r="AH314" s="21">
        <v>21.430700000000002</v>
      </c>
      <c r="AI314" s="21">
        <v>-9.4390900000000007E-3</v>
      </c>
      <c r="AJ314" s="21">
        <v>304</v>
      </c>
      <c r="AK314" s="21">
        <v>1.4303600000000001</v>
      </c>
      <c r="AL314">
        <f t="shared" si="54"/>
        <v>11.653197530864198</v>
      </c>
      <c r="AM314">
        <f t="shared" si="55"/>
        <v>16.673628091111112</v>
      </c>
      <c r="AP314" s="9"/>
      <c r="AQ314" s="21">
        <v>0.29922500000000002</v>
      </c>
      <c r="AR314" s="21">
        <v>27.049299999999999</v>
      </c>
      <c r="AS314" s="21">
        <v>-1.31805E-2</v>
      </c>
      <c r="AT314" s="21">
        <v>304</v>
      </c>
      <c r="AU314" s="21">
        <v>0.29861500000000002</v>
      </c>
      <c r="AV314">
        <f t="shared" si="56"/>
        <v>16.272222222222219</v>
      </c>
      <c r="AW314">
        <f t="shared" si="57"/>
        <v>4.8690556944444436</v>
      </c>
      <c r="AX314" s="9"/>
      <c r="AY314" s="21">
        <v>1.43082</v>
      </c>
      <c r="AZ314" s="21">
        <v>30.928899999999999</v>
      </c>
      <c r="BA314" s="21">
        <v>-9.3200699999999997E-3</v>
      </c>
      <c r="BB314" s="21">
        <v>304</v>
      </c>
      <c r="BC314" s="21">
        <v>1.4297500000000001</v>
      </c>
      <c r="BD314">
        <f t="shared" si="58"/>
        <v>11.506259259259258</v>
      </c>
      <c r="BE314">
        <f t="shared" si="59"/>
        <v>16.46338587333333</v>
      </c>
    </row>
    <row r="315" spans="6:57" x14ac:dyDescent="0.25">
      <c r="F315" s="9"/>
      <c r="G315" s="21">
        <v>0.29418899999999998</v>
      </c>
      <c r="H315" s="21">
        <v>8.1079699999999999</v>
      </c>
      <c r="I315" s="21">
        <v>-1.3424699999999999E-2</v>
      </c>
      <c r="J315" s="21">
        <v>305</v>
      </c>
      <c r="K315" s="21">
        <v>0.29360999999999998</v>
      </c>
      <c r="L315">
        <f t="shared" si="48"/>
        <v>16.5737037037037</v>
      </c>
      <c r="M315">
        <f t="shared" si="49"/>
        <v>4.8758013188888878</v>
      </c>
      <c r="N315" s="9"/>
      <c r="O315" s="21">
        <v>1.4358500000000001</v>
      </c>
      <c r="P315" s="21">
        <v>11.9876</v>
      </c>
      <c r="Q315" s="21">
        <v>-9.7106899999999993E-3</v>
      </c>
      <c r="R315" s="21">
        <v>305</v>
      </c>
      <c r="S315" s="21">
        <v>1.4355500000000001</v>
      </c>
      <c r="T315">
        <f t="shared" si="50"/>
        <v>11.988506172839504</v>
      </c>
      <c r="U315">
        <f t="shared" si="51"/>
        <v>17.213696588271603</v>
      </c>
      <c r="X315" s="9"/>
      <c r="Y315" s="21">
        <v>0.29418899999999998</v>
      </c>
      <c r="Z315" s="21">
        <v>17.561199999999999</v>
      </c>
      <c r="AA315" s="21">
        <v>-1.31775E-2</v>
      </c>
      <c r="AB315" s="21">
        <v>305</v>
      </c>
      <c r="AC315" s="21">
        <v>0.29367100000000002</v>
      </c>
      <c r="AD315">
        <f t="shared" si="52"/>
        <v>16.268518518518519</v>
      </c>
      <c r="AE315">
        <f t="shared" si="53"/>
        <v>4.7860191944444441</v>
      </c>
      <c r="AF315" s="9"/>
      <c r="AG315" s="21">
        <v>1.4358500000000001</v>
      </c>
      <c r="AH315" s="21">
        <v>21.440799999999999</v>
      </c>
      <c r="AI315" s="21">
        <v>-9.3749999999999997E-3</v>
      </c>
      <c r="AJ315" s="21">
        <v>305</v>
      </c>
      <c r="AK315" s="21">
        <v>1.4352400000000001</v>
      </c>
      <c r="AL315">
        <f t="shared" si="54"/>
        <v>11.574074074074073</v>
      </c>
      <c r="AM315">
        <f t="shared" si="55"/>
        <v>16.61863425925926</v>
      </c>
      <c r="AP315" s="9"/>
      <c r="AQ315" s="21">
        <v>0.29418899999999998</v>
      </c>
      <c r="AR315" s="21">
        <v>27.0594</v>
      </c>
      <c r="AS315" s="21">
        <v>-1.31805E-2</v>
      </c>
      <c r="AT315" s="21">
        <v>305</v>
      </c>
      <c r="AU315" s="21">
        <v>0.29357899999999998</v>
      </c>
      <c r="AV315">
        <f t="shared" si="56"/>
        <v>16.272222222222219</v>
      </c>
      <c r="AW315">
        <f t="shared" si="57"/>
        <v>4.7871087833333323</v>
      </c>
      <c r="AX315" s="9"/>
      <c r="AY315" s="21">
        <v>1.4358500000000001</v>
      </c>
      <c r="AZ315" s="21">
        <v>30.939</v>
      </c>
      <c r="BA315" s="21">
        <v>-9.2590299999999997E-3</v>
      </c>
      <c r="BB315" s="21">
        <v>305</v>
      </c>
      <c r="BC315" s="21">
        <v>1.4355500000000001</v>
      </c>
      <c r="BD315">
        <f t="shared" si="58"/>
        <v>11.4309012345679</v>
      </c>
      <c r="BE315">
        <f t="shared" si="59"/>
        <v>16.41305953765432</v>
      </c>
    </row>
    <row r="316" spans="6:57" x14ac:dyDescent="0.25">
      <c r="F316" s="9"/>
      <c r="G316" s="21">
        <v>0.28915400000000002</v>
      </c>
      <c r="H316" s="21">
        <v>8.1180400000000006</v>
      </c>
      <c r="I316" s="21">
        <v>-1.3406400000000001E-2</v>
      </c>
      <c r="J316" s="21">
        <v>306</v>
      </c>
      <c r="K316" s="21">
        <v>0.28851300000000002</v>
      </c>
      <c r="L316">
        <f t="shared" si="48"/>
        <v>16.551111111111108</v>
      </c>
      <c r="M316">
        <f t="shared" si="49"/>
        <v>4.7858199822222218</v>
      </c>
      <c r="N316" s="9"/>
      <c r="O316" s="21">
        <v>1.44089</v>
      </c>
      <c r="P316" s="21">
        <v>11.9977</v>
      </c>
      <c r="Q316" s="21">
        <v>-9.6527100000000001E-3</v>
      </c>
      <c r="R316" s="21">
        <v>306</v>
      </c>
      <c r="S316" s="21">
        <v>1.4407300000000001</v>
      </c>
      <c r="T316">
        <f t="shared" si="50"/>
        <v>11.916925925925925</v>
      </c>
      <c r="U316">
        <f t="shared" si="51"/>
        <v>17.170979397407407</v>
      </c>
      <c r="X316" s="9"/>
      <c r="Y316" s="21">
        <v>0.28915400000000002</v>
      </c>
      <c r="Z316" s="21">
        <v>17.571200000000001</v>
      </c>
      <c r="AA316" s="21">
        <v>-1.31805E-2</v>
      </c>
      <c r="AB316" s="21">
        <v>306</v>
      </c>
      <c r="AC316" s="21">
        <v>0.28854400000000002</v>
      </c>
      <c r="AD316">
        <f t="shared" si="52"/>
        <v>16.272222222222219</v>
      </c>
      <c r="AE316">
        <f t="shared" si="53"/>
        <v>4.705178144444444</v>
      </c>
      <c r="AF316" s="9"/>
      <c r="AG316" s="21">
        <v>1.44089</v>
      </c>
      <c r="AH316" s="21">
        <v>21.450800000000001</v>
      </c>
      <c r="AI316" s="21">
        <v>-9.3139599999999996E-3</v>
      </c>
      <c r="AJ316" s="21">
        <v>306</v>
      </c>
      <c r="AK316" s="21">
        <v>1.4401200000000001</v>
      </c>
      <c r="AL316">
        <f t="shared" si="54"/>
        <v>11.498716049382715</v>
      </c>
      <c r="AM316">
        <f t="shared" si="55"/>
        <v>16.568384968395058</v>
      </c>
      <c r="AP316" s="9"/>
      <c r="AQ316" s="21">
        <v>0.28915400000000002</v>
      </c>
      <c r="AR316" s="21">
        <v>27.069500000000001</v>
      </c>
      <c r="AS316" s="21">
        <v>-1.31927E-2</v>
      </c>
      <c r="AT316" s="21">
        <v>306</v>
      </c>
      <c r="AU316" s="21">
        <v>0.288605</v>
      </c>
      <c r="AV316">
        <f t="shared" si="56"/>
        <v>16.287283950617283</v>
      </c>
      <c r="AW316">
        <f t="shared" si="57"/>
        <v>4.7095333034567899</v>
      </c>
      <c r="AX316" s="9"/>
      <c r="AY316" s="21">
        <v>1.44089</v>
      </c>
      <c r="AZ316" s="21">
        <v>30.949100000000001</v>
      </c>
      <c r="BA316" s="21">
        <v>-9.1979999999999996E-3</v>
      </c>
      <c r="BB316" s="21">
        <v>306</v>
      </c>
      <c r="BC316" s="21">
        <v>1.4401200000000001</v>
      </c>
      <c r="BD316">
        <f t="shared" si="58"/>
        <v>11.355555555555554</v>
      </c>
      <c r="BE316">
        <f t="shared" si="59"/>
        <v>16.362106444444443</v>
      </c>
    </row>
    <row r="317" spans="6:57" x14ac:dyDescent="0.25">
      <c r="F317" s="9"/>
      <c r="G317" s="21">
        <v>0.28411900000000001</v>
      </c>
      <c r="H317" s="21">
        <v>8.1281199999999991</v>
      </c>
      <c r="I317" s="21">
        <v>-1.34003E-2</v>
      </c>
      <c r="J317" s="21">
        <v>307</v>
      </c>
      <c r="K317" s="21">
        <v>0.28353899999999999</v>
      </c>
      <c r="L317">
        <f t="shared" si="48"/>
        <v>16.543580246913578</v>
      </c>
      <c r="M317">
        <f t="shared" si="49"/>
        <v>4.7003454761728394</v>
      </c>
      <c r="N317" s="9"/>
      <c r="O317" s="21">
        <v>1.4459200000000001</v>
      </c>
      <c r="P317" s="21">
        <v>12.0077</v>
      </c>
      <c r="Q317" s="21">
        <v>-9.5916700000000001E-3</v>
      </c>
      <c r="R317" s="21">
        <v>307</v>
      </c>
      <c r="S317" s="21">
        <v>1.4443999999999999</v>
      </c>
      <c r="T317">
        <f t="shared" si="50"/>
        <v>11.841567901234567</v>
      </c>
      <c r="U317">
        <f t="shared" si="51"/>
        <v>17.121959859753087</v>
      </c>
      <c r="X317" s="9"/>
      <c r="Y317" s="21">
        <v>0.28411900000000001</v>
      </c>
      <c r="Z317" s="21">
        <v>17.581299999999999</v>
      </c>
      <c r="AA317" s="21">
        <v>-1.31927E-2</v>
      </c>
      <c r="AB317" s="21">
        <v>307</v>
      </c>
      <c r="AC317" s="21">
        <v>0.283447</v>
      </c>
      <c r="AD317">
        <f t="shared" si="52"/>
        <v>16.287283950617283</v>
      </c>
      <c r="AE317">
        <f t="shared" si="53"/>
        <v>4.6275268287654319</v>
      </c>
      <c r="AF317" s="9"/>
      <c r="AG317" s="21">
        <v>1.4459200000000001</v>
      </c>
      <c r="AH317" s="21">
        <v>21.460899999999999</v>
      </c>
      <c r="AI317" s="21">
        <v>-9.2437700000000001E-3</v>
      </c>
      <c r="AJ317" s="21">
        <v>307</v>
      </c>
      <c r="AK317" s="21">
        <v>1.4450099999999999</v>
      </c>
      <c r="AL317">
        <f t="shared" si="54"/>
        <v>11.412061728395061</v>
      </c>
      <c r="AM317">
        <f t="shared" si="55"/>
        <v>16.500928294320989</v>
      </c>
      <c r="AP317" s="9"/>
      <c r="AQ317" s="21">
        <v>0.28411900000000001</v>
      </c>
      <c r="AR317" s="21">
        <v>27.079499999999999</v>
      </c>
      <c r="AS317" s="21">
        <v>-1.3201900000000001E-2</v>
      </c>
      <c r="AT317" s="21">
        <v>307</v>
      </c>
      <c r="AU317" s="21">
        <v>0.28360000000000002</v>
      </c>
      <c r="AV317">
        <f t="shared" si="56"/>
        <v>16.298641975308641</v>
      </c>
      <c r="AW317">
        <f t="shared" si="57"/>
        <v>4.6307538593827156</v>
      </c>
      <c r="AX317" s="9"/>
      <c r="AY317" s="21">
        <v>1.4459200000000001</v>
      </c>
      <c r="AZ317" s="21">
        <v>30.959099999999999</v>
      </c>
      <c r="BA317" s="21">
        <v>-9.1339100000000003E-3</v>
      </c>
      <c r="BB317" s="21">
        <v>307</v>
      </c>
      <c r="BC317" s="21">
        <v>1.4453100000000001</v>
      </c>
      <c r="BD317">
        <f t="shared" si="58"/>
        <v>11.276432098765431</v>
      </c>
      <c r="BE317">
        <f t="shared" si="59"/>
        <v>16.304818700246912</v>
      </c>
    </row>
    <row r="318" spans="6:57" x14ac:dyDescent="0.25">
      <c r="F318" s="9"/>
      <c r="G318" s="21">
        <v>0.27908300000000003</v>
      </c>
      <c r="H318" s="21">
        <v>8.1381899999999998</v>
      </c>
      <c r="I318" s="21">
        <v>-1.33881E-2</v>
      </c>
      <c r="J318" s="21">
        <v>308</v>
      </c>
      <c r="K318" s="21">
        <v>0.278503</v>
      </c>
      <c r="L318">
        <f t="shared" si="48"/>
        <v>16.528518518518517</v>
      </c>
      <c r="M318">
        <f t="shared" si="49"/>
        <v>4.6128285337037038</v>
      </c>
      <c r="N318" s="9"/>
      <c r="O318" s="21">
        <v>1.45096</v>
      </c>
      <c r="P318" s="21">
        <v>12.017799999999999</v>
      </c>
      <c r="Q318" s="21">
        <v>-9.5245399999999997E-3</v>
      </c>
      <c r="R318" s="21">
        <v>308</v>
      </c>
      <c r="S318" s="21">
        <v>1.4498899999999999</v>
      </c>
      <c r="T318">
        <f t="shared" si="50"/>
        <v>11.75869135802469</v>
      </c>
      <c r="U318">
        <f t="shared" si="51"/>
        <v>17.061390812839505</v>
      </c>
      <c r="X318" s="9"/>
      <c r="Y318" s="21">
        <v>0.27908300000000003</v>
      </c>
      <c r="Z318" s="21">
        <v>17.5914</v>
      </c>
      <c r="AA318" s="21">
        <v>-1.3214099999999999E-2</v>
      </c>
      <c r="AB318" s="21">
        <v>308</v>
      </c>
      <c r="AC318" s="21">
        <v>0.27856399999999998</v>
      </c>
      <c r="AD318">
        <f t="shared" si="52"/>
        <v>16.313703703703702</v>
      </c>
      <c r="AE318">
        <f t="shared" si="53"/>
        <v>4.5528773707407408</v>
      </c>
      <c r="AF318" s="9"/>
      <c r="AG318" s="21">
        <v>1.45096</v>
      </c>
      <c r="AH318" s="21">
        <v>21.471</v>
      </c>
      <c r="AI318" s="21">
        <v>-9.18274E-3</v>
      </c>
      <c r="AJ318" s="21">
        <v>308</v>
      </c>
      <c r="AK318" s="21">
        <v>1.4504999999999999</v>
      </c>
      <c r="AL318">
        <f t="shared" si="54"/>
        <v>11.336716049382716</v>
      </c>
      <c r="AM318">
        <f t="shared" si="55"/>
        <v>16.449121519012344</v>
      </c>
      <c r="AP318" s="9"/>
      <c r="AQ318" s="21">
        <v>0.27908300000000003</v>
      </c>
      <c r="AR318" s="21">
        <v>27.089600000000001</v>
      </c>
      <c r="AS318" s="21">
        <v>-1.31927E-2</v>
      </c>
      <c r="AT318" s="21">
        <v>308</v>
      </c>
      <c r="AU318" s="21">
        <v>0.278503</v>
      </c>
      <c r="AV318">
        <f t="shared" si="56"/>
        <v>16.287283950617283</v>
      </c>
      <c r="AW318">
        <f t="shared" si="57"/>
        <v>4.5455040667901239</v>
      </c>
      <c r="AX318" s="9"/>
      <c r="AY318" s="21">
        <v>1.45096</v>
      </c>
      <c r="AZ318" s="21">
        <v>30.969200000000001</v>
      </c>
      <c r="BA318" s="21">
        <v>-9.06677E-3</v>
      </c>
      <c r="BB318" s="21">
        <v>308</v>
      </c>
      <c r="BC318" s="21">
        <v>1.4504999999999999</v>
      </c>
      <c r="BD318">
        <f t="shared" si="58"/>
        <v>11.193543209876541</v>
      </c>
      <c r="BE318">
        <f t="shared" si="59"/>
        <v>16.241383455802467</v>
      </c>
    </row>
    <row r="319" spans="6:57" x14ac:dyDescent="0.25">
      <c r="F319" s="9"/>
      <c r="G319" s="21">
        <v>0.27404800000000001</v>
      </c>
      <c r="H319" s="21">
        <v>8.1482600000000005</v>
      </c>
      <c r="I319" s="21">
        <v>-1.33911E-2</v>
      </c>
      <c r="J319" s="21">
        <v>309</v>
      </c>
      <c r="K319" s="21">
        <v>0.27343800000000001</v>
      </c>
      <c r="L319">
        <f t="shared" si="48"/>
        <v>16.53222222222222</v>
      </c>
      <c r="M319">
        <f t="shared" si="49"/>
        <v>4.5306224355555553</v>
      </c>
      <c r="N319" s="9"/>
      <c r="O319" s="21">
        <v>1.4559899999999999</v>
      </c>
      <c r="P319" s="21">
        <v>12.027900000000001</v>
      </c>
      <c r="Q319" s="21">
        <v>-9.4604500000000005E-3</v>
      </c>
      <c r="R319" s="21">
        <v>309</v>
      </c>
      <c r="S319" s="21">
        <v>1.4559899999999999</v>
      </c>
      <c r="T319">
        <f t="shared" si="50"/>
        <v>11.679567901234568</v>
      </c>
      <c r="U319">
        <f t="shared" si="51"/>
        <v>17.005334068518518</v>
      </c>
      <c r="X319" s="9"/>
      <c r="Y319" s="21">
        <v>0.27404800000000001</v>
      </c>
      <c r="Z319" s="21">
        <v>17.601400000000002</v>
      </c>
      <c r="AA319" s="21">
        <v>-1.32172E-2</v>
      </c>
      <c r="AB319" s="21">
        <v>309</v>
      </c>
      <c r="AC319" s="21">
        <v>0.27346799999999999</v>
      </c>
      <c r="AD319">
        <f t="shared" si="52"/>
        <v>16.317530864197529</v>
      </c>
      <c r="AE319">
        <f t="shared" si="53"/>
        <v>4.4717866982716048</v>
      </c>
      <c r="AF319" s="9"/>
      <c r="AG319" s="21">
        <v>1.4559899999999999</v>
      </c>
      <c r="AH319" s="21">
        <v>21.481100000000001</v>
      </c>
      <c r="AI319" s="21">
        <v>-9.1186500000000007E-3</v>
      </c>
      <c r="AJ319" s="21">
        <v>309</v>
      </c>
      <c r="AK319" s="21">
        <v>1.4556899999999999</v>
      </c>
      <c r="AL319">
        <f t="shared" si="54"/>
        <v>11.257592592592593</v>
      </c>
      <c r="AM319">
        <f t="shared" si="55"/>
        <v>16.390942238888886</v>
      </c>
      <c r="AP319" s="9"/>
      <c r="AQ319" s="21">
        <v>0.27404800000000001</v>
      </c>
      <c r="AR319" s="21">
        <v>27.099699999999999</v>
      </c>
      <c r="AS319" s="21">
        <v>-1.3195800000000001E-2</v>
      </c>
      <c r="AT319" s="21">
        <v>309</v>
      </c>
      <c r="AU319" s="21">
        <v>0.27346799999999999</v>
      </c>
      <c r="AV319">
        <f t="shared" si="56"/>
        <v>16.29111111111111</v>
      </c>
      <c r="AW319">
        <f t="shared" si="57"/>
        <v>4.4645464177777781</v>
      </c>
      <c r="AX319" s="9"/>
      <c r="AY319" s="21">
        <v>1.4559899999999999</v>
      </c>
      <c r="AZ319" s="21">
        <v>30.979299999999999</v>
      </c>
      <c r="BA319" s="21">
        <v>-9.0026900000000007E-3</v>
      </c>
      <c r="BB319" s="21">
        <v>309</v>
      </c>
      <c r="BC319" s="21">
        <v>1.4550799999999999</v>
      </c>
      <c r="BD319">
        <f t="shared" si="58"/>
        <v>11.114432098765432</v>
      </c>
      <c r="BE319">
        <f t="shared" si="59"/>
        <v>16.18250199148148</v>
      </c>
    </row>
    <row r="320" spans="6:57" x14ac:dyDescent="0.25">
      <c r="F320" s="9"/>
      <c r="G320" s="21">
        <v>0.26901199999999997</v>
      </c>
      <c r="H320" s="21">
        <v>8.1583299999999994</v>
      </c>
      <c r="I320" s="21">
        <v>-1.33942E-2</v>
      </c>
      <c r="J320" s="21">
        <v>310</v>
      </c>
      <c r="K320" s="21">
        <v>0.26843299999999998</v>
      </c>
      <c r="L320">
        <f t="shared" si="48"/>
        <v>16.536049382716048</v>
      </c>
      <c r="M320">
        <f t="shared" si="49"/>
        <v>4.4483957165432093</v>
      </c>
      <c r="N320" s="9"/>
      <c r="O320" s="21">
        <v>1.4610300000000001</v>
      </c>
      <c r="P320" s="21">
        <v>12.0379</v>
      </c>
      <c r="Q320" s="21">
        <v>-9.3902599999999992E-3</v>
      </c>
      <c r="R320" s="21">
        <v>310</v>
      </c>
      <c r="S320" s="21">
        <v>1.4605699999999999</v>
      </c>
      <c r="T320">
        <f t="shared" si="50"/>
        <v>11.592913580246911</v>
      </c>
      <c r="U320">
        <f t="shared" si="51"/>
        <v>16.937594528148146</v>
      </c>
      <c r="X320" s="9"/>
      <c r="Y320" s="21">
        <v>0.26901199999999997</v>
      </c>
      <c r="Z320" s="21">
        <v>17.611499999999999</v>
      </c>
      <c r="AA320" s="21">
        <v>-1.32202E-2</v>
      </c>
      <c r="AB320" s="21">
        <v>310</v>
      </c>
      <c r="AC320" s="21">
        <v>0.268341</v>
      </c>
      <c r="AD320">
        <f t="shared" si="52"/>
        <v>16.321234567901232</v>
      </c>
      <c r="AE320">
        <f t="shared" si="53"/>
        <v>4.390607953580246</v>
      </c>
      <c r="AF320" s="9"/>
      <c r="AG320" s="21">
        <v>1.4610300000000001</v>
      </c>
      <c r="AH320" s="21">
        <v>21.491099999999999</v>
      </c>
      <c r="AI320" s="21">
        <v>-9.0454100000000003E-3</v>
      </c>
      <c r="AJ320" s="21">
        <v>310</v>
      </c>
      <c r="AK320" s="21">
        <v>1.4605699999999999</v>
      </c>
      <c r="AL320">
        <f t="shared" si="54"/>
        <v>11.167172839506172</v>
      </c>
      <c r="AM320">
        <f t="shared" si="55"/>
        <v>16.315574533703703</v>
      </c>
      <c r="AP320" s="9"/>
      <c r="AQ320" s="21">
        <v>0.26901199999999997</v>
      </c>
      <c r="AR320" s="21">
        <v>27.1097</v>
      </c>
      <c r="AS320" s="21">
        <v>-1.3195800000000001E-2</v>
      </c>
      <c r="AT320" s="21">
        <v>310</v>
      </c>
      <c r="AU320" s="21">
        <v>0.26846300000000001</v>
      </c>
      <c r="AV320">
        <f t="shared" si="56"/>
        <v>16.29111111111111</v>
      </c>
      <c r="AW320">
        <f t="shared" si="57"/>
        <v>4.3825043822222218</v>
      </c>
      <c r="AX320" s="9"/>
      <c r="AY320" s="21">
        <v>1.4610300000000001</v>
      </c>
      <c r="AZ320" s="21">
        <v>30.9894</v>
      </c>
      <c r="BA320" s="21">
        <v>-8.9416500000000006E-3</v>
      </c>
      <c r="BB320" s="21">
        <v>310</v>
      </c>
      <c r="BC320" s="21">
        <v>1.46027</v>
      </c>
      <c r="BD320">
        <f t="shared" si="58"/>
        <v>11.039074074074074</v>
      </c>
      <c r="BE320">
        <f t="shared" si="59"/>
        <v>16.128418394444445</v>
      </c>
    </row>
    <row r="321" spans="6:57" x14ac:dyDescent="0.25">
      <c r="F321" s="9"/>
      <c r="G321" s="21">
        <v>0.26397700000000002</v>
      </c>
      <c r="H321" s="21">
        <v>8.1684000000000001</v>
      </c>
      <c r="I321" s="21">
        <v>-1.34003E-2</v>
      </c>
      <c r="J321" s="21">
        <v>311</v>
      </c>
      <c r="K321" s="21">
        <v>0.26345800000000003</v>
      </c>
      <c r="L321">
        <f t="shared" si="48"/>
        <v>16.543580246913578</v>
      </c>
      <c r="M321">
        <f t="shared" si="49"/>
        <v>4.3671246828395063</v>
      </c>
      <c r="N321" s="9"/>
      <c r="O321" s="21">
        <v>1.4660599999999999</v>
      </c>
      <c r="P321" s="21">
        <v>12.048</v>
      </c>
      <c r="Q321" s="21">
        <v>-9.3170200000000005E-3</v>
      </c>
      <c r="R321" s="21">
        <v>311</v>
      </c>
      <c r="S321" s="21">
        <v>1.46515</v>
      </c>
      <c r="T321">
        <f t="shared" si="50"/>
        <v>11.502493827160494</v>
      </c>
      <c r="U321">
        <f t="shared" si="51"/>
        <v>16.863346100246915</v>
      </c>
      <c r="X321" s="9"/>
      <c r="Y321" s="21">
        <v>0.26397700000000002</v>
      </c>
      <c r="Z321" s="21">
        <v>17.621600000000001</v>
      </c>
      <c r="AA321" s="21">
        <v>-1.32202E-2</v>
      </c>
      <c r="AB321" s="21">
        <v>311</v>
      </c>
      <c r="AC321" s="21">
        <v>0.26339699999999999</v>
      </c>
      <c r="AD321">
        <f t="shared" si="52"/>
        <v>16.321234567901232</v>
      </c>
      <c r="AE321">
        <f t="shared" si="53"/>
        <v>4.3084305375308638</v>
      </c>
      <c r="AF321" s="9"/>
      <c r="AG321" s="21">
        <v>1.4660599999999999</v>
      </c>
      <c r="AH321" s="21">
        <v>21.501200000000001</v>
      </c>
      <c r="AI321" s="21">
        <v>-8.97827E-3</v>
      </c>
      <c r="AJ321" s="21">
        <v>311</v>
      </c>
      <c r="AK321" s="21">
        <v>1.46576</v>
      </c>
      <c r="AL321">
        <f t="shared" si="54"/>
        <v>11.084283950617284</v>
      </c>
      <c r="AM321">
        <f t="shared" si="55"/>
        <v>16.250225328641974</v>
      </c>
      <c r="AP321" s="9"/>
      <c r="AQ321" s="21">
        <v>0.26397700000000002</v>
      </c>
      <c r="AR321" s="21">
        <v>27.119800000000001</v>
      </c>
      <c r="AS321" s="21">
        <v>-1.32111E-2</v>
      </c>
      <c r="AT321" s="21">
        <v>311</v>
      </c>
      <c r="AU321" s="21">
        <v>0.26336700000000002</v>
      </c>
      <c r="AV321">
        <f t="shared" si="56"/>
        <v>16.309999999999999</v>
      </c>
      <c r="AW321">
        <f t="shared" si="57"/>
        <v>4.3054648699999998</v>
      </c>
      <c r="AX321" s="9"/>
      <c r="AY321" s="21">
        <v>1.4660599999999999</v>
      </c>
      <c r="AZ321" s="21">
        <v>30.999400000000001</v>
      </c>
      <c r="BA321" s="21">
        <v>-8.8806200000000005E-3</v>
      </c>
      <c r="BB321" s="21">
        <v>311</v>
      </c>
      <c r="BC321" s="21">
        <v>1.4654499999999999</v>
      </c>
      <c r="BD321">
        <f t="shared" si="58"/>
        <v>10.963728395061729</v>
      </c>
      <c r="BE321">
        <f t="shared" si="59"/>
        <v>16.073483650864198</v>
      </c>
    </row>
    <row r="322" spans="6:57" x14ac:dyDescent="0.25">
      <c r="F322" s="9"/>
      <c r="G322" s="21">
        <v>0.25894200000000001</v>
      </c>
      <c r="H322" s="21">
        <v>8.1784700000000008</v>
      </c>
      <c r="I322" s="21">
        <v>-1.34033E-2</v>
      </c>
      <c r="J322" s="21">
        <v>312</v>
      </c>
      <c r="K322" s="21">
        <v>0.25848399999999999</v>
      </c>
      <c r="L322">
        <f t="shared" si="48"/>
        <v>16.547283950617281</v>
      </c>
      <c r="M322">
        <f t="shared" si="49"/>
        <v>4.2847868007407399</v>
      </c>
      <c r="N322" s="9"/>
      <c r="O322" s="21">
        <v>1.4711000000000001</v>
      </c>
      <c r="P322" s="21">
        <v>12.0581</v>
      </c>
      <c r="Q322" s="21">
        <v>-9.2407199999999991E-3</v>
      </c>
      <c r="R322" s="21">
        <v>312</v>
      </c>
      <c r="S322" s="21">
        <v>1.4700299999999999</v>
      </c>
      <c r="T322">
        <f t="shared" si="50"/>
        <v>11.408296296296294</v>
      </c>
      <c r="U322">
        <f t="shared" si="51"/>
        <v>16.782744681481478</v>
      </c>
      <c r="X322" s="9"/>
      <c r="Y322" s="21">
        <v>0.25894200000000001</v>
      </c>
      <c r="Z322" s="21">
        <v>17.631699999999999</v>
      </c>
      <c r="AA322" s="21">
        <v>-1.32111E-2</v>
      </c>
      <c r="AB322" s="21">
        <v>312</v>
      </c>
      <c r="AC322" s="21">
        <v>0.25839200000000001</v>
      </c>
      <c r="AD322">
        <f t="shared" si="52"/>
        <v>16.309999999999999</v>
      </c>
      <c r="AE322">
        <f t="shared" si="53"/>
        <v>4.2233440199999999</v>
      </c>
      <c r="AF322" s="9"/>
      <c r="AG322" s="21">
        <v>1.4711000000000001</v>
      </c>
      <c r="AH322" s="21">
        <v>21.511299999999999</v>
      </c>
      <c r="AI322" s="21">
        <v>-8.9141800000000007E-3</v>
      </c>
      <c r="AJ322" s="21">
        <v>312</v>
      </c>
      <c r="AK322" s="21">
        <v>1.47034</v>
      </c>
      <c r="AL322">
        <f t="shared" si="54"/>
        <v>11.005160493827161</v>
      </c>
      <c r="AM322">
        <f t="shared" si="55"/>
        <v>16.189691602469136</v>
      </c>
      <c r="AP322" s="9"/>
      <c r="AQ322" s="21">
        <v>0.25894200000000001</v>
      </c>
      <c r="AR322" s="21">
        <v>27.129899999999999</v>
      </c>
      <c r="AS322" s="21">
        <v>-1.32263E-2</v>
      </c>
      <c r="AT322" s="21">
        <v>312</v>
      </c>
      <c r="AU322" s="21">
        <v>0.25836199999999998</v>
      </c>
      <c r="AV322">
        <f t="shared" si="56"/>
        <v>16.328765432098766</v>
      </c>
      <c r="AW322">
        <f t="shared" si="57"/>
        <v>4.2282031785185188</v>
      </c>
      <c r="AX322" s="9"/>
      <c r="AY322" s="21">
        <v>1.4711000000000001</v>
      </c>
      <c r="AZ322" s="21">
        <v>31.009499999999999</v>
      </c>
      <c r="BA322" s="21">
        <v>-8.8195800000000005E-3</v>
      </c>
      <c r="BB322" s="21">
        <v>312</v>
      </c>
      <c r="BC322" s="21">
        <v>1.4706399999999999</v>
      </c>
      <c r="BD322">
        <f t="shared" si="58"/>
        <v>10.888370370370369</v>
      </c>
      <c r="BE322">
        <f t="shared" si="59"/>
        <v>16.017881651851852</v>
      </c>
    </row>
    <row r="323" spans="6:57" x14ac:dyDescent="0.25">
      <c r="F323" s="9"/>
      <c r="G323" s="21">
        <v>0.25390600000000002</v>
      </c>
      <c r="H323" s="21">
        <v>8.1885399999999997</v>
      </c>
      <c r="I323" s="21">
        <v>-1.34003E-2</v>
      </c>
      <c r="J323" s="21">
        <v>313</v>
      </c>
      <c r="K323" s="21">
        <v>0.25338699999999997</v>
      </c>
      <c r="L323">
        <f t="shared" si="48"/>
        <v>16.543580246913578</v>
      </c>
      <c r="M323">
        <f t="shared" si="49"/>
        <v>4.2005142861728393</v>
      </c>
      <c r="N323" s="9"/>
      <c r="O323" s="21">
        <v>1.47614</v>
      </c>
      <c r="P323" s="21">
        <v>12.068199999999999</v>
      </c>
      <c r="Q323" s="21">
        <v>-9.1613800000000002E-3</v>
      </c>
      <c r="R323" s="21">
        <v>313</v>
      </c>
      <c r="S323" s="21">
        <v>1.4755199999999999</v>
      </c>
      <c r="T323">
        <f t="shared" si="50"/>
        <v>11.310345679012347</v>
      </c>
      <c r="U323">
        <f t="shared" si="51"/>
        <v>16.695653670617286</v>
      </c>
      <c r="X323" s="9"/>
      <c r="Y323" s="21">
        <v>0.25390600000000002</v>
      </c>
      <c r="Z323" s="21">
        <v>17.6417</v>
      </c>
      <c r="AA323" s="21">
        <v>-1.3214099999999999E-2</v>
      </c>
      <c r="AB323" s="21">
        <v>313</v>
      </c>
      <c r="AC323" s="21">
        <v>0.25341799999999998</v>
      </c>
      <c r="AD323">
        <f t="shared" si="52"/>
        <v>16.313703703703702</v>
      </c>
      <c r="AE323">
        <f t="shared" si="53"/>
        <v>4.1421472525925926</v>
      </c>
      <c r="AF323" s="9"/>
      <c r="AG323" s="21">
        <v>1.47614</v>
      </c>
      <c r="AH323" s="21">
        <v>21.5213</v>
      </c>
      <c r="AI323" s="21">
        <v>-8.8378899999999993E-3</v>
      </c>
      <c r="AJ323" s="21">
        <v>313</v>
      </c>
      <c r="AK323" s="21">
        <v>1.4755199999999999</v>
      </c>
      <c r="AL323">
        <f t="shared" si="54"/>
        <v>10.910975308641973</v>
      </c>
      <c r="AM323">
        <f t="shared" si="55"/>
        <v>16.106127092098763</v>
      </c>
      <c r="AP323" s="9"/>
      <c r="AQ323" s="21">
        <v>0.25390600000000002</v>
      </c>
      <c r="AR323" s="21">
        <v>27.14</v>
      </c>
      <c r="AS323" s="21">
        <v>-1.32233E-2</v>
      </c>
      <c r="AT323" s="21">
        <v>313</v>
      </c>
      <c r="AU323" s="21">
        <v>0.25329600000000002</v>
      </c>
      <c r="AV323">
        <f t="shared" si="56"/>
        <v>16.32506172839506</v>
      </c>
      <c r="AW323">
        <f t="shared" si="57"/>
        <v>4.1450311232098764</v>
      </c>
      <c r="AX323" s="9"/>
      <c r="AY323" s="21">
        <v>1.47614</v>
      </c>
      <c r="AZ323" s="21">
        <v>31.019600000000001</v>
      </c>
      <c r="BA323" s="21">
        <v>-8.7493899999999993E-3</v>
      </c>
      <c r="BB323" s="21">
        <v>313</v>
      </c>
      <c r="BC323" s="21">
        <v>1.4755199999999999</v>
      </c>
      <c r="BD323">
        <f t="shared" si="58"/>
        <v>10.801716049382714</v>
      </c>
      <c r="BE323">
        <f t="shared" si="59"/>
        <v>15.9448451291358</v>
      </c>
    </row>
    <row r="324" spans="6:57" x14ac:dyDescent="0.25">
      <c r="F324" s="9"/>
      <c r="G324" s="21">
        <v>0.24887100000000001</v>
      </c>
      <c r="H324" s="21">
        <v>8.1986100000000004</v>
      </c>
      <c r="I324" s="21">
        <v>-1.34094E-2</v>
      </c>
      <c r="J324" s="21">
        <v>314</v>
      </c>
      <c r="K324" s="21">
        <v>0.24829100000000001</v>
      </c>
      <c r="L324">
        <f t="shared" si="48"/>
        <v>16.554814814814815</v>
      </c>
      <c r="M324">
        <f t="shared" si="49"/>
        <v>4.1200133177777776</v>
      </c>
      <c r="N324" s="9"/>
      <c r="O324" s="21">
        <v>1.4811700000000001</v>
      </c>
      <c r="P324" s="21">
        <v>12.078200000000001</v>
      </c>
      <c r="Q324" s="21">
        <v>-9.0850800000000006E-3</v>
      </c>
      <c r="R324" s="21">
        <v>314</v>
      </c>
      <c r="S324" s="21">
        <v>1.48041</v>
      </c>
      <c r="T324">
        <f t="shared" si="50"/>
        <v>11.216148148148148</v>
      </c>
      <c r="U324">
        <f t="shared" si="51"/>
        <v>16.613022152592595</v>
      </c>
      <c r="X324" s="9"/>
      <c r="Y324" s="21">
        <v>0.24887100000000001</v>
      </c>
      <c r="Z324" s="21">
        <v>17.651800000000001</v>
      </c>
      <c r="AA324" s="21">
        <v>-1.3214099999999999E-2</v>
      </c>
      <c r="AB324" s="21">
        <v>314</v>
      </c>
      <c r="AC324" s="21">
        <v>0.24835199999999999</v>
      </c>
      <c r="AD324">
        <f t="shared" si="52"/>
        <v>16.313703703703702</v>
      </c>
      <c r="AE324">
        <f t="shared" si="53"/>
        <v>4.0600077544444444</v>
      </c>
      <c r="AF324" s="9"/>
      <c r="AG324" s="21">
        <v>1.4811700000000001</v>
      </c>
      <c r="AH324" s="21">
        <v>21.531400000000001</v>
      </c>
      <c r="AI324" s="21">
        <v>-8.7615999999999996E-3</v>
      </c>
      <c r="AJ324" s="21">
        <v>314</v>
      </c>
      <c r="AK324" s="21">
        <v>1.4801</v>
      </c>
      <c r="AL324">
        <f t="shared" si="54"/>
        <v>10.816790123456789</v>
      </c>
      <c r="AM324">
        <f t="shared" si="55"/>
        <v>16.021505027160494</v>
      </c>
      <c r="AP324" s="9"/>
      <c r="AQ324" s="21">
        <v>0.24887100000000001</v>
      </c>
      <c r="AR324" s="21">
        <v>27.15</v>
      </c>
      <c r="AS324" s="21">
        <v>-1.3207999999999999E-2</v>
      </c>
      <c r="AT324" s="21">
        <v>314</v>
      </c>
      <c r="AU324" s="21">
        <v>0.24835199999999999</v>
      </c>
      <c r="AV324">
        <f t="shared" si="56"/>
        <v>16.306172839506171</v>
      </c>
      <c r="AW324">
        <f t="shared" si="57"/>
        <v>4.0581335407407408</v>
      </c>
      <c r="AX324" s="9"/>
      <c r="AY324" s="21">
        <v>1.4811700000000001</v>
      </c>
      <c r="AZ324" s="21">
        <v>31.029599999999999</v>
      </c>
      <c r="BA324" s="21">
        <v>-8.6669899999999994E-3</v>
      </c>
      <c r="BB324" s="21">
        <v>314</v>
      </c>
      <c r="BC324" s="21">
        <v>1.4801</v>
      </c>
      <c r="BD324">
        <f t="shared" si="58"/>
        <v>10.699987654320985</v>
      </c>
      <c r="BE324">
        <f t="shared" si="59"/>
        <v>15.848500713950614</v>
      </c>
    </row>
    <row r="325" spans="6:57" x14ac:dyDescent="0.25">
      <c r="F325" s="9"/>
      <c r="G325" s="21">
        <v>0.243835</v>
      </c>
      <c r="H325" s="21">
        <v>8.2086799999999993</v>
      </c>
      <c r="I325" s="21">
        <v>-1.34155E-2</v>
      </c>
      <c r="J325" s="21">
        <v>315</v>
      </c>
      <c r="K325" s="21">
        <v>0.24319499999999999</v>
      </c>
      <c r="L325">
        <f t="shared" si="48"/>
        <v>16.562345679012346</v>
      </c>
      <c r="M325">
        <f t="shared" si="49"/>
        <v>4.0384795586419751</v>
      </c>
      <c r="N325" s="9"/>
      <c r="O325" s="21">
        <v>1.48621</v>
      </c>
      <c r="P325" s="21">
        <v>12.0883</v>
      </c>
      <c r="Q325" s="21">
        <v>-9.0057399999999999E-3</v>
      </c>
      <c r="R325" s="21">
        <v>315</v>
      </c>
      <c r="S325" s="21">
        <v>1.48529</v>
      </c>
      <c r="T325">
        <f t="shared" si="50"/>
        <v>11.118197530864196</v>
      </c>
      <c r="U325">
        <f t="shared" si="51"/>
        <v>16.523976352345677</v>
      </c>
      <c r="X325" s="9"/>
      <c r="Y325" s="21">
        <v>0.243835</v>
      </c>
      <c r="Z325" s="21">
        <v>17.661899999999999</v>
      </c>
      <c r="AA325" s="21">
        <v>-1.32202E-2</v>
      </c>
      <c r="AB325" s="21">
        <v>315</v>
      </c>
      <c r="AC325" s="21">
        <v>0.24331700000000001</v>
      </c>
      <c r="AD325">
        <f t="shared" si="52"/>
        <v>16.321234567901232</v>
      </c>
      <c r="AE325">
        <f t="shared" si="53"/>
        <v>3.979688230864197</v>
      </c>
      <c r="AF325" s="9"/>
      <c r="AG325" s="21">
        <v>1.48621</v>
      </c>
      <c r="AH325" s="21">
        <v>21.541499999999999</v>
      </c>
      <c r="AI325" s="21">
        <v>-8.6791999999999998E-3</v>
      </c>
      <c r="AJ325" s="21">
        <v>315</v>
      </c>
      <c r="AK325" s="21">
        <v>1.48499</v>
      </c>
      <c r="AL325">
        <f t="shared" si="54"/>
        <v>10.71506172839506</v>
      </c>
      <c r="AM325">
        <f t="shared" si="55"/>
        <v>15.924831891358023</v>
      </c>
      <c r="AP325" s="9"/>
      <c r="AQ325" s="21">
        <v>0.243835</v>
      </c>
      <c r="AR325" s="21">
        <v>27.1601</v>
      </c>
      <c r="AS325" s="21">
        <v>-1.31989E-2</v>
      </c>
      <c r="AT325" s="21">
        <v>315</v>
      </c>
      <c r="AU325" s="21">
        <v>0.24331700000000001</v>
      </c>
      <c r="AV325">
        <f t="shared" si="56"/>
        <v>16.294938271604938</v>
      </c>
      <c r="AW325">
        <f t="shared" si="57"/>
        <v>3.9732762734567899</v>
      </c>
      <c r="AX325" s="9"/>
      <c r="AY325" s="21">
        <v>1.48621</v>
      </c>
      <c r="AZ325" s="21">
        <v>31.0397</v>
      </c>
      <c r="BA325" s="21">
        <v>-8.5906999999999997E-3</v>
      </c>
      <c r="BB325" s="21">
        <v>315</v>
      </c>
      <c r="BC325" s="21">
        <v>1.4856</v>
      </c>
      <c r="BD325">
        <f t="shared" si="58"/>
        <v>10.605802469135801</v>
      </c>
      <c r="BE325">
        <f t="shared" si="59"/>
        <v>15.762449687654319</v>
      </c>
    </row>
    <row r="326" spans="6:57" x14ac:dyDescent="0.25">
      <c r="F326" s="9"/>
      <c r="G326" s="21">
        <v>0.23880000000000001</v>
      </c>
      <c r="H326" s="21">
        <v>8.21875</v>
      </c>
      <c r="I326" s="21">
        <v>-1.34094E-2</v>
      </c>
      <c r="J326" s="21">
        <v>316</v>
      </c>
      <c r="K326" s="21">
        <v>0.238342</v>
      </c>
      <c r="L326">
        <f t="shared" si="48"/>
        <v>16.554814814814815</v>
      </c>
      <c r="M326">
        <f t="shared" si="49"/>
        <v>3.953289777777778</v>
      </c>
      <c r="N326" s="9"/>
      <c r="O326" s="21">
        <v>1.4912399999999999</v>
      </c>
      <c r="P326" s="21">
        <v>12.0984</v>
      </c>
      <c r="Q326" s="21">
        <v>-8.9202900000000009E-3</v>
      </c>
      <c r="R326" s="21">
        <v>316</v>
      </c>
      <c r="S326" s="21">
        <v>1.49078</v>
      </c>
      <c r="T326">
        <f t="shared" si="50"/>
        <v>11.012703703703703</v>
      </c>
      <c r="U326">
        <f t="shared" si="51"/>
        <v>16.422584271111109</v>
      </c>
      <c r="X326" s="9"/>
      <c r="Y326" s="21">
        <v>0.23880000000000001</v>
      </c>
      <c r="Z326" s="21">
        <v>17.671900000000001</v>
      </c>
      <c r="AA326" s="21">
        <v>-1.32324E-2</v>
      </c>
      <c r="AB326" s="21">
        <v>316</v>
      </c>
      <c r="AC326" s="21">
        <v>0.23825099999999999</v>
      </c>
      <c r="AD326">
        <f t="shared" si="52"/>
        <v>16.336296296296297</v>
      </c>
      <c r="AE326">
        <f t="shared" si="53"/>
        <v>3.9011075555555559</v>
      </c>
      <c r="AF326" s="9"/>
      <c r="AG326" s="21">
        <v>1.4912399999999999</v>
      </c>
      <c r="AH326" s="21">
        <v>21.551600000000001</v>
      </c>
      <c r="AI326" s="21">
        <v>-8.5937500000000007E-3</v>
      </c>
      <c r="AJ326" s="21">
        <v>316</v>
      </c>
      <c r="AK326" s="21">
        <v>1.49109</v>
      </c>
      <c r="AL326">
        <f t="shared" si="54"/>
        <v>10.609567901234568</v>
      </c>
      <c r="AM326">
        <f t="shared" si="55"/>
        <v>15.821412037037037</v>
      </c>
      <c r="AP326" s="9"/>
      <c r="AQ326" s="21">
        <v>0.23880000000000001</v>
      </c>
      <c r="AR326" s="21">
        <v>27.170200000000001</v>
      </c>
      <c r="AS326" s="21">
        <v>-1.31989E-2</v>
      </c>
      <c r="AT326" s="21">
        <v>316</v>
      </c>
      <c r="AU326" s="21">
        <v>0.23819000000000001</v>
      </c>
      <c r="AV326">
        <f t="shared" si="56"/>
        <v>16.294938271604938</v>
      </c>
      <c r="AW326">
        <f t="shared" si="57"/>
        <v>3.8912312592592593</v>
      </c>
      <c r="AX326" s="9"/>
      <c r="AY326" s="21">
        <v>1.4912399999999999</v>
      </c>
      <c r="AZ326" s="21">
        <v>31.049800000000001</v>
      </c>
      <c r="BA326" s="21">
        <v>-8.5144000000000001E-3</v>
      </c>
      <c r="BB326" s="21">
        <v>316</v>
      </c>
      <c r="BC326" s="21">
        <v>1.49109</v>
      </c>
      <c r="BD326">
        <f t="shared" si="58"/>
        <v>10.511604938271603</v>
      </c>
      <c r="BE326">
        <f t="shared" si="59"/>
        <v>15.675325748148143</v>
      </c>
    </row>
    <row r="327" spans="6:57" x14ac:dyDescent="0.25">
      <c r="F327" s="9"/>
      <c r="G327" s="21">
        <v>0.233765</v>
      </c>
      <c r="H327" s="21">
        <v>8.2288300000000003</v>
      </c>
      <c r="I327" s="21">
        <v>-1.34033E-2</v>
      </c>
      <c r="J327" s="21">
        <v>317</v>
      </c>
      <c r="K327" s="21">
        <v>0.23321500000000001</v>
      </c>
      <c r="L327">
        <f t="shared" si="48"/>
        <v>16.547283950617281</v>
      </c>
      <c r="M327">
        <f t="shared" si="49"/>
        <v>3.8681758327160489</v>
      </c>
      <c r="N327" s="9"/>
      <c r="O327" s="21">
        <v>1.4962800000000001</v>
      </c>
      <c r="P327" s="21">
        <v>12.1084</v>
      </c>
      <c r="Q327" s="21">
        <v>-8.8378899999999993E-3</v>
      </c>
      <c r="R327" s="21">
        <v>317</v>
      </c>
      <c r="S327" s="21">
        <v>1.4956700000000001</v>
      </c>
      <c r="T327">
        <f t="shared" si="50"/>
        <v>10.910975308641973</v>
      </c>
      <c r="U327">
        <f t="shared" si="51"/>
        <v>16.325874134814811</v>
      </c>
      <c r="X327" s="9"/>
      <c r="Y327" s="21">
        <v>0.233765</v>
      </c>
      <c r="Z327" s="21">
        <v>17.681999999999999</v>
      </c>
      <c r="AA327" s="21">
        <v>-1.32385E-2</v>
      </c>
      <c r="AB327" s="21">
        <v>317</v>
      </c>
      <c r="AC327" s="21">
        <v>0.23309299999999999</v>
      </c>
      <c r="AD327">
        <f t="shared" si="52"/>
        <v>16.343827160493824</v>
      </c>
      <c r="AE327">
        <f t="shared" si="53"/>
        <v>3.8206147561728385</v>
      </c>
      <c r="AF327" s="9"/>
      <c r="AG327" s="21">
        <v>1.4962800000000001</v>
      </c>
      <c r="AH327" s="21">
        <v>21.561599999999999</v>
      </c>
      <c r="AI327" s="21">
        <v>-8.5052500000000007E-3</v>
      </c>
      <c r="AJ327" s="21">
        <v>317</v>
      </c>
      <c r="AK327" s="21">
        <v>1.4956700000000001</v>
      </c>
      <c r="AL327">
        <f t="shared" si="54"/>
        <v>10.500308641975309</v>
      </c>
      <c r="AM327">
        <f t="shared" si="55"/>
        <v>15.711401814814815</v>
      </c>
      <c r="AP327" s="9"/>
      <c r="AQ327" s="21">
        <v>0.233765</v>
      </c>
      <c r="AR327" s="21">
        <v>27.180199999999999</v>
      </c>
      <c r="AS327" s="21">
        <v>-1.31989E-2</v>
      </c>
      <c r="AT327" s="21">
        <v>317</v>
      </c>
      <c r="AU327" s="21">
        <v>0.23324600000000001</v>
      </c>
      <c r="AV327">
        <f t="shared" si="56"/>
        <v>16.294938271604938</v>
      </c>
      <c r="AW327">
        <f t="shared" si="57"/>
        <v>3.8091862450617282</v>
      </c>
      <c r="AX327" s="9"/>
      <c r="AY327" s="21">
        <v>1.4962800000000001</v>
      </c>
      <c r="AZ327" s="21">
        <v>31.059899999999999</v>
      </c>
      <c r="BA327" s="21">
        <v>-8.4320100000000002E-3</v>
      </c>
      <c r="BB327" s="21">
        <v>317</v>
      </c>
      <c r="BC327" s="21">
        <v>1.49536</v>
      </c>
      <c r="BD327">
        <f t="shared" si="58"/>
        <v>10.409888888888888</v>
      </c>
      <c r="BE327">
        <f t="shared" si="59"/>
        <v>15.576108546666667</v>
      </c>
    </row>
    <row r="328" spans="6:57" x14ac:dyDescent="0.25">
      <c r="F328" s="9"/>
      <c r="G328" s="21">
        <v>0.22872899999999999</v>
      </c>
      <c r="H328" s="21">
        <v>8.2388999999999992</v>
      </c>
      <c r="I328" s="21">
        <v>-1.33942E-2</v>
      </c>
      <c r="J328" s="21">
        <v>318</v>
      </c>
      <c r="K328" s="21">
        <v>0.22814899999999999</v>
      </c>
      <c r="L328">
        <f t="shared" si="48"/>
        <v>16.536049382716048</v>
      </c>
      <c r="M328">
        <f t="shared" si="49"/>
        <v>3.7822740392592586</v>
      </c>
      <c r="N328" s="9"/>
      <c r="O328" s="21">
        <v>1.5013099999999999</v>
      </c>
      <c r="P328" s="21">
        <v>12.118499999999999</v>
      </c>
      <c r="Q328" s="21">
        <v>-8.7524400000000002E-3</v>
      </c>
      <c r="R328" s="21">
        <v>318</v>
      </c>
      <c r="S328" s="21">
        <v>1.50085</v>
      </c>
      <c r="T328">
        <f t="shared" si="50"/>
        <v>10.805481481481483</v>
      </c>
      <c r="U328">
        <f t="shared" si="51"/>
        <v>16.222377402962962</v>
      </c>
      <c r="X328" s="9"/>
      <c r="Y328" s="21">
        <v>0.22872899999999999</v>
      </c>
      <c r="Z328" s="21">
        <v>17.6921</v>
      </c>
      <c r="AA328" s="21">
        <v>-1.3247699999999999E-2</v>
      </c>
      <c r="AB328" s="21">
        <v>318</v>
      </c>
      <c r="AC328" s="21">
        <v>0.22817999999999999</v>
      </c>
      <c r="AD328">
        <f t="shared" si="52"/>
        <v>16.355185185185185</v>
      </c>
      <c r="AE328">
        <f t="shared" si="53"/>
        <v>3.7409051522222221</v>
      </c>
      <c r="AF328" s="9"/>
      <c r="AG328" s="21">
        <v>1.5013099999999999</v>
      </c>
      <c r="AH328" s="21">
        <v>21.5717</v>
      </c>
      <c r="AI328" s="21">
        <v>-8.4197999999999999E-3</v>
      </c>
      <c r="AJ328" s="21">
        <v>318</v>
      </c>
      <c r="AK328" s="21">
        <v>1.5005500000000001</v>
      </c>
      <c r="AL328">
        <f t="shared" si="54"/>
        <v>10.394814814814813</v>
      </c>
      <c r="AM328">
        <f t="shared" si="55"/>
        <v>15.605839429629626</v>
      </c>
      <c r="AP328" s="9"/>
      <c r="AQ328" s="21">
        <v>0.22872899999999999</v>
      </c>
      <c r="AR328" s="21">
        <v>27.190300000000001</v>
      </c>
      <c r="AS328" s="21">
        <v>-1.31989E-2</v>
      </c>
      <c r="AT328" s="21">
        <v>318</v>
      </c>
      <c r="AU328" s="21">
        <v>0.22808800000000001</v>
      </c>
      <c r="AV328">
        <f t="shared" si="56"/>
        <v>16.294938271604938</v>
      </c>
      <c r="AW328">
        <f t="shared" si="57"/>
        <v>3.7271249359259255</v>
      </c>
      <c r="AX328" s="9"/>
      <c r="AY328" s="21">
        <v>1.5013099999999999</v>
      </c>
      <c r="AZ328" s="21">
        <v>31.069900000000001</v>
      </c>
      <c r="BA328" s="21">
        <v>-8.3435100000000002E-3</v>
      </c>
      <c r="BB328" s="21">
        <v>318</v>
      </c>
      <c r="BC328" s="21">
        <v>1.5005500000000001</v>
      </c>
      <c r="BD328">
        <f t="shared" si="58"/>
        <v>10.300629629629629</v>
      </c>
      <c r="BE328">
        <f t="shared" si="59"/>
        <v>15.464438269259258</v>
      </c>
    </row>
    <row r="329" spans="6:57" x14ac:dyDescent="0.25">
      <c r="F329" s="9"/>
      <c r="G329" s="21">
        <v>0.223694</v>
      </c>
      <c r="H329" s="21">
        <v>8.2489699999999999</v>
      </c>
      <c r="I329" s="21">
        <v>-1.33972E-2</v>
      </c>
      <c r="J329" s="21">
        <v>319</v>
      </c>
      <c r="K329" s="21">
        <v>0.22314500000000001</v>
      </c>
      <c r="L329">
        <f t="shared" si="48"/>
        <v>16.539753086419751</v>
      </c>
      <c r="M329">
        <f t="shared" si="49"/>
        <v>3.6998435269135799</v>
      </c>
      <c r="N329" s="9"/>
      <c r="O329" s="21">
        <v>1.5063500000000001</v>
      </c>
      <c r="P329" s="21">
        <v>12.1286</v>
      </c>
      <c r="Q329" s="21">
        <v>-8.6547900000000007E-3</v>
      </c>
      <c r="R329" s="21">
        <v>319</v>
      </c>
      <c r="S329" s="21">
        <v>1.50543</v>
      </c>
      <c r="T329">
        <f t="shared" si="50"/>
        <v>10.684925925925926</v>
      </c>
      <c r="U329">
        <f t="shared" si="51"/>
        <v>16.09523816851852</v>
      </c>
      <c r="X329" s="9"/>
      <c r="Y329" s="21">
        <v>0.223694</v>
      </c>
      <c r="Z329" s="21">
        <v>17.702100000000002</v>
      </c>
      <c r="AA329" s="21">
        <v>-1.3250700000000001E-2</v>
      </c>
      <c r="AB329" s="21">
        <v>319</v>
      </c>
      <c r="AC329" s="21">
        <v>0.22320599999999999</v>
      </c>
      <c r="AD329">
        <f t="shared" si="52"/>
        <v>16.358888888888888</v>
      </c>
      <c r="AE329">
        <f t="shared" si="53"/>
        <v>3.6593852911111111</v>
      </c>
      <c r="AF329" s="9"/>
      <c r="AG329" s="21">
        <v>1.5063500000000001</v>
      </c>
      <c r="AH329" s="21">
        <v>21.581800000000001</v>
      </c>
      <c r="AI329" s="21">
        <v>-8.3343500000000008E-3</v>
      </c>
      <c r="AJ329" s="21">
        <v>319</v>
      </c>
      <c r="AK329" s="21">
        <v>1.50543</v>
      </c>
      <c r="AL329">
        <f t="shared" si="54"/>
        <v>10.289320987654321</v>
      </c>
      <c r="AM329">
        <f t="shared" si="55"/>
        <v>15.499318669753087</v>
      </c>
      <c r="AP329" s="9"/>
      <c r="AQ329" s="21">
        <v>0.223694</v>
      </c>
      <c r="AR329" s="21">
        <v>27.200399999999998</v>
      </c>
      <c r="AS329" s="21">
        <v>-1.3195800000000001E-2</v>
      </c>
      <c r="AT329" s="21">
        <v>319</v>
      </c>
      <c r="AU329" s="21">
        <v>0.223083</v>
      </c>
      <c r="AV329">
        <f t="shared" si="56"/>
        <v>16.29111111111111</v>
      </c>
      <c r="AW329">
        <f t="shared" si="57"/>
        <v>3.644223808888889</v>
      </c>
      <c r="AX329" s="9"/>
      <c r="AY329" s="21">
        <v>1.5063500000000001</v>
      </c>
      <c r="AZ329" s="21">
        <v>31.08</v>
      </c>
      <c r="BA329" s="21">
        <v>-8.2550000000000002E-3</v>
      </c>
      <c r="BB329" s="21">
        <v>319</v>
      </c>
      <c r="BC329" s="21">
        <v>1.50543</v>
      </c>
      <c r="BD329">
        <f t="shared" si="58"/>
        <v>10.191358024691358</v>
      </c>
      <c r="BE329">
        <f t="shared" si="59"/>
        <v>15.351752160493827</v>
      </c>
    </row>
    <row r="330" spans="6:57" x14ac:dyDescent="0.25">
      <c r="F330" s="9"/>
      <c r="G330" s="21">
        <v>0.21865799999999999</v>
      </c>
      <c r="H330" s="21">
        <v>8.2590400000000006</v>
      </c>
      <c r="I330" s="21">
        <v>-1.33972E-2</v>
      </c>
      <c r="J330" s="21">
        <v>320</v>
      </c>
      <c r="K330" s="21">
        <v>0.21814</v>
      </c>
      <c r="L330">
        <f t="shared" si="48"/>
        <v>16.539753086419751</v>
      </c>
      <c r="M330">
        <f t="shared" si="49"/>
        <v>3.6165493303703697</v>
      </c>
      <c r="N330" s="9"/>
      <c r="O330" s="21">
        <v>1.5113799999999999</v>
      </c>
      <c r="P330" s="21">
        <v>12.1387</v>
      </c>
      <c r="Q330" s="21">
        <v>-8.5510299999999994E-3</v>
      </c>
      <c r="R330" s="21">
        <v>320</v>
      </c>
      <c r="S330" s="21">
        <v>1.51031</v>
      </c>
      <c r="T330">
        <f t="shared" si="50"/>
        <v>10.556827160493826</v>
      </c>
      <c r="U330">
        <f t="shared" si="51"/>
        <v>15.955377433827159</v>
      </c>
      <c r="X330" s="9"/>
      <c r="Y330" s="21">
        <v>0.21865799999999999</v>
      </c>
      <c r="Z330" s="21">
        <v>17.712199999999999</v>
      </c>
      <c r="AA330" s="21">
        <v>-1.32599E-2</v>
      </c>
      <c r="AB330" s="21">
        <v>320</v>
      </c>
      <c r="AC330" s="21">
        <v>0.218109</v>
      </c>
      <c r="AD330">
        <f t="shared" si="52"/>
        <v>16.370246913580246</v>
      </c>
      <c r="AE330">
        <f t="shared" si="53"/>
        <v>3.5794854496296291</v>
      </c>
      <c r="AF330" s="9"/>
      <c r="AG330" s="21">
        <v>1.5113799999999999</v>
      </c>
      <c r="AH330" s="21">
        <v>21.591799999999999</v>
      </c>
      <c r="AI330" s="21">
        <v>-8.2458500000000007E-3</v>
      </c>
      <c r="AJ330" s="21">
        <v>320</v>
      </c>
      <c r="AK330" s="21">
        <v>1.51031</v>
      </c>
      <c r="AL330">
        <f t="shared" si="54"/>
        <v>10.180061728395062</v>
      </c>
      <c r="AM330">
        <f t="shared" si="55"/>
        <v>15.385941695061728</v>
      </c>
      <c r="AP330" s="9"/>
      <c r="AQ330" s="21">
        <v>0.21865799999999999</v>
      </c>
      <c r="AR330" s="21">
        <v>27.2105</v>
      </c>
      <c r="AS330" s="21">
        <v>-1.31836E-2</v>
      </c>
      <c r="AT330" s="21">
        <v>320</v>
      </c>
      <c r="AU330" s="21">
        <v>0.21814</v>
      </c>
      <c r="AV330">
        <f t="shared" si="56"/>
        <v>16.276049382716046</v>
      </c>
      <c r="AW330">
        <f t="shared" si="57"/>
        <v>3.5588884059259249</v>
      </c>
      <c r="AX330" s="9"/>
      <c r="AY330" s="21">
        <v>1.5113799999999999</v>
      </c>
      <c r="AZ330" s="21">
        <v>31.0901</v>
      </c>
      <c r="BA330" s="21">
        <v>-8.1603999999999999E-3</v>
      </c>
      <c r="BB330" s="21">
        <v>320</v>
      </c>
      <c r="BC330" s="21">
        <v>1.51031</v>
      </c>
      <c r="BD330">
        <f t="shared" si="58"/>
        <v>10.074567901234568</v>
      </c>
      <c r="BE330">
        <f t="shared" si="59"/>
        <v>15.226500434567901</v>
      </c>
    </row>
    <row r="331" spans="6:57" x14ac:dyDescent="0.25">
      <c r="F331" s="9"/>
      <c r="G331" s="21">
        <v>0.21362300000000001</v>
      </c>
      <c r="H331" s="21">
        <v>8.2691099999999995</v>
      </c>
      <c r="I331" s="21">
        <v>-1.3406400000000001E-2</v>
      </c>
      <c r="J331" s="21">
        <v>321</v>
      </c>
      <c r="K331" s="21">
        <v>0.21304300000000001</v>
      </c>
      <c r="L331">
        <f t="shared" si="48"/>
        <v>16.551111111111108</v>
      </c>
      <c r="M331">
        <f t="shared" si="49"/>
        <v>3.5356980088888883</v>
      </c>
      <c r="N331" s="9"/>
      <c r="O331" s="21">
        <v>1.5164200000000001</v>
      </c>
      <c r="P331" s="21">
        <v>12.1487</v>
      </c>
      <c r="Q331" s="21">
        <v>-8.4411599999999996E-3</v>
      </c>
      <c r="R331" s="21">
        <v>321</v>
      </c>
      <c r="S331" s="21">
        <v>1.5158100000000001</v>
      </c>
      <c r="T331">
        <f t="shared" si="50"/>
        <v>10.421185185185184</v>
      </c>
      <c r="U331">
        <f t="shared" si="51"/>
        <v>15.802893638518517</v>
      </c>
      <c r="X331" s="9"/>
      <c r="Y331" s="21">
        <v>0.21362300000000001</v>
      </c>
      <c r="Z331" s="21">
        <v>17.722300000000001</v>
      </c>
      <c r="AA331" s="21">
        <v>-1.3250700000000001E-2</v>
      </c>
      <c r="AB331" s="21">
        <v>321</v>
      </c>
      <c r="AC331" s="21">
        <v>0.21307400000000001</v>
      </c>
      <c r="AD331">
        <f t="shared" si="52"/>
        <v>16.358888888888888</v>
      </c>
      <c r="AE331">
        <f t="shared" si="53"/>
        <v>3.494634921111111</v>
      </c>
      <c r="AF331" s="9"/>
      <c r="AG331" s="21">
        <v>1.5164200000000001</v>
      </c>
      <c r="AH331" s="21">
        <v>21.601900000000001</v>
      </c>
      <c r="AI331" s="21">
        <v>-8.1420899999999994E-3</v>
      </c>
      <c r="AJ331" s="21">
        <v>321</v>
      </c>
      <c r="AK331" s="21">
        <v>1.5152000000000001</v>
      </c>
      <c r="AL331">
        <f t="shared" si="54"/>
        <v>10.051962962962962</v>
      </c>
      <c r="AM331">
        <f t="shared" si="55"/>
        <v>15.242997676296296</v>
      </c>
      <c r="AP331" s="9"/>
      <c r="AQ331" s="21">
        <v>0.21362300000000001</v>
      </c>
      <c r="AR331" s="21">
        <v>27.220500000000001</v>
      </c>
      <c r="AS331" s="21">
        <v>-1.31805E-2</v>
      </c>
      <c r="AT331" s="21">
        <v>321</v>
      </c>
      <c r="AU331" s="21">
        <v>0.21307400000000001</v>
      </c>
      <c r="AV331">
        <f t="shared" si="56"/>
        <v>16.272222222222219</v>
      </c>
      <c r="AW331">
        <f t="shared" si="57"/>
        <v>3.4761209277777771</v>
      </c>
      <c r="AX331" s="9"/>
      <c r="AY331" s="21">
        <v>1.5164200000000001</v>
      </c>
      <c r="AZ331" s="21">
        <v>31.100100000000001</v>
      </c>
      <c r="BA331" s="21">
        <v>-8.0657999999999997E-3</v>
      </c>
      <c r="BB331" s="21">
        <v>321</v>
      </c>
      <c r="BC331" s="21">
        <v>1.5152000000000001</v>
      </c>
      <c r="BD331">
        <f t="shared" si="58"/>
        <v>9.9577777777777765</v>
      </c>
      <c r="BE331">
        <f t="shared" si="59"/>
        <v>15.100173377777777</v>
      </c>
    </row>
    <row r="332" spans="6:57" x14ac:dyDescent="0.25">
      <c r="F332" s="9"/>
      <c r="G332" s="21">
        <v>0.208588</v>
      </c>
      <c r="H332" s="21">
        <v>8.2791800000000002</v>
      </c>
      <c r="I332" s="21">
        <v>-1.3421600000000001E-2</v>
      </c>
      <c r="J332" s="21">
        <v>322</v>
      </c>
      <c r="K332" s="21">
        <v>0.20809900000000001</v>
      </c>
      <c r="L332">
        <f t="shared" ref="L332:L394" si="60">-I332/$F$2*1000</f>
        <v>16.569876543209876</v>
      </c>
      <c r="M332">
        <f t="shared" ref="M332:M394" si="61">L332*G332</f>
        <v>3.4562774083950614</v>
      </c>
      <c r="N332" s="9"/>
      <c r="O332" s="21">
        <v>1.52145</v>
      </c>
      <c r="P332" s="21">
        <v>12.158799999999999</v>
      </c>
      <c r="Q332" s="21">
        <v>-8.3404499999999993E-3</v>
      </c>
      <c r="R332" s="21">
        <v>322</v>
      </c>
      <c r="S332" s="21">
        <v>1.5206900000000001</v>
      </c>
      <c r="T332">
        <f t="shared" ref="T332:T394" si="62">-Q332/$F$2*1000</f>
        <v>10.29685185185185</v>
      </c>
      <c r="U332">
        <f t="shared" ref="U332:U394" si="63">T332*O332</f>
        <v>15.666145249999996</v>
      </c>
      <c r="X332" s="9"/>
      <c r="Y332" s="21">
        <v>0.208588</v>
      </c>
      <c r="Z332" s="21">
        <v>17.732399999999998</v>
      </c>
      <c r="AA332" s="21">
        <v>-1.3241599999999999E-2</v>
      </c>
      <c r="AB332" s="21">
        <v>322</v>
      </c>
      <c r="AC332" s="21">
        <v>0.20809900000000001</v>
      </c>
      <c r="AD332">
        <f t="shared" ref="AD332:AD394" si="64">-AA332/$F$2*1000</f>
        <v>16.347654320987651</v>
      </c>
      <c r="AE332">
        <f t="shared" ref="AE332:AE394" si="65">AD332*Y332</f>
        <v>3.409924519506172</v>
      </c>
      <c r="AF332" s="9"/>
      <c r="AG332" s="21">
        <v>1.52145</v>
      </c>
      <c r="AH332" s="21">
        <v>21.611999999999998</v>
      </c>
      <c r="AI332" s="21">
        <v>-8.0383299999999998E-3</v>
      </c>
      <c r="AJ332" s="21">
        <v>322</v>
      </c>
      <c r="AK332" s="21">
        <v>1.5200800000000001</v>
      </c>
      <c r="AL332">
        <f t="shared" ref="AL332:AL394" si="66">-AI332/$F$2*1000</f>
        <v>9.9238641975308628</v>
      </c>
      <c r="AM332">
        <f t="shared" ref="AM332:AM394" si="67">AL332*AG332</f>
        <v>15.098663183333331</v>
      </c>
      <c r="AP332" s="9"/>
      <c r="AQ332" s="21">
        <v>0.208588</v>
      </c>
      <c r="AR332" s="21">
        <v>27.230599999999999</v>
      </c>
      <c r="AS332" s="21">
        <v>-1.31653E-2</v>
      </c>
      <c r="AT332" s="21">
        <v>322</v>
      </c>
      <c r="AU332" s="21">
        <v>0.20809900000000001</v>
      </c>
      <c r="AV332">
        <f t="shared" ref="AV332:AV394" si="68">-AS332/$F$2*1000</f>
        <v>16.253456790123455</v>
      </c>
      <c r="AW332">
        <f t="shared" ref="AW332:AW394" si="69">AV332*AQ332</f>
        <v>3.3902760449382709</v>
      </c>
      <c r="AX332" s="9"/>
      <c r="AY332" s="21">
        <v>1.52145</v>
      </c>
      <c r="AZ332" s="21">
        <v>31.110199999999999</v>
      </c>
      <c r="BA332" s="21">
        <v>-7.9681400000000003E-3</v>
      </c>
      <c r="BB332" s="21">
        <v>322</v>
      </c>
      <c r="BC332" s="21">
        <v>1.5206900000000001</v>
      </c>
      <c r="BD332">
        <f t="shared" ref="BD332:BD394" si="70">-BA332/$F$2*1000</f>
        <v>9.8372098765432092</v>
      </c>
      <c r="BE332">
        <f t="shared" ref="BE332:BE394" si="71">BD332*AY332</f>
        <v>14.966822966666665</v>
      </c>
    </row>
    <row r="333" spans="6:57" x14ac:dyDescent="0.25">
      <c r="F333" s="9"/>
      <c r="G333" s="21">
        <v>0.20355200000000001</v>
      </c>
      <c r="H333" s="21">
        <v>8.2892499999999991</v>
      </c>
      <c r="I333" s="21">
        <v>-1.3424699999999999E-2</v>
      </c>
      <c r="J333" s="21">
        <v>323</v>
      </c>
      <c r="K333" s="21">
        <v>0.20300299999999999</v>
      </c>
      <c r="L333">
        <f t="shared" si="60"/>
        <v>16.5737037037037</v>
      </c>
      <c r="M333">
        <f t="shared" si="61"/>
        <v>3.3736105362962956</v>
      </c>
      <c r="N333" s="9"/>
      <c r="O333" s="21">
        <v>1.5264899999999999</v>
      </c>
      <c r="P333" s="21">
        <v>12.168900000000001</v>
      </c>
      <c r="Q333" s="21">
        <v>-8.2397500000000005E-3</v>
      </c>
      <c r="R333" s="21">
        <v>323</v>
      </c>
      <c r="S333" s="21">
        <v>1.5258799999999999</v>
      </c>
      <c r="T333">
        <f t="shared" si="62"/>
        <v>10.17253086419753</v>
      </c>
      <c r="U333">
        <f t="shared" si="63"/>
        <v>15.528266638888885</v>
      </c>
      <c r="X333" s="9"/>
      <c r="Y333" s="21">
        <v>0.20355200000000001</v>
      </c>
      <c r="Z333" s="21">
        <v>17.7424</v>
      </c>
      <c r="AA333" s="21">
        <v>-1.32385E-2</v>
      </c>
      <c r="AB333" s="21">
        <v>323</v>
      </c>
      <c r="AC333" s="21">
        <v>0.20294200000000001</v>
      </c>
      <c r="AD333">
        <f t="shared" si="64"/>
        <v>16.343827160493824</v>
      </c>
      <c r="AE333">
        <f t="shared" si="65"/>
        <v>3.3268187061728391</v>
      </c>
      <c r="AF333" s="9"/>
      <c r="AG333" s="21">
        <v>1.5264899999999999</v>
      </c>
      <c r="AH333" s="21">
        <v>21.6221</v>
      </c>
      <c r="AI333" s="21">
        <v>-7.9345700000000002E-3</v>
      </c>
      <c r="AJ333" s="21">
        <v>323</v>
      </c>
      <c r="AK333" s="21">
        <v>1.5261800000000001</v>
      </c>
      <c r="AL333">
        <f t="shared" si="66"/>
        <v>9.795765432098765</v>
      </c>
      <c r="AM333">
        <f t="shared" si="67"/>
        <v>14.953137974444443</v>
      </c>
      <c r="AP333" s="9"/>
      <c r="AQ333" s="21">
        <v>0.20355200000000001</v>
      </c>
      <c r="AR333" s="21">
        <v>27.2407</v>
      </c>
      <c r="AS333" s="21">
        <v>-1.31653E-2</v>
      </c>
      <c r="AT333" s="21">
        <v>323</v>
      </c>
      <c r="AU333" s="21">
        <v>0.20303299999999999</v>
      </c>
      <c r="AV333">
        <f t="shared" si="68"/>
        <v>16.253456790123455</v>
      </c>
      <c r="AW333">
        <f t="shared" si="69"/>
        <v>3.3084236365432096</v>
      </c>
      <c r="AX333" s="9"/>
      <c r="AY333" s="21">
        <v>1.5264899999999999</v>
      </c>
      <c r="AZ333" s="21">
        <v>31.1203</v>
      </c>
      <c r="BA333" s="21">
        <v>-7.8582800000000005E-3</v>
      </c>
      <c r="BB333" s="21">
        <v>323</v>
      </c>
      <c r="BC333" s="21">
        <v>1.5261800000000001</v>
      </c>
      <c r="BD333">
        <f t="shared" si="70"/>
        <v>9.7015802469135792</v>
      </c>
      <c r="BE333">
        <f t="shared" si="71"/>
        <v>14.809365231111109</v>
      </c>
    </row>
    <row r="334" spans="6:57" x14ac:dyDescent="0.25">
      <c r="F334" s="9"/>
      <c r="G334" s="21">
        <v>0.198517</v>
      </c>
      <c r="H334" s="21">
        <v>8.2993199999999998</v>
      </c>
      <c r="I334" s="21">
        <v>-1.34155E-2</v>
      </c>
      <c r="J334" s="21">
        <v>324</v>
      </c>
      <c r="K334" s="21">
        <v>0.19796800000000001</v>
      </c>
      <c r="L334">
        <f t="shared" si="60"/>
        <v>16.562345679012346</v>
      </c>
      <c r="M334">
        <f t="shared" si="61"/>
        <v>3.287907177160494</v>
      </c>
      <c r="N334" s="9"/>
      <c r="O334" s="21">
        <v>1.53152</v>
      </c>
      <c r="P334" s="21">
        <v>12.178900000000001</v>
      </c>
      <c r="Q334" s="21">
        <v>-8.1268299999999998E-3</v>
      </c>
      <c r="R334" s="21">
        <v>324</v>
      </c>
      <c r="S334" s="21">
        <v>1.5304599999999999</v>
      </c>
      <c r="T334">
        <f t="shared" si="62"/>
        <v>10.033123456790122</v>
      </c>
      <c r="U334">
        <f t="shared" si="63"/>
        <v>15.365929236543208</v>
      </c>
      <c r="X334" s="9"/>
      <c r="Y334" s="21">
        <v>0.198517</v>
      </c>
      <c r="Z334" s="21">
        <v>17.752500000000001</v>
      </c>
      <c r="AA334" s="21">
        <v>-1.32446E-2</v>
      </c>
      <c r="AB334" s="21">
        <v>324</v>
      </c>
      <c r="AC334" s="21">
        <v>0.197937</v>
      </c>
      <c r="AD334">
        <f t="shared" si="64"/>
        <v>16.351358024691358</v>
      </c>
      <c r="AE334">
        <f t="shared" si="65"/>
        <v>3.2460225409876542</v>
      </c>
      <c r="AF334" s="9"/>
      <c r="AG334" s="21">
        <v>1.53152</v>
      </c>
      <c r="AH334" s="21">
        <v>21.632100000000001</v>
      </c>
      <c r="AI334" s="21">
        <v>-7.8247100000000003E-3</v>
      </c>
      <c r="AJ334" s="21">
        <v>324</v>
      </c>
      <c r="AK334" s="21">
        <v>1.5301499999999999</v>
      </c>
      <c r="AL334">
        <f t="shared" si="66"/>
        <v>9.6601358024691351</v>
      </c>
      <c r="AM334">
        <f t="shared" si="67"/>
        <v>14.79469118419753</v>
      </c>
      <c r="AP334" s="9"/>
      <c r="AQ334" s="21">
        <v>0.198517</v>
      </c>
      <c r="AR334" s="21">
        <v>27.250699999999998</v>
      </c>
      <c r="AS334" s="21">
        <v>-1.3174399999999999E-2</v>
      </c>
      <c r="AT334" s="21">
        <v>324</v>
      </c>
      <c r="AU334" s="21">
        <v>0.19781499999999999</v>
      </c>
      <c r="AV334">
        <f t="shared" si="68"/>
        <v>16.264691358024692</v>
      </c>
      <c r="AW334">
        <f t="shared" si="69"/>
        <v>3.2288177343209878</v>
      </c>
      <c r="AX334" s="9"/>
      <c r="AY334" s="21">
        <v>1.53152</v>
      </c>
      <c r="AZ334" s="21">
        <v>31.130400000000002</v>
      </c>
      <c r="BA334" s="21">
        <v>-7.7575700000000001E-3</v>
      </c>
      <c r="BB334" s="21">
        <v>324</v>
      </c>
      <c r="BC334" s="21">
        <v>1.5304599999999999</v>
      </c>
      <c r="BD334">
        <f t="shared" si="70"/>
        <v>9.5772469135802467</v>
      </c>
      <c r="BE334">
        <f t="shared" si="71"/>
        <v>14.66774519308642</v>
      </c>
    </row>
    <row r="335" spans="6:57" x14ac:dyDescent="0.25">
      <c r="F335" s="9"/>
      <c r="G335" s="21">
        <v>0.19348099999999999</v>
      </c>
      <c r="H335" s="21">
        <v>8.3093900000000005</v>
      </c>
      <c r="I335" s="21">
        <v>-1.34003E-2</v>
      </c>
      <c r="J335" s="21">
        <v>325</v>
      </c>
      <c r="K335" s="21">
        <v>0.19293199999999999</v>
      </c>
      <c r="L335">
        <f t="shared" si="60"/>
        <v>16.543580246913578</v>
      </c>
      <c r="M335">
        <f t="shared" si="61"/>
        <v>3.2008684497530857</v>
      </c>
      <c r="N335" s="9"/>
      <c r="O335" s="21">
        <v>1.5365599999999999</v>
      </c>
      <c r="P335" s="21">
        <v>12.189</v>
      </c>
      <c r="Q335" s="21">
        <v>-8.0108599999999999E-3</v>
      </c>
      <c r="R335" s="21">
        <v>325</v>
      </c>
      <c r="S335" s="21">
        <v>1.5362499999999999</v>
      </c>
      <c r="T335">
        <f t="shared" si="62"/>
        <v>9.8899506172839491</v>
      </c>
      <c r="U335">
        <f t="shared" si="63"/>
        <v>15.196502520493825</v>
      </c>
      <c r="X335" s="9"/>
      <c r="Y335" s="21">
        <v>0.19348099999999999</v>
      </c>
      <c r="Z335" s="21">
        <v>17.762599999999999</v>
      </c>
      <c r="AA335" s="21">
        <v>-1.3256799999999999E-2</v>
      </c>
      <c r="AB335" s="21">
        <v>325</v>
      </c>
      <c r="AC335" s="21">
        <v>0.19293199999999999</v>
      </c>
      <c r="AD335">
        <f t="shared" si="64"/>
        <v>16.366419753086415</v>
      </c>
      <c r="AE335">
        <f t="shared" si="65"/>
        <v>3.1665912602469124</v>
      </c>
      <c r="AF335" s="9"/>
      <c r="AG335" s="21">
        <v>1.5365599999999999</v>
      </c>
      <c r="AH335" s="21">
        <v>21.642199999999999</v>
      </c>
      <c r="AI335" s="21">
        <v>-7.7056900000000003E-3</v>
      </c>
      <c r="AJ335" s="21">
        <v>325</v>
      </c>
      <c r="AK335" s="21">
        <v>1.5356399999999999</v>
      </c>
      <c r="AL335">
        <f t="shared" si="66"/>
        <v>9.5131975308641969</v>
      </c>
      <c r="AM335">
        <f t="shared" si="67"/>
        <v>14.617598798024689</v>
      </c>
      <c r="AP335" s="9"/>
      <c r="AQ335" s="21">
        <v>0.19348099999999999</v>
      </c>
      <c r="AR335" s="21">
        <v>27.2608</v>
      </c>
      <c r="AS335" s="21">
        <v>-1.31805E-2</v>
      </c>
      <c r="AT335" s="21">
        <v>325</v>
      </c>
      <c r="AU335" s="21">
        <v>0.19290199999999999</v>
      </c>
      <c r="AV335">
        <f t="shared" si="68"/>
        <v>16.272222222222219</v>
      </c>
      <c r="AW335">
        <f t="shared" si="69"/>
        <v>3.1483658277777771</v>
      </c>
      <c r="AX335" s="9"/>
      <c r="AY335" s="21">
        <v>1.5365599999999999</v>
      </c>
      <c r="AZ335" s="21">
        <v>31.1404</v>
      </c>
      <c r="BA335" s="21">
        <v>-7.6477100000000003E-3</v>
      </c>
      <c r="BB335" s="21">
        <v>325</v>
      </c>
      <c r="BC335" s="21">
        <v>1.5359499999999999</v>
      </c>
      <c r="BD335">
        <f t="shared" si="70"/>
        <v>9.4416172839506167</v>
      </c>
      <c r="BE335">
        <f t="shared" si="71"/>
        <v>14.50761145382716</v>
      </c>
    </row>
    <row r="336" spans="6:57" x14ac:dyDescent="0.25">
      <c r="F336" s="9"/>
      <c r="G336" s="21">
        <v>0.188446</v>
      </c>
      <c r="H336" s="21">
        <v>8.3194599999999994</v>
      </c>
      <c r="I336" s="21">
        <v>-1.33911E-2</v>
      </c>
      <c r="J336" s="21">
        <v>326</v>
      </c>
      <c r="K336" s="21">
        <v>0.18795799999999999</v>
      </c>
      <c r="L336">
        <f t="shared" si="60"/>
        <v>16.53222222222222</v>
      </c>
      <c r="M336">
        <f t="shared" si="61"/>
        <v>3.1154311488888884</v>
      </c>
      <c r="N336" s="9"/>
      <c r="O336" s="21">
        <v>1.5416000000000001</v>
      </c>
      <c r="P336" s="21">
        <v>12.1991</v>
      </c>
      <c r="Q336" s="21">
        <v>-7.9071000000000002E-3</v>
      </c>
      <c r="R336" s="21">
        <v>326</v>
      </c>
      <c r="S336" s="21">
        <v>1.54114</v>
      </c>
      <c r="T336">
        <f t="shared" si="62"/>
        <v>9.7618518518518513</v>
      </c>
      <c r="U336">
        <f t="shared" si="63"/>
        <v>15.048870814814816</v>
      </c>
      <c r="X336" s="9"/>
      <c r="Y336" s="21">
        <v>0.188446</v>
      </c>
      <c r="Z336" s="21">
        <v>17.772600000000001</v>
      </c>
      <c r="AA336" s="21">
        <v>-1.32599E-2</v>
      </c>
      <c r="AB336" s="21">
        <v>326</v>
      </c>
      <c r="AC336" s="21">
        <v>0.187836</v>
      </c>
      <c r="AD336">
        <f t="shared" si="64"/>
        <v>16.370246913580246</v>
      </c>
      <c r="AE336">
        <f t="shared" si="65"/>
        <v>3.0849075498765433</v>
      </c>
      <c r="AF336" s="9"/>
      <c r="AG336" s="21">
        <v>1.5416000000000001</v>
      </c>
      <c r="AH336" s="21">
        <v>21.6523</v>
      </c>
      <c r="AI336" s="21">
        <v>-7.5836200000000001E-3</v>
      </c>
      <c r="AJ336" s="21">
        <v>326</v>
      </c>
      <c r="AK336" s="21">
        <v>1.5402199999999999</v>
      </c>
      <c r="AL336">
        <f t="shared" si="66"/>
        <v>9.3624938271604936</v>
      </c>
      <c r="AM336">
        <f t="shared" si="67"/>
        <v>14.433220483950617</v>
      </c>
      <c r="AP336" s="9"/>
      <c r="AQ336" s="21">
        <v>0.188446</v>
      </c>
      <c r="AR336" s="21">
        <v>27.270900000000001</v>
      </c>
      <c r="AS336" s="21">
        <v>-1.31897E-2</v>
      </c>
      <c r="AT336" s="21">
        <v>326</v>
      </c>
      <c r="AU336" s="21">
        <v>0.18792700000000001</v>
      </c>
      <c r="AV336">
        <f t="shared" si="68"/>
        <v>16.28358024691358</v>
      </c>
      <c r="AW336">
        <f t="shared" si="69"/>
        <v>3.0685755632098766</v>
      </c>
      <c r="AX336" s="9"/>
      <c r="AY336" s="21">
        <v>1.5416000000000001</v>
      </c>
      <c r="AZ336" s="21">
        <v>31.150500000000001</v>
      </c>
      <c r="BA336" s="21">
        <v>-7.5256300000000002E-3</v>
      </c>
      <c r="BB336" s="21">
        <v>326</v>
      </c>
      <c r="BC336" s="21">
        <v>1.5414399999999999</v>
      </c>
      <c r="BD336">
        <f t="shared" si="70"/>
        <v>9.290901234567901</v>
      </c>
      <c r="BE336">
        <f t="shared" si="71"/>
        <v>14.322853343209877</v>
      </c>
    </row>
    <row r="337" spans="6:57" x14ac:dyDescent="0.25">
      <c r="F337" s="9"/>
      <c r="G337" s="21">
        <v>0.18341099999999999</v>
      </c>
      <c r="H337" s="21">
        <v>8.3295399999999997</v>
      </c>
      <c r="I337" s="21">
        <v>-1.33942E-2</v>
      </c>
      <c r="J337" s="21">
        <v>327</v>
      </c>
      <c r="K337" s="21">
        <v>0.18279999999999999</v>
      </c>
      <c r="L337">
        <f t="shared" si="60"/>
        <v>16.536049382716048</v>
      </c>
      <c r="M337">
        <f t="shared" si="61"/>
        <v>3.0328933533333329</v>
      </c>
      <c r="N337" s="9"/>
      <c r="O337" s="21">
        <v>1.5466299999999999</v>
      </c>
      <c r="P337" s="21">
        <v>12.209199999999999</v>
      </c>
      <c r="Q337" s="21">
        <v>-7.7911400000000002E-3</v>
      </c>
      <c r="R337" s="21">
        <v>327</v>
      </c>
      <c r="S337" s="21">
        <v>1.5460199999999999</v>
      </c>
      <c r="T337">
        <f t="shared" si="62"/>
        <v>9.6186913580246909</v>
      </c>
      <c r="U337">
        <f t="shared" si="63"/>
        <v>14.876556615061727</v>
      </c>
      <c r="X337" s="9"/>
      <c r="Y337" s="21">
        <v>0.18341099999999999</v>
      </c>
      <c r="Z337" s="21">
        <v>17.782699999999998</v>
      </c>
      <c r="AA337" s="21">
        <v>-1.3262899999999999E-2</v>
      </c>
      <c r="AB337" s="21">
        <v>327</v>
      </c>
      <c r="AC337" s="21">
        <v>0.18283099999999999</v>
      </c>
      <c r="AD337">
        <f t="shared" si="64"/>
        <v>16.373950617283949</v>
      </c>
      <c r="AE337">
        <f t="shared" si="65"/>
        <v>3.003162656666666</v>
      </c>
      <c r="AF337" s="9"/>
      <c r="AG337" s="21">
        <v>1.5466299999999999</v>
      </c>
      <c r="AH337" s="21">
        <v>21.662299999999998</v>
      </c>
      <c r="AI337" s="21">
        <v>-7.4554399999999998E-3</v>
      </c>
      <c r="AJ337" s="21">
        <v>327</v>
      </c>
      <c r="AK337" s="21">
        <v>1.5460199999999999</v>
      </c>
      <c r="AL337">
        <f t="shared" si="66"/>
        <v>9.2042469135802456</v>
      </c>
      <c r="AM337">
        <f t="shared" si="67"/>
        <v>14.235564403950615</v>
      </c>
      <c r="AP337" s="9"/>
      <c r="AQ337" s="21">
        <v>0.18341099999999999</v>
      </c>
      <c r="AR337" s="21">
        <v>27.280999999999999</v>
      </c>
      <c r="AS337" s="21">
        <v>-1.31927E-2</v>
      </c>
      <c r="AT337" s="21">
        <v>327</v>
      </c>
      <c r="AU337" s="21">
        <v>0.18276999999999999</v>
      </c>
      <c r="AV337">
        <f t="shared" si="68"/>
        <v>16.287283950617283</v>
      </c>
      <c r="AW337">
        <f t="shared" si="69"/>
        <v>2.9872670366666663</v>
      </c>
      <c r="AX337" s="9"/>
      <c r="AY337" s="21">
        <v>1.5466299999999999</v>
      </c>
      <c r="AZ337" s="21">
        <v>31.160599999999999</v>
      </c>
      <c r="BA337" s="21">
        <v>-7.40662E-3</v>
      </c>
      <c r="BB337" s="21">
        <v>327</v>
      </c>
      <c r="BC337" s="21">
        <v>1.5460199999999999</v>
      </c>
      <c r="BD337">
        <f t="shared" si="70"/>
        <v>9.1439753086419753</v>
      </c>
      <c r="BE337">
        <f t="shared" si="71"/>
        <v>14.142346531604938</v>
      </c>
    </row>
    <row r="338" spans="6:57" x14ac:dyDescent="0.25">
      <c r="F338" s="9"/>
      <c r="G338" s="21">
        <v>0.17837500000000001</v>
      </c>
      <c r="H338" s="21">
        <v>8.3396100000000004</v>
      </c>
      <c r="I338" s="21">
        <v>-1.33972E-2</v>
      </c>
      <c r="J338" s="21">
        <v>328</v>
      </c>
      <c r="K338" s="21">
        <v>0.177734</v>
      </c>
      <c r="L338">
        <f t="shared" si="60"/>
        <v>16.539753086419751</v>
      </c>
      <c r="M338">
        <f t="shared" si="61"/>
        <v>2.950278456790123</v>
      </c>
      <c r="N338" s="9"/>
      <c r="O338" s="21">
        <v>1.5516700000000001</v>
      </c>
      <c r="P338" s="21">
        <v>12.219200000000001</v>
      </c>
      <c r="Q338" s="21">
        <v>-7.6721200000000002E-3</v>
      </c>
      <c r="R338" s="21">
        <v>328</v>
      </c>
      <c r="S338" s="21">
        <v>1.55121</v>
      </c>
      <c r="T338">
        <f t="shared" si="62"/>
        <v>9.4717530864197528</v>
      </c>
      <c r="U338">
        <f t="shared" si="63"/>
        <v>14.697035111604938</v>
      </c>
      <c r="X338" s="9"/>
      <c r="Y338" s="21">
        <v>0.17837500000000001</v>
      </c>
      <c r="Z338" s="21">
        <v>17.7928</v>
      </c>
      <c r="AA338" s="21">
        <v>-1.3262899999999999E-2</v>
      </c>
      <c r="AB338" s="21">
        <v>328</v>
      </c>
      <c r="AC338" s="21">
        <v>0.17782600000000001</v>
      </c>
      <c r="AD338">
        <f t="shared" si="64"/>
        <v>16.373950617283949</v>
      </c>
      <c r="AE338">
        <f t="shared" si="65"/>
        <v>2.9207034413580244</v>
      </c>
      <c r="AF338" s="9"/>
      <c r="AG338" s="21">
        <v>1.5516700000000001</v>
      </c>
      <c r="AH338" s="21">
        <v>21.6724</v>
      </c>
      <c r="AI338" s="21">
        <v>-7.3211700000000001E-3</v>
      </c>
      <c r="AJ338" s="21">
        <v>328</v>
      </c>
      <c r="AK338" s="21">
        <v>1.5506</v>
      </c>
      <c r="AL338">
        <f t="shared" si="66"/>
        <v>9.0384814814814813</v>
      </c>
      <c r="AM338">
        <f t="shared" si="67"/>
        <v>14.024740560370372</v>
      </c>
      <c r="AP338" s="9"/>
      <c r="AQ338" s="21">
        <v>0.17837500000000001</v>
      </c>
      <c r="AR338" s="21">
        <v>27.291</v>
      </c>
      <c r="AS338" s="21">
        <v>-1.3214099999999999E-2</v>
      </c>
      <c r="AT338" s="21">
        <v>328</v>
      </c>
      <c r="AU338" s="21">
        <v>0.17782600000000001</v>
      </c>
      <c r="AV338">
        <f t="shared" si="68"/>
        <v>16.313703703703702</v>
      </c>
      <c r="AW338">
        <f t="shared" si="69"/>
        <v>2.9099568981481481</v>
      </c>
      <c r="AX338" s="9"/>
      <c r="AY338" s="21">
        <v>1.5516700000000001</v>
      </c>
      <c r="AZ338" s="21">
        <v>31.1706</v>
      </c>
      <c r="BA338" s="21">
        <v>-7.2845499999999999E-3</v>
      </c>
      <c r="BB338" s="21">
        <v>328</v>
      </c>
      <c r="BC338" s="21">
        <v>1.5506</v>
      </c>
      <c r="BD338">
        <f t="shared" si="70"/>
        <v>8.9932716049382702</v>
      </c>
      <c r="BE338">
        <f t="shared" si="71"/>
        <v>13.954589751234566</v>
      </c>
    </row>
    <row r="339" spans="6:57" x14ac:dyDescent="0.25">
      <c r="F339" s="9"/>
      <c r="G339" s="21">
        <v>0.17333999999999999</v>
      </c>
      <c r="H339" s="21">
        <v>8.3496799999999993</v>
      </c>
      <c r="I339" s="21">
        <v>-1.34033E-2</v>
      </c>
      <c r="J339" s="21">
        <v>329</v>
      </c>
      <c r="K339" s="21">
        <v>0.17276</v>
      </c>
      <c r="L339">
        <f t="shared" si="60"/>
        <v>16.547283950617281</v>
      </c>
      <c r="M339">
        <f t="shared" si="61"/>
        <v>2.8683061999999993</v>
      </c>
      <c r="N339" s="9"/>
      <c r="O339" s="21">
        <v>1.5567</v>
      </c>
      <c r="P339" s="21">
        <v>12.2293</v>
      </c>
      <c r="Q339" s="21">
        <v>-7.5408899999999997E-3</v>
      </c>
      <c r="R339" s="21">
        <v>329</v>
      </c>
      <c r="S339" s="21">
        <v>1.55609</v>
      </c>
      <c r="T339">
        <f t="shared" si="62"/>
        <v>9.3097407407407395</v>
      </c>
      <c r="U339">
        <f t="shared" si="63"/>
        <v>14.492473411111108</v>
      </c>
      <c r="X339" s="9"/>
      <c r="Y339" s="21">
        <v>0.17333999999999999</v>
      </c>
      <c r="Z339" s="21">
        <v>17.802900000000001</v>
      </c>
      <c r="AA339" s="21">
        <v>-1.3262899999999999E-2</v>
      </c>
      <c r="AB339" s="21">
        <v>329</v>
      </c>
      <c r="AC339" s="21">
        <v>0.172791</v>
      </c>
      <c r="AD339">
        <f t="shared" si="64"/>
        <v>16.373950617283949</v>
      </c>
      <c r="AE339">
        <f t="shared" si="65"/>
        <v>2.8382605999999995</v>
      </c>
      <c r="AF339" s="9"/>
      <c r="AG339" s="21">
        <v>1.5567</v>
      </c>
      <c r="AH339" s="21">
        <v>21.682500000000001</v>
      </c>
      <c r="AI339" s="21">
        <v>-7.1868899999999996E-3</v>
      </c>
      <c r="AJ339" s="21">
        <v>329</v>
      </c>
      <c r="AK339" s="21">
        <v>1.55548</v>
      </c>
      <c r="AL339">
        <f t="shared" si="66"/>
        <v>8.8727037037037029</v>
      </c>
      <c r="AM339">
        <f t="shared" si="67"/>
        <v>13.812137855555553</v>
      </c>
      <c r="AP339" s="9"/>
      <c r="AQ339" s="21">
        <v>0.17333999999999999</v>
      </c>
      <c r="AR339" s="21">
        <v>27.301100000000002</v>
      </c>
      <c r="AS339" s="21">
        <v>-1.32172E-2</v>
      </c>
      <c r="AT339" s="21">
        <v>329</v>
      </c>
      <c r="AU339" s="21">
        <v>0.17276</v>
      </c>
      <c r="AV339">
        <f t="shared" si="68"/>
        <v>16.317530864197529</v>
      </c>
      <c r="AW339">
        <f t="shared" si="69"/>
        <v>2.8284807999999995</v>
      </c>
      <c r="AX339" s="9"/>
      <c r="AY339" s="21">
        <v>1.5567</v>
      </c>
      <c r="AZ339" s="21">
        <v>31.180700000000002</v>
      </c>
      <c r="BA339" s="21">
        <v>-7.14417E-3</v>
      </c>
      <c r="BB339" s="21">
        <v>329</v>
      </c>
      <c r="BC339" s="21">
        <v>1.55609</v>
      </c>
      <c r="BD339">
        <f t="shared" si="70"/>
        <v>8.8199629629629612</v>
      </c>
      <c r="BE339">
        <f t="shared" si="71"/>
        <v>13.730036344444441</v>
      </c>
    </row>
    <row r="340" spans="6:57" x14ac:dyDescent="0.25">
      <c r="F340" s="9"/>
      <c r="G340" s="21">
        <v>0.16830400000000001</v>
      </c>
      <c r="H340" s="21">
        <v>8.35975</v>
      </c>
      <c r="I340" s="21">
        <v>-1.3412500000000001E-2</v>
      </c>
      <c r="J340" s="21">
        <v>330</v>
      </c>
      <c r="K340" s="21">
        <v>0.16775499999999999</v>
      </c>
      <c r="L340">
        <f t="shared" si="60"/>
        <v>16.558641975308642</v>
      </c>
      <c r="M340">
        <f t="shared" si="61"/>
        <v>2.7868856790123457</v>
      </c>
      <c r="N340" s="9"/>
      <c r="O340" s="21">
        <v>1.5617399999999999</v>
      </c>
      <c r="P340" s="21">
        <v>12.2394</v>
      </c>
      <c r="Q340" s="21">
        <v>-7.4157700000000003E-3</v>
      </c>
      <c r="R340" s="21">
        <v>330</v>
      </c>
      <c r="S340" s="21">
        <v>1.56097</v>
      </c>
      <c r="T340">
        <f t="shared" si="62"/>
        <v>9.155271604938271</v>
      </c>
      <c r="U340">
        <f t="shared" si="63"/>
        <v>14.298153876296295</v>
      </c>
      <c r="X340" s="9"/>
      <c r="Y340" s="21">
        <v>0.16830400000000001</v>
      </c>
      <c r="Z340" s="21">
        <v>17.812899999999999</v>
      </c>
      <c r="AA340" s="21">
        <v>-1.3262899999999999E-2</v>
      </c>
      <c r="AB340" s="21">
        <v>330</v>
      </c>
      <c r="AC340" s="21">
        <v>0.16775499999999999</v>
      </c>
      <c r="AD340">
        <f t="shared" si="64"/>
        <v>16.373950617283949</v>
      </c>
      <c r="AE340">
        <f t="shared" si="65"/>
        <v>2.7558013846913578</v>
      </c>
      <c r="AF340" s="9"/>
      <c r="AG340" s="21">
        <v>1.5617399999999999</v>
      </c>
      <c r="AH340" s="21">
        <v>21.692499999999999</v>
      </c>
      <c r="AI340" s="21">
        <v>-7.0465099999999998E-3</v>
      </c>
      <c r="AJ340" s="21">
        <v>330</v>
      </c>
      <c r="AK340" s="21">
        <v>1.56128</v>
      </c>
      <c r="AL340">
        <f t="shared" si="66"/>
        <v>8.6993950617283939</v>
      </c>
      <c r="AM340">
        <f t="shared" si="67"/>
        <v>13.586193243703701</v>
      </c>
      <c r="AP340" s="9"/>
      <c r="AQ340" s="21">
        <v>0.16830400000000001</v>
      </c>
      <c r="AR340" s="21">
        <v>27.311199999999999</v>
      </c>
      <c r="AS340" s="21">
        <v>-1.32111E-2</v>
      </c>
      <c r="AT340" s="21">
        <v>330</v>
      </c>
      <c r="AU340" s="21">
        <v>0.16775499999999999</v>
      </c>
      <c r="AV340">
        <f t="shared" si="68"/>
        <v>16.309999999999999</v>
      </c>
      <c r="AW340">
        <f t="shared" si="69"/>
        <v>2.74503824</v>
      </c>
      <c r="AX340" s="9"/>
      <c r="AY340" s="21">
        <v>1.5617399999999999</v>
      </c>
      <c r="AZ340" s="21">
        <v>31.190799999999999</v>
      </c>
      <c r="BA340" s="21">
        <v>-7.0037800000000002E-3</v>
      </c>
      <c r="BB340" s="21">
        <v>330</v>
      </c>
      <c r="BC340" s="21">
        <v>1.56067</v>
      </c>
      <c r="BD340">
        <f t="shared" si="70"/>
        <v>8.6466419753086416</v>
      </c>
      <c r="BE340">
        <f t="shared" si="71"/>
        <v>13.503806638518517</v>
      </c>
    </row>
    <row r="341" spans="6:57" x14ac:dyDescent="0.25">
      <c r="F341" s="9"/>
      <c r="G341" s="21">
        <v>0.163269</v>
      </c>
      <c r="H341" s="21">
        <v>8.3698200000000007</v>
      </c>
      <c r="I341" s="21">
        <v>-1.3412500000000001E-2</v>
      </c>
      <c r="J341" s="21">
        <v>331</v>
      </c>
      <c r="K341" s="21">
        <v>0.162659</v>
      </c>
      <c r="L341">
        <f t="shared" si="60"/>
        <v>16.558641975308642</v>
      </c>
      <c r="M341">
        <f t="shared" si="61"/>
        <v>2.7035129166666665</v>
      </c>
      <c r="N341" s="9"/>
      <c r="O341" s="21">
        <v>1.56677</v>
      </c>
      <c r="P341" s="21">
        <v>12.2494</v>
      </c>
      <c r="Q341" s="21">
        <v>-7.2753899999999996E-3</v>
      </c>
      <c r="R341" s="21">
        <v>331</v>
      </c>
      <c r="S341" s="21">
        <v>1.56586</v>
      </c>
      <c r="T341">
        <f t="shared" si="62"/>
        <v>8.981962962962962</v>
      </c>
      <c r="U341">
        <f t="shared" si="63"/>
        <v>14.072670111481481</v>
      </c>
      <c r="X341" s="9"/>
      <c r="Y341" s="21">
        <v>0.163269</v>
      </c>
      <c r="Z341" s="21">
        <v>17.823</v>
      </c>
      <c r="AA341" s="21">
        <v>-1.3262899999999999E-2</v>
      </c>
      <c r="AB341" s="21">
        <v>331</v>
      </c>
      <c r="AC341" s="21">
        <v>0.16275000000000001</v>
      </c>
      <c r="AD341">
        <f t="shared" si="64"/>
        <v>16.373950617283949</v>
      </c>
      <c r="AE341">
        <f t="shared" si="65"/>
        <v>2.6733585433333329</v>
      </c>
      <c r="AF341" s="9"/>
      <c r="AG341" s="21">
        <v>1.56677</v>
      </c>
      <c r="AH341" s="21">
        <v>21.7026</v>
      </c>
      <c r="AI341" s="21">
        <v>-6.9152800000000002E-3</v>
      </c>
      <c r="AJ341" s="21">
        <v>331</v>
      </c>
      <c r="AK341" s="21">
        <v>1.56616</v>
      </c>
      <c r="AL341">
        <f t="shared" si="66"/>
        <v>8.5373827160493825</v>
      </c>
      <c r="AM341">
        <f t="shared" si="67"/>
        <v>13.376115118024691</v>
      </c>
      <c r="AP341" s="9"/>
      <c r="AQ341" s="21">
        <v>0.163269</v>
      </c>
      <c r="AR341" s="21">
        <v>27.321200000000001</v>
      </c>
      <c r="AS341" s="21">
        <v>-1.32172E-2</v>
      </c>
      <c r="AT341" s="21">
        <v>331</v>
      </c>
      <c r="AU341" s="21">
        <v>0.16272</v>
      </c>
      <c r="AV341">
        <f t="shared" si="68"/>
        <v>16.317530864197529</v>
      </c>
      <c r="AW341">
        <f t="shared" si="69"/>
        <v>2.6641469466666665</v>
      </c>
      <c r="AX341" s="9"/>
      <c r="AY341" s="21">
        <v>1.56677</v>
      </c>
      <c r="AZ341" s="21">
        <v>31.200800000000001</v>
      </c>
      <c r="BA341" s="21">
        <v>-6.8603500000000003E-3</v>
      </c>
      <c r="BB341" s="21">
        <v>331</v>
      </c>
      <c r="BC341" s="21">
        <v>1.56555</v>
      </c>
      <c r="BD341">
        <f t="shared" si="70"/>
        <v>8.4695679012345675</v>
      </c>
      <c r="BE341">
        <f t="shared" si="71"/>
        <v>13.269864900617284</v>
      </c>
    </row>
    <row r="342" spans="6:57" x14ac:dyDescent="0.25">
      <c r="F342" s="9"/>
      <c r="G342" s="21">
        <v>0.15823400000000001</v>
      </c>
      <c r="H342" s="21">
        <v>8.3798899999999996</v>
      </c>
      <c r="I342" s="21">
        <v>-1.34155E-2</v>
      </c>
      <c r="J342" s="21">
        <v>332</v>
      </c>
      <c r="K342" s="21">
        <v>0.15762300000000001</v>
      </c>
      <c r="L342">
        <f t="shared" si="60"/>
        <v>16.562345679012346</v>
      </c>
      <c r="M342">
        <f t="shared" si="61"/>
        <v>2.6207262061728396</v>
      </c>
      <c r="N342" s="9"/>
      <c r="O342" s="21">
        <v>1.5718099999999999</v>
      </c>
      <c r="P342" s="21">
        <v>12.259499999999999</v>
      </c>
      <c r="Q342" s="21">
        <v>-7.1197500000000002E-3</v>
      </c>
      <c r="R342" s="21">
        <v>332</v>
      </c>
      <c r="S342" s="21">
        <v>1.57074</v>
      </c>
      <c r="T342">
        <f t="shared" si="62"/>
        <v>8.7898148148148145</v>
      </c>
      <c r="U342">
        <f t="shared" si="63"/>
        <v>13.815918824074073</v>
      </c>
      <c r="X342" s="9"/>
      <c r="Y342" s="21">
        <v>0.15823400000000001</v>
      </c>
      <c r="Z342" s="21">
        <v>17.833100000000002</v>
      </c>
      <c r="AA342" s="21">
        <v>-1.3266E-2</v>
      </c>
      <c r="AB342" s="21">
        <v>332</v>
      </c>
      <c r="AC342" s="21">
        <v>0.15768399999999999</v>
      </c>
      <c r="AD342">
        <f t="shared" si="64"/>
        <v>16.377777777777776</v>
      </c>
      <c r="AE342">
        <f t="shared" si="65"/>
        <v>2.591521288888889</v>
      </c>
      <c r="AF342" s="9"/>
      <c r="AG342" s="21">
        <v>1.5718099999999999</v>
      </c>
      <c r="AH342" s="21">
        <v>21.712700000000002</v>
      </c>
      <c r="AI342" s="21">
        <v>-6.7718500000000003E-3</v>
      </c>
      <c r="AJ342" s="21">
        <v>332</v>
      </c>
      <c r="AK342" s="21">
        <v>1.57104</v>
      </c>
      <c r="AL342">
        <f t="shared" si="66"/>
        <v>8.3603086419753083</v>
      </c>
      <c r="AM342">
        <f t="shared" si="67"/>
        <v>13.140816726543209</v>
      </c>
      <c r="AP342" s="9"/>
      <c r="AQ342" s="21">
        <v>0.15823400000000001</v>
      </c>
      <c r="AR342" s="21">
        <v>27.331299999999999</v>
      </c>
      <c r="AS342" s="21">
        <v>-1.3229400000000001E-2</v>
      </c>
      <c r="AT342" s="21">
        <v>332</v>
      </c>
      <c r="AU342" s="21">
        <v>0.15771499999999999</v>
      </c>
      <c r="AV342">
        <f t="shared" si="68"/>
        <v>16.332592592592594</v>
      </c>
      <c r="AW342">
        <f t="shared" si="69"/>
        <v>2.5843714562962967</v>
      </c>
      <c r="AX342" s="9"/>
      <c r="AY342" s="21">
        <v>1.5718099999999999</v>
      </c>
      <c r="AZ342" s="21">
        <v>31.210899999999999</v>
      </c>
      <c r="BA342" s="21">
        <v>-6.7169200000000004E-3</v>
      </c>
      <c r="BB342" s="21">
        <v>332</v>
      </c>
      <c r="BC342" s="21">
        <v>1.57104</v>
      </c>
      <c r="BD342">
        <f t="shared" si="70"/>
        <v>8.2924938271604951</v>
      </c>
      <c r="BE342">
        <f t="shared" si="71"/>
        <v>13.034224722469137</v>
      </c>
    </row>
    <row r="343" spans="6:57" x14ac:dyDescent="0.25">
      <c r="F343" s="9"/>
      <c r="G343" s="21">
        <v>0.153198</v>
      </c>
      <c r="H343" s="21">
        <v>8.3899600000000003</v>
      </c>
      <c r="I343" s="21">
        <v>-1.3412500000000001E-2</v>
      </c>
      <c r="J343" s="21">
        <v>333</v>
      </c>
      <c r="K343" s="21">
        <v>0.15271000000000001</v>
      </c>
      <c r="L343">
        <f t="shared" si="60"/>
        <v>16.558641975308642</v>
      </c>
      <c r="M343">
        <f t="shared" si="61"/>
        <v>2.5367508333333335</v>
      </c>
      <c r="N343" s="9"/>
      <c r="O343" s="21">
        <v>1.57684</v>
      </c>
      <c r="P343" s="21">
        <v>12.269600000000001</v>
      </c>
      <c r="Q343" s="21">
        <v>-6.9641099999999999E-3</v>
      </c>
      <c r="R343" s="21">
        <v>333</v>
      </c>
      <c r="S343" s="21">
        <v>1.5759300000000001</v>
      </c>
      <c r="T343">
        <f t="shared" si="62"/>
        <v>8.597666666666667</v>
      </c>
      <c r="U343">
        <f t="shared" si="63"/>
        <v>13.557144706666667</v>
      </c>
      <c r="X343" s="9"/>
      <c r="Y343" s="21">
        <v>0.153198</v>
      </c>
      <c r="Z343" s="21">
        <v>17.8431</v>
      </c>
      <c r="AA343" s="21">
        <v>-1.32721E-2</v>
      </c>
      <c r="AB343" s="21">
        <v>333</v>
      </c>
      <c r="AC343" s="21">
        <v>0.15264900000000001</v>
      </c>
      <c r="AD343">
        <f t="shared" si="64"/>
        <v>16.385308641975307</v>
      </c>
      <c r="AE343">
        <f t="shared" si="65"/>
        <v>2.5101965133333333</v>
      </c>
      <c r="AF343" s="9"/>
      <c r="AG343" s="21">
        <v>1.57684</v>
      </c>
      <c r="AH343" s="21">
        <v>21.722799999999999</v>
      </c>
      <c r="AI343" s="21">
        <v>-6.6131599999999999E-3</v>
      </c>
      <c r="AJ343" s="21">
        <v>333</v>
      </c>
      <c r="AK343" s="21">
        <v>1.57623</v>
      </c>
      <c r="AL343">
        <f t="shared" si="66"/>
        <v>8.1643950617283938</v>
      </c>
      <c r="AM343">
        <f t="shared" si="67"/>
        <v>12.873944709135801</v>
      </c>
      <c r="AP343" s="9"/>
      <c r="AQ343" s="21">
        <v>0.153198</v>
      </c>
      <c r="AR343" s="21">
        <v>27.3414</v>
      </c>
      <c r="AS343" s="21">
        <v>-1.32385E-2</v>
      </c>
      <c r="AT343" s="21">
        <v>333</v>
      </c>
      <c r="AU343" s="21">
        <v>0.152588</v>
      </c>
      <c r="AV343">
        <f t="shared" si="68"/>
        <v>16.343827160493824</v>
      </c>
      <c r="AW343">
        <f t="shared" si="69"/>
        <v>2.5038416333333329</v>
      </c>
      <c r="AX343" s="9"/>
      <c r="AY343" s="21">
        <v>1.57684</v>
      </c>
      <c r="AZ343" s="21">
        <v>31.221</v>
      </c>
      <c r="BA343" s="21">
        <v>-6.5612800000000001E-3</v>
      </c>
      <c r="BB343" s="21">
        <v>333</v>
      </c>
      <c r="BC343" s="21">
        <v>1.5759300000000001</v>
      </c>
      <c r="BD343">
        <f t="shared" si="70"/>
        <v>8.100345679012344</v>
      </c>
      <c r="BE343">
        <f t="shared" si="71"/>
        <v>12.772949080493825</v>
      </c>
    </row>
    <row r="344" spans="6:57" x14ac:dyDescent="0.25">
      <c r="F344" s="9"/>
      <c r="G344" s="21">
        <v>0.14816299999999999</v>
      </c>
      <c r="H344" s="21">
        <v>8.4000299999999992</v>
      </c>
      <c r="I344" s="21">
        <v>-1.3427700000000001E-2</v>
      </c>
      <c r="J344" s="21">
        <v>334</v>
      </c>
      <c r="K344" s="21">
        <v>0.147644</v>
      </c>
      <c r="L344">
        <f t="shared" si="60"/>
        <v>16.57740740740741</v>
      </c>
      <c r="M344">
        <f t="shared" si="61"/>
        <v>2.456158413703704</v>
      </c>
      <c r="N344" s="9"/>
      <c r="O344" s="21">
        <v>1.58188</v>
      </c>
      <c r="P344" s="21">
        <v>12.2796</v>
      </c>
      <c r="Q344" s="21">
        <v>-6.7993200000000002E-3</v>
      </c>
      <c r="R344" s="21">
        <v>334</v>
      </c>
      <c r="S344" s="21">
        <v>1.58081</v>
      </c>
      <c r="T344">
        <f t="shared" si="62"/>
        <v>8.394222222222222</v>
      </c>
      <c r="U344">
        <f t="shared" si="63"/>
        <v>13.278652248888887</v>
      </c>
      <c r="X344" s="9"/>
      <c r="Y344" s="21">
        <v>0.14816299999999999</v>
      </c>
      <c r="Z344" s="21">
        <v>17.853200000000001</v>
      </c>
      <c r="AA344" s="21">
        <v>-1.3269E-2</v>
      </c>
      <c r="AB344" s="21">
        <v>334</v>
      </c>
      <c r="AC344" s="21">
        <v>0.147644</v>
      </c>
      <c r="AD344">
        <f t="shared" si="64"/>
        <v>16.38148148148148</v>
      </c>
      <c r="AE344">
        <f t="shared" si="65"/>
        <v>2.4271294407407402</v>
      </c>
      <c r="AF344" s="9"/>
      <c r="AG344" s="21">
        <v>1.58188</v>
      </c>
      <c r="AH344" s="21">
        <v>21.732800000000001</v>
      </c>
      <c r="AI344" s="21">
        <v>-6.4514200000000002E-3</v>
      </c>
      <c r="AJ344" s="21">
        <v>334</v>
      </c>
      <c r="AK344" s="21">
        <v>1.58142</v>
      </c>
      <c r="AL344">
        <f t="shared" si="66"/>
        <v>7.9647160493827149</v>
      </c>
      <c r="AM344">
        <f t="shared" si="67"/>
        <v>12.599225024197528</v>
      </c>
      <c r="AP344" s="9"/>
      <c r="AQ344" s="21">
        <v>0.14816299999999999</v>
      </c>
      <c r="AR344" s="21">
        <v>27.351400000000002</v>
      </c>
      <c r="AS344" s="21">
        <v>-1.3247699999999999E-2</v>
      </c>
      <c r="AT344" s="21">
        <v>334</v>
      </c>
      <c r="AU344" s="21">
        <v>0.14758299999999999</v>
      </c>
      <c r="AV344">
        <f t="shared" si="68"/>
        <v>16.355185185185185</v>
      </c>
      <c r="AW344">
        <f t="shared" si="69"/>
        <v>2.4232333025925925</v>
      </c>
      <c r="AX344" s="9"/>
      <c r="AY344" s="21">
        <v>1.58188</v>
      </c>
      <c r="AZ344" s="21">
        <v>31.231100000000001</v>
      </c>
      <c r="BA344" s="21">
        <v>-6.3964800000000004E-3</v>
      </c>
      <c r="BB344" s="21">
        <v>334</v>
      </c>
      <c r="BC344" s="21">
        <v>1.58081</v>
      </c>
      <c r="BD344">
        <f t="shared" si="70"/>
        <v>7.8968888888888893</v>
      </c>
      <c r="BE344">
        <f t="shared" si="71"/>
        <v>12.491930595555555</v>
      </c>
    </row>
    <row r="345" spans="6:57" x14ac:dyDescent="0.25">
      <c r="F345" s="9"/>
      <c r="G345" s="21">
        <v>0.143127</v>
      </c>
      <c r="H345" s="21">
        <v>8.4100999999999999</v>
      </c>
      <c r="I345" s="21">
        <v>-1.3439899999999999E-2</v>
      </c>
      <c r="J345" s="21">
        <v>335</v>
      </c>
      <c r="K345" s="21">
        <v>0.14257800000000001</v>
      </c>
      <c r="L345">
        <f t="shared" si="60"/>
        <v>16.592469135802467</v>
      </c>
      <c r="M345">
        <f t="shared" si="61"/>
        <v>2.37483033</v>
      </c>
      <c r="N345" s="9"/>
      <c r="O345" s="21">
        <v>1.58691</v>
      </c>
      <c r="P345" s="21">
        <v>12.2897</v>
      </c>
      <c r="Q345" s="21">
        <v>-6.6314700000000004E-3</v>
      </c>
      <c r="R345" s="21">
        <v>335</v>
      </c>
      <c r="S345" s="21">
        <v>1.5863</v>
      </c>
      <c r="T345">
        <f t="shared" si="62"/>
        <v>8.1869999999999994</v>
      </c>
      <c r="U345">
        <f t="shared" si="63"/>
        <v>12.99203217</v>
      </c>
      <c r="X345" s="9"/>
      <c r="Y345" s="21">
        <v>0.143127</v>
      </c>
      <c r="Z345" s="21">
        <v>17.863299999999999</v>
      </c>
      <c r="AA345" s="21">
        <v>-1.3262899999999999E-2</v>
      </c>
      <c r="AB345" s="21">
        <v>335</v>
      </c>
      <c r="AC345" s="21">
        <v>0.14260900000000001</v>
      </c>
      <c r="AD345">
        <f t="shared" si="64"/>
        <v>16.373950617283949</v>
      </c>
      <c r="AE345">
        <f t="shared" si="65"/>
        <v>2.3435544299999997</v>
      </c>
      <c r="AF345" s="9"/>
      <c r="AG345" s="21">
        <v>1.58691</v>
      </c>
      <c r="AH345" s="21">
        <v>21.742899999999999</v>
      </c>
      <c r="AI345" s="21">
        <v>-6.2805200000000004E-3</v>
      </c>
      <c r="AJ345" s="21">
        <v>335</v>
      </c>
      <c r="AK345" s="21">
        <v>1.5863</v>
      </c>
      <c r="AL345">
        <f t="shared" si="66"/>
        <v>7.7537283950617288</v>
      </c>
      <c r="AM345">
        <f t="shared" si="67"/>
        <v>12.304469127407408</v>
      </c>
      <c r="AP345" s="9"/>
      <c r="AQ345" s="21">
        <v>0.143127</v>
      </c>
      <c r="AR345" s="21">
        <v>27.361499999999999</v>
      </c>
      <c r="AS345" s="21">
        <v>-1.3256799999999999E-2</v>
      </c>
      <c r="AT345" s="21">
        <v>335</v>
      </c>
      <c r="AU345" s="21">
        <v>0.14254800000000001</v>
      </c>
      <c r="AV345">
        <f t="shared" si="68"/>
        <v>16.366419753086415</v>
      </c>
      <c r="AW345">
        <f t="shared" si="69"/>
        <v>2.3424765599999993</v>
      </c>
      <c r="AX345" s="9"/>
      <c r="AY345" s="21">
        <v>1.58691</v>
      </c>
      <c r="AZ345" s="21">
        <v>31.241099999999999</v>
      </c>
      <c r="BA345" s="21">
        <v>-6.2225300000000004E-3</v>
      </c>
      <c r="BB345" s="21">
        <v>335</v>
      </c>
      <c r="BC345" s="21">
        <v>1.5866100000000001</v>
      </c>
      <c r="BD345">
        <f t="shared" si="70"/>
        <v>7.6821358024691362</v>
      </c>
      <c r="BE345">
        <f t="shared" si="71"/>
        <v>12.190858126296297</v>
      </c>
    </row>
    <row r="346" spans="6:57" x14ac:dyDescent="0.25">
      <c r="F346" s="9"/>
      <c r="G346" s="21">
        <v>0.13809199999999999</v>
      </c>
      <c r="H346" s="21">
        <v>8.4201700000000006</v>
      </c>
      <c r="I346" s="21">
        <v>-1.34521E-2</v>
      </c>
      <c r="J346" s="21">
        <v>336</v>
      </c>
      <c r="K346" s="21">
        <v>0.137604</v>
      </c>
      <c r="L346">
        <f t="shared" si="60"/>
        <v>16.607530864197528</v>
      </c>
      <c r="M346">
        <f t="shared" si="61"/>
        <v>2.2933671520987651</v>
      </c>
      <c r="N346" s="9"/>
      <c r="O346" s="21">
        <v>1.59195</v>
      </c>
      <c r="P346" s="21">
        <v>12.299799999999999</v>
      </c>
      <c r="Q346" s="21">
        <v>-6.4514200000000002E-3</v>
      </c>
      <c r="R346" s="21">
        <v>336</v>
      </c>
      <c r="S346" s="21">
        <v>1.5914900000000001</v>
      </c>
      <c r="T346">
        <f t="shared" si="62"/>
        <v>7.9647160493827149</v>
      </c>
      <c r="U346">
        <f t="shared" si="63"/>
        <v>12.679429714814813</v>
      </c>
      <c r="X346" s="9"/>
      <c r="Y346" s="21">
        <v>0.13809199999999999</v>
      </c>
      <c r="Z346" s="21">
        <v>17.8734</v>
      </c>
      <c r="AA346" s="21">
        <v>-1.32538E-2</v>
      </c>
      <c r="AB346" s="21">
        <v>336</v>
      </c>
      <c r="AC346" s="21">
        <v>0.137512</v>
      </c>
      <c r="AD346">
        <f t="shared" si="64"/>
        <v>16.362716049382716</v>
      </c>
      <c r="AE346">
        <f t="shared" si="65"/>
        <v>2.2595601846913578</v>
      </c>
      <c r="AF346" s="9"/>
      <c r="AG346" s="21">
        <v>1.59195</v>
      </c>
      <c r="AH346" s="21">
        <v>21.753</v>
      </c>
      <c r="AI346" s="21">
        <v>-6.0974100000000002E-3</v>
      </c>
      <c r="AJ346" s="21">
        <v>336</v>
      </c>
      <c r="AK346" s="21">
        <v>1.5918000000000001</v>
      </c>
      <c r="AL346">
        <f t="shared" si="66"/>
        <v>7.5276666666666658</v>
      </c>
      <c r="AM346">
        <f t="shared" si="67"/>
        <v>11.983668949999998</v>
      </c>
      <c r="AP346" s="9"/>
      <c r="AQ346" s="21">
        <v>0.13809199999999999</v>
      </c>
      <c r="AR346" s="21">
        <v>27.371600000000001</v>
      </c>
      <c r="AS346" s="21">
        <v>-1.3250700000000001E-2</v>
      </c>
      <c r="AT346" s="21">
        <v>336</v>
      </c>
      <c r="AU346" s="21">
        <v>0.137543</v>
      </c>
      <c r="AV346">
        <f t="shared" si="68"/>
        <v>16.358888888888888</v>
      </c>
      <c r="AW346">
        <f t="shared" si="69"/>
        <v>2.259031684444444</v>
      </c>
      <c r="AX346" s="9"/>
      <c r="AY346" s="21">
        <v>1.59195</v>
      </c>
      <c r="AZ346" s="21">
        <v>31.251200000000001</v>
      </c>
      <c r="BA346" s="21">
        <v>-6.0394300000000001E-3</v>
      </c>
      <c r="BB346" s="21">
        <v>336</v>
      </c>
      <c r="BC346" s="21">
        <v>1.5911900000000001</v>
      </c>
      <c r="BD346">
        <f t="shared" si="70"/>
        <v>7.4560864197530865</v>
      </c>
      <c r="BE346">
        <f t="shared" si="71"/>
        <v>11.869716775925927</v>
      </c>
    </row>
    <row r="347" spans="6:57" x14ac:dyDescent="0.25">
      <c r="F347" s="9"/>
      <c r="G347" s="21">
        <v>0.13305700000000001</v>
      </c>
      <c r="H347" s="21">
        <v>8.4302499999999991</v>
      </c>
      <c r="I347" s="21">
        <v>-1.3458299999999999E-2</v>
      </c>
      <c r="J347" s="21">
        <v>337</v>
      </c>
      <c r="K347" s="21">
        <v>0.13253799999999999</v>
      </c>
      <c r="L347">
        <f t="shared" si="60"/>
        <v>16.615185185185183</v>
      </c>
      <c r="M347">
        <f t="shared" si="61"/>
        <v>2.210766695185185</v>
      </c>
      <c r="N347" s="9"/>
      <c r="O347" s="21">
        <v>1.5969800000000001</v>
      </c>
      <c r="P347" s="21">
        <v>12.309900000000001</v>
      </c>
      <c r="Q347" s="21">
        <v>-6.26831E-3</v>
      </c>
      <c r="R347" s="21">
        <v>337</v>
      </c>
      <c r="S347" s="21">
        <v>1.5960700000000001</v>
      </c>
      <c r="T347">
        <f t="shared" si="62"/>
        <v>7.7386543209876546</v>
      </c>
      <c r="U347">
        <f t="shared" si="63"/>
        <v>12.358476177530866</v>
      </c>
      <c r="X347" s="9"/>
      <c r="Y347" s="21">
        <v>0.13305700000000001</v>
      </c>
      <c r="Z347" s="21">
        <v>17.883400000000002</v>
      </c>
      <c r="AA347" s="21">
        <v>-1.3256799999999999E-2</v>
      </c>
      <c r="AB347" s="21">
        <v>337</v>
      </c>
      <c r="AC347" s="21">
        <v>0.13247700000000001</v>
      </c>
      <c r="AD347">
        <f t="shared" si="64"/>
        <v>16.366419753086415</v>
      </c>
      <c r="AE347">
        <f t="shared" si="65"/>
        <v>2.1776667130864191</v>
      </c>
      <c r="AF347" s="9"/>
      <c r="AG347" s="21">
        <v>1.5969800000000001</v>
      </c>
      <c r="AH347" s="21">
        <v>21.763000000000002</v>
      </c>
      <c r="AI347" s="21">
        <v>-5.9051499999999996E-3</v>
      </c>
      <c r="AJ347" s="21">
        <v>337</v>
      </c>
      <c r="AK347" s="21">
        <v>1.5963700000000001</v>
      </c>
      <c r="AL347">
        <f t="shared" si="66"/>
        <v>7.290308641975308</v>
      </c>
      <c r="AM347">
        <f t="shared" si="67"/>
        <v>11.642477095061729</v>
      </c>
      <c r="AP347" s="9"/>
      <c r="AQ347" s="21">
        <v>0.13305700000000001</v>
      </c>
      <c r="AR347" s="21">
        <v>27.381699999999999</v>
      </c>
      <c r="AS347" s="21">
        <v>-1.32385E-2</v>
      </c>
      <c r="AT347" s="21">
        <v>337</v>
      </c>
      <c r="AU347" s="21">
        <v>0.13250700000000001</v>
      </c>
      <c r="AV347">
        <f t="shared" si="68"/>
        <v>16.343827160493824</v>
      </c>
      <c r="AW347">
        <f t="shared" si="69"/>
        <v>2.1746606104938269</v>
      </c>
      <c r="AX347" s="9"/>
      <c r="AY347" s="21">
        <v>1.5969800000000001</v>
      </c>
      <c r="AZ347" s="21">
        <v>31.261299999999999</v>
      </c>
      <c r="BA347" s="21">
        <v>-5.8441200000000004E-3</v>
      </c>
      <c r="BB347" s="21">
        <v>337</v>
      </c>
      <c r="BC347" s="21">
        <v>1.5957600000000001</v>
      </c>
      <c r="BD347">
        <f t="shared" si="70"/>
        <v>7.2149629629629626</v>
      </c>
      <c r="BE347">
        <f t="shared" si="71"/>
        <v>11.522151552592593</v>
      </c>
    </row>
    <row r="348" spans="6:57" x14ac:dyDescent="0.25">
      <c r="F348" s="9"/>
      <c r="G348" s="21">
        <v>0.128021</v>
      </c>
      <c r="H348" s="21">
        <v>8.4403199999999998</v>
      </c>
      <c r="I348" s="21">
        <v>-1.3458299999999999E-2</v>
      </c>
      <c r="J348" s="21">
        <v>338</v>
      </c>
      <c r="K348" s="21">
        <v>0.127502</v>
      </c>
      <c r="L348">
        <f t="shared" si="60"/>
        <v>16.615185185185183</v>
      </c>
      <c r="M348">
        <f t="shared" si="61"/>
        <v>2.1270926225925924</v>
      </c>
      <c r="N348" s="9"/>
      <c r="O348" s="21">
        <v>1.60202</v>
      </c>
      <c r="P348" s="21">
        <v>12.319900000000001</v>
      </c>
      <c r="Q348" s="21">
        <v>-6.0668900000000001E-3</v>
      </c>
      <c r="R348" s="21">
        <v>338</v>
      </c>
      <c r="S348" s="21">
        <v>1.6006499999999999</v>
      </c>
      <c r="T348">
        <f t="shared" si="62"/>
        <v>7.4899876543209869</v>
      </c>
      <c r="U348">
        <f t="shared" si="63"/>
        <v>11.999110021975307</v>
      </c>
      <c r="X348" s="9"/>
      <c r="Y348" s="21">
        <v>0.128021</v>
      </c>
      <c r="Z348" s="21">
        <v>17.8935</v>
      </c>
      <c r="AA348" s="21">
        <v>-1.32538E-2</v>
      </c>
      <c r="AB348" s="21">
        <v>338</v>
      </c>
      <c r="AC348" s="21">
        <v>0.127472</v>
      </c>
      <c r="AD348">
        <f t="shared" si="64"/>
        <v>16.362716049382716</v>
      </c>
      <c r="AE348">
        <f t="shared" si="65"/>
        <v>2.0947712713580247</v>
      </c>
      <c r="AF348" s="9"/>
      <c r="AG348" s="21">
        <v>1.60202</v>
      </c>
      <c r="AH348" s="21">
        <v>21.773099999999999</v>
      </c>
      <c r="AI348" s="21">
        <v>-5.7067899999999998E-3</v>
      </c>
      <c r="AJ348" s="21">
        <v>338</v>
      </c>
      <c r="AK348" s="21">
        <v>1.6009500000000001</v>
      </c>
      <c r="AL348">
        <f t="shared" si="66"/>
        <v>7.0454197530864198</v>
      </c>
      <c r="AM348">
        <f t="shared" si="67"/>
        <v>11.286903352839506</v>
      </c>
      <c r="AP348" s="9"/>
      <c r="AQ348" s="21">
        <v>0.128021</v>
      </c>
      <c r="AR348" s="21">
        <v>27.3917</v>
      </c>
      <c r="AS348" s="21">
        <v>-1.32233E-2</v>
      </c>
      <c r="AT348" s="21">
        <v>338</v>
      </c>
      <c r="AU348" s="21">
        <v>0.12756300000000001</v>
      </c>
      <c r="AV348">
        <f t="shared" si="68"/>
        <v>16.32506172839506</v>
      </c>
      <c r="AW348">
        <f t="shared" si="69"/>
        <v>2.089950727530864</v>
      </c>
      <c r="AX348" s="9"/>
      <c r="AY348" s="21">
        <v>1.60202</v>
      </c>
      <c r="AZ348" s="21">
        <v>31.2713</v>
      </c>
      <c r="BA348" s="21">
        <v>-5.6457499999999997E-3</v>
      </c>
      <c r="BB348" s="21">
        <v>338</v>
      </c>
      <c r="BC348" s="21">
        <v>1.6012599999999999</v>
      </c>
      <c r="BD348">
        <f t="shared" si="70"/>
        <v>6.970061728395061</v>
      </c>
      <c r="BE348">
        <f t="shared" si="71"/>
        <v>11.166178290123456</v>
      </c>
    </row>
    <row r="349" spans="6:57" x14ac:dyDescent="0.25">
      <c r="F349" s="9"/>
      <c r="G349" s="21">
        <v>0.122986</v>
      </c>
      <c r="H349" s="21">
        <v>8.4503900000000005</v>
      </c>
      <c r="I349" s="21">
        <v>-1.34644E-2</v>
      </c>
      <c r="J349" s="21">
        <v>339</v>
      </c>
      <c r="K349" s="21">
        <v>0.122375</v>
      </c>
      <c r="L349">
        <f t="shared" si="60"/>
        <v>16.622716049382717</v>
      </c>
      <c r="M349">
        <f t="shared" si="61"/>
        <v>2.0443613560493827</v>
      </c>
      <c r="N349" s="9"/>
      <c r="O349" s="21">
        <v>1.6070599999999999</v>
      </c>
      <c r="P349" s="21">
        <v>12.33</v>
      </c>
      <c r="Q349" s="21">
        <v>-5.8563199999999999E-3</v>
      </c>
      <c r="R349" s="21">
        <v>339</v>
      </c>
      <c r="S349" s="21">
        <v>1.6064499999999999</v>
      </c>
      <c r="T349">
        <f t="shared" si="62"/>
        <v>7.2300246913580244</v>
      </c>
      <c r="U349">
        <f t="shared" si="63"/>
        <v>11.619083480493826</v>
      </c>
      <c r="X349" s="9"/>
      <c r="Y349" s="21">
        <v>0.122986</v>
      </c>
      <c r="Z349" s="21">
        <v>17.903600000000001</v>
      </c>
      <c r="AA349" s="21">
        <v>-1.3247699999999999E-2</v>
      </c>
      <c r="AB349" s="21">
        <v>339</v>
      </c>
      <c r="AC349" s="21">
        <v>0.122498</v>
      </c>
      <c r="AD349">
        <f t="shared" si="64"/>
        <v>16.355185185185185</v>
      </c>
      <c r="AE349">
        <f t="shared" si="65"/>
        <v>2.0114588051851849</v>
      </c>
      <c r="AF349" s="9"/>
      <c r="AG349" s="21">
        <v>1.6070599999999999</v>
      </c>
      <c r="AH349" s="21">
        <v>21.783200000000001</v>
      </c>
      <c r="AI349" s="21">
        <v>-5.4931600000000004E-3</v>
      </c>
      <c r="AJ349" s="21">
        <v>339</v>
      </c>
      <c r="AK349" s="21">
        <v>1.6064499999999999</v>
      </c>
      <c r="AL349">
        <f t="shared" si="66"/>
        <v>6.7816790123456787</v>
      </c>
      <c r="AM349">
        <f t="shared" si="67"/>
        <v>10.898565073580246</v>
      </c>
      <c r="AP349" s="9"/>
      <c r="AQ349" s="21">
        <v>0.122986</v>
      </c>
      <c r="AR349" s="21">
        <v>27.401800000000001</v>
      </c>
      <c r="AS349" s="21">
        <v>-1.3205E-2</v>
      </c>
      <c r="AT349" s="21">
        <v>339</v>
      </c>
      <c r="AU349" s="21">
        <v>0.12246700000000001</v>
      </c>
      <c r="AV349">
        <f t="shared" si="68"/>
        <v>16.302469135802468</v>
      </c>
      <c r="AW349">
        <f t="shared" si="69"/>
        <v>2.0049754691358022</v>
      </c>
      <c r="AX349" s="9"/>
      <c r="AY349" s="21">
        <v>1.6070599999999999</v>
      </c>
      <c r="AZ349" s="21">
        <v>31.281400000000001</v>
      </c>
      <c r="BA349" s="21">
        <v>-5.4412799999999997E-3</v>
      </c>
      <c r="BB349" s="21">
        <v>339</v>
      </c>
      <c r="BC349" s="21">
        <v>1.6058300000000001</v>
      </c>
      <c r="BD349">
        <f t="shared" si="70"/>
        <v>6.717629629629629</v>
      </c>
      <c r="BE349">
        <f t="shared" si="71"/>
        <v>10.795633872592591</v>
      </c>
    </row>
    <row r="350" spans="6:57" x14ac:dyDescent="0.25">
      <c r="F350" s="9"/>
      <c r="G350" s="21">
        <v>0.11795</v>
      </c>
      <c r="H350" s="21">
        <v>8.4604599999999994</v>
      </c>
      <c r="I350" s="21">
        <v>-1.3467399999999999E-2</v>
      </c>
      <c r="J350" s="21">
        <v>340</v>
      </c>
      <c r="K350" s="21">
        <v>0.117371</v>
      </c>
      <c r="L350">
        <f t="shared" si="60"/>
        <v>16.626419753086417</v>
      </c>
      <c r="M350">
        <f t="shared" si="61"/>
        <v>1.9610862098765429</v>
      </c>
      <c r="N350" s="9"/>
      <c r="O350" s="21">
        <v>1.61209</v>
      </c>
      <c r="P350" s="21">
        <v>12.3401</v>
      </c>
      <c r="Q350" s="21">
        <v>-5.6396500000000004E-3</v>
      </c>
      <c r="R350" s="21">
        <v>340</v>
      </c>
      <c r="S350" s="21">
        <v>1.6113299999999999</v>
      </c>
      <c r="T350">
        <f t="shared" si="62"/>
        <v>6.9625308641975314</v>
      </c>
      <c r="U350">
        <f t="shared" si="63"/>
        <v>11.224226380864199</v>
      </c>
      <c r="X350" s="9"/>
      <c r="Y350" s="21">
        <v>0.11795</v>
      </c>
      <c r="Z350" s="21">
        <v>17.913599999999999</v>
      </c>
      <c r="AA350" s="21">
        <v>-1.3250700000000001E-2</v>
      </c>
      <c r="AB350" s="21">
        <v>340</v>
      </c>
      <c r="AC350" s="21">
        <v>0.117493</v>
      </c>
      <c r="AD350">
        <f t="shared" si="64"/>
        <v>16.358888888888888</v>
      </c>
      <c r="AE350">
        <f t="shared" si="65"/>
        <v>1.9295309444444444</v>
      </c>
      <c r="AF350" s="9"/>
      <c r="AG350" s="21">
        <v>1.61209</v>
      </c>
      <c r="AH350" s="21">
        <v>21.793299999999999</v>
      </c>
      <c r="AI350" s="21">
        <v>-5.27649E-3</v>
      </c>
      <c r="AJ350" s="21">
        <v>340</v>
      </c>
      <c r="AK350" s="21">
        <v>1.6113299999999999</v>
      </c>
      <c r="AL350">
        <f t="shared" si="66"/>
        <v>6.5141851851851849</v>
      </c>
      <c r="AM350">
        <f t="shared" si="67"/>
        <v>10.501452795185184</v>
      </c>
      <c r="AP350" s="9"/>
      <c r="AQ350" s="21">
        <v>0.11795</v>
      </c>
      <c r="AR350" s="21">
        <v>27.411899999999999</v>
      </c>
      <c r="AS350" s="21">
        <v>-1.32111E-2</v>
      </c>
      <c r="AT350" s="21">
        <v>340</v>
      </c>
      <c r="AU350" s="21">
        <v>0.11740100000000001</v>
      </c>
      <c r="AV350">
        <f t="shared" si="68"/>
        <v>16.309999999999999</v>
      </c>
      <c r="AW350">
        <f t="shared" si="69"/>
        <v>1.9237644999999999</v>
      </c>
      <c r="AX350" s="9"/>
      <c r="AY350" s="21">
        <v>1.61209</v>
      </c>
      <c r="AZ350" s="21">
        <v>31.291499999999999</v>
      </c>
      <c r="BA350" s="21">
        <v>-5.2215600000000001E-3</v>
      </c>
      <c r="BB350" s="21">
        <v>340</v>
      </c>
      <c r="BC350" s="21">
        <v>1.6113299999999999</v>
      </c>
      <c r="BD350">
        <f t="shared" si="70"/>
        <v>6.4463703703703699</v>
      </c>
      <c r="BE350">
        <f t="shared" si="71"/>
        <v>10.392129210370369</v>
      </c>
    </row>
    <row r="351" spans="6:57" x14ac:dyDescent="0.25">
      <c r="F351" s="9"/>
      <c r="G351" s="21">
        <v>0.112915</v>
      </c>
      <c r="H351" s="21">
        <v>8.4705300000000001</v>
      </c>
      <c r="I351" s="21">
        <v>-1.34705E-2</v>
      </c>
      <c r="J351" s="21">
        <v>341</v>
      </c>
      <c r="K351" s="21">
        <v>0.112335</v>
      </c>
      <c r="L351">
        <f t="shared" si="60"/>
        <v>16.630246913580244</v>
      </c>
      <c r="M351">
        <f t="shared" si="61"/>
        <v>1.8778043302469132</v>
      </c>
      <c r="N351" s="9"/>
      <c r="O351" s="21">
        <v>1.61713</v>
      </c>
      <c r="P351" s="21">
        <v>12.350099999999999</v>
      </c>
      <c r="Q351" s="21">
        <v>-5.4077099999999996E-3</v>
      </c>
      <c r="R351" s="21">
        <v>341</v>
      </c>
      <c r="S351" s="21">
        <v>1.61591</v>
      </c>
      <c r="T351">
        <f t="shared" si="62"/>
        <v>6.6761851851851839</v>
      </c>
      <c r="U351">
        <f t="shared" si="63"/>
        <v>10.796259348518516</v>
      </c>
      <c r="X351" s="9"/>
      <c r="Y351" s="21">
        <v>0.112915</v>
      </c>
      <c r="Z351" s="21">
        <v>17.9237</v>
      </c>
      <c r="AA351" s="21">
        <v>-1.32599E-2</v>
      </c>
      <c r="AB351" s="21">
        <v>341</v>
      </c>
      <c r="AC351" s="21">
        <v>0.112244</v>
      </c>
      <c r="AD351">
        <f t="shared" si="64"/>
        <v>16.370246913580246</v>
      </c>
      <c r="AE351">
        <f t="shared" si="65"/>
        <v>1.8484464302469135</v>
      </c>
      <c r="AF351" s="9"/>
      <c r="AG351" s="21">
        <v>1.61713</v>
      </c>
      <c r="AH351" s="21">
        <v>21.8033</v>
      </c>
      <c r="AI351" s="21">
        <v>-5.0415E-3</v>
      </c>
      <c r="AJ351" s="21">
        <v>341</v>
      </c>
      <c r="AK351" s="21">
        <v>1.6162099999999999</v>
      </c>
      <c r="AL351">
        <f t="shared" si="66"/>
        <v>6.2240740740740739</v>
      </c>
      <c r="AM351">
        <f t="shared" si="67"/>
        <v>10.065136907407407</v>
      </c>
      <c r="AP351" s="9"/>
      <c r="AQ351" s="21">
        <v>0.112915</v>
      </c>
      <c r="AR351" s="21">
        <v>27.421900000000001</v>
      </c>
      <c r="AS351" s="21">
        <v>-1.32202E-2</v>
      </c>
      <c r="AT351" s="21">
        <v>341</v>
      </c>
      <c r="AU351" s="21">
        <v>0.112305</v>
      </c>
      <c r="AV351">
        <f t="shared" si="68"/>
        <v>16.321234567901232</v>
      </c>
      <c r="AW351">
        <f t="shared" si="69"/>
        <v>1.8429122012345676</v>
      </c>
      <c r="AX351" s="9"/>
      <c r="AY351" s="21">
        <v>1.61713</v>
      </c>
      <c r="AZ351" s="21">
        <v>31.301600000000001</v>
      </c>
      <c r="BA351" s="21">
        <v>-4.9865700000000001E-3</v>
      </c>
      <c r="BB351" s="21">
        <v>341</v>
      </c>
      <c r="BC351" s="21">
        <v>1.61591</v>
      </c>
      <c r="BD351">
        <f t="shared" si="70"/>
        <v>6.1562592592592589</v>
      </c>
      <c r="BE351">
        <f t="shared" si="71"/>
        <v>9.9554715359259252</v>
      </c>
    </row>
    <row r="352" spans="6:57" x14ac:dyDescent="0.25">
      <c r="F352" s="9"/>
      <c r="G352" s="21">
        <v>0.10788</v>
      </c>
      <c r="H352" s="21">
        <v>8.4806000000000008</v>
      </c>
      <c r="I352" s="21">
        <v>-1.34766E-2</v>
      </c>
      <c r="J352" s="21">
        <v>342</v>
      </c>
      <c r="K352" s="21">
        <v>0.10732999999999999</v>
      </c>
      <c r="L352">
        <f t="shared" si="60"/>
        <v>16.637777777777774</v>
      </c>
      <c r="M352">
        <f t="shared" si="61"/>
        <v>1.7948834666666664</v>
      </c>
      <c r="N352" s="9"/>
      <c r="O352" s="21">
        <v>1.62216</v>
      </c>
      <c r="P352" s="21">
        <v>12.360200000000001</v>
      </c>
      <c r="Q352" s="21">
        <v>-5.1696800000000003E-3</v>
      </c>
      <c r="R352" s="21">
        <v>342</v>
      </c>
      <c r="S352" s="21">
        <v>1.6210899999999999</v>
      </c>
      <c r="T352">
        <f t="shared" si="62"/>
        <v>6.382320987654321</v>
      </c>
      <c r="U352">
        <f t="shared" si="63"/>
        <v>10.353145813333335</v>
      </c>
      <c r="X352" s="9"/>
      <c r="Y352" s="21">
        <v>0.10788</v>
      </c>
      <c r="Z352" s="21">
        <v>17.933800000000002</v>
      </c>
      <c r="AA352" s="21">
        <v>-1.32538E-2</v>
      </c>
      <c r="AB352" s="21">
        <v>342</v>
      </c>
      <c r="AC352" s="21">
        <v>0.107361</v>
      </c>
      <c r="AD352">
        <f t="shared" si="64"/>
        <v>16.362716049382716</v>
      </c>
      <c r="AE352">
        <f t="shared" si="65"/>
        <v>1.7652098074074074</v>
      </c>
      <c r="AF352" s="9"/>
      <c r="AG352" s="21">
        <v>1.62216</v>
      </c>
      <c r="AH352" s="21">
        <v>21.813400000000001</v>
      </c>
      <c r="AI352" s="21">
        <v>-4.7897299999999999E-3</v>
      </c>
      <c r="AJ352" s="21">
        <v>342</v>
      </c>
      <c r="AK352" s="21">
        <v>1.62079</v>
      </c>
      <c r="AL352">
        <f t="shared" si="66"/>
        <v>5.913246913580247</v>
      </c>
      <c r="AM352">
        <f t="shared" si="67"/>
        <v>9.5922326133333335</v>
      </c>
      <c r="AP352" s="9"/>
      <c r="AQ352" s="21">
        <v>0.10788</v>
      </c>
      <c r="AR352" s="21">
        <v>27.431999999999999</v>
      </c>
      <c r="AS352" s="21">
        <v>-1.3229400000000001E-2</v>
      </c>
      <c r="AT352" s="21">
        <v>342</v>
      </c>
      <c r="AU352" s="21">
        <v>0.107361</v>
      </c>
      <c r="AV352">
        <f t="shared" si="68"/>
        <v>16.332592592592594</v>
      </c>
      <c r="AW352">
        <f t="shared" si="69"/>
        <v>1.7619600888888891</v>
      </c>
      <c r="AX352" s="9"/>
      <c r="AY352" s="21">
        <v>1.62216</v>
      </c>
      <c r="AZ352" s="21">
        <v>31.311599999999999</v>
      </c>
      <c r="BA352" s="21">
        <v>-4.7418199999999999E-3</v>
      </c>
      <c r="BB352" s="21">
        <v>342</v>
      </c>
      <c r="BC352" s="21">
        <v>1.6214</v>
      </c>
      <c r="BD352">
        <f t="shared" si="70"/>
        <v>5.8540987654320986</v>
      </c>
      <c r="BE352">
        <f t="shared" si="71"/>
        <v>9.4962848533333339</v>
      </c>
    </row>
    <row r="353" spans="6:57" x14ac:dyDescent="0.25">
      <c r="F353" s="9"/>
      <c r="G353" s="21">
        <v>0.102844</v>
      </c>
      <c r="H353" s="21">
        <v>8.4906699999999997</v>
      </c>
      <c r="I353" s="21">
        <v>-1.34766E-2</v>
      </c>
      <c r="J353" s="21">
        <v>343</v>
      </c>
      <c r="K353" s="21">
        <v>0.102386</v>
      </c>
      <c r="L353">
        <f t="shared" si="60"/>
        <v>16.637777777777774</v>
      </c>
      <c r="M353">
        <f t="shared" si="61"/>
        <v>1.7110956177777774</v>
      </c>
      <c r="N353" s="9"/>
      <c r="O353" s="21">
        <v>1.6272</v>
      </c>
      <c r="P353" s="21">
        <v>12.3703</v>
      </c>
      <c r="Q353" s="21">
        <v>-4.9243200000000003E-3</v>
      </c>
      <c r="R353" s="21">
        <v>343</v>
      </c>
      <c r="S353" s="21">
        <v>1.62598</v>
      </c>
      <c r="T353">
        <f t="shared" si="62"/>
        <v>6.0794074074074071</v>
      </c>
      <c r="U353">
        <f t="shared" si="63"/>
        <v>9.8924117333333328</v>
      </c>
      <c r="X353" s="9"/>
      <c r="Y353" s="21">
        <v>0.102844</v>
      </c>
      <c r="Z353" s="21">
        <v>17.943899999999999</v>
      </c>
      <c r="AA353" s="21">
        <v>-1.3250700000000001E-2</v>
      </c>
      <c r="AB353" s="21">
        <v>343</v>
      </c>
      <c r="AC353" s="21">
        <v>0.10226399999999999</v>
      </c>
      <c r="AD353">
        <f t="shared" si="64"/>
        <v>16.358888888888888</v>
      </c>
      <c r="AE353">
        <f t="shared" si="65"/>
        <v>1.6824135688888888</v>
      </c>
      <c r="AF353" s="9"/>
      <c r="AG353" s="21">
        <v>1.6272</v>
      </c>
      <c r="AH353" s="21">
        <v>21.823499999999999</v>
      </c>
      <c r="AI353" s="21">
        <v>-4.5269799999999999E-3</v>
      </c>
      <c r="AJ353" s="21">
        <v>343</v>
      </c>
      <c r="AK353" s="21">
        <v>1.62659</v>
      </c>
      <c r="AL353">
        <f t="shared" si="66"/>
        <v>5.5888641975308637</v>
      </c>
      <c r="AM353">
        <f t="shared" si="67"/>
        <v>9.0941998222222207</v>
      </c>
      <c r="AP353" s="9"/>
      <c r="AQ353" s="21">
        <v>0.102844</v>
      </c>
      <c r="AR353" s="21">
        <v>27.4421</v>
      </c>
      <c r="AS353" s="21">
        <v>-1.32385E-2</v>
      </c>
      <c r="AT353" s="21">
        <v>343</v>
      </c>
      <c r="AU353" s="21">
        <v>0.102203</v>
      </c>
      <c r="AV353">
        <f t="shared" si="68"/>
        <v>16.343827160493824</v>
      </c>
      <c r="AW353">
        <f t="shared" si="69"/>
        <v>1.6808645604938268</v>
      </c>
      <c r="AX353" s="9"/>
      <c r="AY353" s="21">
        <v>1.6272</v>
      </c>
      <c r="AZ353" s="21">
        <v>31.3217</v>
      </c>
      <c r="BA353" s="21">
        <v>-4.4726599999999998E-3</v>
      </c>
      <c r="BB353" s="21">
        <v>343</v>
      </c>
      <c r="BC353" s="21">
        <v>1.6262799999999999</v>
      </c>
      <c r="BD353">
        <f t="shared" si="70"/>
        <v>5.5218024691358014</v>
      </c>
      <c r="BE353">
        <f t="shared" si="71"/>
        <v>8.9850769777777764</v>
      </c>
    </row>
    <row r="354" spans="6:57" x14ac:dyDescent="0.25">
      <c r="F354" s="9"/>
      <c r="G354" s="21">
        <v>9.7808800000000001E-2</v>
      </c>
      <c r="H354" s="21">
        <v>8.5007400000000004</v>
      </c>
      <c r="I354" s="21">
        <v>-1.34796E-2</v>
      </c>
      <c r="J354" s="21">
        <v>344</v>
      </c>
      <c r="K354" s="21">
        <v>9.7228999999999996E-2</v>
      </c>
      <c r="L354">
        <f t="shared" si="60"/>
        <v>16.641481481481478</v>
      </c>
      <c r="M354">
        <f t="shared" si="61"/>
        <v>1.6276833339259256</v>
      </c>
      <c r="N354" s="9"/>
      <c r="O354" s="21">
        <v>1.6322300000000001</v>
      </c>
      <c r="P354" s="21">
        <v>12.3804</v>
      </c>
      <c r="Q354" s="21">
        <v>-4.6585100000000003E-3</v>
      </c>
      <c r="R354" s="21">
        <v>344</v>
      </c>
      <c r="S354" s="21">
        <v>1.6317699999999999</v>
      </c>
      <c r="T354">
        <f t="shared" si="62"/>
        <v>5.7512469135802471</v>
      </c>
      <c r="U354">
        <f t="shared" si="63"/>
        <v>9.3873577497530878</v>
      </c>
      <c r="X354" s="9"/>
      <c r="Y354" s="21">
        <v>9.7808800000000001E-2</v>
      </c>
      <c r="Z354" s="21">
        <v>17.953900000000001</v>
      </c>
      <c r="AA354" s="21">
        <v>-1.32599E-2</v>
      </c>
      <c r="AB354" s="21">
        <v>344</v>
      </c>
      <c r="AC354" s="21">
        <v>9.7259499999999999E-2</v>
      </c>
      <c r="AD354">
        <f t="shared" si="64"/>
        <v>16.370246913580246</v>
      </c>
      <c r="AE354">
        <f t="shared" si="65"/>
        <v>1.6011542063209876</v>
      </c>
      <c r="AF354" s="9"/>
      <c r="AG354" s="21">
        <v>1.6322300000000001</v>
      </c>
      <c r="AH354" s="21">
        <v>21.833500000000001</v>
      </c>
      <c r="AI354" s="21">
        <v>-4.2535400000000001E-3</v>
      </c>
      <c r="AJ354" s="21">
        <v>344</v>
      </c>
      <c r="AK354" s="21">
        <v>1.6311599999999999</v>
      </c>
      <c r="AL354">
        <f t="shared" si="66"/>
        <v>5.2512839506172835</v>
      </c>
      <c r="AM354">
        <f t="shared" si="67"/>
        <v>8.5713032027160487</v>
      </c>
      <c r="AP354" s="9"/>
      <c r="AQ354" s="21">
        <v>9.7808800000000001E-2</v>
      </c>
      <c r="AR354" s="21">
        <v>27.452200000000001</v>
      </c>
      <c r="AS354" s="21">
        <v>-1.3247699999999999E-2</v>
      </c>
      <c r="AT354" s="21">
        <v>344</v>
      </c>
      <c r="AU354" s="21">
        <v>9.7228999999999996E-2</v>
      </c>
      <c r="AV354">
        <f t="shared" si="68"/>
        <v>16.355185185185185</v>
      </c>
      <c r="AW354">
        <f t="shared" si="69"/>
        <v>1.5996810367407408</v>
      </c>
      <c r="AX354" s="9"/>
      <c r="AY354" s="21">
        <v>1.6322300000000001</v>
      </c>
      <c r="AZ354" s="21">
        <v>31.331800000000001</v>
      </c>
      <c r="BA354" s="21">
        <v>-4.1839599999999996E-3</v>
      </c>
      <c r="BB354" s="21">
        <v>344</v>
      </c>
      <c r="BC354" s="21">
        <v>1.6311599999999999</v>
      </c>
      <c r="BD354">
        <f t="shared" si="70"/>
        <v>5.1653827160493817</v>
      </c>
      <c r="BE354">
        <f t="shared" si="71"/>
        <v>8.4310926306172824</v>
      </c>
    </row>
    <row r="355" spans="6:57" x14ac:dyDescent="0.25">
      <c r="F355" s="9"/>
      <c r="G355" s="21">
        <v>9.2773400000000006E-2</v>
      </c>
      <c r="H355" s="21">
        <v>8.5108099999999993</v>
      </c>
      <c r="I355" s="21">
        <v>-1.34857E-2</v>
      </c>
      <c r="J355" s="21">
        <v>345</v>
      </c>
      <c r="K355" s="21">
        <v>9.2193600000000001E-2</v>
      </c>
      <c r="L355">
        <f t="shared" si="60"/>
        <v>16.649012345679012</v>
      </c>
      <c r="M355">
        <f t="shared" si="61"/>
        <v>1.5445854819506173</v>
      </c>
      <c r="N355" s="9"/>
      <c r="O355" s="21">
        <v>1.63727</v>
      </c>
      <c r="P355" s="21">
        <v>12.3904</v>
      </c>
      <c r="Q355" s="21">
        <v>-4.3786600000000004E-3</v>
      </c>
      <c r="R355" s="21">
        <v>345</v>
      </c>
      <c r="S355" s="21">
        <v>1.63666</v>
      </c>
      <c r="T355">
        <f t="shared" si="62"/>
        <v>5.4057530864197538</v>
      </c>
      <c r="U355">
        <f t="shared" si="63"/>
        <v>8.8506773558024712</v>
      </c>
      <c r="X355" s="9"/>
      <c r="Y355" s="21">
        <v>9.2773400000000006E-2</v>
      </c>
      <c r="Z355" s="21">
        <v>17.963999999999999</v>
      </c>
      <c r="AA355" s="21">
        <v>-1.32599E-2</v>
      </c>
      <c r="AB355" s="21">
        <v>345</v>
      </c>
      <c r="AC355" s="21">
        <v>9.2193600000000001E-2</v>
      </c>
      <c r="AD355">
        <f t="shared" si="64"/>
        <v>16.370246913580246</v>
      </c>
      <c r="AE355">
        <f t="shared" si="65"/>
        <v>1.5187234650123458</v>
      </c>
      <c r="AF355" s="9"/>
      <c r="AG355" s="21">
        <v>1.63727</v>
      </c>
      <c r="AH355" s="21">
        <v>21.843599999999999</v>
      </c>
      <c r="AI355" s="21">
        <v>-3.9605700000000001E-3</v>
      </c>
      <c r="AJ355" s="21">
        <v>345</v>
      </c>
      <c r="AK355" s="21">
        <v>1.63666</v>
      </c>
      <c r="AL355">
        <f t="shared" si="66"/>
        <v>4.8895925925925923</v>
      </c>
      <c r="AM355">
        <f t="shared" si="67"/>
        <v>8.0055832640740743</v>
      </c>
      <c r="AP355" s="9"/>
      <c r="AQ355" s="21">
        <v>9.2773400000000006E-2</v>
      </c>
      <c r="AR355" s="21">
        <v>27.462199999999999</v>
      </c>
      <c r="AS355" s="21">
        <v>-1.3262899999999999E-2</v>
      </c>
      <c r="AT355" s="21">
        <v>345</v>
      </c>
      <c r="AU355" s="21">
        <v>9.2254600000000006E-2</v>
      </c>
      <c r="AV355">
        <f t="shared" si="68"/>
        <v>16.373950617283949</v>
      </c>
      <c r="AW355">
        <f t="shared" si="69"/>
        <v>1.5190670701975308</v>
      </c>
      <c r="AX355" s="9"/>
      <c r="AY355" s="21">
        <v>1.63727</v>
      </c>
      <c r="AZ355" s="21">
        <v>31.341799999999999</v>
      </c>
      <c r="BA355" s="21">
        <v>-3.8769500000000001E-3</v>
      </c>
      <c r="BB355" s="21">
        <v>345</v>
      </c>
      <c r="BC355" s="21">
        <v>1.63635</v>
      </c>
      <c r="BD355">
        <f t="shared" si="70"/>
        <v>4.7863580246913573</v>
      </c>
      <c r="BE355">
        <f t="shared" si="71"/>
        <v>7.8365604030864189</v>
      </c>
    </row>
    <row r="356" spans="6:57" x14ac:dyDescent="0.25">
      <c r="F356" s="9"/>
      <c r="G356" s="21">
        <v>8.7737999999999997E-2</v>
      </c>
      <c r="H356" s="21">
        <v>8.52088</v>
      </c>
      <c r="I356" s="21">
        <v>-1.34888E-2</v>
      </c>
      <c r="J356" s="21">
        <v>346</v>
      </c>
      <c r="K356" s="21">
        <v>8.7280300000000005E-2</v>
      </c>
      <c r="L356">
        <f t="shared" si="60"/>
        <v>16.652839506172839</v>
      </c>
      <c r="M356">
        <f t="shared" si="61"/>
        <v>1.4610868325925925</v>
      </c>
      <c r="N356" s="9"/>
      <c r="O356" s="21">
        <v>1.6423000000000001</v>
      </c>
      <c r="P356" s="21">
        <v>12.400499999999999</v>
      </c>
      <c r="Q356" s="21">
        <v>-4.08356E-3</v>
      </c>
      <c r="R356" s="21">
        <v>346</v>
      </c>
      <c r="S356" s="21">
        <v>1.64154</v>
      </c>
      <c r="T356">
        <f t="shared" si="62"/>
        <v>5.0414320987654317</v>
      </c>
      <c r="U356">
        <f t="shared" si="63"/>
        <v>8.2795439358024687</v>
      </c>
      <c r="X356" s="9"/>
      <c r="Y356" s="21">
        <v>8.7737999999999997E-2</v>
      </c>
      <c r="Z356" s="21">
        <v>17.9741</v>
      </c>
      <c r="AA356" s="21">
        <v>-1.3266E-2</v>
      </c>
      <c r="AB356" s="21">
        <v>346</v>
      </c>
      <c r="AC356" s="21">
        <v>8.7219199999999997E-2</v>
      </c>
      <c r="AD356">
        <f t="shared" si="64"/>
        <v>16.377777777777776</v>
      </c>
      <c r="AE356">
        <f t="shared" si="65"/>
        <v>1.4369534666666666</v>
      </c>
      <c r="AF356" s="9"/>
      <c r="AG356" s="21">
        <v>1.6423000000000001</v>
      </c>
      <c r="AH356" s="21">
        <v>21.8537</v>
      </c>
      <c r="AI356" s="21">
        <v>-3.6380000000000002E-3</v>
      </c>
      <c r="AJ356" s="21">
        <v>346</v>
      </c>
      <c r="AK356" s="21">
        <v>1.64154</v>
      </c>
      <c r="AL356">
        <f t="shared" si="66"/>
        <v>4.4913580246913583</v>
      </c>
      <c r="AM356">
        <f t="shared" si="67"/>
        <v>7.3761572839506178</v>
      </c>
      <c r="AP356" s="9"/>
      <c r="AQ356" s="21">
        <v>8.7737999999999997E-2</v>
      </c>
      <c r="AR356" s="21">
        <v>27.472300000000001</v>
      </c>
      <c r="AS356" s="21">
        <v>-1.32782E-2</v>
      </c>
      <c r="AT356" s="21">
        <v>346</v>
      </c>
      <c r="AU356" s="21">
        <v>8.7249800000000002E-2</v>
      </c>
      <c r="AV356">
        <f t="shared" si="68"/>
        <v>16.392839506172837</v>
      </c>
      <c r="AW356">
        <f t="shared" si="69"/>
        <v>1.4382749525925924</v>
      </c>
      <c r="AX356" s="9"/>
      <c r="AY356" s="21">
        <v>1.6423000000000001</v>
      </c>
      <c r="AZ356" s="21">
        <v>31.351900000000001</v>
      </c>
      <c r="BA356" s="21">
        <v>-3.5455299999999999E-3</v>
      </c>
      <c r="BB356" s="21">
        <v>346</v>
      </c>
      <c r="BC356" s="21">
        <v>1.64154</v>
      </c>
      <c r="BD356">
        <f t="shared" si="70"/>
        <v>4.3771975308641977</v>
      </c>
      <c r="BE356">
        <f t="shared" si="71"/>
        <v>7.1886715049382719</v>
      </c>
    </row>
    <row r="357" spans="6:57" x14ac:dyDescent="0.25">
      <c r="F357" s="9"/>
      <c r="G357" s="21">
        <v>8.2702600000000001E-2</v>
      </c>
      <c r="H357" s="21">
        <v>8.5309600000000003</v>
      </c>
      <c r="I357" s="21">
        <v>-1.34827E-2</v>
      </c>
      <c r="J357" s="21">
        <v>347</v>
      </c>
      <c r="K357" s="21">
        <v>8.2183800000000001E-2</v>
      </c>
      <c r="L357">
        <f t="shared" si="60"/>
        <v>16.645308641975308</v>
      </c>
      <c r="M357">
        <f t="shared" si="61"/>
        <v>1.3766103024938272</v>
      </c>
      <c r="N357" s="9"/>
      <c r="O357" s="21">
        <v>1.64734</v>
      </c>
      <c r="P357" s="21">
        <v>12.410600000000001</v>
      </c>
      <c r="Q357" s="21">
        <v>-3.7704499999999998E-3</v>
      </c>
      <c r="R357" s="21">
        <v>347</v>
      </c>
      <c r="S357" s="21">
        <v>1.64673</v>
      </c>
      <c r="T357">
        <f t="shared" si="62"/>
        <v>4.654876543209876</v>
      </c>
      <c r="U357">
        <f t="shared" si="63"/>
        <v>7.6681643246913573</v>
      </c>
      <c r="X357" s="9"/>
      <c r="Y357" s="21">
        <v>8.2702600000000001E-2</v>
      </c>
      <c r="Z357" s="21">
        <v>17.984100000000002</v>
      </c>
      <c r="AA357" s="21">
        <v>-1.32751E-2</v>
      </c>
      <c r="AB357" s="21">
        <v>347</v>
      </c>
      <c r="AC357" s="21">
        <v>8.2183800000000001E-2</v>
      </c>
      <c r="AD357">
        <f t="shared" si="64"/>
        <v>16.38901234567901</v>
      </c>
      <c r="AE357">
        <f t="shared" si="65"/>
        <v>1.3554139324197529</v>
      </c>
      <c r="AF357" s="9"/>
      <c r="AG357" s="21">
        <v>1.64734</v>
      </c>
      <c r="AH357" s="21">
        <v>21.863800000000001</v>
      </c>
      <c r="AI357" s="21">
        <v>-3.29773E-3</v>
      </c>
      <c r="AJ357" s="21">
        <v>347</v>
      </c>
      <c r="AK357" s="21">
        <v>1.64703</v>
      </c>
      <c r="AL357">
        <f t="shared" si="66"/>
        <v>4.0712716049382722</v>
      </c>
      <c r="AM357">
        <f t="shared" si="67"/>
        <v>6.7067685656790132</v>
      </c>
      <c r="AP357" s="9"/>
      <c r="AQ357" s="21">
        <v>8.2702600000000001E-2</v>
      </c>
      <c r="AR357" s="21">
        <v>27.482399999999998</v>
      </c>
      <c r="AS357" s="21">
        <v>-1.3284300000000001E-2</v>
      </c>
      <c r="AT357" s="21">
        <v>347</v>
      </c>
      <c r="AU357" s="21">
        <v>8.2214400000000007E-2</v>
      </c>
      <c r="AV357">
        <f t="shared" si="68"/>
        <v>16.400370370370371</v>
      </c>
      <c r="AW357">
        <f t="shared" si="69"/>
        <v>1.3563532705925927</v>
      </c>
      <c r="AX357" s="9"/>
      <c r="AY357" s="21">
        <v>1.64734</v>
      </c>
      <c r="AZ357" s="21">
        <v>31.361999999999998</v>
      </c>
      <c r="BA357" s="21">
        <v>-3.19885E-3</v>
      </c>
      <c r="BB357" s="21">
        <v>347</v>
      </c>
      <c r="BC357" s="21">
        <v>1.64673</v>
      </c>
      <c r="BD357">
        <f t="shared" si="70"/>
        <v>3.9491975308641969</v>
      </c>
      <c r="BE357">
        <f t="shared" si="71"/>
        <v>6.5056710604938264</v>
      </c>
    </row>
    <row r="358" spans="6:57" x14ac:dyDescent="0.25">
      <c r="F358" s="9"/>
      <c r="G358" s="21">
        <v>7.7667200000000006E-2</v>
      </c>
      <c r="H358" s="21">
        <v>8.5410299999999992</v>
      </c>
      <c r="I358" s="21">
        <v>-1.34796E-2</v>
      </c>
      <c r="J358" s="21">
        <v>348</v>
      </c>
      <c r="K358" s="21">
        <v>7.7148400000000006E-2</v>
      </c>
      <c r="L358">
        <f t="shared" si="60"/>
        <v>16.641481481481478</v>
      </c>
      <c r="M358">
        <f t="shared" si="61"/>
        <v>1.2924972705185183</v>
      </c>
      <c r="N358" s="9"/>
      <c r="O358" s="21">
        <v>1.6523699999999999</v>
      </c>
      <c r="P358" s="21">
        <v>12.4206</v>
      </c>
      <c r="Q358" s="21">
        <v>-3.4210199999999999E-3</v>
      </c>
      <c r="R358" s="21">
        <v>348</v>
      </c>
      <c r="S358" s="21">
        <v>1.65161</v>
      </c>
      <c r="T358">
        <f t="shared" si="62"/>
        <v>4.2234814814814809</v>
      </c>
      <c r="U358">
        <f t="shared" si="63"/>
        <v>6.978754095555554</v>
      </c>
      <c r="X358" s="9"/>
      <c r="Y358" s="21">
        <v>7.7667200000000006E-2</v>
      </c>
      <c r="Z358" s="21">
        <v>17.994199999999999</v>
      </c>
      <c r="AA358" s="21">
        <v>-1.32751E-2</v>
      </c>
      <c r="AB358" s="21">
        <v>348</v>
      </c>
      <c r="AC358" s="21">
        <v>7.7148400000000006E-2</v>
      </c>
      <c r="AD358">
        <f t="shared" si="64"/>
        <v>16.38901234567901</v>
      </c>
      <c r="AE358">
        <f t="shared" si="65"/>
        <v>1.2728886996543209</v>
      </c>
      <c r="AF358" s="9"/>
      <c r="AG358" s="21">
        <v>1.6523699999999999</v>
      </c>
      <c r="AH358" s="21">
        <v>21.873799999999999</v>
      </c>
      <c r="AI358" s="21">
        <v>-2.9385399999999999E-3</v>
      </c>
      <c r="AJ358" s="21">
        <v>348</v>
      </c>
      <c r="AK358" s="21">
        <v>1.65161</v>
      </c>
      <c r="AL358">
        <f t="shared" si="66"/>
        <v>3.6278271604938266</v>
      </c>
      <c r="AM358">
        <f t="shared" si="67"/>
        <v>5.9945127651851839</v>
      </c>
      <c r="AP358" s="9"/>
      <c r="AQ358" s="21">
        <v>7.7667200000000006E-2</v>
      </c>
      <c r="AR358" s="21">
        <v>27.4924</v>
      </c>
      <c r="AS358" s="21">
        <v>-1.3281299999999999E-2</v>
      </c>
      <c r="AT358" s="21">
        <v>348</v>
      </c>
      <c r="AU358" s="21">
        <v>7.7117900000000003E-2</v>
      </c>
      <c r="AV358">
        <f t="shared" si="68"/>
        <v>16.396666666666665</v>
      </c>
      <c r="AW358">
        <f t="shared" si="69"/>
        <v>1.2734831893333334</v>
      </c>
      <c r="AX358" s="9"/>
      <c r="AY358" s="21">
        <v>1.6523699999999999</v>
      </c>
      <c r="AZ358" s="21">
        <v>31.3721</v>
      </c>
      <c r="BA358" s="21">
        <v>-2.8179899999999998E-3</v>
      </c>
      <c r="BB358" s="21">
        <v>348</v>
      </c>
      <c r="BC358" s="21">
        <v>1.65161</v>
      </c>
      <c r="BD358">
        <f t="shared" si="70"/>
        <v>3.4789999999999996</v>
      </c>
      <c r="BE358">
        <f t="shared" si="71"/>
        <v>5.7485952299999994</v>
      </c>
    </row>
    <row r="359" spans="6:57" x14ac:dyDescent="0.25">
      <c r="F359" s="9"/>
      <c r="G359" s="21">
        <v>7.2631799999999996E-2</v>
      </c>
      <c r="H359" s="21">
        <v>8.5510999999999999</v>
      </c>
      <c r="I359" s="21">
        <v>-1.34766E-2</v>
      </c>
      <c r="J359" s="21">
        <v>349</v>
      </c>
      <c r="K359" s="21">
        <v>7.2052000000000005E-2</v>
      </c>
      <c r="L359">
        <f t="shared" si="60"/>
        <v>16.637777777777774</v>
      </c>
      <c r="M359">
        <f t="shared" si="61"/>
        <v>1.2084317479999998</v>
      </c>
      <c r="N359" s="9"/>
      <c r="O359" s="21">
        <v>1.65741</v>
      </c>
      <c r="P359" s="21">
        <v>12.4307</v>
      </c>
      <c r="Q359" s="21">
        <v>-3.0465700000000002E-3</v>
      </c>
      <c r="R359" s="21">
        <v>349</v>
      </c>
      <c r="S359" s="21">
        <v>1.65649</v>
      </c>
      <c r="T359">
        <f t="shared" si="62"/>
        <v>3.7611975308641976</v>
      </c>
      <c r="U359">
        <f t="shared" si="63"/>
        <v>6.2338463996296296</v>
      </c>
      <c r="X359" s="9"/>
      <c r="Y359" s="21">
        <v>7.2631799999999996E-2</v>
      </c>
      <c r="Z359" s="21">
        <v>18.004300000000001</v>
      </c>
      <c r="AA359" s="21">
        <v>-1.32782E-2</v>
      </c>
      <c r="AB359" s="21">
        <v>349</v>
      </c>
      <c r="AC359" s="21">
        <v>7.2112999999999997E-2</v>
      </c>
      <c r="AD359">
        <f t="shared" si="64"/>
        <v>16.392839506172837</v>
      </c>
      <c r="AE359">
        <f t="shared" si="65"/>
        <v>1.1906414404444443</v>
      </c>
      <c r="AF359" s="9"/>
      <c r="AG359" s="21">
        <v>1.65741</v>
      </c>
      <c r="AH359" s="21">
        <v>21.883900000000001</v>
      </c>
      <c r="AI359" s="21">
        <v>-2.54608E-3</v>
      </c>
      <c r="AJ359" s="21">
        <v>349</v>
      </c>
      <c r="AK359" s="21">
        <v>1.65649</v>
      </c>
      <c r="AL359">
        <f t="shared" si="66"/>
        <v>3.1433086419753082</v>
      </c>
      <c r="AM359">
        <f t="shared" si="67"/>
        <v>5.2097511762962956</v>
      </c>
      <c r="AP359" s="9"/>
      <c r="AQ359" s="21">
        <v>7.2631799999999996E-2</v>
      </c>
      <c r="AR359" s="21">
        <v>27.502500000000001</v>
      </c>
      <c r="AS359" s="21">
        <v>-1.3269E-2</v>
      </c>
      <c r="AT359" s="21">
        <v>349</v>
      </c>
      <c r="AU359" s="21">
        <v>7.2082499999999994E-2</v>
      </c>
      <c r="AV359">
        <f t="shared" si="68"/>
        <v>16.38148148148148</v>
      </c>
      <c r="AW359">
        <f t="shared" si="69"/>
        <v>1.1898164866666665</v>
      </c>
      <c r="AX359" s="9"/>
      <c r="AY359" s="21">
        <v>1.65741</v>
      </c>
      <c r="AZ359" s="21">
        <v>31.382100000000001</v>
      </c>
      <c r="BA359" s="21">
        <v>-2.4035599999999999E-3</v>
      </c>
      <c r="BB359" s="21">
        <v>349</v>
      </c>
      <c r="BC359" s="21">
        <v>1.6568000000000001</v>
      </c>
      <c r="BD359">
        <f t="shared" si="70"/>
        <v>2.9673580246913578</v>
      </c>
      <c r="BE359">
        <f t="shared" si="71"/>
        <v>4.9181288637037035</v>
      </c>
    </row>
    <row r="360" spans="6:57" x14ac:dyDescent="0.25">
      <c r="F360" s="9"/>
      <c r="G360" s="21">
        <v>6.7596400000000001E-2</v>
      </c>
      <c r="H360" s="21">
        <v>8.5611700000000006</v>
      </c>
      <c r="I360" s="21">
        <v>-1.34766E-2</v>
      </c>
      <c r="J360" s="21">
        <v>350</v>
      </c>
      <c r="K360" s="21">
        <v>6.7047099999999998E-2</v>
      </c>
      <c r="L360">
        <f t="shared" si="60"/>
        <v>16.637777777777774</v>
      </c>
      <c r="M360">
        <f t="shared" si="61"/>
        <v>1.1246538817777776</v>
      </c>
      <c r="N360" s="9"/>
      <c r="O360" s="21">
        <v>1.66245</v>
      </c>
      <c r="P360" s="21">
        <v>12.440799999999999</v>
      </c>
      <c r="Q360" s="21">
        <v>-2.6455699999999999E-3</v>
      </c>
      <c r="R360" s="21">
        <v>350</v>
      </c>
      <c r="S360" s="21">
        <v>1.66168</v>
      </c>
      <c r="T360">
        <f t="shared" si="62"/>
        <v>3.2661358024691354</v>
      </c>
      <c r="U360">
        <f t="shared" si="63"/>
        <v>5.4297874648148143</v>
      </c>
      <c r="X360" s="9"/>
      <c r="Y360" s="21">
        <v>6.7596400000000001E-2</v>
      </c>
      <c r="Z360" s="21">
        <v>18.014399999999998</v>
      </c>
      <c r="AA360" s="21">
        <v>-1.3281299999999999E-2</v>
      </c>
      <c r="AB360" s="21">
        <v>350</v>
      </c>
      <c r="AC360" s="21">
        <v>6.7047099999999998E-2</v>
      </c>
      <c r="AD360">
        <f t="shared" si="64"/>
        <v>16.396666666666665</v>
      </c>
      <c r="AE360">
        <f t="shared" si="65"/>
        <v>1.1083556386666666</v>
      </c>
      <c r="AF360" s="9"/>
      <c r="AG360" s="21">
        <v>1.66245</v>
      </c>
      <c r="AH360" s="21">
        <v>21.893999999999998</v>
      </c>
      <c r="AI360" s="21">
        <v>-2.12006E-3</v>
      </c>
      <c r="AJ360" s="21">
        <v>350</v>
      </c>
      <c r="AK360" s="21">
        <v>1.66168</v>
      </c>
      <c r="AL360">
        <f t="shared" si="66"/>
        <v>2.6173580246913577</v>
      </c>
      <c r="AM360">
        <f t="shared" si="67"/>
        <v>4.3512268481481478</v>
      </c>
      <c r="AP360" s="9"/>
      <c r="AQ360" s="21">
        <v>6.7596400000000001E-2</v>
      </c>
      <c r="AR360" s="21">
        <v>27.512599999999999</v>
      </c>
      <c r="AS360" s="21">
        <v>-1.32599E-2</v>
      </c>
      <c r="AT360" s="21">
        <v>350</v>
      </c>
      <c r="AU360" s="21">
        <v>6.7016599999999996E-2</v>
      </c>
      <c r="AV360">
        <f t="shared" si="68"/>
        <v>16.370246913580246</v>
      </c>
      <c r="AW360">
        <f t="shared" si="69"/>
        <v>1.1065697584691359</v>
      </c>
      <c r="AX360" s="9"/>
      <c r="AY360" s="21">
        <v>1.66245</v>
      </c>
      <c r="AZ360" s="21">
        <v>31.392199999999999</v>
      </c>
      <c r="BA360" s="21">
        <v>-1.95831E-3</v>
      </c>
      <c r="BB360" s="21">
        <v>350</v>
      </c>
      <c r="BC360" s="21">
        <v>1.66168</v>
      </c>
      <c r="BD360">
        <f t="shared" si="70"/>
        <v>2.4176666666666664</v>
      </c>
      <c r="BE360">
        <f t="shared" si="71"/>
        <v>4.0192499499999998</v>
      </c>
    </row>
    <row r="361" spans="6:57" x14ac:dyDescent="0.25">
      <c r="F361" s="9"/>
      <c r="G361" s="21">
        <v>6.2561000000000005E-2</v>
      </c>
      <c r="H361" s="21">
        <v>8.5712399999999995</v>
      </c>
      <c r="I361" s="21">
        <v>-1.34766E-2</v>
      </c>
      <c r="J361" s="21">
        <v>351</v>
      </c>
      <c r="K361" s="21">
        <v>6.2011700000000003E-2</v>
      </c>
      <c r="L361">
        <f t="shared" si="60"/>
        <v>16.637777777777774</v>
      </c>
      <c r="M361">
        <f t="shared" si="61"/>
        <v>1.0408760155555554</v>
      </c>
      <c r="N361" s="9"/>
      <c r="O361" s="21">
        <v>1.6674800000000001</v>
      </c>
      <c r="P361" s="21">
        <v>12.450900000000001</v>
      </c>
      <c r="Q361" s="21">
        <v>-2.2097800000000002E-3</v>
      </c>
      <c r="R361" s="21">
        <v>351</v>
      </c>
      <c r="S361" s="21">
        <v>1.6668700000000001</v>
      </c>
      <c r="T361">
        <f t="shared" si="62"/>
        <v>2.7281234567901231</v>
      </c>
      <c r="U361">
        <f t="shared" si="63"/>
        <v>4.5490913017283949</v>
      </c>
      <c r="X361" s="9"/>
      <c r="Y361" s="21">
        <v>6.2561000000000005E-2</v>
      </c>
      <c r="Z361" s="21">
        <v>18.0244</v>
      </c>
      <c r="AA361" s="21">
        <v>-1.3290400000000001E-2</v>
      </c>
      <c r="AB361" s="21">
        <v>351</v>
      </c>
      <c r="AC361" s="21">
        <v>6.21033E-2</v>
      </c>
      <c r="AD361">
        <f t="shared" si="64"/>
        <v>16.407901234567902</v>
      </c>
      <c r="AE361">
        <f t="shared" si="65"/>
        <v>1.0264947091358025</v>
      </c>
      <c r="AF361" s="9"/>
      <c r="AG361" s="21">
        <v>1.6674800000000001</v>
      </c>
      <c r="AH361" s="21">
        <v>21.904</v>
      </c>
      <c r="AI361" s="21">
        <v>-1.65161E-3</v>
      </c>
      <c r="AJ361" s="21">
        <v>351</v>
      </c>
      <c r="AK361" s="21">
        <v>1.6668700000000001</v>
      </c>
      <c r="AL361">
        <f t="shared" si="66"/>
        <v>2.0390246913580246</v>
      </c>
      <c r="AM361">
        <f t="shared" si="67"/>
        <v>3.4000328923456791</v>
      </c>
      <c r="AP361" s="9"/>
      <c r="AQ361" s="21">
        <v>6.2561000000000005E-2</v>
      </c>
      <c r="AR361" s="21">
        <v>27.5227</v>
      </c>
      <c r="AS361" s="21">
        <v>-1.3247699999999999E-2</v>
      </c>
      <c r="AT361" s="21">
        <v>351</v>
      </c>
      <c r="AU361" s="21">
        <v>6.2011700000000003E-2</v>
      </c>
      <c r="AV361">
        <f t="shared" si="68"/>
        <v>16.355185185185185</v>
      </c>
      <c r="AW361">
        <f t="shared" si="69"/>
        <v>1.0231967403703706</v>
      </c>
      <c r="AX361" s="9"/>
      <c r="AY361" s="21">
        <v>1.6674800000000001</v>
      </c>
      <c r="AZ361" s="21">
        <v>31.4023</v>
      </c>
      <c r="BA361" s="21">
        <v>-1.4727799999999999E-3</v>
      </c>
      <c r="BB361" s="21">
        <v>351</v>
      </c>
      <c r="BC361" s="21">
        <v>1.6668700000000001</v>
      </c>
      <c r="BD361">
        <f t="shared" si="70"/>
        <v>1.8182469135802468</v>
      </c>
      <c r="BE361">
        <f t="shared" si="71"/>
        <v>3.0318903634567902</v>
      </c>
    </row>
    <row r="362" spans="6:57" x14ac:dyDescent="0.25">
      <c r="F362" s="9"/>
      <c r="G362" s="21">
        <v>5.7525600000000003E-2</v>
      </c>
      <c r="H362" s="21">
        <v>8.5813100000000002</v>
      </c>
      <c r="I362" s="21">
        <v>-1.3473499999999999E-2</v>
      </c>
      <c r="J362" s="21">
        <v>352</v>
      </c>
      <c r="K362" s="21">
        <v>5.6976300000000001E-2</v>
      </c>
      <c r="L362">
        <f t="shared" si="60"/>
        <v>16.633950617283947</v>
      </c>
      <c r="M362">
        <f t="shared" si="61"/>
        <v>0.95687798962962944</v>
      </c>
      <c r="N362" s="9"/>
      <c r="O362" s="21">
        <v>1.67252</v>
      </c>
      <c r="P362" s="21">
        <v>12.460900000000001</v>
      </c>
      <c r="Q362" s="21">
        <v>-1.7407200000000001E-3</v>
      </c>
      <c r="R362" s="21">
        <v>352</v>
      </c>
      <c r="S362" s="21">
        <v>1.6723600000000001</v>
      </c>
      <c r="T362">
        <f t="shared" si="62"/>
        <v>2.1490370370370369</v>
      </c>
      <c r="U362">
        <f t="shared" si="63"/>
        <v>3.594307425185185</v>
      </c>
      <c r="X362" s="9"/>
      <c r="Y362" s="21">
        <v>5.7525600000000003E-2</v>
      </c>
      <c r="Z362" s="21">
        <v>18.034500000000001</v>
      </c>
      <c r="AA362" s="21">
        <v>-1.32935E-2</v>
      </c>
      <c r="AB362" s="21">
        <v>352</v>
      </c>
      <c r="AC362" s="21">
        <v>5.6976300000000001E-2</v>
      </c>
      <c r="AD362">
        <f t="shared" si="64"/>
        <v>16.411728395061726</v>
      </c>
      <c r="AE362">
        <f t="shared" si="65"/>
        <v>0.94409452296296281</v>
      </c>
      <c r="AF362" s="9"/>
      <c r="AG362" s="21">
        <v>1.67252</v>
      </c>
      <c r="AH362" s="21">
        <v>21.914100000000001</v>
      </c>
      <c r="AI362" s="21">
        <v>-1.1404399999999999E-3</v>
      </c>
      <c r="AJ362" s="21">
        <v>352</v>
      </c>
      <c r="AK362" s="21">
        <v>1.6714500000000001</v>
      </c>
      <c r="AL362">
        <f t="shared" si="66"/>
        <v>1.4079506172839507</v>
      </c>
      <c r="AM362">
        <f t="shared" si="67"/>
        <v>2.3548255664197533</v>
      </c>
      <c r="AP362" s="9"/>
      <c r="AQ362" s="21">
        <v>5.7525600000000003E-2</v>
      </c>
      <c r="AR362" s="21">
        <v>27.532699999999998</v>
      </c>
      <c r="AS362" s="21">
        <v>-1.3247699999999999E-2</v>
      </c>
      <c r="AT362" s="21">
        <v>352</v>
      </c>
      <c r="AU362" s="21">
        <v>5.7006800000000003E-2</v>
      </c>
      <c r="AV362">
        <f t="shared" si="68"/>
        <v>16.355185185185185</v>
      </c>
      <c r="AW362">
        <f t="shared" si="69"/>
        <v>0.94084184088888889</v>
      </c>
      <c r="AX362" s="9"/>
      <c r="AY362" s="21">
        <v>1.67252</v>
      </c>
      <c r="AZ362" s="21">
        <v>31.412299999999998</v>
      </c>
      <c r="BA362" s="21">
        <v>-9.4024699999999996E-4</v>
      </c>
      <c r="BB362" s="21">
        <v>352</v>
      </c>
      <c r="BC362" s="21">
        <v>1.6717500000000001</v>
      </c>
      <c r="BD362">
        <f t="shared" si="70"/>
        <v>1.1607987654320986</v>
      </c>
      <c r="BE362">
        <f t="shared" si="71"/>
        <v>1.9414591511604935</v>
      </c>
    </row>
    <row r="363" spans="6:57" x14ac:dyDescent="0.25">
      <c r="F363" s="9"/>
      <c r="G363" s="21">
        <v>5.2490200000000001E-2</v>
      </c>
      <c r="H363" s="21">
        <v>8.5913799999999991</v>
      </c>
      <c r="I363" s="21">
        <v>-1.34827E-2</v>
      </c>
      <c r="J363" s="21">
        <v>353</v>
      </c>
      <c r="K363" s="21">
        <v>5.2002E-2</v>
      </c>
      <c r="L363">
        <f t="shared" si="60"/>
        <v>16.645308641975308</v>
      </c>
      <c r="M363">
        <f t="shared" si="61"/>
        <v>0.87371557967901237</v>
      </c>
      <c r="N363" s="9"/>
      <c r="O363" s="21">
        <v>1.6775500000000001</v>
      </c>
      <c r="P363" s="21">
        <v>12.471</v>
      </c>
      <c r="Q363" s="21">
        <v>-1.2292500000000001E-3</v>
      </c>
      <c r="R363" s="21">
        <v>353</v>
      </c>
      <c r="S363" s="21">
        <v>1.6766399999999999</v>
      </c>
      <c r="T363">
        <f t="shared" si="62"/>
        <v>1.5175925925925926</v>
      </c>
      <c r="U363">
        <f t="shared" si="63"/>
        <v>2.5458374537037041</v>
      </c>
      <c r="X363" s="9"/>
      <c r="Y363" s="21">
        <v>5.2490200000000001E-2</v>
      </c>
      <c r="Z363" s="21">
        <v>18.044599999999999</v>
      </c>
      <c r="AA363" s="21">
        <v>-1.3296499999999999E-2</v>
      </c>
      <c r="AB363" s="21">
        <v>353</v>
      </c>
      <c r="AC363" s="21">
        <v>5.2032500000000002E-2</v>
      </c>
      <c r="AD363">
        <f t="shared" si="64"/>
        <v>16.415432098765429</v>
      </c>
      <c r="AE363">
        <f t="shared" si="65"/>
        <v>0.86164931395061717</v>
      </c>
      <c r="AF363" s="9"/>
      <c r="AG363" s="21">
        <v>1.6775500000000001</v>
      </c>
      <c r="AH363" s="21">
        <v>21.924199999999999</v>
      </c>
      <c r="AI363" s="21">
        <v>-5.8593800000000004E-4</v>
      </c>
      <c r="AJ363" s="21">
        <v>353</v>
      </c>
      <c r="AK363" s="21">
        <v>1.6775500000000001</v>
      </c>
      <c r="AL363">
        <f t="shared" si="66"/>
        <v>0.72338024691358016</v>
      </c>
      <c r="AM363">
        <f t="shared" si="67"/>
        <v>1.2135065332098764</v>
      </c>
      <c r="AP363" s="9"/>
      <c r="AQ363" s="21">
        <v>5.2490200000000001E-2</v>
      </c>
      <c r="AR363" s="21">
        <v>27.5428</v>
      </c>
      <c r="AS363" s="21">
        <v>-1.3235500000000001E-2</v>
      </c>
      <c r="AT363" s="21">
        <v>353</v>
      </c>
      <c r="AU363" s="21">
        <v>5.1971400000000001E-2</v>
      </c>
      <c r="AV363">
        <f t="shared" si="68"/>
        <v>16.340123456790124</v>
      </c>
      <c r="AW363">
        <f t="shared" si="69"/>
        <v>0.85769634827160501</v>
      </c>
      <c r="AX363" s="9"/>
      <c r="AY363" s="21">
        <v>1.6775500000000001</v>
      </c>
      <c r="AZ363" s="21">
        <v>31.4224</v>
      </c>
      <c r="BA363" s="21">
        <v>-3.6105300000000001E-4</v>
      </c>
      <c r="BB363" s="21">
        <v>353</v>
      </c>
      <c r="BC363" s="21">
        <v>1.6763300000000001</v>
      </c>
      <c r="BD363">
        <f t="shared" si="70"/>
        <v>0.44574444444444444</v>
      </c>
      <c r="BE363">
        <f t="shared" si="71"/>
        <v>0.74775859277777779</v>
      </c>
    </row>
    <row r="364" spans="6:57" x14ac:dyDescent="0.25">
      <c r="F364" s="9"/>
      <c r="G364" s="21">
        <v>4.7454799999999998E-2</v>
      </c>
      <c r="H364" s="21">
        <v>8.6014499999999998</v>
      </c>
      <c r="I364" s="21">
        <v>-1.34827E-2</v>
      </c>
      <c r="J364" s="21">
        <v>354</v>
      </c>
      <c r="K364" s="21">
        <v>4.7341899999999999E-2</v>
      </c>
      <c r="L364">
        <f t="shared" si="60"/>
        <v>16.645308641975308</v>
      </c>
      <c r="M364">
        <f t="shared" si="61"/>
        <v>0.78989979254320986</v>
      </c>
      <c r="N364" s="9"/>
      <c r="O364" s="21">
        <v>1.68259</v>
      </c>
      <c r="P364" s="21">
        <v>12.4811</v>
      </c>
      <c r="Q364" s="21">
        <v>-6.7138699999999996E-4</v>
      </c>
      <c r="R364" s="21">
        <v>354</v>
      </c>
      <c r="S364" s="21">
        <v>1.6818200000000001</v>
      </c>
      <c r="T364">
        <f t="shared" si="62"/>
        <v>0.82887283950617274</v>
      </c>
      <c r="U364">
        <f t="shared" si="63"/>
        <v>1.3946531510246911</v>
      </c>
      <c r="X364" s="9"/>
      <c r="Y364" s="21">
        <v>4.7454799999999998E-2</v>
      </c>
      <c r="Z364" s="21">
        <v>18.054600000000001</v>
      </c>
      <c r="AA364" s="21">
        <v>-1.33057E-2</v>
      </c>
      <c r="AB364" s="21">
        <v>354</v>
      </c>
      <c r="AC364" s="21">
        <v>4.7348000000000001E-2</v>
      </c>
      <c r="AD364">
        <f t="shared" si="64"/>
        <v>16.42679012345679</v>
      </c>
      <c r="AE364">
        <f t="shared" si="65"/>
        <v>0.7795300399506172</v>
      </c>
      <c r="AF364" s="9"/>
      <c r="AG364" s="21">
        <v>1.68259</v>
      </c>
      <c r="AH364" s="21">
        <v>21.9343</v>
      </c>
      <c r="AI364" s="24">
        <v>2.61536E-5</v>
      </c>
      <c r="AJ364" s="21">
        <v>354</v>
      </c>
      <c r="AK364" s="21">
        <v>1.6815199999999999</v>
      </c>
      <c r="AL364">
        <f t="shared" si="66"/>
        <v>-3.2288395061728391E-2</v>
      </c>
      <c r="AM364">
        <f t="shared" si="67"/>
        <v>-5.4328130646913574E-2</v>
      </c>
      <c r="AP364" s="9"/>
      <c r="AQ364" s="21">
        <v>4.7454799999999998E-2</v>
      </c>
      <c r="AR364" s="21">
        <v>27.552900000000001</v>
      </c>
      <c r="AS364" s="21">
        <v>-1.32324E-2</v>
      </c>
      <c r="AT364" s="21">
        <v>354</v>
      </c>
      <c r="AU364" s="21">
        <v>4.7289999999999999E-2</v>
      </c>
      <c r="AV364">
        <f t="shared" si="68"/>
        <v>16.336296296296297</v>
      </c>
      <c r="AW364">
        <f t="shared" si="69"/>
        <v>0.77523567348148148</v>
      </c>
      <c r="AX364" s="9"/>
      <c r="AY364" s="21">
        <v>1.68259</v>
      </c>
      <c r="AZ364" s="21">
        <v>31.432500000000001</v>
      </c>
      <c r="BA364" s="21">
        <v>2.8372199999999998E-4</v>
      </c>
      <c r="BB364" s="21">
        <v>354</v>
      </c>
      <c r="BC364" s="21">
        <v>1.6815199999999999</v>
      </c>
      <c r="BD364">
        <f t="shared" si="70"/>
        <v>-0.35027407407407407</v>
      </c>
      <c r="BE364">
        <f t="shared" si="71"/>
        <v>-0.58936765429629634</v>
      </c>
    </row>
    <row r="365" spans="6:57" x14ac:dyDescent="0.25">
      <c r="F365" s="9"/>
      <c r="G365" s="21">
        <v>4.2419400000000003E-2</v>
      </c>
      <c r="H365" s="21">
        <v>8.6115200000000005</v>
      </c>
      <c r="I365" s="21">
        <v>-1.34857E-2</v>
      </c>
      <c r="J365" s="21">
        <v>355</v>
      </c>
      <c r="K365" s="21">
        <v>4.2379800000000002E-2</v>
      </c>
      <c r="L365">
        <f t="shared" si="60"/>
        <v>16.649012345679012</v>
      </c>
      <c r="M365">
        <f t="shared" si="61"/>
        <v>0.70624111429629632</v>
      </c>
      <c r="N365" s="9"/>
      <c r="O365" s="21">
        <v>1.6876199999999999</v>
      </c>
      <c r="P365" s="21">
        <v>12.491099999999999</v>
      </c>
      <c r="Q365" s="24">
        <v>-6.4788800000000006E-5</v>
      </c>
      <c r="R365" s="21">
        <v>355</v>
      </c>
      <c r="S365" s="21">
        <v>1.6870099999999999</v>
      </c>
      <c r="T365">
        <f t="shared" si="62"/>
        <v>7.9986172839506181E-2</v>
      </c>
      <c r="U365">
        <f t="shared" si="63"/>
        <v>0.1349862650074074</v>
      </c>
      <c r="X365" s="9"/>
      <c r="Y365" s="21">
        <v>4.2419400000000003E-2</v>
      </c>
      <c r="Z365" s="21">
        <v>18.064699999999998</v>
      </c>
      <c r="AA365" s="21">
        <v>-1.33087E-2</v>
      </c>
      <c r="AB365" s="21">
        <v>355</v>
      </c>
      <c r="AC365" s="21">
        <v>4.2330899999999998E-2</v>
      </c>
      <c r="AD365">
        <f t="shared" si="64"/>
        <v>16.430493827160493</v>
      </c>
      <c r="AE365">
        <f t="shared" si="65"/>
        <v>0.69697168985185187</v>
      </c>
      <c r="AF365" s="9"/>
      <c r="AG365" s="21">
        <v>1.6876199999999999</v>
      </c>
      <c r="AH365" s="21">
        <v>21.944299999999998</v>
      </c>
      <c r="AI365" s="21">
        <v>6.8756100000000005E-4</v>
      </c>
      <c r="AJ365" s="21">
        <v>355</v>
      </c>
      <c r="AK365" s="21">
        <v>1.6863999999999999</v>
      </c>
      <c r="AL365">
        <f t="shared" si="66"/>
        <v>-0.84884074074074078</v>
      </c>
      <c r="AM365">
        <f t="shared" si="67"/>
        <v>-1.4325206108888888</v>
      </c>
      <c r="AP365" s="9"/>
      <c r="AQ365" s="21">
        <v>4.2419400000000003E-2</v>
      </c>
      <c r="AR365" s="21">
        <v>27.562899999999999</v>
      </c>
      <c r="AS365" s="21">
        <v>-1.3235500000000001E-2</v>
      </c>
      <c r="AT365" s="21">
        <v>355</v>
      </c>
      <c r="AU365" s="21">
        <v>4.2367599999999998E-2</v>
      </c>
      <c r="AV365">
        <f t="shared" si="68"/>
        <v>16.340123456790124</v>
      </c>
      <c r="AW365">
        <f t="shared" si="69"/>
        <v>0.69313823296296306</v>
      </c>
      <c r="AX365" s="9"/>
      <c r="AY365" s="21">
        <v>1.6876199999999999</v>
      </c>
      <c r="AZ365" s="21">
        <v>31.442599999999999</v>
      </c>
      <c r="BA365" s="21">
        <v>9.7625700000000001E-4</v>
      </c>
      <c r="BB365" s="21">
        <v>355</v>
      </c>
      <c r="BC365" s="21">
        <v>1.6870099999999999</v>
      </c>
      <c r="BD365">
        <f t="shared" si="70"/>
        <v>-1.2052555555555555</v>
      </c>
      <c r="BE365">
        <f t="shared" si="71"/>
        <v>-2.0340133806666665</v>
      </c>
    </row>
    <row r="366" spans="6:57" x14ac:dyDescent="0.25">
      <c r="F366" s="9"/>
      <c r="G366" s="21">
        <v>3.7384000000000001E-2</v>
      </c>
      <c r="H366" s="21">
        <v>8.6215899999999994</v>
      </c>
      <c r="I366" s="21">
        <v>-1.34918E-2</v>
      </c>
      <c r="J366" s="21">
        <v>356</v>
      </c>
      <c r="K366" s="21">
        <v>3.7265E-2</v>
      </c>
      <c r="L366">
        <f t="shared" si="60"/>
        <v>16.656543209876542</v>
      </c>
      <c r="M366">
        <f t="shared" si="61"/>
        <v>0.62268821135802466</v>
      </c>
      <c r="N366" s="9"/>
      <c r="O366" s="21">
        <v>1.6926600000000001</v>
      </c>
      <c r="P366" s="21">
        <v>12.501200000000001</v>
      </c>
      <c r="Q366" s="21">
        <v>6.1096200000000005E-4</v>
      </c>
      <c r="R366" s="21">
        <v>356</v>
      </c>
      <c r="S366" s="21">
        <v>1.6915899999999999</v>
      </c>
      <c r="T366">
        <f t="shared" si="62"/>
        <v>-0.7542740740740741</v>
      </c>
      <c r="U366">
        <f t="shared" si="63"/>
        <v>-1.2767295542222223</v>
      </c>
      <c r="X366" s="9"/>
      <c r="Y366" s="21">
        <v>3.7384000000000001E-2</v>
      </c>
      <c r="Z366" s="21">
        <v>18.0748</v>
      </c>
      <c r="AA366" s="21">
        <v>-1.33148E-2</v>
      </c>
      <c r="AB366" s="21">
        <v>356</v>
      </c>
      <c r="AC366" s="21">
        <v>3.73169E-2</v>
      </c>
      <c r="AD366">
        <f t="shared" si="64"/>
        <v>16.438024691358024</v>
      </c>
      <c r="AE366">
        <f t="shared" si="65"/>
        <v>0.6145191150617284</v>
      </c>
      <c r="AF366" s="9"/>
      <c r="AG366" s="21">
        <v>1.6926600000000001</v>
      </c>
      <c r="AH366" s="21">
        <v>21.9544</v>
      </c>
      <c r="AI366" s="21">
        <v>1.4175399999999999E-3</v>
      </c>
      <c r="AJ366" s="21">
        <v>356</v>
      </c>
      <c r="AK366" s="21">
        <v>1.6921999999999999</v>
      </c>
      <c r="AL366">
        <f t="shared" si="66"/>
        <v>-1.7500493827160493</v>
      </c>
      <c r="AM366">
        <f t="shared" si="67"/>
        <v>-2.9622385881481481</v>
      </c>
      <c r="AP366" s="9"/>
      <c r="AQ366" s="21">
        <v>3.7384000000000001E-2</v>
      </c>
      <c r="AR366" s="21">
        <v>27.573</v>
      </c>
      <c r="AS366" s="21">
        <v>-1.32446E-2</v>
      </c>
      <c r="AT366" s="21">
        <v>356</v>
      </c>
      <c r="AU366" s="21">
        <v>3.7210100000000003E-2</v>
      </c>
      <c r="AV366">
        <f t="shared" si="68"/>
        <v>16.351358024691358</v>
      </c>
      <c r="AW366">
        <f t="shared" si="69"/>
        <v>0.61127916839506169</v>
      </c>
      <c r="AX366" s="9"/>
      <c r="AY366" s="21">
        <v>1.6926600000000001</v>
      </c>
      <c r="AZ366" s="21">
        <v>31.4526</v>
      </c>
      <c r="BA366" s="21">
        <v>1.7440800000000001E-3</v>
      </c>
      <c r="BB366" s="21">
        <v>356</v>
      </c>
      <c r="BC366" s="21">
        <v>1.6915899999999999</v>
      </c>
      <c r="BD366">
        <f t="shared" si="70"/>
        <v>-2.1531851851851851</v>
      </c>
      <c r="BE366">
        <f t="shared" si="71"/>
        <v>-3.6446104355555553</v>
      </c>
    </row>
    <row r="367" spans="6:57" x14ac:dyDescent="0.25">
      <c r="F367" s="9"/>
      <c r="G367" s="21">
        <v>3.2348599999999998E-2</v>
      </c>
      <c r="H367" s="21">
        <v>8.6316699999999997</v>
      </c>
      <c r="I367" s="21">
        <v>-1.34857E-2</v>
      </c>
      <c r="J367" s="21">
        <v>357</v>
      </c>
      <c r="K367" s="21">
        <v>3.2257099999999997E-2</v>
      </c>
      <c r="L367">
        <f t="shared" si="60"/>
        <v>16.649012345679012</v>
      </c>
      <c r="M367">
        <f t="shared" si="61"/>
        <v>0.53857224076543209</v>
      </c>
      <c r="N367" s="9"/>
      <c r="O367" s="21">
        <v>1.6976899999999999</v>
      </c>
      <c r="P367" s="21">
        <v>12.5113</v>
      </c>
      <c r="Q367" s="21">
        <v>1.32782E-3</v>
      </c>
      <c r="R367" s="21">
        <v>357</v>
      </c>
      <c r="S367" s="21">
        <v>1.69739</v>
      </c>
      <c r="T367">
        <f t="shared" si="62"/>
        <v>-1.6392839506172838</v>
      </c>
      <c r="U367">
        <f t="shared" si="63"/>
        <v>-2.7829959701234563</v>
      </c>
      <c r="X367" s="9"/>
      <c r="Y367" s="21">
        <v>3.2348599999999998E-2</v>
      </c>
      <c r="Z367" s="21">
        <v>18.084800000000001</v>
      </c>
      <c r="AA367" s="21">
        <v>-1.33057E-2</v>
      </c>
      <c r="AB367" s="21">
        <v>357</v>
      </c>
      <c r="AC367" s="21">
        <v>3.2211299999999998E-2</v>
      </c>
      <c r="AD367">
        <f t="shared" si="64"/>
        <v>16.42679012345679</v>
      </c>
      <c r="AE367">
        <f t="shared" si="65"/>
        <v>0.53138366298765427</v>
      </c>
      <c r="AF367" s="9"/>
      <c r="AG367" s="21">
        <v>1.6976899999999999</v>
      </c>
      <c r="AH367" s="21">
        <v>21.964500000000001</v>
      </c>
      <c r="AI367" s="21">
        <v>2.19849E-3</v>
      </c>
      <c r="AJ367" s="21">
        <v>357</v>
      </c>
      <c r="AK367" s="21">
        <v>1.69678</v>
      </c>
      <c r="AL367">
        <f t="shared" si="66"/>
        <v>-2.714185185185185</v>
      </c>
      <c r="AM367">
        <f t="shared" si="67"/>
        <v>-4.6078450470370367</v>
      </c>
      <c r="AP367" s="9"/>
      <c r="AQ367" s="21">
        <v>3.2348599999999998E-2</v>
      </c>
      <c r="AR367" s="21">
        <v>27.583100000000002</v>
      </c>
      <c r="AS367" s="21">
        <v>-1.3256799999999999E-2</v>
      </c>
      <c r="AT367" s="21">
        <v>357</v>
      </c>
      <c r="AU367" s="21">
        <v>3.2186899999999997E-2</v>
      </c>
      <c r="AV367">
        <f t="shared" si="68"/>
        <v>16.366419753086415</v>
      </c>
      <c r="AW367">
        <f t="shared" si="69"/>
        <v>0.52943076602469119</v>
      </c>
      <c r="AX367" s="9"/>
      <c r="AY367" s="21">
        <v>1.6976899999999999</v>
      </c>
      <c r="AZ367" s="21">
        <v>31.462700000000002</v>
      </c>
      <c r="BA367" s="21">
        <v>2.57172E-3</v>
      </c>
      <c r="BB367" s="21">
        <v>357</v>
      </c>
      <c r="BC367" s="21">
        <v>1.6964699999999999</v>
      </c>
      <c r="BD367">
        <f t="shared" si="70"/>
        <v>-3.1749629629629625</v>
      </c>
      <c r="BE367">
        <f t="shared" si="71"/>
        <v>-5.3901028725925917</v>
      </c>
    </row>
    <row r="368" spans="6:57" x14ac:dyDescent="0.25">
      <c r="F368" s="9"/>
      <c r="G368" s="21">
        <v>2.7313199999999999E-2</v>
      </c>
      <c r="H368" s="21">
        <v>8.6417400000000004</v>
      </c>
      <c r="I368" s="21">
        <v>-1.3467399999999999E-2</v>
      </c>
      <c r="J368" s="21">
        <v>358</v>
      </c>
      <c r="K368" s="21">
        <v>2.7191199999999999E-2</v>
      </c>
      <c r="L368">
        <f t="shared" si="60"/>
        <v>16.626419753086417</v>
      </c>
      <c r="M368">
        <f t="shared" si="61"/>
        <v>0.45412072799999992</v>
      </c>
      <c r="N368" s="9"/>
      <c r="O368" s="21">
        <v>1.7027300000000001</v>
      </c>
      <c r="P368" s="21">
        <v>12.5214</v>
      </c>
      <c r="Q368" s="21">
        <v>2.1188399999999999E-3</v>
      </c>
      <c r="R368" s="21">
        <v>358</v>
      </c>
      <c r="S368" s="21">
        <v>1.7022699999999999</v>
      </c>
      <c r="T368">
        <f t="shared" si="62"/>
        <v>-2.6158518518518514</v>
      </c>
      <c r="U368">
        <f t="shared" si="63"/>
        <v>-4.454089423703703</v>
      </c>
      <c r="X368" s="9"/>
      <c r="Y368" s="21">
        <v>2.7313199999999999E-2</v>
      </c>
      <c r="Z368" s="21">
        <v>18.094899999999999</v>
      </c>
      <c r="AA368" s="21">
        <v>-1.33087E-2</v>
      </c>
      <c r="AB368" s="21">
        <v>358</v>
      </c>
      <c r="AC368" s="21">
        <v>2.7139300000000002E-2</v>
      </c>
      <c r="AD368">
        <f t="shared" si="64"/>
        <v>16.430493827160493</v>
      </c>
      <c r="AE368">
        <f t="shared" si="65"/>
        <v>0.44876936399999995</v>
      </c>
      <c r="AF368" s="9"/>
      <c r="AG368" s="21">
        <v>1.7027300000000001</v>
      </c>
      <c r="AH368" s="21">
        <v>21.974499999999999</v>
      </c>
      <c r="AI368" s="21">
        <v>3.0636600000000002E-3</v>
      </c>
      <c r="AJ368" s="21">
        <v>358</v>
      </c>
      <c r="AK368" s="21">
        <v>1.70197</v>
      </c>
      <c r="AL368">
        <f t="shared" si="66"/>
        <v>-3.782296296296296</v>
      </c>
      <c r="AM368">
        <f t="shared" si="67"/>
        <v>-6.4402293725925928</v>
      </c>
      <c r="AP368" s="9"/>
      <c r="AQ368" s="21">
        <v>2.7313199999999999E-2</v>
      </c>
      <c r="AR368" s="21">
        <v>27.5932</v>
      </c>
      <c r="AS368" s="21">
        <v>-1.3262899999999999E-2</v>
      </c>
      <c r="AT368" s="21">
        <v>358</v>
      </c>
      <c r="AU368" s="21">
        <v>2.7166699999999998E-2</v>
      </c>
      <c r="AV368">
        <f t="shared" si="68"/>
        <v>16.373950617283949</v>
      </c>
      <c r="AW368">
        <f t="shared" si="69"/>
        <v>0.44722498799999993</v>
      </c>
      <c r="AX368" s="9"/>
      <c r="AY368" s="21">
        <v>1.7027300000000001</v>
      </c>
      <c r="AZ368" s="21">
        <v>31.472799999999999</v>
      </c>
      <c r="BA368" s="21">
        <v>3.4649699999999999E-3</v>
      </c>
      <c r="BB368" s="21">
        <v>358</v>
      </c>
      <c r="BC368" s="21">
        <v>1.70197</v>
      </c>
      <c r="BD368">
        <f t="shared" si="70"/>
        <v>-4.2777407407407404</v>
      </c>
      <c r="BE368">
        <f t="shared" si="71"/>
        <v>-7.2838374914814814</v>
      </c>
    </row>
    <row r="369" spans="6:57" x14ac:dyDescent="0.25">
      <c r="F369" s="9"/>
      <c r="G369" s="21">
        <v>2.22778E-2</v>
      </c>
      <c r="H369" s="21">
        <v>8.6518099999999993</v>
      </c>
      <c r="I369" s="21">
        <v>-1.34552E-2</v>
      </c>
      <c r="J369" s="21">
        <v>359</v>
      </c>
      <c r="K369" s="21">
        <v>2.2064199999999999E-2</v>
      </c>
      <c r="L369">
        <f t="shared" si="60"/>
        <v>16.611358024691356</v>
      </c>
      <c r="M369">
        <f t="shared" si="61"/>
        <v>0.37006451180246908</v>
      </c>
      <c r="N369" s="9"/>
      <c r="O369" s="21">
        <v>1.7077599999999999</v>
      </c>
      <c r="P369" s="21">
        <v>12.5314</v>
      </c>
      <c r="Q369" s="21">
        <v>2.9849199999999998E-3</v>
      </c>
      <c r="R369" s="21">
        <v>359</v>
      </c>
      <c r="S369" s="21">
        <v>1.7077599999999999</v>
      </c>
      <c r="T369">
        <f t="shared" si="62"/>
        <v>-3.6850864197530862</v>
      </c>
      <c r="U369">
        <f t="shared" si="63"/>
        <v>-6.2932431841975305</v>
      </c>
      <c r="X369" s="9"/>
      <c r="Y369" s="21">
        <v>2.22778E-2</v>
      </c>
      <c r="Z369" s="21">
        <v>18.105</v>
      </c>
      <c r="AA369" s="21">
        <v>-1.33148E-2</v>
      </c>
      <c r="AB369" s="21">
        <v>359</v>
      </c>
      <c r="AC369" s="21">
        <v>2.2097800000000001E-2</v>
      </c>
      <c r="AD369">
        <f t="shared" si="64"/>
        <v>16.438024691358024</v>
      </c>
      <c r="AE369">
        <f t="shared" si="65"/>
        <v>0.36620302646913577</v>
      </c>
      <c r="AF369" s="9"/>
      <c r="AG369" s="21">
        <v>1.7077599999999999</v>
      </c>
      <c r="AH369" s="21">
        <v>21.9846</v>
      </c>
      <c r="AI369" s="21">
        <v>4.0081800000000001E-3</v>
      </c>
      <c r="AJ369" s="21">
        <v>359</v>
      </c>
      <c r="AK369" s="21">
        <v>1.70685</v>
      </c>
      <c r="AL369">
        <f t="shared" si="66"/>
        <v>-4.9483703703703705</v>
      </c>
      <c r="AM369">
        <f t="shared" si="67"/>
        <v>-8.4506289837037034</v>
      </c>
      <c r="AP369" s="9"/>
      <c r="AQ369" s="21">
        <v>2.22778E-2</v>
      </c>
      <c r="AR369" s="21">
        <v>27.603200000000001</v>
      </c>
      <c r="AS369" s="21">
        <v>-1.3262899999999999E-2</v>
      </c>
      <c r="AT369" s="21">
        <v>359</v>
      </c>
      <c r="AU369" s="21">
        <v>2.2048999999999999E-2</v>
      </c>
      <c r="AV369">
        <f t="shared" si="68"/>
        <v>16.373950617283949</v>
      </c>
      <c r="AW369">
        <f t="shared" si="69"/>
        <v>0.36477559706172835</v>
      </c>
      <c r="AX369" s="9"/>
      <c r="AY369" s="21">
        <v>1.7077599999999999</v>
      </c>
      <c r="AZ369" s="21">
        <v>31.482800000000001</v>
      </c>
      <c r="BA369" s="21">
        <v>4.43451E-3</v>
      </c>
      <c r="BB369" s="21">
        <v>359</v>
      </c>
      <c r="BC369" s="21">
        <v>1.70685</v>
      </c>
      <c r="BD369">
        <f t="shared" si="70"/>
        <v>-5.4747037037037032</v>
      </c>
      <c r="BE369">
        <f t="shared" si="71"/>
        <v>-9.3494799970370366</v>
      </c>
    </row>
    <row r="370" spans="6:57" x14ac:dyDescent="0.25">
      <c r="F370" s="9"/>
      <c r="G370" s="21">
        <v>1.7242400000000001E-2</v>
      </c>
      <c r="H370" s="21">
        <v>8.66188</v>
      </c>
      <c r="I370" s="21">
        <v>-1.34521E-2</v>
      </c>
      <c r="J370" s="21">
        <v>360</v>
      </c>
      <c r="K370" s="21">
        <v>1.7065400000000001E-2</v>
      </c>
      <c r="L370">
        <f t="shared" si="60"/>
        <v>16.607530864197528</v>
      </c>
      <c r="M370">
        <f t="shared" si="61"/>
        <v>0.28635369017283951</v>
      </c>
      <c r="N370" s="9"/>
      <c r="O370" s="21">
        <v>1.7128000000000001</v>
      </c>
      <c r="P370" s="21">
        <v>12.541499999999999</v>
      </c>
      <c r="Q370" s="21">
        <v>3.9260900000000001E-3</v>
      </c>
      <c r="R370" s="21">
        <v>360</v>
      </c>
      <c r="S370" s="21">
        <v>1.71204</v>
      </c>
      <c r="T370">
        <f t="shared" si="62"/>
        <v>-4.8470246913580244</v>
      </c>
      <c r="U370">
        <f t="shared" si="63"/>
        <v>-8.3019838913580255</v>
      </c>
      <c r="X370" s="9"/>
      <c r="Y370" s="21">
        <v>1.7242400000000001E-2</v>
      </c>
      <c r="Z370" s="21">
        <v>18.115100000000002</v>
      </c>
      <c r="AA370" s="21">
        <v>-1.3330099999999999E-2</v>
      </c>
      <c r="AB370" s="21">
        <v>360</v>
      </c>
      <c r="AC370" s="21">
        <v>1.7062399999999998E-2</v>
      </c>
      <c r="AD370">
        <f t="shared" si="64"/>
        <v>16.456913580246912</v>
      </c>
      <c r="AE370">
        <f t="shared" si="65"/>
        <v>0.28375668671604937</v>
      </c>
      <c r="AF370" s="9"/>
      <c r="AG370" s="21">
        <v>1.7128000000000001</v>
      </c>
      <c r="AH370" s="21">
        <v>21.994700000000002</v>
      </c>
      <c r="AI370" s="21">
        <v>5.0201400000000002E-3</v>
      </c>
      <c r="AJ370" s="21">
        <v>360</v>
      </c>
      <c r="AK370" s="21">
        <v>1.71173</v>
      </c>
      <c r="AL370">
        <f t="shared" si="66"/>
        <v>-6.1977037037037039</v>
      </c>
      <c r="AM370">
        <f t="shared" si="67"/>
        <v>-10.615426903703705</v>
      </c>
      <c r="AP370" s="9"/>
      <c r="AQ370" s="21">
        <v>1.7242400000000001E-2</v>
      </c>
      <c r="AR370" s="21">
        <v>27.613299999999999</v>
      </c>
      <c r="AS370" s="21">
        <v>-1.3262899999999999E-2</v>
      </c>
      <c r="AT370" s="21">
        <v>360</v>
      </c>
      <c r="AU370" s="21">
        <v>1.7135600000000001E-2</v>
      </c>
      <c r="AV370">
        <f t="shared" si="68"/>
        <v>16.373950617283949</v>
      </c>
      <c r="AW370">
        <f t="shared" si="69"/>
        <v>0.28232620612345677</v>
      </c>
      <c r="AX370" s="9"/>
      <c r="AY370" s="21">
        <v>1.7128000000000001</v>
      </c>
      <c r="AZ370" s="21">
        <v>31.492899999999999</v>
      </c>
      <c r="BA370" s="21">
        <v>5.48096E-3</v>
      </c>
      <c r="BB370" s="21">
        <v>360</v>
      </c>
      <c r="BC370" s="21">
        <v>1.71204</v>
      </c>
      <c r="BD370">
        <f t="shared" si="70"/>
        <v>-6.766617283950616</v>
      </c>
      <c r="BE370">
        <f t="shared" si="71"/>
        <v>-11.589862083950615</v>
      </c>
    </row>
    <row r="371" spans="6:57" x14ac:dyDescent="0.25">
      <c r="F371" s="9"/>
      <c r="G371" s="21">
        <v>1.2207000000000001E-2</v>
      </c>
      <c r="H371" s="21">
        <v>8.6719500000000007</v>
      </c>
      <c r="I371" s="21">
        <v>-1.3446E-2</v>
      </c>
      <c r="J371" s="21">
        <v>361</v>
      </c>
      <c r="K371" s="21">
        <v>1.2042199999999999E-2</v>
      </c>
      <c r="L371">
        <f t="shared" si="60"/>
        <v>16.599999999999998</v>
      </c>
      <c r="M371">
        <f t="shared" si="61"/>
        <v>0.20263619999999999</v>
      </c>
      <c r="N371" s="9"/>
      <c r="O371" s="21">
        <v>1.71783</v>
      </c>
      <c r="P371" s="21">
        <v>12.551600000000001</v>
      </c>
      <c r="Q371" s="21">
        <v>4.9514800000000003E-3</v>
      </c>
      <c r="R371" s="21">
        <v>361</v>
      </c>
      <c r="S371" s="21">
        <v>1.71722</v>
      </c>
      <c r="T371">
        <f t="shared" si="62"/>
        <v>-6.1129382716049383</v>
      </c>
      <c r="U371">
        <f t="shared" si="63"/>
        <v>-10.500988751111111</v>
      </c>
      <c r="X371" s="9"/>
      <c r="Y371" s="21">
        <v>1.2207000000000001E-2</v>
      </c>
      <c r="Z371" s="21">
        <v>18.1251</v>
      </c>
      <c r="AA371" s="21">
        <v>-1.3333100000000001E-2</v>
      </c>
      <c r="AB371" s="21">
        <v>361</v>
      </c>
      <c r="AC371" s="21">
        <v>1.20911E-2</v>
      </c>
      <c r="AD371">
        <f t="shared" si="64"/>
        <v>16.460617283950615</v>
      </c>
      <c r="AE371">
        <f t="shared" si="65"/>
        <v>0.20093475518518517</v>
      </c>
      <c r="AF371" s="9"/>
      <c r="AG371" s="21">
        <v>1.71783</v>
      </c>
      <c r="AH371" s="21">
        <v>22.0047</v>
      </c>
      <c r="AI371" s="21">
        <v>6.1065700000000004E-3</v>
      </c>
      <c r="AJ371" s="21">
        <v>361</v>
      </c>
      <c r="AK371" s="21">
        <v>1.71722</v>
      </c>
      <c r="AL371">
        <f t="shared" si="66"/>
        <v>-7.5389753086419757</v>
      </c>
      <c r="AM371">
        <f t="shared" si="67"/>
        <v>-12.950677954444444</v>
      </c>
      <c r="AP371" s="9"/>
      <c r="AQ371" s="21">
        <v>1.2207000000000001E-2</v>
      </c>
      <c r="AR371" s="21">
        <v>27.6234</v>
      </c>
      <c r="AS371" s="21">
        <v>-1.32721E-2</v>
      </c>
      <c r="AT371" s="21">
        <v>361</v>
      </c>
      <c r="AU371" s="21">
        <v>1.20514E-2</v>
      </c>
      <c r="AV371">
        <f t="shared" si="68"/>
        <v>16.385308641975307</v>
      </c>
      <c r="AW371">
        <f t="shared" si="69"/>
        <v>0.20001546259259259</v>
      </c>
      <c r="AX371" s="9"/>
      <c r="AY371" s="21">
        <v>1.71783</v>
      </c>
      <c r="AZ371" s="21">
        <v>31.503</v>
      </c>
      <c r="BA371" s="21">
        <v>6.6070599999999997E-3</v>
      </c>
      <c r="BB371" s="21">
        <v>361</v>
      </c>
      <c r="BC371" s="21">
        <v>1.71692</v>
      </c>
      <c r="BD371">
        <f t="shared" si="70"/>
        <v>-8.1568641975308633</v>
      </c>
      <c r="BE371">
        <f t="shared" si="71"/>
        <v>-14.012106024444442</v>
      </c>
    </row>
    <row r="372" spans="6:57" x14ac:dyDescent="0.25">
      <c r="F372" s="9"/>
      <c r="G372" s="21">
        <v>7.17163E-3</v>
      </c>
      <c r="H372" s="21">
        <v>8.6820199999999996</v>
      </c>
      <c r="I372" s="21">
        <v>-1.3446E-2</v>
      </c>
      <c r="J372" s="21">
        <v>362</v>
      </c>
      <c r="K372" s="21">
        <v>7.0617700000000002E-3</v>
      </c>
      <c r="L372">
        <f t="shared" si="60"/>
        <v>16.599999999999998</v>
      </c>
      <c r="M372">
        <f t="shared" si="61"/>
        <v>0.11904905799999999</v>
      </c>
      <c r="N372" s="9"/>
      <c r="O372" s="21">
        <v>1.7228699999999999</v>
      </c>
      <c r="P372" s="21">
        <v>12.5616</v>
      </c>
      <c r="Q372" s="21">
        <v>6.0455300000000003E-3</v>
      </c>
      <c r="R372" s="21">
        <v>362</v>
      </c>
      <c r="S372" s="21">
        <v>1.7218</v>
      </c>
      <c r="T372">
        <f t="shared" si="62"/>
        <v>-7.463617283950617</v>
      </c>
      <c r="U372">
        <f t="shared" si="63"/>
        <v>-12.858842309999998</v>
      </c>
      <c r="X372" s="9"/>
      <c r="Y372" s="21">
        <v>7.17163E-3</v>
      </c>
      <c r="Z372" s="21">
        <v>18.135200000000001</v>
      </c>
      <c r="AA372" s="21">
        <v>-1.3336199999999999E-2</v>
      </c>
      <c r="AB372" s="21">
        <v>362</v>
      </c>
      <c r="AC372" s="21">
        <v>6.9641099999999999E-3</v>
      </c>
      <c r="AD372">
        <f t="shared" si="64"/>
        <v>16.464444444444442</v>
      </c>
      <c r="AE372">
        <f t="shared" si="65"/>
        <v>0.1180769037111111</v>
      </c>
      <c r="AF372" s="9"/>
      <c r="AG372" s="21">
        <v>1.7228699999999999</v>
      </c>
      <c r="AH372" s="21">
        <v>22.014800000000001</v>
      </c>
      <c r="AI372" s="21">
        <v>7.2723400000000004E-3</v>
      </c>
      <c r="AJ372" s="21">
        <v>362</v>
      </c>
      <c r="AK372" s="21">
        <v>1.72241</v>
      </c>
      <c r="AL372">
        <f t="shared" si="66"/>
        <v>-8.9781975308641968</v>
      </c>
      <c r="AM372">
        <f t="shared" si="67"/>
        <v>-15.468267179999998</v>
      </c>
      <c r="AP372" s="9"/>
      <c r="AQ372" s="21">
        <v>7.17163E-3</v>
      </c>
      <c r="AR372" s="21">
        <v>27.633400000000002</v>
      </c>
      <c r="AS372" s="21">
        <v>-1.32782E-2</v>
      </c>
      <c r="AT372" s="21">
        <v>362</v>
      </c>
      <c r="AU372" s="21">
        <v>6.9946299999999999E-3</v>
      </c>
      <c r="AV372">
        <f t="shared" si="68"/>
        <v>16.392839506172837</v>
      </c>
      <c r="AW372">
        <f t="shared" si="69"/>
        <v>0.11756337958765431</v>
      </c>
      <c r="AX372" s="9"/>
      <c r="AY372" s="21">
        <v>1.7228699999999999</v>
      </c>
      <c r="AZ372" s="21">
        <v>31.513000000000002</v>
      </c>
      <c r="BA372" s="21">
        <v>7.8094499999999999E-3</v>
      </c>
      <c r="BB372" s="21">
        <v>362</v>
      </c>
      <c r="BC372" s="21">
        <v>1.72211</v>
      </c>
      <c r="BD372">
        <f t="shared" si="70"/>
        <v>-9.6412962962962947</v>
      </c>
      <c r="BE372">
        <f t="shared" si="71"/>
        <v>-16.610700149999996</v>
      </c>
    </row>
    <row r="373" spans="6:57" x14ac:dyDescent="0.25">
      <c r="F373" s="9"/>
      <c r="G373" s="21">
        <v>2.1362299999999998E-3</v>
      </c>
      <c r="H373" s="21">
        <v>8.6920900000000003</v>
      </c>
      <c r="I373" s="21">
        <v>-1.3458299999999999E-2</v>
      </c>
      <c r="J373" s="21">
        <v>363</v>
      </c>
      <c r="K373" s="21">
        <v>1.93787E-3</v>
      </c>
      <c r="L373">
        <f t="shared" si="60"/>
        <v>16.615185185185183</v>
      </c>
      <c r="M373">
        <f t="shared" si="61"/>
        <v>3.5493857048148142E-2</v>
      </c>
      <c r="N373" s="9"/>
      <c r="O373" s="21">
        <v>1.7279100000000001</v>
      </c>
      <c r="P373" s="21">
        <v>12.5717</v>
      </c>
      <c r="Q373" s="21">
        <v>7.2113000000000003E-3</v>
      </c>
      <c r="R373" s="21">
        <v>363</v>
      </c>
      <c r="S373" s="21">
        <v>1.7276</v>
      </c>
      <c r="T373">
        <f t="shared" si="62"/>
        <v>-8.9028395061728389</v>
      </c>
      <c r="U373">
        <f t="shared" si="63"/>
        <v>-15.383305411111111</v>
      </c>
      <c r="X373" s="9"/>
      <c r="Y373" s="21">
        <v>2.1362299999999998E-3</v>
      </c>
      <c r="Z373" s="21">
        <v>18.145299999999999</v>
      </c>
      <c r="AA373" s="21">
        <v>-1.33423E-2</v>
      </c>
      <c r="AB373" s="21">
        <v>363</v>
      </c>
      <c r="AC373" s="21">
        <v>1.93176E-3</v>
      </c>
      <c r="AD373">
        <f t="shared" si="64"/>
        <v>16.471975308641973</v>
      </c>
      <c r="AE373">
        <f t="shared" si="65"/>
        <v>3.5187927813580239E-2</v>
      </c>
      <c r="AF373" s="9"/>
      <c r="AG373" s="21">
        <v>1.7279100000000001</v>
      </c>
      <c r="AH373" s="21">
        <v>22.024899999999999</v>
      </c>
      <c r="AI373" s="21">
        <v>8.5021999999999997E-3</v>
      </c>
      <c r="AJ373" s="21">
        <v>363</v>
      </c>
      <c r="AK373" s="21">
        <v>1.72699</v>
      </c>
      <c r="AL373">
        <f t="shared" si="66"/>
        <v>-10.496543209876542</v>
      </c>
      <c r="AM373">
        <f t="shared" si="67"/>
        <v>-18.137081977777775</v>
      </c>
      <c r="AP373" s="9"/>
      <c r="AQ373" s="21">
        <v>2.1362299999999998E-3</v>
      </c>
      <c r="AR373" s="21">
        <v>27.6435</v>
      </c>
      <c r="AS373" s="21">
        <v>-1.3284300000000001E-2</v>
      </c>
      <c r="AT373" s="21">
        <v>363</v>
      </c>
      <c r="AU373" s="21">
        <v>2.0019500000000002E-3</v>
      </c>
      <c r="AV373">
        <f t="shared" si="68"/>
        <v>16.400370370370371</v>
      </c>
      <c r="AW373">
        <f t="shared" si="69"/>
        <v>3.5034963196296294E-2</v>
      </c>
      <c r="AX373" s="9"/>
      <c r="AY373" s="21">
        <v>1.7279100000000001</v>
      </c>
      <c r="AZ373" s="21">
        <v>31.523099999999999</v>
      </c>
      <c r="BA373" s="21">
        <v>9.06677E-3</v>
      </c>
      <c r="BB373" s="21">
        <v>363</v>
      </c>
      <c r="BC373" s="21">
        <v>1.7276</v>
      </c>
      <c r="BD373">
        <f t="shared" si="70"/>
        <v>-11.193543209876541</v>
      </c>
      <c r="BE373">
        <f t="shared" si="71"/>
        <v>-19.341435247777774</v>
      </c>
    </row>
    <row r="374" spans="6:57" x14ac:dyDescent="0.25">
      <c r="F374" s="9"/>
      <c r="G374" s="21">
        <v>-2.89917E-3</v>
      </c>
      <c r="H374" s="21">
        <v>8.7021599999999992</v>
      </c>
      <c r="I374" s="21">
        <v>-1.3458299999999999E-2</v>
      </c>
      <c r="J374" s="21">
        <v>364</v>
      </c>
      <c r="K374" s="21">
        <v>-3.1646700000000001E-3</v>
      </c>
      <c r="L374">
        <f t="shared" si="60"/>
        <v>16.615185185185183</v>
      </c>
      <c r="M374">
        <f t="shared" si="61"/>
        <v>-4.8170246433333327E-2</v>
      </c>
      <c r="N374" s="9"/>
      <c r="O374" s="21">
        <v>1.7329399999999999</v>
      </c>
      <c r="P374" s="21">
        <v>12.581799999999999</v>
      </c>
      <c r="Q374" s="21">
        <v>8.48083E-3</v>
      </c>
      <c r="R374" s="21">
        <v>364</v>
      </c>
      <c r="S374" s="21">
        <v>1.73187</v>
      </c>
      <c r="T374">
        <f t="shared" si="62"/>
        <v>-10.470160493827159</v>
      </c>
      <c r="U374">
        <f t="shared" si="63"/>
        <v>-18.144159926172836</v>
      </c>
      <c r="X374" s="9"/>
      <c r="Y374" s="21">
        <v>-2.89917E-3</v>
      </c>
      <c r="Z374" s="21">
        <v>18.1553</v>
      </c>
      <c r="AA374" s="21">
        <v>-1.3339200000000001E-2</v>
      </c>
      <c r="AB374" s="21">
        <v>364</v>
      </c>
      <c r="AC374" s="21">
        <v>-3.0273399999999999E-3</v>
      </c>
      <c r="AD374">
        <f t="shared" si="64"/>
        <v>16.468148148148149</v>
      </c>
      <c r="AE374">
        <f t="shared" si="65"/>
        <v>-4.7743961066666667E-2</v>
      </c>
      <c r="AF374" s="9"/>
      <c r="AG374" s="21">
        <v>1.7329399999999999</v>
      </c>
      <c r="AH374" s="21">
        <v>22.035</v>
      </c>
      <c r="AI374" s="21">
        <v>9.8266599999999992E-3</v>
      </c>
      <c r="AJ374" s="21">
        <v>364</v>
      </c>
      <c r="AK374" s="21">
        <v>1.7315700000000001</v>
      </c>
      <c r="AL374">
        <f t="shared" si="66"/>
        <v>-12.131679012345678</v>
      </c>
      <c r="AM374">
        <f t="shared" si="67"/>
        <v>-21.023471827654319</v>
      </c>
      <c r="AP374" s="9"/>
      <c r="AQ374" s="21">
        <v>-2.89917E-3</v>
      </c>
      <c r="AR374" s="21">
        <v>27.653600000000001</v>
      </c>
      <c r="AS374" s="21">
        <v>-1.32935E-2</v>
      </c>
      <c r="AT374" s="21">
        <v>364</v>
      </c>
      <c r="AU374" s="21">
        <v>-3.1494100000000001E-3</v>
      </c>
      <c r="AV374">
        <f t="shared" si="68"/>
        <v>16.411728395061726</v>
      </c>
      <c r="AW374">
        <f t="shared" si="69"/>
        <v>-4.7580390611111099E-2</v>
      </c>
      <c r="AX374" s="9"/>
      <c r="AY374" s="21">
        <v>1.7329399999999999</v>
      </c>
      <c r="AZ374" s="21">
        <v>31.533200000000001</v>
      </c>
      <c r="BA374" s="21">
        <v>1.04279E-2</v>
      </c>
      <c r="BB374" s="21">
        <v>364</v>
      </c>
      <c r="BC374" s="21">
        <v>1.73248</v>
      </c>
      <c r="BD374">
        <f t="shared" si="70"/>
        <v>-12.873950617283951</v>
      </c>
      <c r="BE374">
        <f t="shared" si="71"/>
        <v>-22.309783982716048</v>
      </c>
    </row>
    <row r="375" spans="6:57" x14ac:dyDescent="0.25">
      <c r="F375" s="9"/>
      <c r="G375" s="21">
        <v>-7.9345700000000002E-3</v>
      </c>
      <c r="H375" s="21">
        <v>8.7122299999999999</v>
      </c>
      <c r="I375" s="21">
        <v>-1.3461300000000001E-2</v>
      </c>
      <c r="J375" s="21">
        <v>365</v>
      </c>
      <c r="K375" s="21">
        <v>-8.2427999999999998E-3</v>
      </c>
      <c r="L375">
        <f t="shared" si="60"/>
        <v>16.618888888888886</v>
      </c>
      <c r="M375">
        <f t="shared" si="61"/>
        <v>-0.13186373721111108</v>
      </c>
      <c r="N375" s="9"/>
      <c r="O375" s="21">
        <v>1.7379800000000001</v>
      </c>
      <c r="P375" s="21">
        <v>12.591799999999999</v>
      </c>
      <c r="Q375" s="21">
        <v>9.8052999999999994E-3</v>
      </c>
      <c r="R375" s="21">
        <v>365</v>
      </c>
      <c r="S375" s="21">
        <v>1.7373700000000001</v>
      </c>
      <c r="T375">
        <f t="shared" si="62"/>
        <v>-12.105308641975306</v>
      </c>
      <c r="U375">
        <f t="shared" si="63"/>
        <v>-21.038784313580244</v>
      </c>
      <c r="X375" s="9"/>
      <c r="Y375" s="21">
        <v>-7.9345700000000002E-3</v>
      </c>
      <c r="Z375" s="21">
        <v>18.165400000000002</v>
      </c>
      <c r="AA375" s="21">
        <v>-1.3336199999999999E-2</v>
      </c>
      <c r="AB375" s="21">
        <v>365</v>
      </c>
      <c r="AC375" s="21">
        <v>-8.1726100000000003E-3</v>
      </c>
      <c r="AD375">
        <f t="shared" si="64"/>
        <v>16.464444444444442</v>
      </c>
      <c r="AE375">
        <f t="shared" si="65"/>
        <v>-0.13063828695555554</v>
      </c>
      <c r="AF375" s="9"/>
      <c r="AG375" s="21">
        <v>1.7379800000000001</v>
      </c>
      <c r="AH375" s="21">
        <v>22.045000000000002</v>
      </c>
      <c r="AI375" s="21">
        <v>1.12061E-2</v>
      </c>
      <c r="AJ375" s="21">
        <v>365</v>
      </c>
      <c r="AK375" s="21">
        <v>1.7373700000000001</v>
      </c>
      <c r="AL375">
        <f t="shared" si="66"/>
        <v>-13.834691358024692</v>
      </c>
      <c r="AM375">
        <f t="shared" si="67"/>
        <v>-24.044416886419754</v>
      </c>
      <c r="AP375" s="9"/>
      <c r="AQ375" s="21">
        <v>-7.9345700000000002E-3</v>
      </c>
      <c r="AR375" s="21">
        <v>27.663599999999999</v>
      </c>
      <c r="AS375" s="21">
        <v>-1.32996E-2</v>
      </c>
      <c r="AT375" s="21">
        <v>365</v>
      </c>
      <c r="AU375" s="21">
        <v>-8.2061800000000004E-3</v>
      </c>
      <c r="AV375">
        <f t="shared" si="68"/>
        <v>16.41925925925926</v>
      </c>
      <c r="AW375">
        <f t="shared" si="69"/>
        <v>-0.13027976194074076</v>
      </c>
      <c r="AX375" s="9"/>
      <c r="AY375" s="21">
        <v>1.7379800000000001</v>
      </c>
      <c r="AZ375" s="21">
        <v>31.543299999999999</v>
      </c>
      <c r="BA375" s="21">
        <v>1.1843899999999999E-2</v>
      </c>
      <c r="BB375" s="21">
        <v>365</v>
      </c>
      <c r="BC375" s="21">
        <v>1.7373700000000001</v>
      </c>
      <c r="BD375">
        <f t="shared" si="70"/>
        <v>-14.622098765432096</v>
      </c>
      <c r="BE375">
        <f t="shared" si="71"/>
        <v>-25.412915212345673</v>
      </c>
    </row>
    <row r="376" spans="6:57" x14ac:dyDescent="0.25">
      <c r="F376" s="9"/>
      <c r="G376" s="21">
        <v>-1.2970000000000001E-2</v>
      </c>
      <c r="H376" s="21">
        <v>8.7223000000000006</v>
      </c>
      <c r="I376" s="21">
        <v>-1.34644E-2</v>
      </c>
      <c r="J376" s="21">
        <v>366</v>
      </c>
      <c r="K376" s="21">
        <v>-1.32538E-2</v>
      </c>
      <c r="L376">
        <f t="shared" si="60"/>
        <v>16.622716049382717</v>
      </c>
      <c r="M376">
        <f t="shared" si="61"/>
        <v>-0.21559662716049385</v>
      </c>
      <c r="N376" s="9"/>
      <c r="O376" s="21">
        <v>1.7430099999999999</v>
      </c>
      <c r="P376" s="21">
        <v>12.601900000000001</v>
      </c>
      <c r="Q376" s="21">
        <v>1.12213E-2</v>
      </c>
      <c r="R376" s="21">
        <v>366</v>
      </c>
      <c r="S376" s="21">
        <v>1.74255</v>
      </c>
      <c r="T376">
        <f t="shared" si="62"/>
        <v>-13.853456790123456</v>
      </c>
      <c r="U376">
        <f t="shared" si="63"/>
        <v>-24.146713719753084</v>
      </c>
      <c r="X376" s="9"/>
      <c r="Y376" s="21">
        <v>-1.2970000000000001E-2</v>
      </c>
      <c r="Z376" s="21">
        <v>18.1755</v>
      </c>
      <c r="AA376" s="21">
        <v>-1.3336199999999999E-2</v>
      </c>
      <c r="AB376" s="21">
        <v>366</v>
      </c>
      <c r="AC376" s="21">
        <v>-1.3250700000000001E-2</v>
      </c>
      <c r="AD376">
        <f t="shared" si="64"/>
        <v>16.464444444444442</v>
      </c>
      <c r="AE376">
        <f t="shared" si="65"/>
        <v>-0.21354384444444444</v>
      </c>
      <c r="AF376" s="9"/>
      <c r="AG376" s="21">
        <v>1.7430099999999999</v>
      </c>
      <c r="AH376" s="21">
        <v>22.055099999999999</v>
      </c>
      <c r="AI376" s="21">
        <v>1.2683099999999999E-2</v>
      </c>
      <c r="AJ376" s="21">
        <v>366</v>
      </c>
      <c r="AK376" s="21">
        <v>1.7428600000000001</v>
      </c>
      <c r="AL376">
        <f t="shared" si="66"/>
        <v>-15.658148148148147</v>
      </c>
      <c r="AM376">
        <f t="shared" si="67"/>
        <v>-27.292308803703701</v>
      </c>
      <c r="AP376" s="9"/>
      <c r="AQ376" s="21">
        <v>-1.2970000000000001E-2</v>
      </c>
      <c r="AR376" s="21">
        <v>27.6737</v>
      </c>
      <c r="AS376" s="21">
        <v>-1.32935E-2</v>
      </c>
      <c r="AT376" s="21">
        <v>366</v>
      </c>
      <c r="AU376" s="21">
        <v>-1.32263E-2</v>
      </c>
      <c r="AV376">
        <f t="shared" si="68"/>
        <v>16.411728395061726</v>
      </c>
      <c r="AW376">
        <f t="shared" si="69"/>
        <v>-0.2128601172839506</v>
      </c>
      <c r="AX376" s="9"/>
      <c r="AY376" s="21">
        <v>1.7430099999999999</v>
      </c>
      <c r="AZ376" s="21">
        <v>31.5533</v>
      </c>
      <c r="BA376" s="21">
        <v>1.3351399999999999E-2</v>
      </c>
      <c r="BB376" s="21">
        <v>366</v>
      </c>
      <c r="BC376" s="21">
        <v>1.74194</v>
      </c>
      <c r="BD376">
        <f t="shared" si="70"/>
        <v>-16.483209876543206</v>
      </c>
      <c r="BE376">
        <f t="shared" si="71"/>
        <v>-28.730399646913572</v>
      </c>
    </row>
    <row r="377" spans="6:57" x14ac:dyDescent="0.25">
      <c r="F377" s="9"/>
      <c r="G377" s="21">
        <v>-1.8005400000000001E-2</v>
      </c>
      <c r="H377" s="21">
        <v>8.7323799999999991</v>
      </c>
      <c r="I377" s="21">
        <v>-1.34705E-2</v>
      </c>
      <c r="J377" s="21">
        <v>367</v>
      </c>
      <c r="K377" s="21">
        <v>-1.8231199999999999E-2</v>
      </c>
      <c r="L377">
        <f t="shared" si="60"/>
        <v>16.630246913580244</v>
      </c>
      <c r="M377">
        <f t="shared" si="61"/>
        <v>-0.29943424777777777</v>
      </c>
      <c r="N377" s="9"/>
      <c r="O377" s="21">
        <v>1.7480500000000001</v>
      </c>
      <c r="P377" s="21">
        <v>12.612</v>
      </c>
      <c r="Q377" s="21">
        <v>1.2725800000000001E-2</v>
      </c>
      <c r="R377" s="21">
        <v>367</v>
      </c>
      <c r="S377" s="21">
        <v>1.7471300000000001</v>
      </c>
      <c r="T377">
        <f t="shared" si="62"/>
        <v>-15.710864197530865</v>
      </c>
      <c r="U377">
        <f t="shared" si="63"/>
        <v>-27.46337616049383</v>
      </c>
      <c r="X377" s="9"/>
      <c r="Y377" s="21">
        <v>-1.8005400000000001E-2</v>
      </c>
      <c r="Z377" s="21">
        <v>18.185600000000001</v>
      </c>
      <c r="AA377" s="21">
        <v>-1.3330099999999999E-2</v>
      </c>
      <c r="AB377" s="21">
        <v>367</v>
      </c>
      <c r="AC377" s="21">
        <v>-1.8304399999999998E-2</v>
      </c>
      <c r="AD377">
        <f t="shared" si="64"/>
        <v>16.456913580246912</v>
      </c>
      <c r="AE377">
        <f t="shared" si="65"/>
        <v>-0.29631331177777775</v>
      </c>
      <c r="AF377" s="9"/>
      <c r="AG377" s="21">
        <v>1.7480500000000001</v>
      </c>
      <c r="AH377" s="21">
        <v>22.065200000000001</v>
      </c>
      <c r="AI377" s="21">
        <v>1.42273E-2</v>
      </c>
      <c r="AJ377" s="21">
        <v>367</v>
      </c>
      <c r="AK377" s="21">
        <v>1.7471300000000001</v>
      </c>
      <c r="AL377">
        <f t="shared" si="66"/>
        <v>-17.564567901234565</v>
      </c>
      <c r="AM377">
        <f t="shared" si="67"/>
        <v>-30.703742919753083</v>
      </c>
      <c r="AP377" s="9"/>
      <c r="AQ377" s="21">
        <v>-1.8005400000000001E-2</v>
      </c>
      <c r="AR377" s="21">
        <v>27.683800000000002</v>
      </c>
      <c r="AS377" s="21">
        <v>-1.3284300000000001E-2</v>
      </c>
      <c r="AT377" s="21">
        <v>367</v>
      </c>
      <c r="AU377" s="21">
        <v>-1.82831E-2</v>
      </c>
      <c r="AV377">
        <f t="shared" si="68"/>
        <v>16.400370370370371</v>
      </c>
      <c r="AW377">
        <f t="shared" si="69"/>
        <v>-0.29529522866666669</v>
      </c>
      <c r="AX377" s="9"/>
      <c r="AY377" s="21">
        <v>1.7480500000000001</v>
      </c>
      <c r="AZ377" s="21">
        <v>31.563400000000001</v>
      </c>
      <c r="BA377" s="21">
        <v>1.4919999999999999E-2</v>
      </c>
      <c r="BB377" s="21">
        <v>367</v>
      </c>
      <c r="BC377" s="21">
        <v>1.7474400000000001</v>
      </c>
      <c r="BD377">
        <f t="shared" si="70"/>
        <v>-18.41975308641975</v>
      </c>
      <c r="BE377">
        <f t="shared" si="71"/>
        <v>-32.198649382716049</v>
      </c>
    </row>
    <row r="378" spans="6:57" x14ac:dyDescent="0.25">
      <c r="F378" s="9"/>
      <c r="G378" s="21">
        <v>-2.30408E-2</v>
      </c>
      <c r="H378" s="21">
        <v>8.7424499999999998</v>
      </c>
      <c r="I378" s="21">
        <v>-1.34827E-2</v>
      </c>
      <c r="J378" s="21">
        <v>368</v>
      </c>
      <c r="K378" s="21">
        <v>-2.3333699999999999E-2</v>
      </c>
      <c r="L378">
        <f t="shared" si="60"/>
        <v>16.645308641975308</v>
      </c>
      <c r="M378">
        <f t="shared" si="61"/>
        <v>-0.38352122735802469</v>
      </c>
      <c r="N378" s="9"/>
      <c r="O378" s="21">
        <v>1.75308</v>
      </c>
      <c r="P378" s="21">
        <v>12.6221</v>
      </c>
      <c r="Q378" s="21">
        <v>1.4306599999999999E-2</v>
      </c>
      <c r="R378" s="21">
        <v>368</v>
      </c>
      <c r="S378" s="21">
        <v>1.7520100000000001</v>
      </c>
      <c r="T378">
        <f t="shared" si="62"/>
        <v>-17.662469135802468</v>
      </c>
      <c r="U378">
        <f t="shared" si="63"/>
        <v>-30.963721392592589</v>
      </c>
      <c r="X378" s="9"/>
      <c r="Y378" s="21">
        <v>-2.30408E-2</v>
      </c>
      <c r="Z378" s="21">
        <v>18.195599999999999</v>
      </c>
      <c r="AA378" s="21">
        <v>-1.3317900000000001E-2</v>
      </c>
      <c r="AB378" s="21">
        <v>368</v>
      </c>
      <c r="AC378" s="21">
        <v>-2.3364300000000001E-2</v>
      </c>
      <c r="AD378">
        <f t="shared" si="64"/>
        <v>16.441851851851851</v>
      </c>
      <c r="AE378">
        <f t="shared" si="65"/>
        <v>-0.37883342014814814</v>
      </c>
      <c r="AF378" s="9"/>
      <c r="AG378" s="21">
        <v>1.75308</v>
      </c>
      <c r="AH378" s="21">
        <v>22.075199999999999</v>
      </c>
      <c r="AI378" s="21">
        <v>1.58417E-2</v>
      </c>
      <c r="AJ378" s="21">
        <v>368</v>
      </c>
      <c r="AK378" s="21">
        <v>1.7520100000000001</v>
      </c>
      <c r="AL378">
        <f t="shared" si="66"/>
        <v>-19.557654320987655</v>
      </c>
      <c r="AM378">
        <f t="shared" si="67"/>
        <v>-34.286132637037035</v>
      </c>
      <c r="AP378" s="9"/>
      <c r="AQ378" s="21">
        <v>-2.30408E-2</v>
      </c>
      <c r="AR378" s="21">
        <v>27.693899999999999</v>
      </c>
      <c r="AS378" s="21">
        <v>-1.32751E-2</v>
      </c>
      <c r="AT378" s="21">
        <v>368</v>
      </c>
      <c r="AU378" s="21">
        <v>-2.3336800000000001E-2</v>
      </c>
      <c r="AV378">
        <f t="shared" si="68"/>
        <v>16.38901234567901</v>
      </c>
      <c r="AW378">
        <f t="shared" si="69"/>
        <v>-0.37761595565432093</v>
      </c>
      <c r="AX378" s="9"/>
      <c r="AY378" s="21">
        <v>1.75308</v>
      </c>
      <c r="AZ378" s="21">
        <v>31.573499999999999</v>
      </c>
      <c r="BA378" s="21">
        <v>1.65649E-2</v>
      </c>
      <c r="BB378" s="21">
        <v>368</v>
      </c>
      <c r="BC378" s="21">
        <v>1.7523200000000001</v>
      </c>
      <c r="BD378">
        <f t="shared" si="70"/>
        <v>-20.450493827160493</v>
      </c>
      <c r="BE378">
        <f t="shared" si="71"/>
        <v>-35.851351718518515</v>
      </c>
    </row>
    <row r="379" spans="6:57" x14ac:dyDescent="0.25">
      <c r="F379" s="9"/>
      <c r="G379" s="21">
        <v>-2.8076199999999999E-2</v>
      </c>
      <c r="H379" s="21">
        <v>8.7525200000000005</v>
      </c>
      <c r="I379" s="21">
        <v>-1.34918E-2</v>
      </c>
      <c r="J379" s="21">
        <v>369</v>
      </c>
      <c r="K379" s="21">
        <v>-2.8384400000000001E-2</v>
      </c>
      <c r="L379">
        <f t="shared" si="60"/>
        <v>16.656543209876542</v>
      </c>
      <c r="M379">
        <f t="shared" si="61"/>
        <v>-0.46765243846913573</v>
      </c>
      <c r="N379" s="9"/>
      <c r="O379" s="21">
        <v>1.7581199999999999</v>
      </c>
      <c r="P379" s="21">
        <v>12.632099999999999</v>
      </c>
      <c r="Q379" s="21">
        <v>1.5957599999999999E-2</v>
      </c>
      <c r="R379" s="21">
        <v>369</v>
      </c>
      <c r="S379" s="21">
        <v>1.7572000000000001</v>
      </c>
      <c r="T379">
        <f t="shared" si="62"/>
        <v>-19.700740740740738</v>
      </c>
      <c r="U379">
        <f t="shared" si="63"/>
        <v>-34.636266311111108</v>
      </c>
      <c r="X379" s="9"/>
      <c r="Y379" s="21">
        <v>-2.8076199999999999E-2</v>
      </c>
      <c r="Z379" s="21">
        <v>18.2057</v>
      </c>
      <c r="AA379" s="21">
        <v>-1.3317900000000001E-2</v>
      </c>
      <c r="AB379" s="21">
        <v>369</v>
      </c>
      <c r="AC379" s="21">
        <v>-2.8402699999999999E-2</v>
      </c>
      <c r="AD379">
        <f t="shared" si="64"/>
        <v>16.441851851851851</v>
      </c>
      <c r="AE379">
        <f t="shared" si="65"/>
        <v>-0.46162472096296292</v>
      </c>
      <c r="AF379" s="9"/>
      <c r="AG379" s="21">
        <v>1.7581199999999999</v>
      </c>
      <c r="AH379" s="21">
        <v>22.0853</v>
      </c>
      <c r="AI379" s="21">
        <v>1.7526199999999999E-2</v>
      </c>
      <c r="AJ379" s="21">
        <v>369</v>
      </c>
      <c r="AK379" s="21">
        <v>1.7575099999999999</v>
      </c>
      <c r="AL379">
        <f t="shared" si="66"/>
        <v>-21.637283950617281</v>
      </c>
      <c r="AM379">
        <f t="shared" si="67"/>
        <v>-38.040941659259254</v>
      </c>
      <c r="AP379" s="9"/>
      <c r="AQ379" s="21">
        <v>-2.8076199999999999E-2</v>
      </c>
      <c r="AR379" s="21">
        <v>27.703900000000001</v>
      </c>
      <c r="AS379" s="21">
        <v>-1.32751E-2</v>
      </c>
      <c r="AT379" s="21">
        <v>369</v>
      </c>
      <c r="AU379" s="21">
        <v>-2.8396600000000001E-2</v>
      </c>
      <c r="AV379">
        <f t="shared" si="68"/>
        <v>16.38901234567901</v>
      </c>
      <c r="AW379">
        <f t="shared" si="69"/>
        <v>-0.46014118841975299</v>
      </c>
      <c r="AX379" s="9"/>
      <c r="AY379" s="21">
        <v>1.7581199999999999</v>
      </c>
      <c r="AZ379" s="21">
        <v>31.583500000000001</v>
      </c>
      <c r="BA379" s="21">
        <v>1.82709E-2</v>
      </c>
      <c r="BB379" s="21">
        <v>369</v>
      </c>
      <c r="BC379" s="21">
        <v>1.7575099999999999</v>
      </c>
      <c r="BD379">
        <f t="shared" si="70"/>
        <v>-22.556666666666665</v>
      </c>
      <c r="BE379">
        <f t="shared" si="71"/>
        <v>-39.657326799999993</v>
      </c>
    </row>
    <row r="380" spans="6:57" x14ac:dyDescent="0.25">
      <c r="F380" s="9"/>
      <c r="G380" s="21">
        <v>-3.3111599999999998E-2</v>
      </c>
      <c r="H380" s="21">
        <v>8.7625899999999994</v>
      </c>
      <c r="I380" s="21">
        <v>-1.3494900000000001E-2</v>
      </c>
      <c r="J380" s="21">
        <v>370</v>
      </c>
      <c r="K380" s="21">
        <v>-3.3468600000000001E-2</v>
      </c>
      <c r="L380">
        <f t="shared" si="60"/>
        <v>16.660370370370369</v>
      </c>
      <c r="M380">
        <f t="shared" si="61"/>
        <v>-0.55165151955555547</v>
      </c>
      <c r="N380" s="9"/>
      <c r="O380" s="21">
        <v>1.76315</v>
      </c>
      <c r="P380" s="21">
        <v>12.642200000000001</v>
      </c>
      <c r="Q380" s="21">
        <v>1.76849E-2</v>
      </c>
      <c r="R380" s="21">
        <v>370</v>
      </c>
      <c r="S380" s="21">
        <v>1.7623899999999999</v>
      </c>
      <c r="T380">
        <f t="shared" si="62"/>
        <v>-21.833209876543208</v>
      </c>
      <c r="U380">
        <f t="shared" si="63"/>
        <v>-38.49522399382716</v>
      </c>
      <c r="X380" s="9"/>
      <c r="Y380" s="21">
        <v>-3.3111599999999998E-2</v>
      </c>
      <c r="Z380" s="21">
        <v>18.215800000000002</v>
      </c>
      <c r="AA380" s="21">
        <v>-1.33148E-2</v>
      </c>
      <c r="AB380" s="21">
        <v>370</v>
      </c>
      <c r="AC380" s="21">
        <v>-3.3432000000000003E-2</v>
      </c>
      <c r="AD380">
        <f t="shared" si="64"/>
        <v>16.438024691358024</v>
      </c>
      <c r="AE380">
        <f t="shared" si="65"/>
        <v>-0.54428929837037032</v>
      </c>
      <c r="AF380" s="9"/>
      <c r="AG380" s="21">
        <v>1.76315</v>
      </c>
      <c r="AH380" s="21">
        <v>22.095400000000001</v>
      </c>
      <c r="AI380" s="21">
        <v>1.9274900000000001E-2</v>
      </c>
      <c r="AJ380" s="21">
        <v>370</v>
      </c>
      <c r="AK380" s="21">
        <v>1.7623899999999999</v>
      </c>
      <c r="AL380">
        <f t="shared" si="66"/>
        <v>-23.796172839506173</v>
      </c>
      <c r="AM380">
        <f t="shared" si="67"/>
        <v>-41.95622214197531</v>
      </c>
      <c r="AP380" s="9"/>
      <c r="AQ380" s="21">
        <v>-3.3111599999999998E-2</v>
      </c>
      <c r="AR380" s="21">
        <v>27.713999999999999</v>
      </c>
      <c r="AS380" s="21">
        <v>-1.32751E-2</v>
      </c>
      <c r="AT380" s="21">
        <v>370</v>
      </c>
      <c r="AU380" s="21">
        <v>-3.3499099999999997E-2</v>
      </c>
      <c r="AV380">
        <f t="shared" si="68"/>
        <v>16.38901234567901</v>
      </c>
      <c r="AW380">
        <f t="shared" si="69"/>
        <v>-0.54266642118518504</v>
      </c>
      <c r="AX380" s="9"/>
      <c r="AY380" s="21">
        <v>1.76315</v>
      </c>
      <c r="AZ380" s="21">
        <v>31.593599999999999</v>
      </c>
      <c r="BA380" s="21">
        <v>2.0037800000000001E-2</v>
      </c>
      <c r="BB380" s="21">
        <v>370</v>
      </c>
      <c r="BC380" s="21">
        <v>1.7626999999999999</v>
      </c>
      <c r="BD380">
        <f t="shared" si="70"/>
        <v>-24.738024691358024</v>
      </c>
      <c r="BE380">
        <f t="shared" si="71"/>
        <v>-43.616848234567904</v>
      </c>
    </row>
    <row r="381" spans="6:57" x14ac:dyDescent="0.25">
      <c r="F381" s="9"/>
      <c r="G381" s="21">
        <v>-3.8147E-2</v>
      </c>
      <c r="H381" s="21">
        <v>8.7726600000000001</v>
      </c>
      <c r="I381" s="21">
        <v>-1.34979E-2</v>
      </c>
      <c r="J381" s="21">
        <v>371</v>
      </c>
      <c r="K381" s="21">
        <v>-3.8403300000000001E-2</v>
      </c>
      <c r="L381">
        <f t="shared" si="60"/>
        <v>16.664074074074072</v>
      </c>
      <c r="M381">
        <f t="shared" si="61"/>
        <v>-0.63568443370370364</v>
      </c>
      <c r="N381" s="9"/>
      <c r="O381" s="21">
        <v>1.7681899999999999</v>
      </c>
      <c r="P381" s="21">
        <v>12.6523</v>
      </c>
      <c r="Q381" s="21">
        <v>1.9491600000000001E-2</v>
      </c>
      <c r="R381" s="21">
        <v>371</v>
      </c>
      <c r="S381" s="21">
        <v>1.7678799999999999</v>
      </c>
      <c r="T381">
        <f t="shared" si="62"/>
        <v>-24.063703703703705</v>
      </c>
      <c r="U381">
        <f t="shared" si="63"/>
        <v>-42.54920025185185</v>
      </c>
      <c r="X381" s="9"/>
      <c r="Y381" s="21">
        <v>-3.8147E-2</v>
      </c>
      <c r="Z381" s="21">
        <v>18.2258</v>
      </c>
      <c r="AA381" s="21">
        <v>-1.33087E-2</v>
      </c>
      <c r="AB381" s="21">
        <v>371</v>
      </c>
      <c r="AC381" s="21">
        <v>-3.8458300000000001E-2</v>
      </c>
      <c r="AD381">
        <f t="shared" si="64"/>
        <v>16.430493827160493</v>
      </c>
      <c r="AE381">
        <f t="shared" si="65"/>
        <v>-0.62677404802469139</v>
      </c>
      <c r="AF381" s="9"/>
      <c r="AG381" s="21">
        <v>1.7681899999999999</v>
      </c>
      <c r="AH381" s="21">
        <v>22.105499999999999</v>
      </c>
      <c r="AI381" s="21">
        <v>2.1087600000000001E-2</v>
      </c>
      <c r="AJ381" s="21">
        <v>371</v>
      </c>
      <c r="AK381" s="21">
        <v>1.7675799999999999</v>
      </c>
      <c r="AL381">
        <f t="shared" si="66"/>
        <v>-26.034074074074073</v>
      </c>
      <c r="AM381">
        <f t="shared" si="67"/>
        <v>-46.033189437037031</v>
      </c>
      <c r="AP381" s="9"/>
      <c r="AQ381" s="21">
        <v>-3.8147E-2</v>
      </c>
      <c r="AR381" s="21">
        <v>27.7241</v>
      </c>
      <c r="AS381" s="21">
        <v>-1.32782E-2</v>
      </c>
      <c r="AT381" s="21">
        <v>371</v>
      </c>
      <c r="AU381" s="21">
        <v>-3.8479600000000003E-2</v>
      </c>
      <c r="AV381">
        <f t="shared" si="68"/>
        <v>16.392839506172837</v>
      </c>
      <c r="AW381">
        <f t="shared" si="69"/>
        <v>-0.62533764864197527</v>
      </c>
      <c r="AX381" s="9"/>
      <c r="AY381" s="21">
        <v>1.7681899999999999</v>
      </c>
      <c r="AZ381" s="21">
        <v>31.6037</v>
      </c>
      <c r="BA381" s="21">
        <v>2.18719E-2</v>
      </c>
      <c r="BB381" s="21">
        <v>371</v>
      </c>
      <c r="BC381" s="21">
        <v>1.7678799999999999</v>
      </c>
      <c r="BD381">
        <f t="shared" si="70"/>
        <v>-27.002345679012343</v>
      </c>
      <c r="BE381">
        <f t="shared" si="71"/>
        <v>-47.745277606172834</v>
      </c>
    </row>
    <row r="382" spans="6:57" x14ac:dyDescent="0.25">
      <c r="F382" s="9"/>
      <c r="G382" s="21">
        <v>-4.3182400000000003E-2</v>
      </c>
      <c r="H382" s="21">
        <v>8.7827300000000008</v>
      </c>
      <c r="I382" s="21">
        <v>-1.3501000000000001E-2</v>
      </c>
      <c r="J382" s="21">
        <v>372</v>
      </c>
      <c r="K382" s="21">
        <v>-4.3557699999999998E-2</v>
      </c>
      <c r="L382">
        <f t="shared" si="60"/>
        <v>16.667901234567903</v>
      </c>
      <c r="M382">
        <f t="shared" si="61"/>
        <v>-0.71975997827160509</v>
      </c>
      <c r="N382" s="9"/>
      <c r="O382" s="21">
        <v>1.77322</v>
      </c>
      <c r="P382" s="21">
        <v>12.6623</v>
      </c>
      <c r="Q382" s="21">
        <v>2.1398899999999998E-2</v>
      </c>
      <c r="R382" s="21">
        <v>372</v>
      </c>
      <c r="S382" s="21">
        <v>1.77277</v>
      </c>
      <c r="T382">
        <f t="shared" si="62"/>
        <v>-26.41839506172839</v>
      </c>
      <c r="U382">
        <f t="shared" si="63"/>
        <v>-46.845626491358018</v>
      </c>
      <c r="X382" s="9"/>
      <c r="Y382" s="21">
        <v>-4.3182400000000003E-2</v>
      </c>
      <c r="Z382" s="21">
        <v>18.235900000000001</v>
      </c>
      <c r="AA382" s="21">
        <v>-1.3324000000000001E-2</v>
      </c>
      <c r="AB382" s="21">
        <v>372</v>
      </c>
      <c r="AC382" s="21">
        <v>-4.3508900000000003E-2</v>
      </c>
      <c r="AD382">
        <f t="shared" si="64"/>
        <v>16.449382716049382</v>
      </c>
      <c r="AE382">
        <f t="shared" si="65"/>
        <v>-0.71032382419753082</v>
      </c>
      <c r="AF382" s="9"/>
      <c r="AG382" s="21">
        <v>1.77322</v>
      </c>
      <c r="AH382" s="21">
        <v>22.115500000000001</v>
      </c>
      <c r="AI382" s="21">
        <v>2.2964499999999999E-2</v>
      </c>
      <c r="AJ382" s="21">
        <v>372</v>
      </c>
      <c r="AK382" s="21">
        <v>1.77277</v>
      </c>
      <c r="AL382">
        <f t="shared" si="66"/>
        <v>-28.351234567901233</v>
      </c>
      <c r="AM382">
        <f t="shared" si="67"/>
        <v>-50.272976160493826</v>
      </c>
      <c r="AP382" s="9"/>
      <c r="AQ382" s="21">
        <v>-4.3182400000000003E-2</v>
      </c>
      <c r="AR382" s="21">
        <v>27.734100000000002</v>
      </c>
      <c r="AS382" s="21">
        <v>-1.32782E-2</v>
      </c>
      <c r="AT382" s="21">
        <v>372</v>
      </c>
      <c r="AU382" s="21">
        <v>-4.3512000000000002E-2</v>
      </c>
      <c r="AV382">
        <f t="shared" si="68"/>
        <v>16.392839506172837</v>
      </c>
      <c r="AW382">
        <f t="shared" si="69"/>
        <v>-0.70788215269135801</v>
      </c>
      <c r="AX382" s="9"/>
      <c r="AY382" s="21">
        <v>1.77322</v>
      </c>
      <c r="AZ382" s="21">
        <v>31.613800000000001</v>
      </c>
      <c r="BA382" s="21">
        <v>2.3776200000000001E-2</v>
      </c>
      <c r="BB382" s="21">
        <v>372</v>
      </c>
      <c r="BC382" s="21">
        <v>1.7724599999999999</v>
      </c>
      <c r="BD382">
        <f t="shared" si="70"/>
        <v>-29.353333333333332</v>
      </c>
      <c r="BE382">
        <f t="shared" si="71"/>
        <v>-52.049917733333331</v>
      </c>
    </row>
    <row r="383" spans="6:57" x14ac:dyDescent="0.25">
      <c r="F383" s="9"/>
      <c r="G383" s="21">
        <v>-4.8217799999999998E-2</v>
      </c>
      <c r="H383" s="21">
        <v>8.7927999999999997</v>
      </c>
      <c r="I383" s="21">
        <v>-1.3501000000000001E-2</v>
      </c>
      <c r="J383" s="21">
        <v>373</v>
      </c>
      <c r="K383" s="21">
        <v>-4.8571799999999998E-2</v>
      </c>
      <c r="L383">
        <f t="shared" si="60"/>
        <v>16.667901234567903</v>
      </c>
      <c r="M383">
        <f t="shared" si="61"/>
        <v>-0.8036895281481482</v>
      </c>
      <c r="N383" s="9"/>
      <c r="O383" s="21">
        <v>1.77826</v>
      </c>
      <c r="P383" s="21">
        <v>12.6724</v>
      </c>
      <c r="Q383" s="21">
        <v>2.3352100000000001E-2</v>
      </c>
      <c r="R383" s="21">
        <v>373</v>
      </c>
      <c r="S383" s="21">
        <v>1.7779499999999999</v>
      </c>
      <c r="T383">
        <f t="shared" si="62"/>
        <v>-28.829753086419753</v>
      </c>
      <c r="U383">
        <f t="shared" si="63"/>
        <v>-51.266796723456793</v>
      </c>
      <c r="X383" s="9"/>
      <c r="Y383" s="21">
        <v>-4.8217799999999998E-2</v>
      </c>
      <c r="Z383" s="21">
        <v>18.245999999999999</v>
      </c>
      <c r="AA383" s="21">
        <v>-1.3336199999999999E-2</v>
      </c>
      <c r="AB383" s="21">
        <v>373</v>
      </c>
      <c r="AC383" s="21">
        <v>-4.85779E-2</v>
      </c>
      <c r="AD383">
        <f t="shared" si="64"/>
        <v>16.464444444444442</v>
      </c>
      <c r="AE383">
        <f t="shared" si="65"/>
        <v>-0.79387928933333318</v>
      </c>
      <c r="AF383" s="9"/>
      <c r="AG383" s="21">
        <v>1.77826</v>
      </c>
      <c r="AH383" s="21">
        <v>22.125599999999999</v>
      </c>
      <c r="AI383" s="21">
        <v>2.4902299999999999E-2</v>
      </c>
      <c r="AJ383" s="21">
        <v>373</v>
      </c>
      <c r="AK383" s="21">
        <v>1.7773399999999999</v>
      </c>
      <c r="AL383">
        <f t="shared" si="66"/>
        <v>-30.743580246913577</v>
      </c>
      <c r="AM383">
        <f t="shared" si="67"/>
        <v>-54.670079009876538</v>
      </c>
      <c r="AP383" s="9"/>
      <c r="AQ383" s="21">
        <v>-4.8217799999999998E-2</v>
      </c>
      <c r="AR383" s="21">
        <v>27.744199999999999</v>
      </c>
      <c r="AS383" s="21">
        <v>-1.3281299999999999E-2</v>
      </c>
      <c r="AT383" s="21">
        <v>373</v>
      </c>
      <c r="AU383" s="21">
        <v>-4.8535200000000001E-2</v>
      </c>
      <c r="AV383">
        <f t="shared" si="68"/>
        <v>16.396666666666665</v>
      </c>
      <c r="AW383">
        <f t="shared" si="69"/>
        <v>-0.79061119399999991</v>
      </c>
      <c r="AX383" s="9"/>
      <c r="AY383" s="21">
        <v>1.77826</v>
      </c>
      <c r="AZ383" s="21">
        <v>31.623799999999999</v>
      </c>
      <c r="BA383" s="21">
        <v>2.5723300000000001E-2</v>
      </c>
      <c r="BB383" s="21">
        <v>373</v>
      </c>
      <c r="BC383" s="21">
        <v>1.7773399999999999</v>
      </c>
      <c r="BD383">
        <f t="shared" si="70"/>
        <v>-31.757160493827158</v>
      </c>
      <c r="BE383">
        <f t="shared" si="71"/>
        <v>-56.472488219753082</v>
      </c>
    </row>
    <row r="384" spans="6:57" x14ac:dyDescent="0.25">
      <c r="F384" s="9"/>
      <c r="G384" s="21">
        <v>-5.3253200000000001E-2</v>
      </c>
      <c r="H384" s="21">
        <v>8.8028700000000004</v>
      </c>
      <c r="I384" s="21">
        <v>-1.3504E-2</v>
      </c>
      <c r="J384" s="21">
        <v>374</v>
      </c>
      <c r="K384" s="21">
        <v>-5.3832999999999999E-2</v>
      </c>
      <c r="L384">
        <f t="shared" si="60"/>
        <v>16.671604938271606</v>
      </c>
      <c r="M384">
        <f t="shared" si="61"/>
        <v>-0.88781631209876555</v>
      </c>
      <c r="N384" s="9"/>
      <c r="O384" s="21">
        <v>1.78329</v>
      </c>
      <c r="P384" s="21">
        <v>12.682499999999999</v>
      </c>
      <c r="Q384" s="21">
        <v>2.53601E-2</v>
      </c>
      <c r="R384" s="21">
        <v>374</v>
      </c>
      <c r="S384" s="21">
        <v>1.7825299999999999</v>
      </c>
      <c r="T384">
        <f t="shared" si="62"/>
        <v>-31.308765432098763</v>
      </c>
      <c r="U384">
        <f t="shared" si="63"/>
        <v>-55.832608307407405</v>
      </c>
      <c r="X384" s="9"/>
      <c r="Y384" s="21">
        <v>-5.3253200000000001E-2</v>
      </c>
      <c r="Z384" s="21">
        <v>18.2561</v>
      </c>
      <c r="AA384" s="21">
        <v>-1.3336199999999999E-2</v>
      </c>
      <c r="AB384" s="21">
        <v>374</v>
      </c>
      <c r="AC384" s="21">
        <v>-5.3710899999999999E-2</v>
      </c>
      <c r="AD384">
        <f t="shared" si="64"/>
        <v>16.464444444444442</v>
      </c>
      <c r="AE384">
        <f t="shared" si="65"/>
        <v>-0.87678435288888878</v>
      </c>
      <c r="AF384" s="9"/>
      <c r="AG384" s="21">
        <v>1.78329</v>
      </c>
      <c r="AH384" s="21">
        <v>22.1357</v>
      </c>
      <c r="AI384" s="21">
        <v>2.6898200000000001E-2</v>
      </c>
      <c r="AJ384" s="21">
        <v>374</v>
      </c>
      <c r="AK384" s="21">
        <v>1.78284</v>
      </c>
      <c r="AL384">
        <f t="shared" si="66"/>
        <v>-33.207654320987658</v>
      </c>
      <c r="AM384">
        <f t="shared" si="67"/>
        <v>-59.218877874074082</v>
      </c>
      <c r="AP384" s="9"/>
      <c r="AQ384" s="21">
        <v>-5.3253200000000001E-2</v>
      </c>
      <c r="AR384" s="21">
        <v>27.754300000000001</v>
      </c>
      <c r="AS384" s="21">
        <v>-1.3290400000000001E-2</v>
      </c>
      <c r="AT384" s="21">
        <v>374</v>
      </c>
      <c r="AU384" s="21">
        <v>-5.3741499999999998E-2</v>
      </c>
      <c r="AV384">
        <f t="shared" si="68"/>
        <v>16.407901234567902</v>
      </c>
      <c r="AW384">
        <f t="shared" si="69"/>
        <v>-0.87377324602469142</v>
      </c>
      <c r="AX384" s="9"/>
      <c r="AY384" s="21">
        <v>1.78329</v>
      </c>
      <c r="AZ384" s="21">
        <v>31.633900000000001</v>
      </c>
      <c r="BA384" s="21">
        <v>2.7743500000000001E-2</v>
      </c>
      <c r="BB384" s="21">
        <v>374</v>
      </c>
      <c r="BC384" s="21">
        <v>1.7831399999999999</v>
      </c>
      <c r="BD384">
        <f t="shared" si="70"/>
        <v>-34.251234567901228</v>
      </c>
      <c r="BE384">
        <f t="shared" si="71"/>
        <v>-61.079884092592586</v>
      </c>
    </row>
    <row r="385" spans="6:57" x14ac:dyDescent="0.25">
      <c r="F385" s="9"/>
      <c r="G385" s="21">
        <v>-5.8288600000000003E-2</v>
      </c>
      <c r="H385" s="21">
        <v>8.8129399999999993</v>
      </c>
      <c r="I385" s="21">
        <v>-1.3504E-2</v>
      </c>
      <c r="J385" s="21">
        <v>375</v>
      </c>
      <c r="K385" s="21">
        <v>-5.8746300000000001E-2</v>
      </c>
      <c r="L385">
        <f t="shared" si="60"/>
        <v>16.671604938271606</v>
      </c>
      <c r="M385">
        <f t="shared" si="61"/>
        <v>-0.97176451160493837</v>
      </c>
      <c r="N385" s="9"/>
      <c r="O385" s="21">
        <v>1.78833</v>
      </c>
      <c r="P385" s="21">
        <v>12.692600000000001</v>
      </c>
      <c r="Q385" s="21">
        <v>2.7410899999999998E-2</v>
      </c>
      <c r="R385" s="21">
        <v>375</v>
      </c>
      <c r="S385" s="21">
        <v>1.78772</v>
      </c>
      <c r="T385">
        <f t="shared" si="62"/>
        <v>-33.840617283950614</v>
      </c>
      <c r="U385">
        <f t="shared" si="63"/>
        <v>-60.518191107407404</v>
      </c>
      <c r="X385" s="9"/>
      <c r="Y385" s="21">
        <v>-5.8288600000000003E-2</v>
      </c>
      <c r="Z385" s="21">
        <v>18.266100000000002</v>
      </c>
      <c r="AA385" s="21">
        <v>-1.3345299999999999E-2</v>
      </c>
      <c r="AB385" s="21">
        <v>375</v>
      </c>
      <c r="AC385" s="21">
        <v>-5.8837899999999999E-2</v>
      </c>
      <c r="AD385">
        <f t="shared" si="64"/>
        <v>16.475679012345676</v>
      </c>
      <c r="AE385">
        <f t="shared" si="65"/>
        <v>-0.96034426367901227</v>
      </c>
      <c r="AF385" s="9"/>
      <c r="AG385" s="21">
        <v>1.78833</v>
      </c>
      <c r="AH385" s="21">
        <v>22.145700000000001</v>
      </c>
      <c r="AI385" s="21">
        <v>2.89459E-2</v>
      </c>
      <c r="AJ385" s="21">
        <v>375</v>
      </c>
      <c r="AK385" s="21">
        <v>1.7880199999999999</v>
      </c>
      <c r="AL385">
        <f t="shared" si="66"/>
        <v>-35.735679012345678</v>
      </c>
      <c r="AM385">
        <f t="shared" si="67"/>
        <v>-63.907186848148143</v>
      </c>
      <c r="AP385" s="9"/>
      <c r="AQ385" s="21">
        <v>-5.8288600000000003E-2</v>
      </c>
      <c r="AR385" s="21">
        <v>27.764399999999998</v>
      </c>
      <c r="AS385" s="21">
        <v>-1.3302599999999999E-2</v>
      </c>
      <c r="AT385" s="21">
        <v>375</v>
      </c>
      <c r="AU385" s="21">
        <v>-5.87769E-2</v>
      </c>
      <c r="AV385">
        <f t="shared" si="68"/>
        <v>16.422962962962963</v>
      </c>
      <c r="AW385">
        <f t="shared" si="69"/>
        <v>-0.95727151896296303</v>
      </c>
      <c r="AX385" s="9"/>
      <c r="AY385" s="21">
        <v>1.78833</v>
      </c>
      <c r="AZ385" s="21">
        <v>31.643999999999998</v>
      </c>
      <c r="BA385" s="21">
        <v>2.9809599999999999E-2</v>
      </c>
      <c r="BB385" s="21">
        <v>375</v>
      </c>
      <c r="BC385" s="21">
        <v>1.7880199999999999</v>
      </c>
      <c r="BD385">
        <f t="shared" si="70"/>
        <v>-36.801975308641971</v>
      </c>
      <c r="BE385">
        <f t="shared" si="71"/>
        <v>-65.814076503703689</v>
      </c>
    </row>
    <row r="386" spans="6:57" x14ac:dyDescent="0.25">
      <c r="F386" s="9"/>
      <c r="G386" s="21">
        <v>-6.3324000000000005E-2</v>
      </c>
      <c r="H386" s="21">
        <v>8.82301</v>
      </c>
      <c r="I386" s="21">
        <v>-1.34979E-2</v>
      </c>
      <c r="J386" s="21">
        <v>376</v>
      </c>
      <c r="K386" s="21">
        <v>-6.3812300000000002E-2</v>
      </c>
      <c r="L386">
        <f t="shared" si="60"/>
        <v>16.664074074074072</v>
      </c>
      <c r="M386">
        <f t="shared" si="61"/>
        <v>-1.0552358266666666</v>
      </c>
      <c r="N386" s="9"/>
      <c r="O386" s="21">
        <v>1.7933699999999999</v>
      </c>
      <c r="P386" s="21">
        <v>12.7026</v>
      </c>
      <c r="Q386" s="21">
        <v>2.9519699999999999E-2</v>
      </c>
      <c r="R386" s="21">
        <v>376</v>
      </c>
      <c r="S386" s="21">
        <v>1.79291</v>
      </c>
      <c r="T386">
        <f t="shared" si="62"/>
        <v>-36.444074074074074</v>
      </c>
      <c r="U386">
        <f t="shared" si="63"/>
        <v>-65.357709122222218</v>
      </c>
      <c r="X386" s="9"/>
      <c r="Y386" s="21">
        <v>-6.3324000000000005E-2</v>
      </c>
      <c r="Z386" s="21">
        <v>18.276199999999999</v>
      </c>
      <c r="AA386" s="21">
        <v>-1.3351399999999999E-2</v>
      </c>
      <c r="AB386" s="21">
        <v>376</v>
      </c>
      <c r="AC386" s="21">
        <v>-6.3812300000000002E-2</v>
      </c>
      <c r="AD386">
        <f t="shared" si="64"/>
        <v>16.483209876543206</v>
      </c>
      <c r="AE386">
        <f t="shared" si="65"/>
        <v>-1.0437827822222221</v>
      </c>
      <c r="AF386" s="9"/>
      <c r="AG386" s="21">
        <v>1.7933699999999999</v>
      </c>
      <c r="AH386" s="21">
        <v>22.155799999999999</v>
      </c>
      <c r="AI386" s="21">
        <v>3.1051599999999999E-2</v>
      </c>
      <c r="AJ386" s="21">
        <v>376</v>
      </c>
      <c r="AK386" s="21">
        <v>1.79321</v>
      </c>
      <c r="AL386">
        <f t="shared" si="66"/>
        <v>-38.335308641975303</v>
      </c>
      <c r="AM386">
        <f t="shared" si="67"/>
        <v>-68.749392459259241</v>
      </c>
      <c r="AP386" s="9"/>
      <c r="AQ386" s="21">
        <v>-6.3324000000000005E-2</v>
      </c>
      <c r="AR386" s="21">
        <v>27.7744</v>
      </c>
      <c r="AS386" s="21">
        <v>-1.32935E-2</v>
      </c>
      <c r="AT386" s="21">
        <v>376</v>
      </c>
      <c r="AU386" s="21">
        <v>-6.3842800000000005E-2</v>
      </c>
      <c r="AV386">
        <f t="shared" si="68"/>
        <v>16.411728395061726</v>
      </c>
      <c r="AW386">
        <f t="shared" si="69"/>
        <v>-1.0392562888888888</v>
      </c>
      <c r="AX386" s="9"/>
      <c r="AY386" s="21">
        <v>1.7933699999999999</v>
      </c>
      <c r="AZ386" s="21">
        <v>31.654</v>
      </c>
      <c r="BA386" s="21">
        <v>3.1927499999999998E-2</v>
      </c>
      <c r="BB386" s="21">
        <v>376</v>
      </c>
      <c r="BC386" s="21">
        <v>1.79291</v>
      </c>
      <c r="BD386">
        <f t="shared" si="70"/>
        <v>-39.416666666666664</v>
      </c>
      <c r="BE386">
        <f t="shared" si="71"/>
        <v>-70.688667499999994</v>
      </c>
    </row>
    <row r="387" spans="6:57" x14ac:dyDescent="0.25">
      <c r="F387" s="9"/>
      <c r="G387" s="21">
        <v>-6.8359400000000001E-2</v>
      </c>
      <c r="H387" s="21">
        <v>8.8330900000000003</v>
      </c>
      <c r="I387" s="21">
        <v>-1.3507099999999999E-2</v>
      </c>
      <c r="J387" s="21">
        <v>377</v>
      </c>
      <c r="K387" s="21">
        <v>-6.8817100000000006E-2</v>
      </c>
      <c r="L387">
        <f t="shared" si="60"/>
        <v>16.67543209876543</v>
      </c>
      <c r="M387">
        <f t="shared" si="61"/>
        <v>-1.1399225330123455</v>
      </c>
      <c r="N387" s="9"/>
      <c r="O387" s="21">
        <v>1.7984</v>
      </c>
      <c r="P387" s="21">
        <v>12.7127</v>
      </c>
      <c r="Q387" s="21">
        <v>3.1689500000000002E-2</v>
      </c>
      <c r="R387" s="21">
        <v>377</v>
      </c>
      <c r="S387" s="21">
        <v>1.79718</v>
      </c>
      <c r="T387">
        <f t="shared" si="62"/>
        <v>-39.122839506172838</v>
      </c>
      <c r="U387">
        <f t="shared" si="63"/>
        <v>-70.358514567901238</v>
      </c>
      <c r="X387" s="9"/>
      <c r="Y387" s="21">
        <v>-6.8359400000000001E-2</v>
      </c>
      <c r="Z387" s="21">
        <v>18.286300000000001</v>
      </c>
      <c r="AA387" s="21">
        <v>-1.3345299999999999E-2</v>
      </c>
      <c r="AB387" s="21">
        <v>377</v>
      </c>
      <c r="AC387" s="21">
        <v>-6.8786600000000003E-2</v>
      </c>
      <c r="AD387">
        <f t="shared" si="64"/>
        <v>16.475679012345676</v>
      </c>
      <c r="AE387">
        <f t="shared" si="65"/>
        <v>-1.1262675318765429</v>
      </c>
      <c r="AF387" s="9"/>
      <c r="AG387" s="21">
        <v>1.7984</v>
      </c>
      <c r="AH387" s="21">
        <v>22.165900000000001</v>
      </c>
      <c r="AI387" s="21">
        <v>3.3194000000000001E-2</v>
      </c>
      <c r="AJ387" s="21">
        <v>377</v>
      </c>
      <c r="AK387" s="21">
        <v>1.7981</v>
      </c>
      <c r="AL387">
        <f t="shared" si="66"/>
        <v>-40.980246913580245</v>
      </c>
      <c r="AM387">
        <f t="shared" si="67"/>
        <v>-73.698876049382719</v>
      </c>
      <c r="AP387" s="9"/>
      <c r="AQ387" s="21">
        <v>-6.8359400000000001E-2</v>
      </c>
      <c r="AR387" s="21">
        <v>27.784500000000001</v>
      </c>
      <c r="AS387" s="21">
        <v>-1.3281299999999999E-2</v>
      </c>
      <c r="AT387" s="21">
        <v>377</v>
      </c>
      <c r="AU387" s="21">
        <v>-6.8939200000000006E-2</v>
      </c>
      <c r="AV387">
        <f t="shared" si="68"/>
        <v>16.396666666666665</v>
      </c>
      <c r="AW387">
        <f t="shared" si="69"/>
        <v>-1.1208662953333333</v>
      </c>
      <c r="AX387" s="9"/>
      <c r="AY387" s="21">
        <v>1.7984</v>
      </c>
      <c r="AZ387" s="21">
        <v>31.664100000000001</v>
      </c>
      <c r="BA387" s="21">
        <v>3.4094199999999998E-2</v>
      </c>
      <c r="BB387" s="21">
        <v>377</v>
      </c>
      <c r="BC387" s="21">
        <v>1.79749</v>
      </c>
      <c r="BD387">
        <f t="shared" si="70"/>
        <v>-42.091604938271594</v>
      </c>
      <c r="BE387">
        <f t="shared" si="71"/>
        <v>-75.697542320987637</v>
      </c>
    </row>
    <row r="388" spans="6:57" x14ac:dyDescent="0.25">
      <c r="F388" s="9"/>
      <c r="G388" s="21">
        <v>-7.3394799999999996E-2</v>
      </c>
      <c r="H388" s="21">
        <v>8.8431599999999992</v>
      </c>
      <c r="I388" s="21">
        <v>-1.3510100000000001E-2</v>
      </c>
      <c r="J388" s="21">
        <v>378</v>
      </c>
      <c r="K388" s="21">
        <v>-7.3852500000000001E-2</v>
      </c>
      <c r="L388">
        <f t="shared" si="60"/>
        <v>16.679135802469133</v>
      </c>
      <c r="M388">
        <f t="shared" si="61"/>
        <v>-1.2241618363950615</v>
      </c>
      <c r="N388" s="9"/>
      <c r="O388" s="21">
        <v>1.8034399999999999</v>
      </c>
      <c r="P388" s="21">
        <v>12.722799999999999</v>
      </c>
      <c r="Q388" s="21">
        <v>3.3892800000000001E-2</v>
      </c>
      <c r="R388" s="21">
        <v>378</v>
      </c>
      <c r="S388" s="21">
        <v>1.80298</v>
      </c>
      <c r="T388">
        <f t="shared" si="62"/>
        <v>-41.842962962962964</v>
      </c>
      <c r="U388">
        <f t="shared" si="63"/>
        <v>-75.461273125925928</v>
      </c>
      <c r="X388" s="9"/>
      <c r="Y388" s="21">
        <v>-7.3394799999999996E-2</v>
      </c>
      <c r="Z388" s="21">
        <v>18.296299999999999</v>
      </c>
      <c r="AA388" s="21">
        <v>-1.3345299999999999E-2</v>
      </c>
      <c r="AB388" s="21">
        <v>378</v>
      </c>
      <c r="AC388" s="21">
        <v>-7.3883099999999993E-2</v>
      </c>
      <c r="AD388">
        <f t="shared" si="64"/>
        <v>16.475679012345676</v>
      </c>
      <c r="AE388">
        <f t="shared" si="65"/>
        <v>-1.2092291659753083</v>
      </c>
      <c r="AF388" s="9"/>
      <c r="AG388" s="21">
        <v>1.8034399999999999</v>
      </c>
      <c r="AH388" s="21">
        <v>22.175999999999998</v>
      </c>
      <c r="AI388" s="21">
        <v>3.5385100000000003E-2</v>
      </c>
      <c r="AJ388" s="21">
        <v>378</v>
      </c>
      <c r="AK388" s="21">
        <v>1.80267</v>
      </c>
      <c r="AL388">
        <f t="shared" si="66"/>
        <v>-43.685308641975311</v>
      </c>
      <c r="AM388">
        <f t="shared" si="67"/>
        <v>-78.783833017283953</v>
      </c>
      <c r="AP388" s="9"/>
      <c r="AQ388" s="21">
        <v>-7.3394799999999996E-2</v>
      </c>
      <c r="AR388" s="21">
        <v>27.794599999999999</v>
      </c>
      <c r="AS388" s="21">
        <v>-1.32751E-2</v>
      </c>
      <c r="AT388" s="21">
        <v>378</v>
      </c>
      <c r="AU388" s="21">
        <v>-7.3821999999999999E-2</v>
      </c>
      <c r="AV388">
        <f t="shared" si="68"/>
        <v>16.38901234567901</v>
      </c>
      <c r="AW388">
        <f t="shared" si="69"/>
        <v>-1.2028682833086417</v>
      </c>
      <c r="AX388" s="9"/>
      <c r="AY388" s="21">
        <v>1.8034399999999999</v>
      </c>
      <c r="AZ388" s="21">
        <v>31.674199999999999</v>
      </c>
      <c r="BA388" s="21">
        <v>3.6276200000000001E-2</v>
      </c>
      <c r="BB388" s="21">
        <v>378</v>
      </c>
      <c r="BC388" s="21">
        <v>1.80298</v>
      </c>
      <c r="BD388">
        <f t="shared" si="70"/>
        <v>-44.785432098765433</v>
      </c>
      <c r="BE388">
        <f t="shared" si="71"/>
        <v>-80.767839664197524</v>
      </c>
    </row>
    <row r="389" spans="6:57" x14ac:dyDescent="0.25">
      <c r="F389" s="9"/>
      <c r="G389" s="21">
        <v>-7.8430200000000005E-2</v>
      </c>
      <c r="H389" s="21">
        <v>8.8532299999999999</v>
      </c>
      <c r="I389" s="21">
        <v>-1.3516200000000001E-2</v>
      </c>
      <c r="J389" s="21">
        <v>379</v>
      </c>
      <c r="K389" s="21">
        <v>-7.8949000000000005E-2</v>
      </c>
      <c r="L389">
        <f t="shared" si="60"/>
        <v>16.686666666666664</v>
      </c>
      <c r="M389">
        <f t="shared" si="61"/>
        <v>-1.308738604</v>
      </c>
      <c r="N389" s="9"/>
      <c r="O389" s="21">
        <v>1.80847</v>
      </c>
      <c r="P389" s="21">
        <v>12.732799999999999</v>
      </c>
      <c r="Q389" s="21">
        <v>3.6154199999999997E-2</v>
      </c>
      <c r="R389" s="21">
        <v>379</v>
      </c>
      <c r="S389" s="21">
        <v>1.8075600000000001</v>
      </c>
      <c r="T389">
        <f t="shared" si="62"/>
        <v>-44.63481481481481</v>
      </c>
      <c r="U389">
        <f t="shared" si="63"/>
        <v>-80.720723548148143</v>
      </c>
      <c r="X389" s="9"/>
      <c r="Y389" s="21">
        <v>-7.8430200000000005E-2</v>
      </c>
      <c r="Z389" s="21">
        <v>18.3064</v>
      </c>
      <c r="AA389" s="21">
        <v>-1.33484E-2</v>
      </c>
      <c r="AB389" s="21">
        <v>379</v>
      </c>
      <c r="AC389" s="21">
        <v>-7.8887899999999997E-2</v>
      </c>
      <c r="AD389">
        <f t="shared" si="64"/>
        <v>16.479506172839503</v>
      </c>
      <c r="AE389">
        <f t="shared" si="65"/>
        <v>-1.2924909650370369</v>
      </c>
      <c r="AF389" s="9"/>
      <c r="AG389" s="21">
        <v>1.80847</v>
      </c>
      <c r="AH389" s="21">
        <v>22.186</v>
      </c>
      <c r="AI389" s="21">
        <v>3.7615999999999997E-2</v>
      </c>
      <c r="AJ389" s="21">
        <v>379</v>
      </c>
      <c r="AK389" s="21">
        <v>1.8075600000000001</v>
      </c>
      <c r="AL389">
        <f t="shared" si="66"/>
        <v>-46.439506172839501</v>
      </c>
      <c r="AM389">
        <f t="shared" si="67"/>
        <v>-83.984453728395053</v>
      </c>
      <c r="AP389" s="9"/>
      <c r="AQ389" s="21">
        <v>-7.8430200000000005E-2</v>
      </c>
      <c r="AR389" s="21">
        <v>27.804600000000001</v>
      </c>
      <c r="AS389" s="21">
        <v>-1.3269E-2</v>
      </c>
      <c r="AT389" s="21">
        <v>379</v>
      </c>
      <c r="AU389" s="21">
        <v>-7.8949000000000005E-2</v>
      </c>
      <c r="AV389">
        <f t="shared" si="68"/>
        <v>16.38148148148148</v>
      </c>
      <c r="AW389">
        <f t="shared" si="69"/>
        <v>-1.2848028688888888</v>
      </c>
      <c r="AX389" s="9"/>
      <c r="AY389" s="21">
        <v>1.80847</v>
      </c>
      <c r="AZ389" s="21">
        <v>31.6843</v>
      </c>
      <c r="BA389" s="21">
        <v>3.8503999999999997E-2</v>
      </c>
      <c r="BB389" s="21">
        <v>379</v>
      </c>
      <c r="BC389" s="21">
        <v>1.80786</v>
      </c>
      <c r="BD389">
        <f t="shared" si="70"/>
        <v>-47.535802469135795</v>
      </c>
      <c r="BE389">
        <f t="shared" si="71"/>
        <v>-85.967072691358013</v>
      </c>
    </row>
    <row r="390" spans="6:57" x14ac:dyDescent="0.25">
      <c r="F390" s="9"/>
      <c r="G390" s="21">
        <v>-8.3465600000000001E-2</v>
      </c>
      <c r="H390" s="21">
        <v>8.8633000000000006</v>
      </c>
      <c r="I390" s="21">
        <v>-1.3522299999999999E-2</v>
      </c>
      <c r="J390" s="21">
        <v>380</v>
      </c>
      <c r="K390" s="21">
        <v>-8.3892800000000003E-2</v>
      </c>
      <c r="L390">
        <f t="shared" si="60"/>
        <v>16.694197530864194</v>
      </c>
      <c r="M390">
        <f t="shared" si="61"/>
        <v>-1.3933912134320985</v>
      </c>
      <c r="N390" s="9"/>
      <c r="O390" s="21">
        <v>1.81351</v>
      </c>
      <c r="P390" s="21">
        <v>12.742900000000001</v>
      </c>
      <c r="Q390" s="21">
        <v>3.8458300000000001E-2</v>
      </c>
      <c r="R390" s="21">
        <v>380</v>
      </c>
      <c r="S390" s="21">
        <v>1.8130500000000001</v>
      </c>
      <c r="T390">
        <f t="shared" si="62"/>
        <v>-47.479382716049379</v>
      </c>
      <c r="U390">
        <f t="shared" si="63"/>
        <v>-86.104335349382708</v>
      </c>
      <c r="X390" s="9"/>
      <c r="Y390" s="21">
        <v>-8.3465600000000001E-2</v>
      </c>
      <c r="Z390" s="21">
        <v>18.316500000000001</v>
      </c>
      <c r="AA390" s="21">
        <v>-1.33575E-2</v>
      </c>
      <c r="AB390" s="21">
        <v>380</v>
      </c>
      <c r="AC390" s="21">
        <v>-8.3923300000000006E-2</v>
      </c>
      <c r="AD390">
        <f t="shared" si="64"/>
        <v>16.49074074074074</v>
      </c>
      <c r="AE390">
        <f t="shared" si="65"/>
        <v>-1.3764095703703703</v>
      </c>
      <c r="AF390" s="9"/>
      <c r="AG390" s="21">
        <v>1.81351</v>
      </c>
      <c r="AH390" s="21">
        <v>22.196100000000001</v>
      </c>
      <c r="AI390" s="21">
        <v>3.9904799999999997E-2</v>
      </c>
      <c r="AJ390" s="21">
        <v>380</v>
      </c>
      <c r="AK390" s="21">
        <v>1.8130500000000001</v>
      </c>
      <c r="AL390">
        <f t="shared" si="66"/>
        <v>-49.265185185185175</v>
      </c>
      <c r="AM390">
        <f t="shared" si="67"/>
        <v>-89.342905985185169</v>
      </c>
      <c r="AP390" s="9"/>
      <c r="AQ390" s="21">
        <v>-8.3465600000000001E-2</v>
      </c>
      <c r="AR390" s="21">
        <v>27.814699999999998</v>
      </c>
      <c r="AS390" s="21">
        <v>-1.3262899999999999E-2</v>
      </c>
      <c r="AT390" s="21">
        <v>380</v>
      </c>
      <c r="AU390" s="21">
        <v>-8.3923300000000006E-2</v>
      </c>
      <c r="AV390">
        <f t="shared" si="68"/>
        <v>16.373950617283949</v>
      </c>
      <c r="AW390">
        <f t="shared" si="69"/>
        <v>-1.3666616126419753</v>
      </c>
      <c r="AX390" s="9"/>
      <c r="AY390" s="21">
        <v>1.81351</v>
      </c>
      <c r="AZ390" s="21">
        <v>31.694299999999998</v>
      </c>
      <c r="BA390" s="21">
        <v>4.0783699999999999E-2</v>
      </c>
      <c r="BB390" s="21">
        <v>380</v>
      </c>
      <c r="BC390" s="21">
        <v>1.81274</v>
      </c>
      <c r="BD390">
        <f t="shared" si="70"/>
        <v>-50.350246913580243</v>
      </c>
      <c r="BE390">
        <f t="shared" si="71"/>
        <v>-91.310676280246909</v>
      </c>
    </row>
    <row r="391" spans="6:57" x14ac:dyDescent="0.25">
      <c r="F391" s="9"/>
      <c r="G391" s="21">
        <v>-8.8500999999999996E-2</v>
      </c>
      <c r="H391" s="21">
        <v>8.8733699999999995</v>
      </c>
      <c r="I391" s="21">
        <v>-1.35193E-2</v>
      </c>
      <c r="J391" s="21">
        <v>381</v>
      </c>
      <c r="K391" s="21">
        <v>-8.8958700000000002E-2</v>
      </c>
      <c r="L391">
        <f t="shared" si="60"/>
        <v>16.690493827160495</v>
      </c>
      <c r="M391">
        <f t="shared" si="61"/>
        <v>-1.4771253941975309</v>
      </c>
      <c r="N391" s="9"/>
      <c r="O391" s="21">
        <v>1.81854</v>
      </c>
      <c r="P391" s="21">
        <v>12.753</v>
      </c>
      <c r="Q391" s="21">
        <v>4.0814200000000002E-2</v>
      </c>
      <c r="R391" s="21">
        <v>381</v>
      </c>
      <c r="S391" s="21">
        <v>1.81793</v>
      </c>
      <c r="T391">
        <f t="shared" si="62"/>
        <v>-50.387901234567899</v>
      </c>
      <c r="U391">
        <f t="shared" si="63"/>
        <v>-91.632413911111115</v>
      </c>
      <c r="X391" s="9"/>
      <c r="Y391" s="21">
        <v>-8.8500999999999996E-2</v>
      </c>
      <c r="Z391" s="21">
        <v>18.326599999999999</v>
      </c>
      <c r="AA391" s="21">
        <v>-1.33667E-2</v>
      </c>
      <c r="AB391" s="21">
        <v>381</v>
      </c>
      <c r="AC391" s="21">
        <v>-8.8989299999999993E-2</v>
      </c>
      <c r="AD391">
        <f t="shared" si="64"/>
        <v>16.502098765432098</v>
      </c>
      <c r="AE391">
        <f t="shared" si="65"/>
        <v>-1.4604522428395061</v>
      </c>
      <c r="AF391" s="9"/>
      <c r="AG391" s="21">
        <v>1.81854</v>
      </c>
      <c r="AH391" s="21">
        <v>22.206199999999999</v>
      </c>
      <c r="AI391" s="21">
        <v>4.2205800000000002E-2</v>
      </c>
      <c r="AJ391" s="21">
        <v>381</v>
      </c>
      <c r="AK391" s="21">
        <v>1.8176300000000001</v>
      </c>
      <c r="AL391">
        <f t="shared" si="66"/>
        <v>-52.105925925925924</v>
      </c>
      <c r="AM391">
        <f t="shared" si="67"/>
        <v>-94.756710533333333</v>
      </c>
      <c r="AP391" s="9"/>
      <c r="AQ391" s="21">
        <v>-8.8500999999999996E-2</v>
      </c>
      <c r="AR391" s="21">
        <v>27.8248</v>
      </c>
      <c r="AS391" s="21">
        <v>-1.3256799999999999E-2</v>
      </c>
      <c r="AT391" s="21">
        <v>381</v>
      </c>
      <c r="AU391" s="21">
        <v>-8.8928199999999999E-2</v>
      </c>
      <c r="AV391">
        <f t="shared" si="68"/>
        <v>16.366419753086415</v>
      </c>
      <c r="AW391">
        <f t="shared" si="69"/>
        <v>-1.4484445145679008</v>
      </c>
      <c r="AX391" s="9"/>
      <c r="AY391" s="21">
        <v>1.81854</v>
      </c>
      <c r="AZ391" s="21">
        <v>31.7044</v>
      </c>
      <c r="BA391" s="21">
        <v>4.3093899999999997E-2</v>
      </c>
      <c r="BB391" s="21">
        <v>381</v>
      </c>
      <c r="BC391" s="21">
        <v>1.8176300000000001</v>
      </c>
      <c r="BD391">
        <f t="shared" si="70"/>
        <v>-53.202345679012339</v>
      </c>
      <c r="BE391">
        <f t="shared" si="71"/>
        <v>-96.750593711111108</v>
      </c>
    </row>
    <row r="392" spans="6:57" x14ac:dyDescent="0.25">
      <c r="F392" s="9"/>
      <c r="G392" s="21">
        <v>-9.3536400000000006E-2</v>
      </c>
      <c r="H392" s="21">
        <v>8.8834400000000002</v>
      </c>
      <c r="I392" s="21">
        <v>-1.3516200000000001E-2</v>
      </c>
      <c r="J392" s="21">
        <v>382</v>
      </c>
      <c r="K392" s="21">
        <v>-9.4055200000000005E-2</v>
      </c>
      <c r="L392">
        <f t="shared" si="60"/>
        <v>16.686666666666664</v>
      </c>
      <c r="M392">
        <f t="shared" si="61"/>
        <v>-1.5608107279999999</v>
      </c>
      <c r="N392" s="9"/>
      <c r="O392" s="21">
        <v>1.82358</v>
      </c>
      <c r="P392" s="21">
        <v>12.7631</v>
      </c>
      <c r="Q392" s="21">
        <v>4.3188499999999998E-2</v>
      </c>
      <c r="R392" s="21">
        <v>382</v>
      </c>
      <c r="S392" s="21">
        <v>1.8231200000000001</v>
      </c>
      <c r="T392">
        <f t="shared" si="62"/>
        <v>-53.319135802469127</v>
      </c>
      <c r="U392">
        <f t="shared" si="63"/>
        <v>-97.231709666666646</v>
      </c>
      <c r="X392" s="9"/>
      <c r="Y392" s="21">
        <v>-9.3536400000000006E-2</v>
      </c>
      <c r="Z392" s="21">
        <v>18.336600000000001</v>
      </c>
      <c r="AA392" s="21">
        <v>-1.33636E-2</v>
      </c>
      <c r="AB392" s="21">
        <v>382</v>
      </c>
      <c r="AC392" s="21">
        <v>-9.4116199999999997E-2</v>
      </c>
      <c r="AD392">
        <f t="shared" si="64"/>
        <v>16.498271604938271</v>
      </c>
      <c r="AE392">
        <f t="shared" si="65"/>
        <v>-1.5431889321481482</v>
      </c>
      <c r="AF392" s="9"/>
      <c r="AG392" s="21">
        <v>1.82358</v>
      </c>
      <c r="AH392" s="21">
        <v>22.216200000000001</v>
      </c>
      <c r="AI392" s="21">
        <v>4.4555699999999997E-2</v>
      </c>
      <c r="AJ392" s="21">
        <v>382</v>
      </c>
      <c r="AK392" s="21">
        <v>1.8234300000000001</v>
      </c>
      <c r="AL392">
        <f t="shared" si="66"/>
        <v>-55.00703703703703</v>
      </c>
      <c r="AM392">
        <f t="shared" si="67"/>
        <v>-100.30973259999999</v>
      </c>
      <c r="AP392" s="9"/>
      <c r="AQ392" s="21">
        <v>-9.3536400000000006E-2</v>
      </c>
      <c r="AR392" s="21">
        <v>27.834900000000001</v>
      </c>
      <c r="AS392" s="21">
        <v>-1.3266E-2</v>
      </c>
      <c r="AT392" s="21">
        <v>382</v>
      </c>
      <c r="AU392" s="21">
        <v>-9.4024700000000003E-2</v>
      </c>
      <c r="AV392">
        <f t="shared" si="68"/>
        <v>16.377777777777776</v>
      </c>
      <c r="AW392">
        <f t="shared" si="69"/>
        <v>-1.5319183733333332</v>
      </c>
      <c r="AX392" s="9"/>
      <c r="AY392" s="21">
        <v>1.82358</v>
      </c>
      <c r="AZ392" s="21">
        <v>31.714500000000001</v>
      </c>
      <c r="BA392" s="21">
        <v>4.5434599999999999E-2</v>
      </c>
      <c r="BB392" s="21">
        <v>382</v>
      </c>
      <c r="BC392" s="21">
        <v>1.8231200000000001</v>
      </c>
      <c r="BD392">
        <f t="shared" si="70"/>
        <v>-56.092098765432091</v>
      </c>
      <c r="BE392">
        <f t="shared" si="71"/>
        <v>-102.28842946666666</v>
      </c>
    </row>
    <row r="393" spans="6:57" x14ac:dyDescent="0.25">
      <c r="F393" s="9"/>
      <c r="G393" s="21">
        <v>-9.8571800000000001E-2</v>
      </c>
      <c r="H393" s="21">
        <v>8.8935099999999991</v>
      </c>
      <c r="I393" s="21">
        <v>-1.35132E-2</v>
      </c>
      <c r="J393" s="21">
        <v>383</v>
      </c>
      <c r="K393" s="21">
        <v>-9.9182099999999995E-2</v>
      </c>
      <c r="L393">
        <f t="shared" si="60"/>
        <v>16.682962962962961</v>
      </c>
      <c r="M393">
        <f t="shared" si="61"/>
        <v>-1.6444696885925925</v>
      </c>
      <c r="N393" s="9"/>
      <c r="O393" s="21">
        <v>1.8286100000000001</v>
      </c>
      <c r="P393" s="21">
        <v>12.773099999999999</v>
      </c>
      <c r="Q393" s="21">
        <v>4.5608500000000003E-2</v>
      </c>
      <c r="R393" s="21">
        <v>383</v>
      </c>
      <c r="S393" s="21">
        <v>1.8280000000000001</v>
      </c>
      <c r="T393">
        <f t="shared" si="62"/>
        <v>-56.306790123456786</v>
      </c>
      <c r="U393">
        <f t="shared" si="63"/>
        <v>-102.96315948765432</v>
      </c>
      <c r="X393" s="9"/>
      <c r="Y393" s="21">
        <v>-9.8571800000000001E-2</v>
      </c>
      <c r="Z393" s="21">
        <v>18.346699999999998</v>
      </c>
      <c r="AA393" s="21">
        <v>-1.33636E-2</v>
      </c>
      <c r="AB393" s="21">
        <v>383</v>
      </c>
      <c r="AC393" s="21">
        <v>-9.9151600000000006E-2</v>
      </c>
      <c r="AD393">
        <f t="shared" si="64"/>
        <v>16.498271604938271</v>
      </c>
      <c r="AE393">
        <f t="shared" si="65"/>
        <v>-1.6262643289876544</v>
      </c>
      <c r="AF393" s="9"/>
      <c r="AG393" s="21">
        <v>1.8286100000000001</v>
      </c>
      <c r="AH393" s="21">
        <v>22.226299999999998</v>
      </c>
      <c r="AI393" s="21">
        <v>4.6926900000000001E-2</v>
      </c>
      <c r="AJ393" s="21">
        <v>383</v>
      </c>
      <c r="AK393" s="21">
        <v>1.8277000000000001</v>
      </c>
      <c r="AL393">
        <f t="shared" si="66"/>
        <v>-57.934444444444438</v>
      </c>
      <c r="AM393">
        <f t="shared" si="67"/>
        <v>-105.93950445555555</v>
      </c>
      <c r="AP393" s="9"/>
      <c r="AQ393" s="21">
        <v>-9.8571800000000001E-2</v>
      </c>
      <c r="AR393" s="21">
        <v>27.844899999999999</v>
      </c>
      <c r="AS393" s="21">
        <v>-1.3269E-2</v>
      </c>
      <c r="AT393" s="21">
        <v>383</v>
      </c>
      <c r="AU393" s="21">
        <v>-9.9151600000000006E-2</v>
      </c>
      <c r="AV393">
        <f t="shared" si="68"/>
        <v>16.38148148148148</v>
      </c>
      <c r="AW393">
        <f t="shared" si="69"/>
        <v>-1.6147521162962961</v>
      </c>
      <c r="AX393" s="9"/>
      <c r="AY393" s="21">
        <v>1.8286100000000001</v>
      </c>
      <c r="AZ393" s="21">
        <v>31.724499999999999</v>
      </c>
      <c r="BA393" s="21">
        <v>4.7808799999999999E-2</v>
      </c>
      <c r="BB393" s="21">
        <v>383</v>
      </c>
      <c r="BC393" s="21">
        <v>1.8286100000000001</v>
      </c>
      <c r="BD393">
        <f t="shared" si="70"/>
        <v>-59.023209876543206</v>
      </c>
      <c r="BE393">
        <f t="shared" si="71"/>
        <v>-107.93043181234567</v>
      </c>
    </row>
    <row r="394" spans="6:57" x14ac:dyDescent="0.25">
      <c r="F394" s="9"/>
      <c r="G394" s="21">
        <v>-0.103607</v>
      </c>
      <c r="H394" s="21">
        <v>8.9035799999999998</v>
      </c>
      <c r="I394" s="21">
        <v>-1.3510100000000001E-2</v>
      </c>
      <c r="J394" s="21">
        <v>384</v>
      </c>
      <c r="K394" s="21">
        <v>-0.104065</v>
      </c>
      <c r="L394">
        <f t="shared" si="60"/>
        <v>16.679135802469133</v>
      </c>
      <c r="M394">
        <f t="shared" si="61"/>
        <v>-1.7280752230864196</v>
      </c>
      <c r="N394" s="9"/>
      <c r="O394" s="21">
        <v>1.83365</v>
      </c>
      <c r="P394" s="21">
        <v>12.783200000000001</v>
      </c>
      <c r="Q394" s="21">
        <v>4.8046899999999997E-2</v>
      </c>
      <c r="R394" s="21">
        <v>384</v>
      </c>
      <c r="S394" s="21">
        <v>1.8331900000000001</v>
      </c>
      <c r="T394">
        <f t="shared" si="62"/>
        <v>-59.317160493827153</v>
      </c>
      <c r="U394">
        <f t="shared" si="63"/>
        <v>-108.76691133950617</v>
      </c>
      <c r="X394" s="9"/>
      <c r="Y394" s="21">
        <v>-0.103607</v>
      </c>
      <c r="Z394" s="21">
        <v>18.3568</v>
      </c>
      <c r="AA394" s="21">
        <v>-1.33484E-2</v>
      </c>
      <c r="AB394" s="21">
        <v>384</v>
      </c>
      <c r="AC394" s="21">
        <v>-0.104004</v>
      </c>
      <c r="AD394">
        <f t="shared" si="64"/>
        <v>16.479506172839503</v>
      </c>
      <c r="AE394">
        <f t="shared" si="65"/>
        <v>-1.7073921960493825</v>
      </c>
      <c r="AF394" s="9"/>
      <c r="AG394" s="21">
        <v>1.83365</v>
      </c>
      <c r="AH394" s="21">
        <v>22.2364</v>
      </c>
      <c r="AI394" s="21">
        <v>4.93286E-2</v>
      </c>
      <c r="AJ394" s="21">
        <v>384</v>
      </c>
      <c r="AK394" s="21">
        <v>1.8331900000000001</v>
      </c>
      <c r="AL394">
        <f t="shared" si="66"/>
        <v>-60.899506172839509</v>
      </c>
      <c r="AM394">
        <f t="shared" si="67"/>
        <v>-111.66837949382716</v>
      </c>
      <c r="AP394" s="9"/>
      <c r="AQ394" s="21">
        <v>-0.103607</v>
      </c>
      <c r="AR394" s="21">
        <v>27.855</v>
      </c>
      <c r="AS394" s="21">
        <v>-1.3262899999999999E-2</v>
      </c>
      <c r="AT394" s="21">
        <v>384</v>
      </c>
      <c r="AU394" s="21">
        <v>-0.104065</v>
      </c>
      <c r="AV394">
        <f t="shared" si="68"/>
        <v>16.373950617283949</v>
      </c>
      <c r="AW394">
        <f t="shared" si="69"/>
        <v>-1.6964559016049381</v>
      </c>
      <c r="AX394" s="9"/>
      <c r="AY394" s="21">
        <v>1.83365</v>
      </c>
      <c r="AZ394" s="21">
        <v>31.7346</v>
      </c>
      <c r="BA394" s="21">
        <v>5.0231900000000003E-2</v>
      </c>
      <c r="BB394" s="21">
        <v>384</v>
      </c>
      <c r="BC394" s="21">
        <v>1.8328899999999999</v>
      </c>
      <c r="BD394">
        <f t="shared" si="70"/>
        <v>-62.014691358024692</v>
      </c>
      <c r="BE394">
        <f t="shared" si="71"/>
        <v>-113.71323880864198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5"/>
  <sheetViews>
    <sheetView tabSelected="1" workbookViewId="0">
      <selection activeCell="A5" sqref="A5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20221210T210000</v>
      </c>
      <c r="B3">
        <f ca="1">INDEX(INDIRECT(A3&amp;"!A11"):INDIRECT(A3&amp;"!A21"),MATCH(E3,INDIRECT(A3&amp;"!D11"):INDIRECT(A3&amp;"!D21"),0))</f>
        <v>1.7960849299571051</v>
      </c>
      <c r="C3">
        <f ca="1">INDEX(INDIRECT(A3&amp;"!B11"):INDIRECT(A3&amp;"!B21"),MATCH(E3,INDIRECT(A3&amp;"!D11"):INDIRECT(A3&amp;"!D21"),0))</f>
        <v>18.622265653068293</v>
      </c>
      <c r="D3">
        <f ca="1">INDEX(INDIRECT(A3&amp;"!C11"):INDIRECT(A3&amp;"!C21"),MATCH(E3,INDIRECT(A3&amp;"!D11"):INDIRECT(A3&amp;"!D21"),0))</f>
        <v>0.77406487509669974</v>
      </c>
      <c r="E3">
        <f t="shared" ref="E3" ca="1" si="0">MAX(INDIRECT(A3&amp; "!D11"),INDIRECT(A3 &amp; "!D13"),INDIRECT(A3 &amp; "!D15"),INDIRECT(A3 &amp; "!D17"),INDIRECT(A3 &amp; "!D19"),INDIRECT(A3 &amp; "!D21"))</f>
        <v>25.890280011111109</v>
      </c>
      <c r="G3">
        <f ca="1">INDEX(INDIRECT(A3&amp;"!A12"):INDIRECT(A3&amp;"!A22"),MATCH(J3,INDIRECT(A3&amp;"!D12"):INDIRECT(A3&amp;"!D22"),0))</f>
        <v>1.7976596827093605</v>
      </c>
      <c r="H3">
        <f ca="1">INDEX(INDIRECT(A3&amp;"!B12"):INDIRECT(A3&amp;"!B22"),MATCH(J3,INDIRECT(A3&amp;"!D12"):INDIRECT(A3&amp;"!D22"),0))</f>
        <v>18.603317243714027</v>
      </c>
      <c r="I3">
        <f ca="1">INDEX(INDIRECT(A3&amp;"!C12"):INDIRECT(A3&amp;"!C22"),MATCH(J3,INDIRECT(A3&amp;"!D12"):INDIRECT(A3&amp;"!D22"),0))</f>
        <v>0.7725926176495892</v>
      </c>
      <c r="J3">
        <f t="shared" ref="J3" ca="1" si="1">MAX(INDIRECT(A3&amp; "!D12"),INDIRECT(A3 &amp; "!D14"),INDIRECT(A3 &amp; "!D16"),INDIRECT(A3 &amp; "!D18"),INDIRECT(A3 &amp; "!D20"),,INDIRECT(A3 &amp; "!D22"))</f>
        <v>25.837377140740735</v>
      </c>
      <c r="L3">
        <f ca="1">INDEX(INDIRECT(A3&amp;"!E11"):INDIRECT(A3&amp;"!E21"),MATCH(E3,INDIRECT(A3&amp;"!D11"):INDIRECT(A3&amp;"!D21"),0))</f>
        <v>0</v>
      </c>
    </row>
    <row r="4" spans="1:12" x14ac:dyDescent="0.25">
      <c r="A4" t="str" cm="1">
        <f t="array" aca="1" ref="A4" ca="1">IFERROR(INDEX(MID(sheetnames,FIND("]",sheetnames)+1,255),ROWS($A$2:A4)),"")</f>
        <v>20221211T090000</v>
      </c>
      <c r="B4">
        <f ca="1">INDEX(INDIRECT(A4&amp;"!A11"):INDIRECT(A4&amp;"!A21"),MATCH(E4,INDIRECT(A4&amp;"!D11"):INDIRECT(A4&amp;"!D21"),0))</f>
        <v>1.7751300615258427</v>
      </c>
      <c r="C4">
        <f ca="1">INDEX(INDIRECT(A4&amp;"!B11"):INDIRECT(A4&amp;"!B21"),MATCH(E4,INDIRECT(A4&amp;"!D11"):INDIRECT(A4&amp;"!D21"),0))</f>
        <v>18.4062967421686</v>
      </c>
      <c r="D4">
        <f ca="1">INDEX(INDIRECT(A4&amp;"!C11"):INDIRECT(A4&amp;"!C21"),MATCH(E4,INDIRECT(A4&amp;"!D11"):INDIRECT(A4&amp;"!D21"),0))</f>
        <v>0.72869581667006</v>
      </c>
      <c r="E4">
        <f t="shared" ref="E4:E5" ca="1" si="2">MAX(INDIRECT(A4&amp; "!D11"),INDIRECT(A4 &amp; "!D13"),INDIRECT(A4 &amp; "!D15"),INDIRECT(A4 &amp; "!D17"),INDIRECT(A4 &amp; "!D19"),INDIRECT(A4 &amp; "!D21"))</f>
        <v>23.809094261728397</v>
      </c>
      <c r="G4">
        <f ca="1">INDEX(INDIRECT(A4&amp;"!A12"):INDIRECT(A4&amp;"!A22"),MATCH(J4,INDIRECT(A4&amp;"!D12"):INDIRECT(A4&amp;"!D22"),0))</f>
        <v>1.6986715999886315</v>
      </c>
      <c r="H4">
        <f ca="1">INDEX(INDIRECT(A4&amp;"!B12"):INDIRECT(A4&amp;"!B22"),MATCH(J4,INDIRECT(A4&amp;"!D12"):INDIRECT(A4&amp;"!D22"),0))</f>
        <v>18.373705729306181</v>
      </c>
      <c r="I4">
        <f ca="1">INDEX(INDIRECT(A4&amp;"!C12"):INDIRECT(A4&amp;"!C22"),MATCH(J4,INDIRECT(A4&amp;"!D12"):INDIRECT(A4&amp;"!D22"),0))</f>
        <v>0.72836442513577759</v>
      </c>
      <c r="J4">
        <f t="shared" ref="J4:J5" ca="1" si="3">MAX(INDIRECT(A4&amp; "!D12"),INDIRECT(A4 &amp; "!D14"),INDIRECT(A4 &amp; "!D16"),INDIRECT(A4 &amp; "!D18"),INDIRECT(A4 &amp; "!D20"),,INDIRECT(A4 &amp; "!D22"))</f>
        <v>22.732903488888887</v>
      </c>
      <c r="L4">
        <f ca="1">INDEX(INDIRECT(A4&amp;"!E11"):INDIRECT(A4&amp;"!E21"),MATCH(E4,INDIRECT(A4&amp;"!D11"):INDIRECT(A4&amp;"!D21"),0))</f>
        <v>4.5200827927730884</v>
      </c>
    </row>
    <row r="5" spans="1:12" x14ac:dyDescent="0.25">
      <c r="A5" t="str" cm="1">
        <f t="array" aca="1" ref="A5" ca="1">IFERROR(INDEX(MID(sheetnames,FIND("]",sheetnames)+1,255),ROWS($A$2:A5)),"")</f>
        <v>20221214T210000</v>
      </c>
      <c r="B5">
        <f ca="1">INDEX(INDIRECT(A5&amp;"!A11"):INDIRECT(A5&amp;"!A21"),MATCH(E5,INDIRECT(A5&amp;"!D11"):INDIRECT(A5&amp;"!D21"),0))</f>
        <v>1.8073140341653666</v>
      </c>
      <c r="C5">
        <f ca="1">INDEX(INDIRECT(A5&amp;"!B11"):INDIRECT(A5&amp;"!B21"),MATCH(E5,INDIRECT(A5&amp;"!D11"):INDIRECT(A5&amp;"!D21"),0))</f>
        <v>16.615185185185183</v>
      </c>
      <c r="D5">
        <f ca="1">INDEX(INDIRECT(A5&amp;"!C11"):INDIRECT(A5&amp;"!C21"),MATCH(E5,INDIRECT(A5&amp;"!D11"):INDIRECT(A5&amp;"!D21"),0))</f>
        <v>0.73879244901291208</v>
      </c>
      <c r="E5">
        <f t="shared" ca="1" si="2"/>
        <v>22.185093074074075</v>
      </c>
      <c r="G5">
        <f ca="1">INDEX(INDIRECT(A5&amp;"!A12"):INDIRECT(A5&amp;"!A22"),MATCH(J5,INDIRECT(A5&amp;"!D12"):INDIRECT(A5&amp;"!D22"),0))</f>
        <v>1.6874491155792932</v>
      </c>
      <c r="H5">
        <f ca="1">INDEX(INDIRECT(A5&amp;"!B12"):INDIRECT(A5&amp;"!B22"),MATCH(J5,INDIRECT(A5&amp;"!D12"):INDIRECT(A5&amp;"!D22"),0))</f>
        <v>16.521829922464235</v>
      </c>
      <c r="I5">
        <f ca="1">INDEX(INDIRECT(A5&amp;"!C12"):INDIRECT(A5&amp;"!C22"),MATCH(J5,INDIRECT(A5&amp;"!D12"):INDIRECT(A5&amp;"!D22"),0))</f>
        <v>0.62962084489482184</v>
      </c>
      <c r="J5">
        <f t="shared" ca="1" si="3"/>
        <v>17.553670044444441</v>
      </c>
      <c r="L5">
        <f ca="1">INDEX(INDIRECT(A5&amp;"!E11"):INDIRECT(A5&amp;"!E21"),MATCH(E5,INDIRECT(A5&amp;"!D11"):INDIRECT(A5&amp;"!D21"),0))</f>
        <v>20.876283972150667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NEW</vt:lpstr>
      <vt:lpstr>20221210T210000</vt:lpstr>
      <vt:lpstr>20221211T090000</vt:lpstr>
      <vt:lpstr>20221214T210000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2022-12-18T10:37:12Z</dcterms:modified>
</cp:coreProperties>
</file>